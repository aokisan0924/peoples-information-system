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\Desktop\peoples-information-system\Computation\"/>
    </mc:Choice>
  </mc:AlternateContent>
  <xr:revisionPtr revIDLastSave="0" documentId="13_ncr:1_{FEB8F5DF-910B-4A2D-9C1C-56B4AED59E78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definedNames>
    <definedName name="_xlnm.Print_Area" localSheetId="0">Sheet1!$A$1:$J$76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" i="1" l="1"/>
  <c r="D16" i="1"/>
  <c r="F58" i="1" s="1"/>
  <c r="D15" i="1"/>
  <c r="F57" i="1" s="1"/>
  <c r="I11" i="1"/>
  <c r="C48" i="1"/>
  <c r="C47" i="1"/>
  <c r="G74" i="1"/>
  <c r="E66" i="1"/>
  <c r="F67" i="1" s="1"/>
  <c r="E62" i="1"/>
  <c r="B66" i="1"/>
  <c r="F63" i="1"/>
  <c r="F52" i="1"/>
  <c r="F51" i="1"/>
  <c r="E56" i="1"/>
  <c r="H30" i="1"/>
  <c r="D19" i="1" l="1"/>
  <c r="D23" i="1" s="1"/>
  <c r="F59" i="1"/>
  <c r="E50" i="1"/>
  <c r="I71" i="1" l="1"/>
</calcChain>
</file>

<file path=xl/sharedStrings.xml><?xml version="1.0" encoding="utf-8"?>
<sst xmlns="http://schemas.openxmlformats.org/spreadsheetml/2006/main" count="50" uniqueCount="45">
  <si>
    <t>PEOPLE'S MULTI-PURPOSE COOPERATIVE</t>
  </si>
  <si>
    <t>Stall #2, Principe Bldg. Sitio ZingapanMaharlika Highway, Upi, Gamu, Isabela</t>
  </si>
  <si>
    <t>PETTY CASH RELEASE VOUCHER</t>
  </si>
  <si>
    <t>Name of Payee:</t>
  </si>
  <si>
    <t>Unit/Address:</t>
  </si>
  <si>
    <t>Date of Loan:</t>
  </si>
  <si>
    <t>Due Date</t>
  </si>
  <si>
    <t>Amount of Loan:</t>
  </si>
  <si>
    <t>Signature Over Printed Name</t>
  </si>
  <si>
    <t>Loan Processor</t>
  </si>
  <si>
    <t>OR #</t>
  </si>
  <si>
    <t>Accounting Entry</t>
  </si>
  <si>
    <t xml:space="preserve">           Membership Fee</t>
  </si>
  <si>
    <t xml:space="preserve">           Share Capital - Preferred</t>
  </si>
  <si>
    <t>Interest</t>
  </si>
  <si>
    <t>Cash on Hand</t>
  </si>
  <si>
    <t xml:space="preserve">            Interest Income</t>
  </si>
  <si>
    <t xml:space="preserve">            Cash on hand</t>
  </si>
  <si>
    <t xml:space="preserve">Received the Amount of </t>
  </si>
  <si>
    <t>Share Capital - Preferred</t>
  </si>
  <si>
    <t>Service Fee</t>
  </si>
  <si>
    <t xml:space="preserve">            Service Fee</t>
  </si>
  <si>
    <t>Membership Fee</t>
  </si>
  <si>
    <t>Net Proceeds</t>
  </si>
  <si>
    <t xml:space="preserve">         Previous Loan Balance:</t>
  </si>
  <si>
    <t>Less: Surcharge/Penalty (2%/3%)</t>
  </si>
  <si>
    <t>Net After Deductions</t>
  </si>
  <si>
    <t xml:space="preserve">Received from People’s Multi- Purpose Cooperative the amount of </t>
  </si>
  <si>
    <t>Serial No.</t>
  </si>
  <si>
    <t>To record loans</t>
  </si>
  <si>
    <t>To record membership and Capcon</t>
  </si>
  <si>
    <t>Loans Receivable - Short Term</t>
  </si>
  <si>
    <t xml:space="preserve">           Loans Receivable - Short Term</t>
  </si>
  <si>
    <t xml:space="preserve">            Other Income</t>
  </si>
  <si>
    <t>To record collection of loan balance</t>
  </si>
  <si>
    <t>To record collection of Penalty/Surcharge</t>
  </si>
  <si>
    <t>PRESIDENT</t>
  </si>
  <si>
    <t>ALEXANDER L FERIA (RET) CPA MNSA</t>
  </si>
  <si>
    <t>Amount Due:</t>
  </si>
  <si>
    <t>20 - E 2ND CAMARILLA STREET. 15TH AVENUE CORNER, BARANGAY SAN ROQUE MUHPHY CUBAO QUEZON CITY.</t>
  </si>
  <si>
    <t>SEVENTEEN THOUSAN PESOS</t>
  </si>
  <si>
    <t>JEREMIAH N. SANDOVAL</t>
  </si>
  <si>
    <t>JEFFRAE A. SAPLA</t>
  </si>
  <si>
    <t>1ST ID HHSC</t>
  </si>
  <si>
    <t>Note: Charge to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</si>
</sst>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mmmm\ d\,\ yyyy"/>
  </numFmts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4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8"/>
      <color theme="1"/>
      <name val="Century Gothic"/>
      <family val="2"/>
    </font>
    <font>
      <sz val="9"/>
      <color theme="1"/>
      <name val="Century Gothic"/>
      <family val="2"/>
    </font>
    <font>
      <b/>
      <sz val="12"/>
      <color rgb="FFFFFFFF"/>
      <name val="Century Gothic"/>
      <family val="2"/>
    </font>
    <font>
      <sz val="15"/>
      <color theme="1"/>
      <name val="Century Gothic"/>
      <family val="2"/>
    </font>
    <font>
      <sz val="12"/>
      <color rgb="FF000000"/>
      <name val="Century Gothic"/>
      <family val="2"/>
    </font>
    <font>
      <sz val="11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6">
    <xf numFmtId="0" fontId="0" fillId="0" borderId="0" xfId="0"/>
    <xf numFmtId="164" fontId="4" fillId="0" borderId="1" xfId="1" applyFont="1" applyBorder="1" applyAlignment="1"/>
    <xf numFmtId="0" fontId="4" fillId="0" borderId="1" xfId="0" applyFont="1" applyBorder="1" applyAlignment="1">
      <alignment horizontal="center"/>
    </xf>
    <xf numFmtId="0" fontId="6" fillId="0" borderId="0" xfId="0" applyFont="1"/>
    <xf numFmtId="164" fontId="6" fillId="0" borderId="6" xfId="1" applyFont="1" applyBorder="1" applyAlignment="1"/>
    <xf numFmtId="164" fontId="4" fillId="0" borderId="5" xfId="0" applyNumberFormat="1" applyFont="1" applyBorder="1"/>
    <xf numFmtId="0" fontId="4" fillId="0" borderId="4" xfId="0" applyFont="1" applyBorder="1"/>
    <xf numFmtId="0" fontId="4" fillId="0" borderId="3" xfId="0" applyFont="1" applyBorder="1"/>
    <xf numFmtId="0" fontId="4" fillId="0" borderId="0" xfId="0" applyFont="1"/>
    <xf numFmtId="164" fontId="4" fillId="0" borderId="6" xfId="1" applyFont="1" applyBorder="1" applyAlignment="1"/>
    <xf numFmtId="0" fontId="5" fillId="0" borderId="14" xfId="0" applyFont="1" applyBorder="1"/>
    <xf numFmtId="0" fontId="4" fillId="0" borderId="13" xfId="0" applyFont="1" applyBorder="1"/>
    <xf numFmtId="0" fontId="4" fillId="0" borderId="14" xfId="0" applyFont="1" applyBorder="1"/>
    <xf numFmtId="0" fontId="4" fillId="3" borderId="0" xfId="0" applyFont="1" applyFill="1"/>
    <xf numFmtId="0" fontId="10" fillId="0" borderId="0" xfId="0" applyFont="1"/>
    <xf numFmtId="0" fontId="4" fillId="0" borderId="0" xfId="0" applyFont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7" xfId="0" applyFont="1" applyBorder="1"/>
    <xf numFmtId="0" fontId="6" fillId="0" borderId="14" xfId="0" applyFont="1" applyBorder="1"/>
    <xf numFmtId="2" fontId="6" fillId="0" borderId="0" xfId="0" applyNumberFormat="1" applyFont="1"/>
    <xf numFmtId="164" fontId="4" fillId="0" borderId="0" xfId="0" applyNumberFormat="1" applyFont="1"/>
    <xf numFmtId="164" fontId="4" fillId="0" borderId="0" xfId="1" applyFont="1" applyBorder="1"/>
    <xf numFmtId="0" fontId="4" fillId="0" borderId="0" xfId="0" applyFont="1" applyAlignment="1">
      <alignment horizontal="right"/>
    </xf>
    <xf numFmtId="164" fontId="4" fillId="0" borderId="0" xfId="1" applyFont="1" applyBorder="1" applyAlignment="1">
      <alignment horizontal="right"/>
    </xf>
    <xf numFmtId="0" fontId="12" fillId="0" borderId="0" xfId="0" applyFont="1"/>
    <xf numFmtId="164" fontId="12" fillId="0" borderId="0" xfId="0" applyNumberFormat="1" applyFont="1"/>
    <xf numFmtId="0" fontId="4" fillId="0" borderId="10" xfId="0" applyFont="1" applyBorder="1"/>
    <xf numFmtId="0" fontId="4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3" xfId="0" applyFont="1" applyBorder="1"/>
    <xf numFmtId="0" fontId="6" fillId="0" borderId="0" xfId="0" applyFont="1"/>
    <xf numFmtId="0" fontId="5" fillId="0" borderId="14" xfId="0" applyFont="1" applyBorder="1"/>
    <xf numFmtId="0" fontId="4" fillId="0" borderId="0" xfId="0" applyFont="1"/>
    <xf numFmtId="0" fontId="7" fillId="0" borderId="13" xfId="0" applyFont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5" xfId="0" applyFont="1" applyBorder="1"/>
    <xf numFmtId="15" fontId="4" fillId="0" borderId="2" xfId="0" applyNumberFormat="1" applyFont="1" applyBorder="1" applyAlignment="1">
      <alignment horizontal="center"/>
    </xf>
    <xf numFmtId="0" fontId="5" fillId="0" borderId="2" xfId="0" applyFont="1" applyBorder="1"/>
    <xf numFmtId="164" fontId="4" fillId="0" borderId="2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17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1" xfId="0" applyFont="1" applyBorder="1"/>
    <xf numFmtId="0" fontId="5" fillId="0" borderId="11" xfId="0" applyFont="1" applyBorder="1"/>
    <xf numFmtId="0" fontId="5" fillId="0" borderId="12" xfId="0" applyFont="1" applyBorder="1"/>
    <xf numFmtId="14" fontId="4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5" fontId="4" fillId="0" borderId="0" xfId="0" applyNumberFormat="1" applyFont="1"/>
    <xf numFmtId="0" fontId="6" fillId="0" borderId="14" xfId="0" applyFont="1" applyBorder="1"/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J78"/>
  <sheetViews>
    <sheetView tabSelected="1" workbookViewId="0">
      <selection activeCell="H13" sqref="H13"/>
    </sheetView>
  </sheetViews>
  <sheetFormatPr defaultColWidth="12.5546875" defaultRowHeight="15.75" customHeight="1" x14ac:dyDescent="0.25"/>
  <cols>
    <col min="2" max="2" width="21.33203125" customWidth="1"/>
    <col min="3" max="3" width="13.6640625" bestFit="1" customWidth="1"/>
    <col min="4" max="4" width="14.44140625" customWidth="1"/>
    <col min="7" max="7" width="15.44140625" customWidth="1"/>
    <col min="9" max="9" width="25.5546875" customWidth="1"/>
    <col min="10" max="10" width="14.88671875" customWidth="1"/>
  </cols>
  <sheetData>
    <row r="1" spans="1:10" ht="13.2" x14ac:dyDescent="0.25">
      <c r="A1" s="29"/>
      <c r="B1" s="30"/>
      <c r="C1" s="30"/>
      <c r="D1" s="30"/>
      <c r="E1" s="30"/>
      <c r="F1" s="30"/>
      <c r="G1" s="30"/>
      <c r="H1" s="30"/>
      <c r="I1" s="30"/>
      <c r="J1" s="31"/>
    </row>
    <row r="2" spans="1:10" ht="13.2" x14ac:dyDescent="0.25">
      <c r="A2" s="32"/>
      <c r="B2" s="33"/>
      <c r="C2" s="33"/>
      <c r="D2" s="33"/>
      <c r="E2" s="33"/>
      <c r="F2" s="33"/>
      <c r="G2" s="33"/>
      <c r="H2" s="33"/>
      <c r="I2" s="33"/>
      <c r="J2" s="34"/>
    </row>
    <row r="3" spans="1:10" ht="15.75" customHeight="1" x14ac:dyDescent="0.25">
      <c r="A3" s="11"/>
      <c r="B3" s="35"/>
      <c r="C3" s="33"/>
      <c r="D3" s="33"/>
      <c r="E3" s="33"/>
      <c r="F3" s="33"/>
      <c r="G3" s="33"/>
      <c r="H3" s="33"/>
      <c r="I3" s="33"/>
      <c r="J3" s="34"/>
    </row>
    <row r="4" spans="1:10" ht="13.2" x14ac:dyDescent="0.25">
      <c r="A4" s="36" t="s">
        <v>0</v>
      </c>
      <c r="B4" s="33"/>
      <c r="C4" s="33"/>
      <c r="D4" s="33"/>
      <c r="E4" s="33"/>
      <c r="F4" s="33"/>
      <c r="G4" s="33"/>
      <c r="H4" s="33"/>
      <c r="I4" s="33"/>
      <c r="J4" s="34"/>
    </row>
    <row r="5" spans="1:10" ht="13.2" x14ac:dyDescent="0.25">
      <c r="A5" s="32"/>
      <c r="B5" s="33"/>
      <c r="C5" s="33"/>
      <c r="D5" s="33"/>
      <c r="E5" s="33"/>
      <c r="F5" s="33"/>
      <c r="G5" s="33"/>
      <c r="H5" s="33"/>
      <c r="I5" s="33"/>
      <c r="J5" s="34"/>
    </row>
    <row r="6" spans="1:10" ht="15.75" customHeight="1" x14ac:dyDescent="0.3">
      <c r="A6" s="38" t="s">
        <v>39</v>
      </c>
      <c r="B6" s="39"/>
      <c r="C6" s="39"/>
      <c r="D6" s="39"/>
      <c r="E6" s="39"/>
      <c r="F6" s="39"/>
      <c r="G6" s="39"/>
      <c r="H6" s="39"/>
      <c r="I6" s="39"/>
      <c r="J6" s="40"/>
    </row>
    <row r="7" spans="1:10" ht="15.75" customHeight="1" x14ac:dyDescent="0.25">
      <c r="A7" s="11"/>
      <c r="B7" s="8"/>
      <c r="C7" s="8"/>
      <c r="D7" s="8"/>
      <c r="E7" s="8"/>
      <c r="F7" s="8"/>
      <c r="G7" s="8"/>
      <c r="H7" s="8"/>
      <c r="I7" s="8"/>
      <c r="J7" s="12"/>
    </row>
    <row r="8" spans="1:10" ht="15" x14ac:dyDescent="0.25">
      <c r="A8" s="37" t="s">
        <v>2</v>
      </c>
      <c r="B8" s="33"/>
      <c r="C8" s="33"/>
      <c r="D8" s="33"/>
      <c r="E8" s="33"/>
      <c r="F8" s="33"/>
      <c r="G8" s="33"/>
      <c r="H8" s="33"/>
      <c r="I8" s="33"/>
      <c r="J8" s="34"/>
    </row>
    <row r="9" spans="1:10" ht="15.75" customHeight="1" x14ac:dyDescent="0.25">
      <c r="A9" s="11"/>
      <c r="B9" s="8"/>
      <c r="C9" s="8"/>
      <c r="D9" s="8"/>
      <c r="E9" s="8"/>
      <c r="F9" s="8"/>
      <c r="G9" s="8"/>
      <c r="H9" s="8"/>
      <c r="I9" s="8"/>
      <c r="J9" s="12"/>
    </row>
    <row r="10" spans="1:10" ht="15.75" customHeight="1" x14ac:dyDescent="0.25">
      <c r="A10" s="11"/>
      <c r="B10" s="13" t="s">
        <v>3</v>
      </c>
      <c r="C10" s="41" t="s">
        <v>41</v>
      </c>
      <c r="D10" s="42"/>
      <c r="E10" s="42"/>
      <c r="F10" s="8"/>
      <c r="G10" s="8" t="s">
        <v>4</v>
      </c>
      <c r="H10" s="41" t="s">
        <v>43</v>
      </c>
      <c r="I10" s="42"/>
      <c r="J10" s="43"/>
    </row>
    <row r="11" spans="1:10" ht="15.75" customHeight="1" x14ac:dyDescent="0.25">
      <c r="A11" s="11"/>
      <c r="B11" s="3" t="s">
        <v>28</v>
      </c>
      <c r="C11" s="48">
        <v>997989</v>
      </c>
      <c r="D11" s="48"/>
      <c r="E11" s="48"/>
      <c r="F11" s="8"/>
      <c r="G11" s="35" t="s">
        <v>38</v>
      </c>
      <c r="H11" s="33"/>
      <c r="I11" s="46">
        <f>D14</f>
        <v>20000</v>
      </c>
      <c r="J11" s="47"/>
    </row>
    <row r="12" spans="1:10" ht="15.75" customHeight="1" x14ac:dyDescent="0.25">
      <c r="A12" s="11"/>
      <c r="B12" s="13" t="s">
        <v>5</v>
      </c>
      <c r="C12" s="44">
        <v>46042</v>
      </c>
      <c r="D12" s="45"/>
      <c r="E12" s="45"/>
      <c r="F12" s="8"/>
      <c r="G12" s="35" t="s">
        <v>6</v>
      </c>
      <c r="H12" s="33"/>
      <c r="I12" s="49">
        <v>46132</v>
      </c>
      <c r="J12" s="43"/>
    </row>
    <row r="13" spans="1:10" ht="15.75" customHeight="1" x14ac:dyDescent="0.25">
      <c r="A13" s="11"/>
      <c r="B13" s="8"/>
      <c r="C13" s="8"/>
      <c r="D13" s="8"/>
      <c r="E13" s="8"/>
      <c r="F13" s="8"/>
      <c r="G13" s="8"/>
      <c r="H13" s="8"/>
      <c r="I13" s="8"/>
      <c r="J13" s="12"/>
    </row>
    <row r="14" spans="1:10" ht="15.75" customHeight="1" x14ac:dyDescent="0.25">
      <c r="A14" s="11"/>
      <c r="B14" s="8" t="s">
        <v>7</v>
      </c>
      <c r="C14" s="3"/>
      <c r="D14" s="1">
        <v>20000</v>
      </c>
      <c r="E14" s="8"/>
      <c r="F14" s="8"/>
      <c r="G14" s="8"/>
      <c r="H14" s="8"/>
      <c r="I14" s="8"/>
      <c r="J14" s="12"/>
    </row>
    <row r="15" spans="1:10" ht="15.75" customHeight="1" x14ac:dyDescent="0.25">
      <c r="A15" s="11"/>
      <c r="B15" s="8" t="s">
        <v>20</v>
      </c>
      <c r="C15" s="3"/>
      <c r="D15" s="1">
        <f>D14*0.06</f>
        <v>1200</v>
      </c>
      <c r="E15" s="8"/>
      <c r="F15" s="8"/>
      <c r="G15" s="8"/>
      <c r="H15" s="8"/>
      <c r="I15" s="8"/>
      <c r="J15" s="12"/>
    </row>
    <row r="16" spans="1:10" ht="15.75" customHeight="1" x14ac:dyDescent="0.25">
      <c r="A16" s="11"/>
      <c r="B16" s="8" t="s">
        <v>14</v>
      </c>
      <c r="C16" s="3"/>
      <c r="D16" s="1">
        <f>D14*0.09</f>
        <v>1800</v>
      </c>
      <c r="E16" s="8"/>
      <c r="F16" s="8"/>
      <c r="G16" s="8" t="s">
        <v>44</v>
      </c>
      <c r="H16" s="8"/>
      <c r="I16" s="8"/>
      <c r="J16" s="12"/>
    </row>
    <row r="17" spans="1:10" ht="15.75" customHeight="1" x14ac:dyDescent="0.25">
      <c r="A17" s="11"/>
      <c r="B17" s="8" t="s">
        <v>22</v>
      </c>
      <c r="C17" s="3"/>
      <c r="D17" s="1">
        <v>0</v>
      </c>
      <c r="E17" s="8"/>
      <c r="F17" s="8"/>
      <c r="G17" s="8"/>
      <c r="H17" s="8"/>
      <c r="I17" s="8"/>
      <c r="J17" s="12"/>
    </row>
    <row r="18" spans="1:10" ht="15.75" customHeight="1" x14ac:dyDescent="0.25">
      <c r="A18" s="11"/>
      <c r="B18" s="8" t="s">
        <v>19</v>
      </c>
      <c r="C18" s="3"/>
      <c r="D18" s="1">
        <v>0</v>
      </c>
      <c r="E18" s="8"/>
      <c r="F18" s="8"/>
      <c r="G18" s="8"/>
      <c r="H18" s="8"/>
      <c r="I18" s="8"/>
      <c r="J18" s="12"/>
    </row>
    <row r="19" spans="1:10" ht="15.75" customHeight="1" x14ac:dyDescent="0.25">
      <c r="A19" s="11"/>
      <c r="B19" s="8" t="s">
        <v>23</v>
      </c>
      <c r="C19" s="3"/>
      <c r="D19" s="1">
        <f>D14-D15-D16-D17-D18</f>
        <v>17000</v>
      </c>
      <c r="E19" s="8"/>
      <c r="F19" s="8"/>
      <c r="G19" s="8"/>
      <c r="H19" s="8"/>
      <c r="I19" s="8"/>
      <c r="J19" s="12"/>
    </row>
    <row r="20" spans="1:10" ht="15.75" customHeight="1" x14ac:dyDescent="0.25">
      <c r="A20" s="11"/>
      <c r="B20" s="3"/>
      <c r="C20" s="3"/>
      <c r="D20" s="3"/>
      <c r="E20" s="8"/>
      <c r="F20" s="8"/>
      <c r="G20" s="8"/>
      <c r="H20" s="8"/>
      <c r="I20" s="8"/>
      <c r="J20" s="12"/>
    </row>
    <row r="21" spans="1:10" ht="15.75" customHeight="1" x14ac:dyDescent="0.25">
      <c r="A21" s="11"/>
      <c r="B21" s="8" t="s">
        <v>25</v>
      </c>
      <c r="C21" s="3"/>
      <c r="D21" s="9"/>
      <c r="E21" s="8"/>
      <c r="F21" s="8"/>
      <c r="G21" s="8"/>
      <c r="H21" s="8"/>
      <c r="I21" s="8"/>
      <c r="J21" s="12"/>
    </row>
    <row r="22" spans="1:10" ht="15.75" customHeight="1" x14ac:dyDescent="0.35">
      <c r="A22" s="11"/>
      <c r="B22" s="8" t="s">
        <v>24</v>
      </c>
      <c r="C22" s="14"/>
      <c r="D22" s="4"/>
      <c r="E22" s="8"/>
      <c r="F22" s="8"/>
      <c r="G22" s="8"/>
      <c r="H22" s="8"/>
      <c r="I22" s="8"/>
      <c r="J22" s="12"/>
    </row>
    <row r="23" spans="1:10" ht="15.75" customHeight="1" thickBot="1" x14ac:dyDescent="0.3">
      <c r="A23" s="11"/>
      <c r="B23" s="8" t="s">
        <v>26</v>
      </c>
      <c r="C23" s="8"/>
      <c r="D23" s="5">
        <f>D19-D21-D22</f>
        <v>17000</v>
      </c>
      <c r="E23" s="8"/>
      <c r="F23" s="8"/>
      <c r="G23" s="8"/>
      <c r="H23" s="8"/>
      <c r="I23" s="8"/>
      <c r="J23" s="12"/>
    </row>
    <row r="24" spans="1:10" ht="15.75" customHeight="1" thickTop="1" x14ac:dyDescent="0.25">
      <c r="A24" s="11"/>
      <c r="B24" s="8"/>
      <c r="C24" s="8"/>
      <c r="D24" s="8"/>
      <c r="E24" s="8"/>
      <c r="F24" s="8"/>
      <c r="G24" s="8"/>
      <c r="H24" s="8"/>
      <c r="I24" s="8"/>
      <c r="J24" s="12"/>
    </row>
    <row r="25" spans="1:10" ht="15.75" customHeight="1" thickBot="1" x14ac:dyDescent="0.3">
      <c r="A25" s="11"/>
      <c r="B25" s="8" t="s">
        <v>27</v>
      </c>
      <c r="C25" s="3"/>
      <c r="D25" s="3"/>
      <c r="E25" s="3"/>
      <c r="F25" s="3"/>
      <c r="G25" s="3"/>
      <c r="H25" s="3"/>
      <c r="I25" s="3"/>
      <c r="J25" s="12"/>
    </row>
    <row r="26" spans="1:10" ht="15.75" customHeight="1" x14ac:dyDescent="0.25">
      <c r="A26" s="11"/>
      <c r="B26" s="8"/>
      <c r="C26" s="57" t="s">
        <v>40</v>
      </c>
      <c r="D26" s="58"/>
      <c r="E26" s="58"/>
      <c r="F26" s="58"/>
      <c r="G26" s="59"/>
      <c r="H26" s="8"/>
      <c r="I26" s="8"/>
      <c r="J26" s="12"/>
    </row>
    <row r="27" spans="1:10" ht="15.75" customHeight="1" thickBot="1" x14ac:dyDescent="0.3">
      <c r="A27" s="11"/>
      <c r="B27" s="8"/>
      <c r="C27" s="60"/>
      <c r="D27" s="61"/>
      <c r="E27" s="61"/>
      <c r="F27" s="61"/>
      <c r="G27" s="62"/>
      <c r="H27" s="8"/>
      <c r="I27" s="8"/>
      <c r="J27" s="12"/>
    </row>
    <row r="28" spans="1:10" ht="15.75" customHeight="1" x14ac:dyDescent="0.25">
      <c r="A28" s="11"/>
      <c r="B28" s="8"/>
      <c r="C28" s="8"/>
      <c r="D28" s="8"/>
      <c r="E28" s="8"/>
      <c r="F28" s="8"/>
      <c r="G28" s="8"/>
      <c r="H28" s="8"/>
      <c r="I28" s="8"/>
      <c r="J28" s="12"/>
    </row>
    <row r="29" spans="1:10" ht="13.8" x14ac:dyDescent="0.25">
      <c r="A29" s="11"/>
      <c r="B29" s="8"/>
      <c r="C29" s="8"/>
      <c r="D29" s="8"/>
      <c r="E29" s="8"/>
      <c r="F29" s="8"/>
      <c r="G29" s="8"/>
      <c r="H29" s="8"/>
      <c r="I29" s="8"/>
      <c r="J29" s="12"/>
    </row>
    <row r="30" spans="1:10" ht="15" x14ac:dyDescent="0.25">
      <c r="A30" s="11"/>
      <c r="B30" s="8"/>
      <c r="C30" s="8"/>
      <c r="D30" s="8"/>
      <c r="E30" s="8"/>
      <c r="F30" s="8"/>
      <c r="G30" s="8"/>
      <c r="H30" s="50" t="str">
        <f>C10</f>
        <v>JEREMIAH N. SANDOVAL</v>
      </c>
      <c r="I30" s="50"/>
      <c r="J30" s="51"/>
    </row>
    <row r="31" spans="1:10" ht="13.8" x14ac:dyDescent="0.25">
      <c r="A31" s="11"/>
      <c r="B31" s="8"/>
      <c r="C31" s="8"/>
      <c r="D31" s="8"/>
      <c r="E31" s="8"/>
      <c r="F31" s="8"/>
      <c r="G31" s="8"/>
      <c r="H31" s="52" t="s">
        <v>8</v>
      </c>
      <c r="I31" s="53"/>
      <c r="J31" s="54"/>
    </row>
    <row r="32" spans="1:10" ht="13.8" x14ac:dyDescent="0.25">
      <c r="A32" s="11"/>
      <c r="B32" s="8"/>
      <c r="C32" s="8"/>
      <c r="D32" s="8"/>
      <c r="E32" s="8"/>
      <c r="F32" s="8"/>
      <c r="G32" s="8"/>
      <c r="H32" s="8"/>
      <c r="I32" s="8"/>
      <c r="J32" s="12"/>
    </row>
    <row r="33" spans="1:10" ht="13.8" x14ac:dyDescent="0.25">
      <c r="A33" s="11"/>
      <c r="B33" s="8"/>
      <c r="C33" s="8"/>
      <c r="D33" s="8"/>
      <c r="E33" s="8"/>
      <c r="F33" s="8"/>
      <c r="G33" s="8"/>
      <c r="H33" s="8"/>
      <c r="I33" s="8"/>
      <c r="J33" s="12"/>
    </row>
    <row r="34" spans="1:10" ht="13.8" x14ac:dyDescent="0.25">
      <c r="A34" s="11"/>
      <c r="B34" s="8"/>
      <c r="C34" s="8"/>
      <c r="D34" s="8"/>
      <c r="E34" s="8"/>
      <c r="F34" s="8"/>
      <c r="G34" s="8"/>
      <c r="H34" s="8"/>
      <c r="I34" s="8"/>
      <c r="J34" s="12"/>
    </row>
    <row r="35" spans="1:10" ht="13.8" x14ac:dyDescent="0.25">
      <c r="A35" s="11"/>
      <c r="B35" s="8"/>
      <c r="C35" s="8"/>
      <c r="D35" s="8"/>
      <c r="E35" s="8"/>
      <c r="F35" s="8"/>
      <c r="G35" s="8"/>
      <c r="H35" s="8"/>
      <c r="I35" s="8"/>
      <c r="J35" s="12"/>
    </row>
    <row r="36" spans="1:10" ht="13.8" x14ac:dyDescent="0.25">
      <c r="A36" s="11"/>
      <c r="B36" s="2" t="s">
        <v>42</v>
      </c>
      <c r="C36" s="8"/>
      <c r="D36" s="55"/>
      <c r="E36" s="56"/>
      <c r="F36" s="56"/>
      <c r="G36" s="8"/>
      <c r="H36" s="41" t="s">
        <v>37</v>
      </c>
      <c r="I36" s="42"/>
      <c r="J36" s="12"/>
    </row>
    <row r="37" spans="1:10" ht="13.8" x14ac:dyDescent="0.25">
      <c r="A37" s="11"/>
      <c r="B37" s="15" t="s">
        <v>9</v>
      </c>
      <c r="C37" s="8"/>
      <c r="D37" s="55"/>
      <c r="E37" s="56"/>
      <c r="F37" s="56"/>
      <c r="G37" s="8"/>
      <c r="H37" s="55" t="s">
        <v>36</v>
      </c>
      <c r="I37" s="33"/>
      <c r="J37" s="12"/>
    </row>
    <row r="38" spans="1:10" ht="13.8" x14ac:dyDescent="0.25">
      <c r="A38" s="11"/>
      <c r="B38" s="8"/>
      <c r="C38" s="8"/>
      <c r="D38" s="8"/>
      <c r="E38" s="8"/>
      <c r="F38" s="8"/>
      <c r="G38" s="8"/>
      <c r="H38" s="8"/>
      <c r="I38" s="8"/>
      <c r="J38" s="12"/>
    </row>
    <row r="39" spans="1:10" ht="13.8" x14ac:dyDescent="0.25">
      <c r="A39" s="11"/>
      <c r="B39" s="8"/>
      <c r="C39" s="8"/>
      <c r="D39" s="8"/>
      <c r="E39" s="8"/>
      <c r="F39" s="8"/>
      <c r="G39" s="8"/>
      <c r="H39" s="8"/>
      <c r="I39" s="8"/>
      <c r="J39" s="12"/>
    </row>
    <row r="40" spans="1:10" ht="14.4" thickBot="1" x14ac:dyDescent="0.3">
      <c r="A40" s="16"/>
      <c r="B40" s="6"/>
      <c r="C40" s="6"/>
      <c r="D40" s="6"/>
      <c r="E40" s="6"/>
      <c r="F40" s="6"/>
      <c r="G40" s="6"/>
      <c r="H40" s="6"/>
      <c r="I40" s="6"/>
      <c r="J40" s="17"/>
    </row>
    <row r="41" spans="1:10" ht="13.8" thickTop="1" x14ac:dyDescent="0.25">
      <c r="A41" s="36" t="s">
        <v>0</v>
      </c>
      <c r="B41" s="33"/>
      <c r="C41" s="33"/>
      <c r="D41" s="33"/>
      <c r="E41" s="33"/>
      <c r="F41" s="33"/>
      <c r="G41" s="33"/>
      <c r="H41" s="33"/>
      <c r="I41" s="33"/>
      <c r="J41" s="34"/>
    </row>
    <row r="42" spans="1:10" ht="13.2" x14ac:dyDescent="0.25">
      <c r="A42" s="32"/>
      <c r="B42" s="33"/>
      <c r="C42" s="33"/>
      <c r="D42" s="33"/>
      <c r="E42" s="33"/>
      <c r="F42" s="33"/>
      <c r="G42" s="33"/>
      <c r="H42" s="33"/>
      <c r="I42" s="33"/>
      <c r="J42" s="34"/>
    </row>
    <row r="43" spans="1:10" ht="14.4" x14ac:dyDescent="0.3">
      <c r="A43" s="11"/>
      <c r="B43" s="39" t="s">
        <v>1</v>
      </c>
      <c r="C43" s="33"/>
      <c r="D43" s="33"/>
      <c r="E43" s="33"/>
      <c r="F43" s="33"/>
      <c r="G43" s="33"/>
      <c r="H43" s="33"/>
      <c r="I43" s="33"/>
      <c r="J43" s="34"/>
    </row>
    <row r="44" spans="1:10" ht="13.8" x14ac:dyDescent="0.25">
      <c r="A44" s="11"/>
      <c r="B44" s="8"/>
      <c r="C44" s="8"/>
      <c r="D44" s="8"/>
      <c r="E44" s="8"/>
      <c r="F44" s="8"/>
      <c r="G44" s="8"/>
      <c r="H44" s="8"/>
      <c r="I44" s="8"/>
      <c r="J44" s="12"/>
    </row>
    <row r="45" spans="1:10" ht="15" x14ac:dyDescent="0.25">
      <c r="A45" s="37" t="s">
        <v>11</v>
      </c>
      <c r="B45" s="33"/>
      <c r="C45" s="33"/>
      <c r="D45" s="33"/>
      <c r="E45" s="33"/>
      <c r="F45" s="33"/>
      <c r="G45" s="33"/>
      <c r="H45" s="33"/>
      <c r="I45" s="33"/>
      <c r="J45" s="34"/>
    </row>
    <row r="46" spans="1:10" ht="13.8" x14ac:dyDescent="0.25">
      <c r="A46" s="18"/>
      <c r="B46" s="7"/>
      <c r="C46" s="7"/>
      <c r="D46" s="7"/>
      <c r="E46" s="7"/>
      <c r="F46" s="7"/>
      <c r="G46" s="7"/>
      <c r="H46" s="7"/>
      <c r="I46" s="7"/>
      <c r="J46" s="19"/>
    </row>
    <row r="47" spans="1:10" ht="13.8" x14ac:dyDescent="0.25">
      <c r="A47" s="11"/>
      <c r="B47" s="13" t="s">
        <v>3</v>
      </c>
      <c r="C47" s="41" t="str">
        <f>C10</f>
        <v>JEREMIAH N. SANDOVAL</v>
      </c>
      <c r="D47" s="42"/>
      <c r="E47" s="42"/>
      <c r="F47" s="8"/>
      <c r="G47" s="8"/>
      <c r="H47" s="15" t="s">
        <v>10</v>
      </c>
      <c r="I47" s="66"/>
      <c r="J47" s="43"/>
    </row>
    <row r="48" spans="1:10" ht="13.8" x14ac:dyDescent="0.25">
      <c r="A48" s="11"/>
      <c r="B48" s="13" t="s">
        <v>5</v>
      </c>
      <c r="C48" s="44">
        <f>C12</f>
        <v>46042</v>
      </c>
      <c r="D48" s="67"/>
      <c r="E48" s="67"/>
      <c r="F48" s="8"/>
      <c r="G48" s="8"/>
      <c r="H48" s="8"/>
      <c r="I48" s="68"/>
      <c r="J48" s="69"/>
    </row>
    <row r="49" spans="1:10" ht="13.8" x14ac:dyDescent="0.25">
      <c r="A49" s="11"/>
      <c r="B49" s="8"/>
      <c r="C49" s="8"/>
      <c r="D49" s="8"/>
      <c r="E49" s="8"/>
      <c r="F49" s="8"/>
      <c r="G49" s="8"/>
      <c r="H49" s="8"/>
      <c r="I49" s="8"/>
      <c r="J49" s="12"/>
    </row>
    <row r="50" spans="1:10" ht="13.8" x14ac:dyDescent="0.25">
      <c r="A50" s="11"/>
      <c r="B50" s="8" t="s">
        <v>15</v>
      </c>
      <c r="C50" s="8"/>
      <c r="D50" s="21"/>
      <c r="E50" s="22">
        <f>F51+F52</f>
        <v>0</v>
      </c>
      <c r="F50" s="23"/>
      <c r="G50" s="8"/>
      <c r="H50" s="8"/>
      <c r="I50" s="8"/>
      <c r="J50" s="12"/>
    </row>
    <row r="51" spans="1:10" ht="13.8" x14ac:dyDescent="0.25">
      <c r="A51" s="11"/>
      <c r="B51" s="8" t="s">
        <v>12</v>
      </c>
      <c r="C51" s="8"/>
      <c r="D51" s="21"/>
      <c r="E51" s="24"/>
      <c r="F51" s="23">
        <f>D17</f>
        <v>0</v>
      </c>
      <c r="G51" s="3"/>
      <c r="H51" s="3"/>
      <c r="I51" s="3"/>
      <c r="J51" s="20"/>
    </row>
    <row r="52" spans="1:10" ht="13.8" x14ac:dyDescent="0.25">
      <c r="A52" s="11"/>
      <c r="B52" s="8" t="s">
        <v>13</v>
      </c>
      <c r="C52" s="8"/>
      <c r="D52" s="21"/>
      <c r="E52" s="8"/>
      <c r="F52" s="23">
        <f>D18</f>
        <v>0</v>
      </c>
      <c r="G52" s="8"/>
      <c r="H52" s="3"/>
      <c r="I52" s="8"/>
      <c r="J52" s="12"/>
    </row>
    <row r="53" spans="1:10" ht="13.8" x14ac:dyDescent="0.25">
      <c r="A53" s="11"/>
      <c r="B53" s="8"/>
      <c r="C53" s="8" t="s">
        <v>30</v>
      </c>
      <c r="D53" s="21"/>
      <c r="E53" s="8"/>
      <c r="F53" s="23"/>
      <c r="G53" s="8"/>
      <c r="H53" s="3"/>
      <c r="I53" s="8"/>
      <c r="J53" s="12"/>
    </row>
    <row r="54" spans="1:10" ht="13.8" x14ac:dyDescent="0.25">
      <c r="A54" s="11"/>
      <c r="B54" s="8"/>
      <c r="C54" s="8"/>
      <c r="D54" s="21"/>
      <c r="E54" s="8"/>
      <c r="F54" s="23"/>
      <c r="G54" s="8"/>
      <c r="H54" s="3"/>
      <c r="I54" s="8"/>
      <c r="J54" s="12"/>
    </row>
    <row r="55" spans="1:10" ht="13.8" x14ac:dyDescent="0.25">
      <c r="A55" s="11"/>
      <c r="B55" s="3"/>
      <c r="C55" s="3"/>
      <c r="D55" s="3"/>
      <c r="E55" s="3"/>
      <c r="F55" s="3"/>
      <c r="G55" s="8"/>
      <c r="H55" s="3"/>
      <c r="I55" s="8"/>
      <c r="J55" s="12"/>
    </row>
    <row r="56" spans="1:10" ht="13.8" x14ac:dyDescent="0.25">
      <c r="A56" s="11"/>
      <c r="B56" s="8" t="s">
        <v>31</v>
      </c>
      <c r="C56" s="3"/>
      <c r="D56" s="3"/>
      <c r="E56" s="25">
        <f>D14</f>
        <v>20000</v>
      </c>
      <c r="F56" s="8"/>
      <c r="G56" s="8"/>
      <c r="H56" s="3"/>
      <c r="I56" s="8"/>
      <c r="J56" s="12"/>
    </row>
    <row r="57" spans="1:10" ht="13.8" x14ac:dyDescent="0.25">
      <c r="A57" s="11"/>
      <c r="B57" s="26" t="s">
        <v>16</v>
      </c>
      <c r="C57" s="3"/>
      <c r="D57" s="3"/>
      <c r="E57" s="3"/>
      <c r="F57" s="27">
        <f>D15</f>
        <v>1200</v>
      </c>
      <c r="G57" s="8"/>
      <c r="H57" s="3"/>
      <c r="I57" s="8"/>
      <c r="J57" s="12"/>
    </row>
    <row r="58" spans="1:10" ht="13.8" x14ac:dyDescent="0.25">
      <c r="A58" s="11"/>
      <c r="B58" s="26" t="s">
        <v>21</v>
      </c>
      <c r="C58" s="3"/>
      <c r="D58" s="3"/>
      <c r="E58" s="3"/>
      <c r="F58" s="27">
        <f>D16</f>
        <v>1800</v>
      </c>
      <c r="G58" s="8"/>
      <c r="H58" s="3"/>
      <c r="I58" s="8"/>
      <c r="J58" s="12"/>
    </row>
    <row r="59" spans="1:10" ht="13.8" x14ac:dyDescent="0.25">
      <c r="A59" s="11"/>
      <c r="B59" s="26" t="s">
        <v>17</v>
      </c>
      <c r="C59" s="3"/>
      <c r="D59" s="3"/>
      <c r="E59" s="3"/>
      <c r="F59" s="27">
        <f>E56-F57-F58</f>
        <v>17000</v>
      </c>
      <c r="G59" s="3"/>
      <c r="H59" s="3"/>
      <c r="I59" s="3"/>
      <c r="J59" s="10"/>
    </row>
    <row r="60" spans="1:10" ht="13.8" x14ac:dyDescent="0.25">
      <c r="A60" s="11"/>
      <c r="B60" s="8"/>
      <c r="C60" s="8" t="s">
        <v>29</v>
      </c>
      <c r="D60" s="21"/>
      <c r="E60" s="8"/>
      <c r="F60" s="23"/>
      <c r="G60" s="3"/>
      <c r="H60" s="3"/>
      <c r="I60" s="3"/>
      <c r="J60" s="12"/>
    </row>
    <row r="61" spans="1:10" ht="13.8" x14ac:dyDescent="0.25">
      <c r="A61" s="11"/>
      <c r="B61" s="3"/>
      <c r="C61" s="3"/>
      <c r="D61" s="3"/>
      <c r="E61" s="3"/>
      <c r="F61" s="3"/>
      <c r="G61" s="35"/>
      <c r="H61" s="33"/>
      <c r="I61" s="8"/>
      <c r="J61" s="12"/>
    </row>
    <row r="62" spans="1:10" ht="13.8" x14ac:dyDescent="0.25">
      <c r="A62" s="11"/>
      <c r="B62" s="8" t="s">
        <v>15</v>
      </c>
      <c r="C62" s="8"/>
      <c r="D62" s="21"/>
      <c r="E62" s="22">
        <f>D22</f>
        <v>0</v>
      </c>
      <c r="F62" s="23"/>
      <c r="G62" s="8"/>
      <c r="H62" s="3"/>
      <c r="I62" s="8"/>
      <c r="J62" s="12"/>
    </row>
    <row r="63" spans="1:10" ht="13.8" x14ac:dyDescent="0.25">
      <c r="A63" s="11"/>
      <c r="B63" s="8" t="s">
        <v>32</v>
      </c>
      <c r="C63" s="8"/>
      <c r="D63" s="21"/>
      <c r="E63" s="8"/>
      <c r="F63" s="23">
        <f>D31</f>
        <v>0</v>
      </c>
      <c r="G63" s="8"/>
      <c r="H63" s="3"/>
      <c r="I63" s="8"/>
      <c r="J63" s="12"/>
    </row>
    <row r="64" spans="1:10" ht="13.8" x14ac:dyDescent="0.25">
      <c r="A64" s="11"/>
      <c r="B64" s="8"/>
      <c r="C64" s="8" t="s">
        <v>34</v>
      </c>
      <c r="D64" s="21"/>
      <c r="E64" s="8"/>
      <c r="F64" s="23"/>
      <c r="G64" s="8"/>
      <c r="H64" s="3"/>
      <c r="I64" s="8"/>
      <c r="J64" s="12"/>
    </row>
    <row r="65" spans="1:10" ht="13.8" x14ac:dyDescent="0.25">
      <c r="A65" s="11"/>
      <c r="B65" s="8"/>
      <c r="C65" s="8"/>
      <c r="D65" s="21"/>
      <c r="E65" s="8"/>
      <c r="F65" s="23"/>
      <c r="G65" s="8"/>
      <c r="H65" s="3"/>
      <c r="I65" s="8"/>
      <c r="J65" s="12"/>
    </row>
    <row r="66" spans="1:10" ht="13.8" x14ac:dyDescent="0.25">
      <c r="A66" s="11"/>
      <c r="B66" s="8" t="str">
        <f>B62</f>
        <v>Cash on Hand</v>
      </c>
      <c r="C66" s="8"/>
      <c r="D66" s="21"/>
      <c r="E66" s="23">
        <f>D21</f>
        <v>0</v>
      </c>
      <c r="F66" s="23"/>
      <c r="G66" s="8"/>
      <c r="H66" s="3"/>
      <c r="I66" s="8"/>
      <c r="J66" s="12"/>
    </row>
    <row r="67" spans="1:10" ht="13.8" x14ac:dyDescent="0.25">
      <c r="A67" s="11"/>
      <c r="B67" s="8" t="s">
        <v>33</v>
      </c>
      <c r="C67" s="8"/>
      <c r="D67" s="21"/>
      <c r="E67" s="8"/>
      <c r="F67" s="23">
        <f>E66</f>
        <v>0</v>
      </c>
      <c r="G67" s="8"/>
      <c r="H67" s="3"/>
      <c r="I67" s="8"/>
      <c r="J67" s="12"/>
    </row>
    <row r="68" spans="1:10" ht="13.8" x14ac:dyDescent="0.25">
      <c r="A68" s="11"/>
      <c r="B68" s="8"/>
      <c r="C68" s="8" t="s">
        <v>35</v>
      </c>
      <c r="D68" s="21"/>
      <c r="E68" s="8"/>
      <c r="F68" s="23"/>
      <c r="G68" s="8"/>
      <c r="H68" s="3"/>
      <c r="I68" s="8"/>
      <c r="J68" s="12"/>
    </row>
    <row r="69" spans="1:10" ht="13.8" x14ac:dyDescent="0.25">
      <c r="A69" s="11"/>
      <c r="B69" s="3"/>
      <c r="C69" s="3"/>
      <c r="D69" s="3"/>
      <c r="E69" s="3"/>
      <c r="F69" s="3"/>
      <c r="G69" s="8"/>
      <c r="H69" s="3"/>
      <c r="I69" s="8"/>
      <c r="J69" s="12"/>
    </row>
    <row r="70" spans="1:10" ht="14.4" thickBot="1" x14ac:dyDescent="0.3">
      <c r="A70" s="11"/>
      <c r="B70" s="8"/>
      <c r="C70" s="3"/>
      <c r="D70" s="3"/>
      <c r="E70" s="24"/>
      <c r="F70" s="21"/>
      <c r="G70" s="3"/>
      <c r="H70" s="3"/>
      <c r="I70" s="3"/>
      <c r="J70" s="20"/>
    </row>
    <row r="71" spans="1:10" ht="13.8" x14ac:dyDescent="0.25">
      <c r="A71" s="11"/>
      <c r="B71" s="8"/>
      <c r="C71" s="8" t="s">
        <v>18</v>
      </c>
      <c r="D71" s="3"/>
      <c r="E71" s="70" t="str">
        <f>C26</f>
        <v>SEVENTEEN THOUSAN PESOS</v>
      </c>
      <c r="F71" s="71"/>
      <c r="G71" s="71"/>
      <c r="H71" s="72"/>
      <c r="I71" s="27">
        <f>D23</f>
        <v>17000</v>
      </c>
      <c r="J71" s="12"/>
    </row>
    <row r="72" spans="1:10" ht="14.4" thickBot="1" x14ac:dyDescent="0.3">
      <c r="A72" s="11"/>
      <c r="B72" s="8"/>
      <c r="C72" s="8"/>
      <c r="D72" s="21"/>
      <c r="E72" s="73"/>
      <c r="F72" s="74"/>
      <c r="G72" s="74"/>
      <c r="H72" s="75"/>
      <c r="I72" s="8"/>
      <c r="J72" s="20"/>
    </row>
    <row r="73" spans="1:10" ht="13.8" x14ac:dyDescent="0.25">
      <c r="A73" s="11"/>
      <c r="B73" s="8"/>
      <c r="C73" s="8"/>
      <c r="D73" s="8"/>
      <c r="E73" s="8"/>
      <c r="F73" s="8"/>
      <c r="G73" s="8"/>
      <c r="H73" s="8"/>
      <c r="I73" s="8"/>
      <c r="J73" s="12"/>
    </row>
    <row r="74" spans="1:10" ht="13.8" x14ac:dyDescent="0.25">
      <c r="A74" s="11"/>
      <c r="B74" s="8"/>
      <c r="C74" s="8"/>
      <c r="D74" s="8"/>
      <c r="E74" s="8"/>
      <c r="F74" s="8"/>
      <c r="G74" s="41" t="str">
        <f>C10</f>
        <v>JEREMIAH N. SANDOVAL</v>
      </c>
      <c r="H74" s="42"/>
      <c r="I74" s="42"/>
      <c r="J74" s="12"/>
    </row>
    <row r="75" spans="1:10" ht="13.8" x14ac:dyDescent="0.25">
      <c r="A75" s="11"/>
      <c r="B75" s="8"/>
      <c r="C75" s="8"/>
      <c r="D75" s="8"/>
      <c r="E75" s="8"/>
      <c r="F75" s="8"/>
      <c r="G75" s="55" t="s">
        <v>8</v>
      </c>
      <c r="H75" s="33"/>
      <c r="I75" s="33"/>
      <c r="J75" s="12"/>
    </row>
    <row r="76" spans="1:10" ht="14.4" thickBot="1" x14ac:dyDescent="0.3">
      <c r="A76" s="28"/>
      <c r="B76" s="63"/>
      <c r="C76" s="64"/>
      <c r="D76" s="64"/>
      <c r="E76" s="64"/>
      <c r="F76" s="64"/>
      <c r="G76" s="64"/>
      <c r="H76" s="64"/>
      <c r="I76" s="64"/>
      <c r="J76" s="65"/>
    </row>
    <row r="77" spans="1:10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</sheetData>
  <mergeCells count="32">
    <mergeCell ref="D37:F37"/>
    <mergeCell ref="H37:I37"/>
    <mergeCell ref="A41:J42"/>
    <mergeCell ref="B43:J43"/>
    <mergeCell ref="B76:J76"/>
    <mergeCell ref="A45:J45"/>
    <mergeCell ref="C47:E47"/>
    <mergeCell ref="I47:J47"/>
    <mergeCell ref="C48:E48"/>
    <mergeCell ref="I48:J48"/>
    <mergeCell ref="G61:H61"/>
    <mergeCell ref="G74:I74"/>
    <mergeCell ref="G75:I75"/>
    <mergeCell ref="E71:H72"/>
    <mergeCell ref="H30:J30"/>
    <mergeCell ref="H31:J31"/>
    <mergeCell ref="D36:F36"/>
    <mergeCell ref="H36:I36"/>
    <mergeCell ref="C26:G27"/>
    <mergeCell ref="C10:E10"/>
    <mergeCell ref="H10:J10"/>
    <mergeCell ref="C12:E12"/>
    <mergeCell ref="G11:H11"/>
    <mergeCell ref="I11:J11"/>
    <mergeCell ref="C11:E11"/>
    <mergeCell ref="I12:J12"/>
    <mergeCell ref="G12:H12"/>
    <mergeCell ref="A1:J2"/>
    <mergeCell ref="B3:J3"/>
    <mergeCell ref="A4:J5"/>
    <mergeCell ref="A8:J8"/>
    <mergeCell ref="A6:J6"/>
  </mergeCells>
  <printOptions horizontalCentered="1" verticalCentered="1"/>
  <pageMargins left="0" right="0" top="0" bottom="0" header="0" footer="0"/>
  <pageSetup paperSize="9" scale="6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Jeffrae Sapla</dc:creator>
  <cp:lastModifiedBy>Jeffrae Sapla</cp:lastModifiedBy>
  <cp:lastPrinted>2026-01-20T06:40:00Z</cp:lastPrinted>
  <dcterms:created xsi:type="dcterms:W3CDTF">2025-11-04T01:49:04Z</dcterms:created>
  <dcterms:modified xsi:type="dcterms:W3CDTF">2026-01-20T06:47:25Z</dcterms:modified>
</cp:coreProperties>
</file>