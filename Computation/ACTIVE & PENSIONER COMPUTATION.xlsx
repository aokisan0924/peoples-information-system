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eff\Desktop\peoples-information-system\Computation\"/>
    </mc:Choice>
  </mc:AlternateContent>
  <xr:revisionPtr revIDLastSave="0" documentId="13_ncr:1_{92603F4A-4FB7-4F65-97CB-C554F5229695}" xr6:coauthVersionLast="47" xr6:coauthVersionMax="47" xr10:uidLastSave="{00000000-0000-0000-0000-000000000000}"/>
  <bookViews>
    <workbookView xWindow="-108" yWindow="-108" windowWidth="23256" windowHeight="13896" xr2:uid="{00000000-000D-0000-FFFF-FFFF00000000}"/>
  </bookViews>
  <sheets>
    <sheet name="DATA ENTRY" sheetId="3" r:id="rId1"/>
    <sheet name="Sheet2" sheetId="8" state="hidden" r:id="rId2"/>
    <sheet name="Amortization  Table" sheetId="2" r:id="rId3"/>
    <sheet name="Computation Table" sheetId="1" r:id="rId4"/>
    <sheet name="3 YEARS" sheetId="4" state="hidden" r:id="rId5"/>
    <sheet name="5 YEARS" sheetId="5" state="hidden" r:id="rId6"/>
    <sheet name="LRV1YEAR" sheetId="9" r:id="rId7"/>
    <sheet name="LRV2YEAR" sheetId="10" r:id="rId8"/>
    <sheet name="LRV3YEAR" sheetId="11" r:id="rId9"/>
    <sheet name="LRV4YEAR" sheetId="12" r:id="rId10"/>
    <sheet name="LRV 5YEAR" sheetId="13" r:id="rId11"/>
    <sheet name="Sheet3" sheetId="15" r:id="rId12"/>
    <sheet name="Sheet1" sheetId="14" r:id="rId13"/>
  </sheets>
  <externalReferences>
    <externalReference r:id="rId14"/>
    <externalReference r:id="rId15"/>
    <externalReference r:id="rId16"/>
  </externalReferences>
  <definedNames>
    <definedName name="_xlnm.Print_Area" localSheetId="4">'3 YEARS'!$B$1:$P$18</definedName>
    <definedName name="_xlnm.Print_Area" localSheetId="5">'5 YEARS'!$C$20:$H$88</definedName>
    <definedName name="_xlnm.Print_Area" localSheetId="2">'Amortization  Table'!$N$2:$S$30</definedName>
    <definedName name="_xlnm.Print_Area" localSheetId="10">'LRV 5YEAR'!$W$99:$BE$170</definedName>
    <definedName name="_xlnm.Print_Area" localSheetId="6">LRV1YEAR!$C$20:$H$40</definedName>
    <definedName name="_xlnm.Print_Area" localSheetId="8">LRV3YEAR!$W$99:$BE$170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4" i="13" l="1"/>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28" i="13"/>
  <c r="Z126"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28" i="11"/>
  <c r="AB92" i="13"/>
  <c r="AJ86" i="13"/>
  <c r="C12" i="1" l="1"/>
  <c r="AL100" i="13"/>
  <c r="R50" i="13"/>
  <c r="R51" i="13" l="1"/>
  <c r="AD48" i="13"/>
  <c r="Z126" i="13" s="1"/>
  <c r="N34" i="13"/>
  <c r="AB57" i="13" s="1"/>
  <c r="N33" i="13"/>
  <c r="AL100" i="9" l="1"/>
  <c r="AJ86" i="9"/>
  <c r="AG83" i="9"/>
  <c r="AB57" i="9"/>
  <c r="N33" i="9"/>
  <c r="AD48" i="9" s="1"/>
  <c r="S29" i="9"/>
  <c r="B29" i="9"/>
  <c r="B30" i="9"/>
  <c r="B31" i="9"/>
  <c r="B32" i="9"/>
  <c r="B33" i="9"/>
  <c r="B34" i="9"/>
  <c r="B35" i="9"/>
  <c r="B36" i="9"/>
  <c r="B37" i="9"/>
  <c r="B38" i="9"/>
  <c r="B39" i="9"/>
  <c r="R51" i="9" s="1"/>
  <c r="B28" i="9"/>
  <c r="X103" i="9" s="1"/>
  <c r="E110" i="1"/>
  <c r="N32" i="11"/>
  <c r="K69" i="11"/>
  <c r="AU64" i="11"/>
  <c r="G24" i="11"/>
  <c r="N33" i="11"/>
  <c r="AD48" i="11" s="1"/>
  <c r="G24" i="9" l="1"/>
  <c r="R50" i="9"/>
  <c r="C109" i="1"/>
  <c r="C114" i="1" s="1"/>
  <c r="C8" i="9"/>
  <c r="R39" i="9" s="1"/>
  <c r="R40" i="9"/>
  <c r="S30" i="9"/>
  <c r="N34" i="9"/>
  <c r="N32" i="9"/>
  <c r="K69" i="9" s="1"/>
  <c r="AU64" i="9" s="1"/>
  <c r="R38" i="9"/>
  <c r="C32" i="9"/>
  <c r="C36" i="9"/>
  <c r="C29" i="9"/>
  <c r="C30" i="9"/>
  <c r="C31" i="9"/>
  <c r="C33" i="9"/>
  <c r="C34" i="9"/>
  <c r="C35" i="9"/>
  <c r="C37" i="9"/>
  <c r="C38" i="9"/>
  <c r="C39" i="9"/>
  <c r="G27" i="14" l="1"/>
  <c r="G25" i="14"/>
  <c r="G23" i="14"/>
  <c r="L12" i="14"/>
  <c r="H13" i="14"/>
  <c r="F11" i="14"/>
  <c r="F12" i="14" s="1"/>
  <c r="F14" i="14" s="1"/>
  <c r="L8" i="14"/>
  <c r="X103" i="13"/>
  <c r="S30" i="13"/>
  <c r="S29" i="13"/>
  <c r="E25" i="13"/>
  <c r="AB102" i="13" s="1"/>
  <c r="AG83" i="13" l="1"/>
  <c r="L13" i="14"/>
  <c r="C67" i="13"/>
  <c r="C71" i="13"/>
  <c r="C75" i="13"/>
  <c r="C77" i="13"/>
  <c r="C79" i="13"/>
  <c r="C83" i="13"/>
  <c r="C87" i="13"/>
  <c r="C64" i="13"/>
  <c r="C65" i="13"/>
  <c r="C66" i="13"/>
  <c r="C68" i="13"/>
  <c r="C69" i="13"/>
  <c r="C70" i="13"/>
  <c r="C72" i="13"/>
  <c r="C73" i="13"/>
  <c r="C74" i="13"/>
  <c r="C76" i="13"/>
  <c r="C78" i="13"/>
  <c r="C80" i="13"/>
  <c r="C81" i="13"/>
  <c r="C82" i="13"/>
  <c r="C84" i="13"/>
  <c r="C85" i="13"/>
  <c r="C86" i="13"/>
  <c r="S30" i="11" l="1"/>
  <c r="AL100" i="11" s="1"/>
  <c r="C32" i="11" l="1"/>
  <c r="C36" i="11"/>
  <c r="C40" i="11"/>
  <c r="C44" i="11"/>
  <c r="C48" i="11"/>
  <c r="C52" i="11"/>
  <c r="C56" i="11"/>
  <c r="C60" i="11"/>
  <c r="X103" i="11"/>
  <c r="C29" i="11"/>
  <c r="C30" i="11"/>
  <c r="C31" i="11"/>
  <c r="C33" i="11"/>
  <c r="C34" i="11"/>
  <c r="C35" i="11"/>
  <c r="C37" i="11"/>
  <c r="C38" i="11"/>
  <c r="C39" i="11"/>
  <c r="C41" i="11"/>
  <c r="C42" i="11"/>
  <c r="C43" i="11"/>
  <c r="C45" i="11"/>
  <c r="C46" i="11"/>
  <c r="C47" i="11"/>
  <c r="C49" i="11"/>
  <c r="C50" i="11"/>
  <c r="C51" i="11"/>
  <c r="C53" i="11"/>
  <c r="C54" i="11"/>
  <c r="C55" i="11"/>
  <c r="C57" i="11"/>
  <c r="C58" i="11"/>
  <c r="C59" i="11"/>
  <c r="C61" i="11"/>
  <c r="C62" i="11"/>
  <c r="C63" i="11"/>
  <c r="C15" i="11"/>
  <c r="C8" i="11" l="1"/>
  <c r="R39" i="11" s="1"/>
  <c r="R38" i="11"/>
  <c r="E31" i="1"/>
  <c r="F58" i="1"/>
  <c r="C8" i="13"/>
  <c r="R39" i="13" s="1"/>
  <c r="C7" i="13"/>
  <c r="R40" i="13" s="1"/>
  <c r="AL151"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R38" i="13"/>
  <c r="C38" i="13"/>
  <c r="C37" i="13"/>
  <c r="C36" i="13"/>
  <c r="C35" i="13"/>
  <c r="C34" i="13"/>
  <c r="C33" i="13"/>
  <c r="N32" i="13"/>
  <c r="K69" i="13" s="1"/>
  <c r="AU64" i="13" s="1"/>
  <c r="Z123" i="13" s="1"/>
  <c r="AI155" i="13" s="1"/>
  <c r="C32" i="13"/>
  <c r="C31" i="13"/>
  <c r="C30" i="13"/>
  <c r="C29" i="13"/>
  <c r="C28" i="13"/>
  <c r="C7" i="12"/>
  <c r="R40" i="12" s="1"/>
  <c r="AL151" i="12"/>
  <c r="Z123" i="12"/>
  <c r="AI155" i="12" s="1"/>
  <c r="AW83" i="12"/>
  <c r="AY101" i="12" s="1"/>
  <c r="AG83" i="12"/>
  <c r="X83" i="12"/>
  <c r="B63" i="12"/>
  <c r="C63" i="12" s="1"/>
  <c r="C62" i="12"/>
  <c r="B62" i="12"/>
  <c r="B61" i="12"/>
  <c r="C61" i="12" s="1"/>
  <c r="B60" i="12"/>
  <c r="C60" i="12" s="1"/>
  <c r="B59" i="12"/>
  <c r="C59" i="12" s="1"/>
  <c r="C58" i="12"/>
  <c r="B58" i="12"/>
  <c r="B57" i="12"/>
  <c r="C57" i="12" s="1"/>
  <c r="C56" i="12"/>
  <c r="B56" i="12"/>
  <c r="B55" i="12"/>
  <c r="C55" i="12" s="1"/>
  <c r="C54" i="12"/>
  <c r="B54" i="12"/>
  <c r="R53" i="12"/>
  <c r="B53" i="12"/>
  <c r="C53" i="12" s="1"/>
  <c r="B52" i="12"/>
  <c r="C52" i="12" s="1"/>
  <c r="B51" i="12"/>
  <c r="C51" i="12" s="1"/>
  <c r="C50" i="12"/>
  <c r="B50" i="12"/>
  <c r="B49" i="12"/>
  <c r="C49" i="12" s="1"/>
  <c r="R48" i="12"/>
  <c r="B48" i="12"/>
  <c r="C48" i="12" s="1"/>
  <c r="B47" i="12"/>
  <c r="C47" i="12" s="1"/>
  <c r="B46" i="12"/>
  <c r="C46" i="12" s="1"/>
  <c r="C45" i="12"/>
  <c r="B45" i="12"/>
  <c r="B44" i="12"/>
  <c r="C44" i="12" s="1"/>
  <c r="B43" i="12"/>
  <c r="C43" i="12" s="1"/>
  <c r="C42" i="12"/>
  <c r="B42" i="12"/>
  <c r="B41" i="12"/>
  <c r="C41" i="12" s="1"/>
  <c r="B40" i="12"/>
  <c r="C40" i="12" s="1"/>
  <c r="AB39" i="12"/>
  <c r="AU151" i="12" s="1"/>
  <c r="B39" i="12"/>
  <c r="C39" i="12" s="1"/>
  <c r="R38" i="12"/>
  <c r="B38" i="12"/>
  <c r="C38" i="12" s="1"/>
  <c r="B37" i="12"/>
  <c r="C37" i="12" s="1"/>
  <c r="B36" i="12"/>
  <c r="C36" i="12" s="1"/>
  <c r="B35" i="12"/>
  <c r="C35" i="12" s="1"/>
  <c r="N34" i="12"/>
  <c r="C34" i="12"/>
  <c r="B34" i="12"/>
  <c r="N33" i="12"/>
  <c r="C33" i="12"/>
  <c r="B33" i="12"/>
  <c r="N32" i="12"/>
  <c r="B32" i="12"/>
  <c r="C32" i="12" s="1"/>
  <c r="B31" i="12"/>
  <c r="C31" i="12" s="1"/>
  <c r="S30" i="12"/>
  <c r="B30" i="12"/>
  <c r="C30" i="12" s="1"/>
  <c r="S29" i="12"/>
  <c r="R85" i="12" s="1"/>
  <c r="B29" i="12"/>
  <c r="C29" i="12" s="1"/>
  <c r="B28" i="12"/>
  <c r="X103" i="12" s="1"/>
  <c r="G24" i="12"/>
  <c r="C16" i="12"/>
  <c r="R52" i="12" s="1"/>
  <c r="C15" i="12"/>
  <c r="C8" i="12"/>
  <c r="R39" i="12" s="1"/>
  <c r="C7" i="11"/>
  <c r="R40" i="11" s="1"/>
  <c r="C7" i="10"/>
  <c r="R40" i="10" s="1"/>
  <c r="AL151" i="11"/>
  <c r="Z123" i="11"/>
  <c r="AI155" i="11" s="1"/>
  <c r="AG83" i="11"/>
  <c r="R53" i="11"/>
  <c r="R51" i="11"/>
  <c r="R48" i="11"/>
  <c r="N34" i="11"/>
  <c r="AB57" i="11" s="1"/>
  <c r="R85" i="11"/>
  <c r="C16" i="11"/>
  <c r="R52" i="11" s="1"/>
  <c r="C8" i="10"/>
  <c r="R39" i="10" s="1"/>
  <c r="AL151" i="10"/>
  <c r="Z123" i="10"/>
  <c r="AI155" i="10" s="1"/>
  <c r="R85" i="10"/>
  <c r="AW83" i="10"/>
  <c r="AY101" i="10" s="1"/>
  <c r="AG83" i="10"/>
  <c r="X83" i="10"/>
  <c r="B63" i="10"/>
  <c r="C63" i="10" s="1"/>
  <c r="B62" i="10"/>
  <c r="C62" i="10" s="1"/>
  <c r="B61" i="10"/>
  <c r="C61" i="10" s="1"/>
  <c r="B60" i="10"/>
  <c r="C60" i="10" s="1"/>
  <c r="B59" i="10"/>
  <c r="C59" i="10" s="1"/>
  <c r="B58" i="10"/>
  <c r="C58" i="10" s="1"/>
  <c r="B57" i="10"/>
  <c r="C57" i="10" s="1"/>
  <c r="B56" i="10"/>
  <c r="C56" i="10" s="1"/>
  <c r="B55" i="10"/>
  <c r="C55" i="10" s="1"/>
  <c r="B54" i="10"/>
  <c r="C54" i="10" s="1"/>
  <c r="R53" i="10"/>
  <c r="C53" i="10"/>
  <c r="B53" i="10"/>
  <c r="B52" i="10"/>
  <c r="C52" i="10" s="1"/>
  <c r="B51" i="10"/>
  <c r="C51" i="10" s="1"/>
  <c r="B50" i="10"/>
  <c r="C50" i="10" s="1"/>
  <c r="B49" i="10"/>
  <c r="C49" i="10" s="1"/>
  <c r="R48" i="10"/>
  <c r="B48" i="10"/>
  <c r="C48" i="10" s="1"/>
  <c r="B47" i="10"/>
  <c r="C47" i="10" s="1"/>
  <c r="B46" i="10"/>
  <c r="C46" i="10" s="1"/>
  <c r="B45" i="10"/>
  <c r="C45" i="10" s="1"/>
  <c r="C44" i="10"/>
  <c r="B44" i="10"/>
  <c r="B43" i="10"/>
  <c r="C43" i="10" s="1"/>
  <c r="B42" i="10"/>
  <c r="C42" i="10" s="1"/>
  <c r="B41" i="10"/>
  <c r="C41" i="10" s="1"/>
  <c r="B40" i="10"/>
  <c r="C40" i="10" s="1"/>
  <c r="AB39" i="10"/>
  <c r="AU151" i="10" s="1"/>
  <c r="B39" i="10"/>
  <c r="C39" i="10" s="1"/>
  <c r="R38" i="10"/>
  <c r="B38" i="10"/>
  <c r="C38" i="10" s="1"/>
  <c r="B37" i="10"/>
  <c r="C37" i="10" s="1"/>
  <c r="B36" i="10"/>
  <c r="C36" i="10" s="1"/>
  <c r="B35" i="10"/>
  <c r="C35" i="10" s="1"/>
  <c r="N34" i="10"/>
  <c r="B34" i="10"/>
  <c r="C34" i="10" s="1"/>
  <c r="N33" i="10"/>
  <c r="B33" i="10"/>
  <c r="C33" i="10" s="1"/>
  <c r="N32" i="10"/>
  <c r="B32" i="10"/>
  <c r="C32" i="10" s="1"/>
  <c r="C31" i="10"/>
  <c r="B31" i="10"/>
  <c r="S30" i="10"/>
  <c r="B30" i="10"/>
  <c r="C30" i="10" s="1"/>
  <c r="S29" i="10"/>
  <c r="B29" i="10"/>
  <c r="C29" i="10" s="1"/>
  <c r="B28" i="10"/>
  <c r="X103" i="10" s="1"/>
  <c r="G24" i="10"/>
  <c r="C16" i="10"/>
  <c r="R52" i="10" s="1"/>
  <c r="C15" i="10"/>
  <c r="Z123" i="9"/>
  <c r="AI155" i="9" s="1"/>
  <c r="R85" i="9"/>
  <c r="C28" i="9"/>
  <c r="C16" i="9"/>
  <c r="R52" i="9" s="1"/>
  <c r="C15" i="9"/>
  <c r="R53" i="9" s="1"/>
  <c r="C28" i="12" l="1"/>
  <c r="C28" i="10"/>
  <c r="R51" i="10"/>
  <c r="R50" i="10"/>
  <c r="R51" i="12"/>
  <c r="C28" i="11"/>
  <c r="R50" i="12"/>
  <c r="R50" i="11"/>
  <c r="B29" i="5" l="1"/>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28" i="5"/>
  <c r="C8" i="5" l="1"/>
  <c r="C13" i="4" l="1"/>
  <c r="C7" i="4"/>
  <c r="C8" i="4"/>
  <c r="C112" i="1" l="1"/>
  <c r="C14" i="4"/>
  <c r="B29" i="4" l="1"/>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C64" i="4" s="1"/>
  <c r="B65" i="4"/>
  <c r="C65" i="4" s="1"/>
  <c r="B66" i="4"/>
  <c r="C66" i="4" s="1"/>
  <c r="B67" i="4"/>
  <c r="C67" i="4" s="1"/>
  <c r="B68" i="4"/>
  <c r="C68" i="4" s="1"/>
  <c r="B69" i="4"/>
  <c r="B70" i="4"/>
  <c r="B71" i="4"/>
  <c r="B72" i="4"/>
  <c r="C72" i="4" s="1"/>
  <c r="B73" i="4"/>
  <c r="B74" i="4"/>
  <c r="B75" i="4"/>
  <c r="G24" i="4" s="1"/>
  <c r="R114" i="4" s="1"/>
  <c r="B28" i="4"/>
  <c r="R113" i="4" s="1"/>
  <c r="C69" i="4"/>
  <c r="C70" i="4"/>
  <c r="C71" i="4"/>
  <c r="C73" i="4"/>
  <c r="C74" i="4"/>
  <c r="C75" i="4"/>
  <c r="R98" i="4"/>
  <c r="R99" i="4"/>
  <c r="R122" i="5"/>
  <c r="C29" i="5"/>
  <c r="C30" i="5"/>
  <c r="C31" i="5"/>
  <c r="C32" i="5"/>
  <c r="C33" i="5"/>
  <c r="C34" i="5"/>
  <c r="C35" i="5"/>
  <c r="C38" i="5"/>
  <c r="C39" i="5"/>
  <c r="C40" i="5"/>
  <c r="C41" i="5"/>
  <c r="C42" i="5"/>
  <c r="C43" i="5"/>
  <c r="C44" i="5"/>
  <c r="C45" i="5"/>
  <c r="C46" i="5"/>
  <c r="C47" i="5"/>
  <c r="C49" i="5"/>
  <c r="C50" i="5"/>
  <c r="C51" i="5"/>
  <c r="C52" i="5"/>
  <c r="C53" i="5"/>
  <c r="C54" i="5"/>
  <c r="C55" i="5"/>
  <c r="C58" i="5"/>
  <c r="C59" i="5"/>
  <c r="C60" i="5"/>
  <c r="C61" i="5"/>
  <c r="C62" i="5"/>
  <c r="C63" i="5"/>
  <c r="C66" i="5"/>
  <c r="C67" i="5"/>
  <c r="C68" i="5"/>
  <c r="C69" i="5"/>
  <c r="C70" i="5"/>
  <c r="C71" i="5"/>
  <c r="C74" i="5"/>
  <c r="C75" i="5"/>
  <c r="C76" i="5"/>
  <c r="C77" i="5"/>
  <c r="C78" i="5"/>
  <c r="C79" i="5"/>
  <c r="C82" i="5"/>
  <c r="C83" i="5"/>
  <c r="C84" i="5"/>
  <c r="C85" i="5"/>
  <c r="C86" i="5"/>
  <c r="R111" i="5"/>
  <c r="N106" i="5"/>
  <c r="N105" i="5"/>
  <c r="N104" i="5"/>
  <c r="S101" i="5"/>
  <c r="S100" i="5"/>
  <c r="C36" i="5"/>
  <c r="C37" i="5"/>
  <c r="C48" i="5"/>
  <c r="C56" i="5"/>
  <c r="C57" i="5"/>
  <c r="C64" i="5"/>
  <c r="C65" i="5"/>
  <c r="C72" i="5"/>
  <c r="C73" i="5"/>
  <c r="C80" i="5"/>
  <c r="C81" i="5"/>
  <c r="B15" i="5"/>
  <c r="B14" i="5"/>
  <c r="C7" i="5"/>
  <c r="R112" i="5" s="1"/>
  <c r="R115" i="4"/>
  <c r="S89" i="4"/>
  <c r="N92" i="4"/>
  <c r="G24" i="5" l="1"/>
  <c r="R123" i="5" s="1"/>
  <c r="C87" i="5"/>
  <c r="AR14" i="1" l="1"/>
  <c r="AR9" i="1" s="1"/>
  <c r="D5" i="1"/>
  <c r="E5" i="1"/>
  <c r="F5" i="1"/>
  <c r="G5" i="1"/>
  <c r="H5" i="1"/>
  <c r="I5" i="1"/>
  <c r="J5" i="1"/>
  <c r="K5" i="1"/>
  <c r="L5" i="1"/>
  <c r="M5" i="1"/>
  <c r="N5" i="1"/>
  <c r="O5" i="1"/>
  <c r="P5" i="1"/>
  <c r="Q5" i="1"/>
  <c r="R5" i="1"/>
  <c r="S5" i="1"/>
  <c r="T5" i="1"/>
  <c r="U5" i="1"/>
  <c r="V5" i="1"/>
  <c r="W5" i="1"/>
  <c r="X5" i="1"/>
  <c r="Y5" i="1"/>
  <c r="Z5" i="1"/>
  <c r="AA5" i="1"/>
  <c r="AB5" i="1"/>
  <c r="AC5" i="1"/>
  <c r="AD5" i="1"/>
  <c r="AE5" i="1"/>
  <c r="AF5" i="1"/>
  <c r="AG5" i="1"/>
  <c r="AH5" i="1"/>
  <c r="AI5" i="1"/>
  <c r="AJ5" i="1"/>
  <c r="AK5" i="1"/>
  <c r="AL5" i="1"/>
  <c r="AM5" i="1"/>
  <c r="AN5" i="1"/>
  <c r="AO5" i="1"/>
  <c r="AP5" i="1"/>
  <c r="AQ5" i="1"/>
  <c r="AR5" i="1"/>
  <c r="F31" i="1"/>
  <c r="G31" i="1"/>
  <c r="H31" i="1"/>
  <c r="I31" i="1"/>
  <c r="J31" i="1"/>
  <c r="K31" i="1"/>
  <c r="L31" i="1"/>
  <c r="M31" i="1"/>
  <c r="N31" i="1"/>
  <c r="O31" i="1"/>
  <c r="P31" i="1"/>
  <c r="Q31" i="1"/>
  <c r="R31" i="1"/>
  <c r="S31" i="1"/>
  <c r="T31" i="1"/>
  <c r="U31" i="1"/>
  <c r="V31" i="1"/>
  <c r="W31" i="1"/>
  <c r="X31" i="1"/>
  <c r="Y31" i="1"/>
  <c r="Z31" i="1"/>
  <c r="AA31" i="1"/>
  <c r="AB31" i="1"/>
  <c r="AC31" i="1"/>
  <c r="AD31" i="1"/>
  <c r="AE31" i="1"/>
  <c r="AF31" i="1"/>
  <c r="AG31" i="1"/>
  <c r="AH31" i="1"/>
  <c r="AI31" i="1"/>
  <c r="AJ31" i="1"/>
  <c r="AK31" i="1"/>
  <c r="AL31" i="1"/>
  <c r="AM31" i="1"/>
  <c r="AN31" i="1"/>
  <c r="AO31" i="1"/>
  <c r="AP31" i="1"/>
  <c r="AQ31" i="1"/>
  <c r="AR31" i="1"/>
  <c r="N93" i="4" l="1"/>
  <c r="N91" i="4"/>
  <c r="K127" i="4" s="1"/>
  <c r="S88" i="4"/>
  <c r="K120" i="1"/>
  <c r="J120" i="1"/>
  <c r="I120" i="1"/>
  <c r="H120" i="1"/>
  <c r="G120" i="1"/>
  <c r="F120" i="1"/>
  <c r="E120" i="1"/>
  <c r="E111" i="1" s="1"/>
  <c r="C120" i="1"/>
  <c r="C117" i="1" s="1"/>
  <c r="C14" i="3" s="1"/>
  <c r="C119" i="1"/>
  <c r="P118" i="1"/>
  <c r="T118" i="1" s="1"/>
  <c r="O118" i="1"/>
  <c r="N118" i="1"/>
  <c r="M118" i="1"/>
  <c r="M120" i="1" s="1"/>
  <c r="M111" i="1" s="1"/>
  <c r="L118" i="1"/>
  <c r="L120" i="1" s="1"/>
  <c r="E116" i="1"/>
  <c r="G113" i="1"/>
  <c r="I113" i="1" s="1"/>
  <c r="K113" i="1" s="1"/>
  <c r="M113" i="1" s="1"/>
  <c r="O113" i="1" s="1"/>
  <c r="Q113" i="1" s="1"/>
  <c r="S113" i="1" s="1"/>
  <c r="U113" i="1" s="1"/>
  <c r="W113" i="1" s="1"/>
  <c r="Y113" i="1" s="1"/>
  <c r="AA113" i="1" s="1"/>
  <c r="AC113" i="1" s="1"/>
  <c r="AE113" i="1" s="1"/>
  <c r="AG113" i="1" s="1"/>
  <c r="AI113" i="1" s="1"/>
  <c r="AK113" i="1" s="1"/>
  <c r="AM113" i="1" s="1"/>
  <c r="AO113" i="1" s="1"/>
  <c r="AQ113" i="1" s="1"/>
  <c r="C113" i="1"/>
  <c r="G112" i="1"/>
  <c r="I112" i="1" s="1"/>
  <c r="K112" i="1" s="1"/>
  <c r="M112" i="1" s="1"/>
  <c r="O112" i="1" s="1"/>
  <c r="Q112" i="1" s="1"/>
  <c r="S112" i="1" s="1"/>
  <c r="U112" i="1" s="1"/>
  <c r="W112" i="1" s="1"/>
  <c r="Y112" i="1" s="1"/>
  <c r="AA112" i="1" s="1"/>
  <c r="AC112" i="1" s="1"/>
  <c r="AE112" i="1" s="1"/>
  <c r="AG112" i="1" s="1"/>
  <c r="AI112" i="1" s="1"/>
  <c r="AK112" i="1" s="1"/>
  <c r="AM112" i="1" s="1"/>
  <c r="AO112" i="1" s="1"/>
  <c r="AQ112" i="1" s="1"/>
  <c r="F112" i="1"/>
  <c r="L111" i="1"/>
  <c r="K111" i="1"/>
  <c r="J111" i="1"/>
  <c r="I111" i="1"/>
  <c r="H111" i="1"/>
  <c r="G111" i="1"/>
  <c r="F111" i="1"/>
  <c r="AR110" i="1"/>
  <c r="AQ110" i="1"/>
  <c r="AP110" i="1"/>
  <c r="AO110" i="1"/>
  <c r="AN110" i="1"/>
  <c r="AM110" i="1"/>
  <c r="AL110" i="1"/>
  <c r="AK110" i="1"/>
  <c r="AJ110" i="1"/>
  <c r="AI110" i="1"/>
  <c r="AH110" i="1"/>
  <c r="AG110" i="1"/>
  <c r="AF110" i="1"/>
  <c r="AE110" i="1"/>
  <c r="AD110" i="1"/>
  <c r="AC110" i="1"/>
  <c r="AB110" i="1"/>
  <c r="AA110" i="1"/>
  <c r="Z110" i="1"/>
  <c r="Y110" i="1"/>
  <c r="X110" i="1"/>
  <c r="W110" i="1"/>
  <c r="V110" i="1"/>
  <c r="U110" i="1"/>
  <c r="T110" i="1"/>
  <c r="S110" i="1"/>
  <c r="R110" i="1"/>
  <c r="Q110" i="1"/>
  <c r="P110" i="1"/>
  <c r="O110" i="1"/>
  <c r="N110" i="1"/>
  <c r="M110" i="1"/>
  <c r="L110" i="1"/>
  <c r="K110" i="1"/>
  <c r="J110" i="1"/>
  <c r="I110" i="1"/>
  <c r="H110" i="1"/>
  <c r="G110" i="1"/>
  <c r="F110" i="1"/>
  <c r="N94" i="1"/>
  <c r="N85" i="1" s="1"/>
  <c r="M94" i="1"/>
  <c r="M85" i="1" s="1"/>
  <c r="K94" i="1"/>
  <c r="J94" i="1"/>
  <c r="I94" i="1"/>
  <c r="H94" i="1"/>
  <c r="G94" i="1"/>
  <c r="F94" i="1"/>
  <c r="E94" i="1"/>
  <c r="C94" i="1"/>
  <c r="F93" i="1"/>
  <c r="C93" i="1"/>
  <c r="C96" i="1" s="1"/>
  <c r="C98" i="1" s="1"/>
  <c r="Q92" i="1"/>
  <c r="U92" i="1" s="1"/>
  <c r="O92" i="1"/>
  <c r="S92" i="1" s="1"/>
  <c r="S94" i="1" s="1"/>
  <c r="S85" i="1" s="1"/>
  <c r="N92" i="1"/>
  <c r="R92" i="1" s="1"/>
  <c r="M92" i="1"/>
  <c r="L92" i="1"/>
  <c r="C91" i="1"/>
  <c r="F90" i="1"/>
  <c r="F91" i="1" s="1"/>
  <c r="D14" i="3" s="1"/>
  <c r="E90" i="1"/>
  <c r="G87" i="1"/>
  <c r="I87" i="1" s="1"/>
  <c r="K87" i="1" s="1"/>
  <c r="M87" i="1" s="1"/>
  <c r="O87" i="1" s="1"/>
  <c r="Q87" i="1" s="1"/>
  <c r="S87" i="1" s="1"/>
  <c r="U87" i="1" s="1"/>
  <c r="W87" i="1" s="1"/>
  <c r="Y87" i="1" s="1"/>
  <c r="AA87" i="1" s="1"/>
  <c r="AC87" i="1" s="1"/>
  <c r="AE87" i="1" s="1"/>
  <c r="AG87" i="1" s="1"/>
  <c r="AI87" i="1" s="1"/>
  <c r="AK87" i="1" s="1"/>
  <c r="AM87" i="1" s="1"/>
  <c r="AO87" i="1" s="1"/>
  <c r="AQ87" i="1" s="1"/>
  <c r="C87" i="1"/>
  <c r="G86" i="1"/>
  <c r="I86" i="1" s="1"/>
  <c r="K86" i="1" s="1"/>
  <c r="M86" i="1" s="1"/>
  <c r="O86" i="1" s="1"/>
  <c r="Q86" i="1" s="1"/>
  <c r="S86" i="1" s="1"/>
  <c r="U86" i="1" s="1"/>
  <c r="W86" i="1" s="1"/>
  <c r="Y86" i="1" s="1"/>
  <c r="AA86" i="1" s="1"/>
  <c r="AC86" i="1" s="1"/>
  <c r="AE86" i="1" s="1"/>
  <c r="AG86" i="1" s="1"/>
  <c r="AI86" i="1" s="1"/>
  <c r="AK86" i="1" s="1"/>
  <c r="AM86" i="1" s="1"/>
  <c r="AO86" i="1" s="1"/>
  <c r="AQ86" i="1" s="1"/>
  <c r="C86" i="1"/>
  <c r="K85" i="1"/>
  <c r="J85" i="1"/>
  <c r="I85" i="1"/>
  <c r="H85" i="1"/>
  <c r="G85" i="1"/>
  <c r="F85" i="1"/>
  <c r="E85" i="1"/>
  <c r="AR84" i="1"/>
  <c r="AQ84" i="1"/>
  <c r="AP84" i="1"/>
  <c r="AO84" i="1"/>
  <c r="AN84" i="1"/>
  <c r="AM84" i="1"/>
  <c r="AL84" i="1"/>
  <c r="AK84" i="1"/>
  <c r="AJ84" i="1"/>
  <c r="AI84" i="1"/>
  <c r="AH84" i="1"/>
  <c r="AG84" i="1"/>
  <c r="AF84" i="1"/>
  <c r="AE84" i="1"/>
  <c r="AD84" i="1"/>
  <c r="AC84" i="1"/>
  <c r="AB84" i="1"/>
  <c r="AA84" i="1"/>
  <c r="Z84" i="1"/>
  <c r="Y84" i="1"/>
  <c r="X84" i="1"/>
  <c r="W84" i="1"/>
  <c r="V84" i="1"/>
  <c r="U84" i="1"/>
  <c r="T84" i="1"/>
  <c r="S84" i="1"/>
  <c r="R84" i="1"/>
  <c r="Q84" i="1"/>
  <c r="P84" i="1"/>
  <c r="O84" i="1"/>
  <c r="N84" i="1"/>
  <c r="M84" i="1"/>
  <c r="L84" i="1"/>
  <c r="K84" i="1"/>
  <c r="J84" i="1"/>
  <c r="I84" i="1"/>
  <c r="H84" i="1"/>
  <c r="G84" i="1"/>
  <c r="F84" i="1"/>
  <c r="E84" i="1"/>
  <c r="C83" i="1"/>
  <c r="O68" i="1"/>
  <c r="O59" i="1" s="1"/>
  <c r="K68" i="1"/>
  <c r="K59" i="1" s="1"/>
  <c r="J68" i="1"/>
  <c r="I68" i="1"/>
  <c r="H68" i="1"/>
  <c r="G68" i="1"/>
  <c r="G59" i="1" s="1"/>
  <c r="F68" i="1"/>
  <c r="E68" i="1"/>
  <c r="E59" i="1" s="1"/>
  <c r="C68" i="1"/>
  <c r="C65" i="1" s="1"/>
  <c r="C67" i="1"/>
  <c r="O66" i="1"/>
  <c r="S66" i="1" s="1"/>
  <c r="N66" i="1"/>
  <c r="R66" i="1" s="1"/>
  <c r="M66" i="1"/>
  <c r="Q66" i="1" s="1"/>
  <c r="L66" i="1"/>
  <c r="F64" i="1"/>
  <c r="F65" i="1" s="1"/>
  <c r="E14" i="3" s="1"/>
  <c r="E64" i="1"/>
  <c r="E65" i="1" s="1"/>
  <c r="G61" i="1"/>
  <c r="I61" i="1" s="1"/>
  <c r="K61" i="1" s="1"/>
  <c r="M61" i="1" s="1"/>
  <c r="O61" i="1" s="1"/>
  <c r="Q61" i="1" s="1"/>
  <c r="S61" i="1" s="1"/>
  <c r="U61" i="1" s="1"/>
  <c r="W61" i="1" s="1"/>
  <c r="Y61" i="1" s="1"/>
  <c r="AA61" i="1" s="1"/>
  <c r="AC61" i="1" s="1"/>
  <c r="AE61" i="1" s="1"/>
  <c r="AG61" i="1" s="1"/>
  <c r="AI61" i="1" s="1"/>
  <c r="AK61" i="1" s="1"/>
  <c r="AM61" i="1" s="1"/>
  <c r="AO61" i="1" s="1"/>
  <c r="AQ61" i="1" s="1"/>
  <c r="C61" i="1"/>
  <c r="F61" i="1" s="1"/>
  <c r="H61" i="1" s="1"/>
  <c r="J61" i="1" s="1"/>
  <c r="L61" i="1" s="1"/>
  <c r="N61" i="1" s="1"/>
  <c r="P61" i="1" s="1"/>
  <c r="R61" i="1" s="1"/>
  <c r="T61" i="1" s="1"/>
  <c r="V61" i="1" s="1"/>
  <c r="X61" i="1" s="1"/>
  <c r="Z61" i="1" s="1"/>
  <c r="AB61" i="1" s="1"/>
  <c r="AD61" i="1" s="1"/>
  <c r="AF61" i="1" s="1"/>
  <c r="AH61" i="1" s="1"/>
  <c r="AJ61" i="1" s="1"/>
  <c r="AL61" i="1" s="1"/>
  <c r="AN61" i="1" s="1"/>
  <c r="AP61" i="1" s="1"/>
  <c r="AR61" i="1" s="1"/>
  <c r="G60" i="1"/>
  <c r="I60" i="1" s="1"/>
  <c r="K60" i="1" s="1"/>
  <c r="M60" i="1" s="1"/>
  <c r="O60" i="1" s="1"/>
  <c r="Q60" i="1" s="1"/>
  <c r="S60" i="1" s="1"/>
  <c r="U60" i="1" s="1"/>
  <c r="W60" i="1" s="1"/>
  <c r="Y60" i="1" s="1"/>
  <c r="AA60" i="1" s="1"/>
  <c r="AC60" i="1" s="1"/>
  <c r="AE60" i="1" s="1"/>
  <c r="AG60" i="1" s="1"/>
  <c r="AI60" i="1" s="1"/>
  <c r="AK60" i="1" s="1"/>
  <c r="AM60" i="1" s="1"/>
  <c r="AO60" i="1" s="1"/>
  <c r="AQ60" i="1" s="1"/>
  <c r="C60" i="1"/>
  <c r="J59" i="1"/>
  <c r="I59" i="1"/>
  <c r="H59" i="1"/>
  <c r="F59" i="1"/>
  <c r="AR58" i="1"/>
  <c r="AQ58" i="1"/>
  <c r="AP58" i="1"/>
  <c r="AO58" i="1"/>
  <c r="AN58" i="1"/>
  <c r="AM58" i="1"/>
  <c r="AL58" i="1"/>
  <c r="AK58" i="1"/>
  <c r="AJ58" i="1"/>
  <c r="AI58" i="1"/>
  <c r="AH58" i="1"/>
  <c r="AG58" i="1"/>
  <c r="AF58" i="1"/>
  <c r="AE58" i="1"/>
  <c r="AD58" i="1"/>
  <c r="AC58" i="1"/>
  <c r="AB58" i="1"/>
  <c r="AA58" i="1"/>
  <c r="Z58" i="1"/>
  <c r="Y58" i="1"/>
  <c r="X58" i="1"/>
  <c r="W58" i="1"/>
  <c r="V58" i="1"/>
  <c r="U58" i="1"/>
  <c r="T58" i="1"/>
  <c r="S58" i="1"/>
  <c r="R58" i="1"/>
  <c r="Q58" i="1"/>
  <c r="P58" i="1"/>
  <c r="O58" i="1"/>
  <c r="N58" i="1"/>
  <c r="M58" i="1"/>
  <c r="L58" i="1"/>
  <c r="K58" i="1"/>
  <c r="J58" i="1"/>
  <c r="I58" i="1"/>
  <c r="H58" i="1"/>
  <c r="G58" i="1"/>
  <c r="C57" i="1"/>
  <c r="N41" i="1"/>
  <c r="N32" i="1" s="1"/>
  <c r="L41" i="1"/>
  <c r="L32" i="1" s="1"/>
  <c r="K41" i="1"/>
  <c r="K32" i="1" s="1"/>
  <c r="J41" i="1"/>
  <c r="J32" i="1" s="1"/>
  <c r="I41" i="1"/>
  <c r="I32" i="1" s="1"/>
  <c r="H41" i="1"/>
  <c r="H32" i="1" s="1"/>
  <c r="G41" i="1"/>
  <c r="G32" i="1" s="1"/>
  <c r="F41" i="1"/>
  <c r="F32" i="1" s="1"/>
  <c r="E41" i="1"/>
  <c r="E32" i="1" s="1"/>
  <c r="C41" i="1"/>
  <c r="E40" i="1"/>
  <c r="C40" i="1"/>
  <c r="C43" i="1" s="1"/>
  <c r="O39" i="1"/>
  <c r="S39" i="1" s="1"/>
  <c r="N39" i="1"/>
  <c r="R39" i="1" s="1"/>
  <c r="R41" i="1" s="1"/>
  <c r="R32" i="1" s="1"/>
  <c r="M39" i="1"/>
  <c r="Q39" i="1" s="1"/>
  <c r="Q41" i="1" s="1"/>
  <c r="Q32" i="1" s="1"/>
  <c r="L39" i="1"/>
  <c r="P39" i="1" s="1"/>
  <c r="E38" i="1"/>
  <c r="C38" i="1"/>
  <c r="F14" i="3" s="1"/>
  <c r="C15" i="4" s="1"/>
  <c r="R116" i="4" s="1"/>
  <c r="F37" i="1"/>
  <c r="H37" i="1" s="1"/>
  <c r="G36" i="1"/>
  <c r="G34" i="1"/>
  <c r="I34" i="1" s="1"/>
  <c r="C34" i="1"/>
  <c r="G33" i="1"/>
  <c r="I33" i="1" s="1"/>
  <c r="K33" i="1" s="1"/>
  <c r="M33" i="1" s="1"/>
  <c r="O33" i="1" s="1"/>
  <c r="Q33" i="1" s="1"/>
  <c r="S33" i="1" s="1"/>
  <c r="U33" i="1" s="1"/>
  <c r="W33" i="1" s="1"/>
  <c r="Y33" i="1" s="1"/>
  <c r="AA33" i="1" s="1"/>
  <c r="AC33" i="1" s="1"/>
  <c r="AE33" i="1" s="1"/>
  <c r="AG33" i="1" s="1"/>
  <c r="AI33" i="1" s="1"/>
  <c r="AK33" i="1" s="1"/>
  <c r="AM33" i="1" s="1"/>
  <c r="AO33" i="1" s="1"/>
  <c r="AQ33" i="1" s="1"/>
  <c r="C33" i="1"/>
  <c r="E36" i="1"/>
  <c r="C30" i="1"/>
  <c r="C35" i="1" s="1"/>
  <c r="S15" i="1"/>
  <c r="R15" i="1"/>
  <c r="R6" i="1" s="1"/>
  <c r="Q15" i="1"/>
  <c r="Q6" i="1" s="1"/>
  <c r="P15" i="1"/>
  <c r="P6" i="1" s="1"/>
  <c r="O15" i="1"/>
  <c r="N15" i="1"/>
  <c r="N6" i="1" s="1"/>
  <c r="M15" i="1"/>
  <c r="M6" i="1" s="1"/>
  <c r="L15" i="1"/>
  <c r="L6" i="1" s="1"/>
  <c r="K15" i="1"/>
  <c r="J15" i="1"/>
  <c r="J6" i="1" s="1"/>
  <c r="I15" i="1"/>
  <c r="I6" i="1" s="1"/>
  <c r="H15" i="1"/>
  <c r="H6" i="1" s="1"/>
  <c r="G15" i="1"/>
  <c r="G12" i="1" s="1"/>
  <c r="F15" i="1"/>
  <c r="E15" i="1"/>
  <c r="E6" i="1" s="1"/>
  <c r="C15" i="1"/>
  <c r="X14" i="1"/>
  <c r="X9" i="1" s="1"/>
  <c r="C14" i="1"/>
  <c r="C17" i="1" s="1"/>
  <c r="C18" i="1" s="1"/>
  <c r="W13" i="1"/>
  <c r="AA13" i="1" s="1"/>
  <c r="V13" i="1"/>
  <c r="Z13" i="1" s="1"/>
  <c r="Z15" i="1" s="1"/>
  <c r="Z6" i="1" s="1"/>
  <c r="U13" i="1"/>
  <c r="Y13" i="1" s="1"/>
  <c r="Y15" i="1" s="1"/>
  <c r="Y6" i="1" s="1"/>
  <c r="T13" i="1"/>
  <c r="X13" i="1" s="1"/>
  <c r="F12" i="1"/>
  <c r="G14" i="3"/>
  <c r="F11" i="1"/>
  <c r="G11" i="1" s="1"/>
  <c r="E11" i="1"/>
  <c r="E14" i="1" s="1"/>
  <c r="E9" i="1" s="1"/>
  <c r="G8" i="1"/>
  <c r="I8" i="1" s="1"/>
  <c r="K8" i="1" s="1"/>
  <c r="M8" i="1" s="1"/>
  <c r="O8" i="1" s="1"/>
  <c r="Q8" i="1" s="1"/>
  <c r="S8" i="1" s="1"/>
  <c r="U8" i="1" s="1"/>
  <c r="W8" i="1" s="1"/>
  <c r="Y8" i="1" s="1"/>
  <c r="AA8" i="1" s="1"/>
  <c r="AC8" i="1" s="1"/>
  <c r="AE8" i="1" s="1"/>
  <c r="AG8" i="1" s="1"/>
  <c r="AI8" i="1" s="1"/>
  <c r="AK8" i="1" s="1"/>
  <c r="AM8" i="1" s="1"/>
  <c r="AO8" i="1" s="1"/>
  <c r="AQ8" i="1" s="1"/>
  <c r="C8" i="1"/>
  <c r="I7" i="1"/>
  <c r="K7" i="1" s="1"/>
  <c r="M7" i="1" s="1"/>
  <c r="O7" i="1" s="1"/>
  <c r="Q7" i="1" s="1"/>
  <c r="S7" i="1" s="1"/>
  <c r="U7" i="1" s="1"/>
  <c r="W7" i="1" s="1"/>
  <c r="Y7" i="1" s="1"/>
  <c r="AA7" i="1" s="1"/>
  <c r="AC7" i="1" s="1"/>
  <c r="AE7" i="1" s="1"/>
  <c r="AG7" i="1" s="1"/>
  <c r="AI7" i="1" s="1"/>
  <c r="AK7" i="1" s="1"/>
  <c r="AM7" i="1" s="1"/>
  <c r="AO7" i="1" s="1"/>
  <c r="AQ7" i="1" s="1"/>
  <c r="G7" i="1"/>
  <c r="C7" i="1"/>
  <c r="F7" i="1" s="1"/>
  <c r="S6" i="1"/>
  <c r="O6" i="1"/>
  <c r="K6" i="1"/>
  <c r="F6" i="1"/>
  <c r="C4" i="1"/>
  <c r="G13" i="3"/>
  <c r="F13" i="3"/>
  <c r="E13" i="3"/>
  <c r="D13" i="3"/>
  <c r="C13" i="3"/>
  <c r="C9" i="1" l="1"/>
  <c r="G11" i="3" s="1"/>
  <c r="C9" i="13" s="1"/>
  <c r="C5" i="1"/>
  <c r="G7" i="3" s="1"/>
  <c r="C6" i="1"/>
  <c r="G8" i="3" s="1"/>
  <c r="C6" i="13" s="1"/>
  <c r="S68" i="1"/>
  <c r="S59" i="1" s="1"/>
  <c r="W66" i="1"/>
  <c r="C16" i="13"/>
  <c r="R52" i="13" s="1"/>
  <c r="C15" i="5"/>
  <c r="R125" i="5" s="1"/>
  <c r="G37" i="1"/>
  <c r="Q118" i="1"/>
  <c r="C122" i="1"/>
  <c r="C11" i="3"/>
  <c r="C9" i="9" s="1"/>
  <c r="G6" i="1"/>
  <c r="F38" i="1"/>
  <c r="W92" i="1"/>
  <c r="C15" i="13"/>
  <c r="R53" i="13" s="1"/>
  <c r="C14" i="5"/>
  <c r="R124" i="5" s="1"/>
  <c r="AC13" i="1"/>
  <c r="C70" i="1"/>
  <c r="C72" i="1" s="1"/>
  <c r="C62" i="1"/>
  <c r="AD13" i="1"/>
  <c r="AD15" i="1" s="1"/>
  <c r="AD6" i="1" s="1"/>
  <c r="T15" i="1"/>
  <c r="T6" i="1" s="1"/>
  <c r="P120" i="1"/>
  <c r="P111" i="1" s="1"/>
  <c r="V15" i="1"/>
  <c r="V6" i="1" s="1"/>
  <c r="F14" i="1"/>
  <c r="F40" i="1"/>
  <c r="E91" i="1"/>
  <c r="M68" i="1"/>
  <c r="M59" i="1" s="1"/>
  <c r="G90" i="1"/>
  <c r="N68" i="1"/>
  <c r="N59" i="1" s="1"/>
  <c r="H90" i="1"/>
  <c r="C85" i="1"/>
  <c r="D8" i="3" s="1"/>
  <c r="C6" i="10" s="1"/>
  <c r="R42" i="10" s="1"/>
  <c r="C59" i="1"/>
  <c r="E58" i="1"/>
  <c r="C58" i="1"/>
  <c r="C111" i="1"/>
  <c r="C8" i="3" s="1"/>
  <c r="C6" i="9" s="1"/>
  <c r="F87" i="1"/>
  <c r="H87" i="1" s="1"/>
  <c r="J87" i="1" s="1"/>
  <c r="L87" i="1" s="1"/>
  <c r="N87" i="1" s="1"/>
  <c r="P87" i="1" s="1"/>
  <c r="R87" i="1" s="1"/>
  <c r="T87" i="1" s="1"/>
  <c r="V87" i="1" s="1"/>
  <c r="X87" i="1" s="1"/>
  <c r="Z87" i="1" s="1"/>
  <c r="AB87" i="1" s="1"/>
  <c r="AD87" i="1" s="1"/>
  <c r="AF87" i="1" s="1"/>
  <c r="AH87" i="1" s="1"/>
  <c r="AJ87" i="1" s="1"/>
  <c r="AL87" i="1" s="1"/>
  <c r="AN87" i="1" s="1"/>
  <c r="AP87" i="1" s="1"/>
  <c r="AR87" i="1" s="1"/>
  <c r="F8" i="1"/>
  <c r="H8" i="1" s="1"/>
  <c r="J8" i="1" s="1"/>
  <c r="L8" i="1" s="1"/>
  <c r="N8" i="1" s="1"/>
  <c r="P8" i="1" s="1"/>
  <c r="R8" i="1" s="1"/>
  <c r="T8" i="1" s="1"/>
  <c r="V8" i="1" s="1"/>
  <c r="X8" i="1" s="1"/>
  <c r="Z8" i="1" s="1"/>
  <c r="AB8" i="1" s="1"/>
  <c r="AD8" i="1" s="1"/>
  <c r="AF8" i="1" s="1"/>
  <c r="AH8" i="1" s="1"/>
  <c r="AJ8" i="1" s="1"/>
  <c r="AL8" i="1" s="1"/>
  <c r="AN8" i="1" s="1"/>
  <c r="AP8" i="1" s="1"/>
  <c r="AR8" i="1" s="1"/>
  <c r="G64" i="1"/>
  <c r="G65" i="1" s="1"/>
  <c r="F67" i="1"/>
  <c r="F62" i="1" s="1"/>
  <c r="F113" i="1"/>
  <c r="H113" i="1" s="1"/>
  <c r="J113" i="1" s="1"/>
  <c r="L113" i="1" s="1"/>
  <c r="N113" i="1" s="1"/>
  <c r="P113" i="1" s="1"/>
  <c r="R113" i="1" s="1"/>
  <c r="T113" i="1" s="1"/>
  <c r="V113" i="1" s="1"/>
  <c r="X113" i="1" s="1"/>
  <c r="Z113" i="1" s="1"/>
  <c r="AB113" i="1" s="1"/>
  <c r="AD113" i="1" s="1"/>
  <c r="AF113" i="1" s="1"/>
  <c r="AH113" i="1" s="1"/>
  <c r="AJ113" i="1" s="1"/>
  <c r="AL113" i="1" s="1"/>
  <c r="AN113" i="1" s="1"/>
  <c r="AP113" i="1" s="1"/>
  <c r="AR113" i="1" s="1"/>
  <c r="F34" i="1"/>
  <c r="H34" i="1" s="1"/>
  <c r="J34" i="1" s="1"/>
  <c r="L34" i="1" s="1"/>
  <c r="N34" i="1" s="1"/>
  <c r="P34" i="1" s="1"/>
  <c r="R34" i="1" s="1"/>
  <c r="T34" i="1" s="1"/>
  <c r="V34" i="1" s="1"/>
  <c r="X34" i="1" s="1"/>
  <c r="Z34" i="1" s="1"/>
  <c r="AB34" i="1" s="1"/>
  <c r="AD34" i="1" s="1"/>
  <c r="AF34" i="1" s="1"/>
  <c r="AH34" i="1" s="1"/>
  <c r="AJ34" i="1" s="1"/>
  <c r="AL34" i="1" s="1"/>
  <c r="AN34" i="1" s="1"/>
  <c r="AP34" i="1" s="1"/>
  <c r="AR34" i="1" s="1"/>
  <c r="C110" i="1"/>
  <c r="F33" i="1"/>
  <c r="H33" i="1" s="1"/>
  <c r="J33" i="1" s="1"/>
  <c r="C32" i="1"/>
  <c r="F8" i="3" s="1"/>
  <c r="C6" i="12" s="1"/>
  <c r="R42" i="12" s="1"/>
  <c r="C31" i="1"/>
  <c r="F7" i="3" s="1"/>
  <c r="K34" i="1"/>
  <c r="M34" i="1" s="1"/>
  <c r="O34" i="1" s="1"/>
  <c r="Q34" i="1" s="1"/>
  <c r="S34" i="1" s="1"/>
  <c r="U34" i="1" s="1"/>
  <c r="W34" i="1" s="1"/>
  <c r="Y34" i="1" s="1"/>
  <c r="AA34" i="1" s="1"/>
  <c r="AC34" i="1" s="1"/>
  <c r="AE34" i="1" s="1"/>
  <c r="AG34" i="1" s="1"/>
  <c r="AI34" i="1" s="1"/>
  <c r="AK34" i="1" s="1"/>
  <c r="AM34" i="1" s="1"/>
  <c r="AO34" i="1" s="1"/>
  <c r="AQ34" i="1" s="1"/>
  <c r="I36" i="1"/>
  <c r="AC15" i="1"/>
  <c r="AC6" i="1" s="1"/>
  <c r="AG13" i="1"/>
  <c r="G14" i="1"/>
  <c r="G9" i="1" s="1"/>
  <c r="H11" i="1"/>
  <c r="S41" i="1"/>
  <c r="W39" i="1"/>
  <c r="U39" i="1"/>
  <c r="C20" i="1"/>
  <c r="Q36" i="1"/>
  <c r="V39" i="1"/>
  <c r="H40" i="1"/>
  <c r="H38" i="1"/>
  <c r="J37" i="1"/>
  <c r="C44" i="1"/>
  <c r="C45" i="1"/>
  <c r="F96" i="1"/>
  <c r="F88" i="1"/>
  <c r="X15" i="1"/>
  <c r="AB13" i="1"/>
  <c r="X17" i="1"/>
  <c r="E35" i="1"/>
  <c r="E43" i="1"/>
  <c r="K36" i="1"/>
  <c r="E10" i="1"/>
  <c r="E17" i="1"/>
  <c r="AA15" i="1"/>
  <c r="AA6" i="1" s="1"/>
  <c r="AE13" i="1"/>
  <c r="C19" i="1"/>
  <c r="P41" i="1"/>
  <c r="P32" i="1" s="1"/>
  <c r="T39" i="1"/>
  <c r="E12" i="1"/>
  <c r="U15" i="1"/>
  <c r="U6" i="1" s="1"/>
  <c r="M41" i="1"/>
  <c r="W15" i="1"/>
  <c r="W6" i="1" s="1"/>
  <c r="O41" i="1"/>
  <c r="P66" i="1"/>
  <c r="L68" i="1"/>
  <c r="L59" i="1" s="1"/>
  <c r="U66" i="1"/>
  <c r="Q68" i="1"/>
  <c r="Q59" i="1" s="1"/>
  <c r="R68" i="1"/>
  <c r="R59" i="1" s="1"/>
  <c r="V66" i="1"/>
  <c r="W68" i="1"/>
  <c r="W59" i="1" s="1"/>
  <c r="AA66" i="1"/>
  <c r="E67" i="1"/>
  <c r="P92" i="1"/>
  <c r="L94" i="1"/>
  <c r="L85" i="1" s="1"/>
  <c r="C123" i="1"/>
  <c r="C124" i="1"/>
  <c r="R94" i="1"/>
  <c r="R85" i="1" s="1"/>
  <c r="V92" i="1"/>
  <c r="E119" i="1"/>
  <c r="E114" i="1" s="1"/>
  <c r="E117" i="1"/>
  <c r="G116" i="1"/>
  <c r="F116" i="1"/>
  <c r="C97" i="1"/>
  <c r="C99" i="1" s="1"/>
  <c r="U94" i="1"/>
  <c r="U85" i="1" s="1"/>
  <c r="Y92" i="1"/>
  <c r="H64" i="1"/>
  <c r="W94" i="1"/>
  <c r="W85" i="1" s="1"/>
  <c r="AA92" i="1"/>
  <c r="N120" i="1"/>
  <c r="N111" i="1" s="1"/>
  <c r="R118" i="1"/>
  <c r="S118" i="1"/>
  <c r="O120" i="1"/>
  <c r="O111" i="1" s="1"/>
  <c r="X118" i="1"/>
  <c r="T120" i="1"/>
  <c r="T111" i="1" s="1"/>
  <c r="E93" i="1"/>
  <c r="H93" i="1"/>
  <c r="O94" i="1"/>
  <c r="O85" i="1" s="1"/>
  <c r="Q94" i="1"/>
  <c r="Q85" i="1" s="1"/>
  <c r="C84" i="1"/>
  <c r="D7" i="3" s="1"/>
  <c r="C88" i="1"/>
  <c r="D11" i="3" s="1"/>
  <c r="C9" i="10" s="1"/>
  <c r="R43" i="10" s="1"/>
  <c r="F11" i="3"/>
  <c r="C9" i="12" s="1"/>
  <c r="R43" i="12" s="1"/>
  <c r="F60" i="1"/>
  <c r="F86" i="1"/>
  <c r="H112" i="1"/>
  <c r="H7" i="1"/>
  <c r="C10" i="1" l="1"/>
  <c r="C21" i="1" s="1"/>
  <c r="S32" i="1"/>
  <c r="S36" i="1" s="1"/>
  <c r="C63" i="1"/>
  <c r="O32" i="1"/>
  <c r="O36" i="1" s="1"/>
  <c r="F70" i="1"/>
  <c r="J90" i="1"/>
  <c r="H91" i="1"/>
  <c r="M32" i="1"/>
  <c r="M36" i="1" s="1"/>
  <c r="C71" i="1"/>
  <c r="C73" i="1" s="1"/>
  <c r="U118" i="1"/>
  <c r="Q120" i="1"/>
  <c r="Q111" i="1" s="1"/>
  <c r="G91" i="1"/>
  <c r="G93" i="1"/>
  <c r="I90" i="1"/>
  <c r="I37" i="1"/>
  <c r="G40" i="1"/>
  <c r="G38" i="1"/>
  <c r="C125" i="1"/>
  <c r="AH13" i="1"/>
  <c r="F43" i="1"/>
  <c r="F35" i="1"/>
  <c r="C115" i="1"/>
  <c r="C126" i="1" s="1"/>
  <c r="C108" i="1" s="1"/>
  <c r="F17" i="1"/>
  <c r="F9" i="1"/>
  <c r="F10" i="1" s="1"/>
  <c r="E8" i="3"/>
  <c r="C6" i="11" s="1"/>
  <c r="R42" i="11" s="1"/>
  <c r="C5" i="10"/>
  <c r="R41" i="10" s="1"/>
  <c r="D12" i="3"/>
  <c r="C89" i="1"/>
  <c r="C100" i="1" s="1"/>
  <c r="C5" i="12"/>
  <c r="R41" i="12" s="1"/>
  <c r="F12" i="3"/>
  <c r="C4" i="12" s="1"/>
  <c r="C12" i="12" s="1"/>
  <c r="C5" i="13"/>
  <c r="R41" i="13" s="1"/>
  <c r="G12" i="3"/>
  <c r="C4" i="13" s="1"/>
  <c r="C7" i="3"/>
  <c r="R42" i="9"/>
  <c r="R43" i="9"/>
  <c r="H36" i="1"/>
  <c r="F36" i="1"/>
  <c r="C6" i="5"/>
  <c r="R114" i="5" s="1"/>
  <c r="R42" i="13"/>
  <c r="C5" i="5"/>
  <c r="R113" i="5" s="1"/>
  <c r="C9" i="5"/>
  <c r="R115" i="5" s="1"/>
  <c r="R43" i="13"/>
  <c r="E11" i="3"/>
  <c r="C9" i="11" s="1"/>
  <c r="R43" i="11" s="1"/>
  <c r="I64" i="1"/>
  <c r="G67" i="1"/>
  <c r="C36" i="1"/>
  <c r="C47" i="1" s="1"/>
  <c r="F15" i="3" s="1"/>
  <c r="C1" i="12" s="1"/>
  <c r="E122" i="1"/>
  <c r="E115" i="1"/>
  <c r="V68" i="1"/>
  <c r="V59" i="1" s="1"/>
  <c r="Z66" i="1"/>
  <c r="AL13" i="1"/>
  <c r="AH15" i="1"/>
  <c r="AH6" i="1" s="1"/>
  <c r="H96" i="1"/>
  <c r="H88" i="1"/>
  <c r="V94" i="1"/>
  <c r="V85" i="1" s="1"/>
  <c r="Z92" i="1"/>
  <c r="T92" i="1"/>
  <c r="P94" i="1"/>
  <c r="P85" i="1" s="1"/>
  <c r="AE66" i="1"/>
  <c r="AA68" i="1"/>
  <c r="AA59" i="1" s="1"/>
  <c r="J40" i="1"/>
  <c r="J38" i="1"/>
  <c r="L37" i="1"/>
  <c r="AK13" i="1"/>
  <c r="AG15" i="1"/>
  <c r="AG6" i="1" s="1"/>
  <c r="F98" i="1"/>
  <c r="F97" i="1"/>
  <c r="F99" i="1" s="1"/>
  <c r="E18" i="1"/>
  <c r="E19" i="1"/>
  <c r="T66" i="1"/>
  <c r="P68" i="1"/>
  <c r="P59" i="1" s="1"/>
  <c r="G10" i="1"/>
  <c r="G17" i="1"/>
  <c r="W118" i="1"/>
  <c r="S120" i="1"/>
  <c r="S111" i="1" s="1"/>
  <c r="AC92" i="1"/>
  <c r="Y94" i="1"/>
  <c r="Y85" i="1" s="1"/>
  <c r="E45" i="1"/>
  <c r="E44" i="1"/>
  <c r="H35" i="1"/>
  <c r="H43" i="1"/>
  <c r="U41" i="1"/>
  <c r="Y39" i="1"/>
  <c r="G119" i="1"/>
  <c r="G117" i="1"/>
  <c r="I116" i="1"/>
  <c r="C46" i="1"/>
  <c r="T41" i="1"/>
  <c r="T32" i="1" s="1"/>
  <c r="X39" i="1"/>
  <c r="U68" i="1"/>
  <c r="U59" i="1" s="1"/>
  <c r="Y66" i="1"/>
  <c r="X19" i="1"/>
  <c r="X18" i="1"/>
  <c r="X20" i="1" s="1"/>
  <c r="E96" i="1"/>
  <c r="E88" i="1"/>
  <c r="E89" i="1" s="1"/>
  <c r="AB15" i="1"/>
  <c r="AB6" i="1" s="1"/>
  <c r="AF13" i="1"/>
  <c r="AA39" i="1"/>
  <c r="W41" i="1"/>
  <c r="X120" i="1"/>
  <c r="X111" i="1" s="1"/>
  <c r="AB118" i="1"/>
  <c r="V118" i="1"/>
  <c r="R120" i="1"/>
  <c r="R111" i="1" s="1"/>
  <c r="E70" i="1"/>
  <c r="E62" i="1"/>
  <c r="E63" i="1" s="1"/>
  <c r="F72" i="1"/>
  <c r="F71" i="1"/>
  <c r="AI13" i="1"/>
  <c r="AE15" i="1"/>
  <c r="AE6" i="1" s="1"/>
  <c r="X12" i="1"/>
  <c r="X6" i="1"/>
  <c r="H14" i="1"/>
  <c r="H9" i="1" s="1"/>
  <c r="H12" i="1"/>
  <c r="I11" i="1"/>
  <c r="AE92" i="1"/>
  <c r="AA94" i="1"/>
  <c r="AA85" i="1" s="1"/>
  <c r="J64" i="1"/>
  <c r="H67" i="1"/>
  <c r="H65" i="1"/>
  <c r="F119" i="1"/>
  <c r="F117" i="1"/>
  <c r="H116" i="1"/>
  <c r="Z39" i="1"/>
  <c r="V41" i="1"/>
  <c r="V32" i="1" s="1"/>
  <c r="E7" i="3"/>
  <c r="J36" i="1"/>
  <c r="L33" i="1"/>
  <c r="F89" i="1"/>
  <c r="H86" i="1"/>
  <c r="H60" i="1"/>
  <c r="F63" i="1"/>
  <c r="J112" i="1"/>
  <c r="J7" i="1"/>
  <c r="C74" i="1" l="1"/>
  <c r="E15" i="3" s="1"/>
  <c r="C1" i="11" s="1"/>
  <c r="C6" i="4"/>
  <c r="R102" i="4" s="1"/>
  <c r="G15" i="3"/>
  <c r="I91" i="1"/>
  <c r="I93" i="1"/>
  <c r="K90" i="1"/>
  <c r="Y118" i="1"/>
  <c r="U120" i="1"/>
  <c r="U111" i="1" s="1"/>
  <c r="K37" i="1"/>
  <c r="I40" i="1"/>
  <c r="I38" i="1"/>
  <c r="U32" i="1"/>
  <c r="U36" i="1" s="1"/>
  <c r="G96" i="1"/>
  <c r="G88" i="1"/>
  <c r="G89" i="1" s="1"/>
  <c r="J91" i="1"/>
  <c r="J93" i="1"/>
  <c r="L90" i="1"/>
  <c r="G35" i="1"/>
  <c r="G43" i="1"/>
  <c r="F19" i="1"/>
  <c r="F18" i="1"/>
  <c r="F20" i="1" s="1"/>
  <c r="F21" i="1" s="1"/>
  <c r="F3" i="1" s="1"/>
  <c r="F23" i="1" s="1"/>
  <c r="F24" i="1" s="1"/>
  <c r="F45" i="1"/>
  <c r="F44" i="1"/>
  <c r="W32" i="1"/>
  <c r="W36" i="1" s="1"/>
  <c r="E20" i="1"/>
  <c r="E21" i="1" s="1"/>
  <c r="E3" i="1" s="1"/>
  <c r="E23" i="1" s="1"/>
  <c r="E24" i="1" s="1"/>
  <c r="E12" i="3"/>
  <c r="C4" i="11" s="1"/>
  <c r="C12" i="3"/>
  <c r="C4" i="9" s="1"/>
  <c r="H27" i="9" s="1"/>
  <c r="C5" i="9"/>
  <c r="R41" i="9" s="1"/>
  <c r="H27" i="13"/>
  <c r="X83" i="13"/>
  <c r="C4" i="4"/>
  <c r="C4" i="10"/>
  <c r="AO10" i="12"/>
  <c r="AS10" i="12"/>
  <c r="AW10" i="12"/>
  <c r="AQ10" i="12"/>
  <c r="AY10" i="12"/>
  <c r="AN10" i="12"/>
  <c r="AP10" i="12"/>
  <c r="AT10" i="12"/>
  <c r="AX10" i="12"/>
  <c r="AU10" i="12"/>
  <c r="AV10" i="12"/>
  <c r="AR10" i="12"/>
  <c r="C9" i="4"/>
  <c r="R101" i="4" s="1"/>
  <c r="F73" i="1"/>
  <c r="F74" i="1"/>
  <c r="E8" i="2" s="1"/>
  <c r="G62" i="1"/>
  <c r="G63" i="1" s="1"/>
  <c r="G70" i="1"/>
  <c r="I67" i="1"/>
  <c r="K64" i="1"/>
  <c r="I65" i="1"/>
  <c r="C5" i="11"/>
  <c r="R41" i="11" s="1"/>
  <c r="C5" i="4"/>
  <c r="R100" i="4" s="1"/>
  <c r="E34" i="12"/>
  <c r="E31" i="12"/>
  <c r="E28" i="12"/>
  <c r="AB10" i="12"/>
  <c r="L10" i="12"/>
  <c r="P10" i="12"/>
  <c r="E37" i="12"/>
  <c r="X10" i="12"/>
  <c r="H10" i="12"/>
  <c r="AJ10" i="12"/>
  <c r="T10" i="12"/>
  <c r="D10" i="12"/>
  <c r="AF10" i="12"/>
  <c r="E63" i="12"/>
  <c r="E10" i="12"/>
  <c r="U10" i="12"/>
  <c r="AK10" i="12"/>
  <c r="E39" i="12"/>
  <c r="E50" i="12"/>
  <c r="E58" i="12"/>
  <c r="N10" i="12"/>
  <c r="AD10" i="12"/>
  <c r="E32" i="12"/>
  <c r="E49" i="12"/>
  <c r="K10" i="12"/>
  <c r="AA10" i="12"/>
  <c r="E35" i="12"/>
  <c r="E52" i="12"/>
  <c r="E61" i="12"/>
  <c r="E40" i="12"/>
  <c r="S10" i="12"/>
  <c r="E46" i="12"/>
  <c r="E36" i="12"/>
  <c r="E56" i="12"/>
  <c r="J10" i="12"/>
  <c r="E29" i="12"/>
  <c r="G10" i="12"/>
  <c r="AM10" i="12"/>
  <c r="E59" i="12"/>
  <c r="I10" i="12"/>
  <c r="Y10" i="12"/>
  <c r="E30" i="12"/>
  <c r="E41" i="12"/>
  <c r="E60" i="12"/>
  <c r="E51" i="12"/>
  <c r="R10" i="12"/>
  <c r="AH10" i="12"/>
  <c r="E38" i="12"/>
  <c r="R49" i="12"/>
  <c r="AT39" i="12" s="1"/>
  <c r="AC83" i="12" s="1"/>
  <c r="O10" i="12"/>
  <c r="AE10" i="12"/>
  <c r="E43" i="12"/>
  <c r="E55" i="12"/>
  <c r="M10" i="12"/>
  <c r="AC10" i="12"/>
  <c r="E33" i="12"/>
  <c r="E45" i="12"/>
  <c r="E54" i="12"/>
  <c r="E62" i="12"/>
  <c r="F10" i="12"/>
  <c r="V10" i="12"/>
  <c r="AL10" i="12"/>
  <c r="E53" i="12"/>
  <c r="AI10" i="12"/>
  <c r="E57" i="12"/>
  <c r="Q10" i="12"/>
  <c r="AG10" i="12"/>
  <c r="E47" i="12"/>
  <c r="E42" i="12"/>
  <c r="Z10" i="12"/>
  <c r="E44" i="12"/>
  <c r="W10" i="12"/>
  <c r="E48" i="12"/>
  <c r="R36" i="12"/>
  <c r="R44" i="12" s="1"/>
  <c r="C10" i="12"/>
  <c r="H27" i="12" s="1"/>
  <c r="C4" i="5"/>
  <c r="AD92" i="1"/>
  <c r="Z94" i="1"/>
  <c r="Z85" i="1" s="1"/>
  <c r="AC66" i="1"/>
  <c r="Y68" i="1"/>
  <c r="Y59" i="1" s="1"/>
  <c r="E46" i="1"/>
  <c r="E47" i="1" s="1"/>
  <c r="E29" i="1" s="1"/>
  <c r="E49" i="1" s="1"/>
  <c r="E50" i="1" s="1"/>
  <c r="T94" i="1"/>
  <c r="T85" i="1" s="1"/>
  <c r="X92" i="1"/>
  <c r="AM13" i="1"/>
  <c r="AI15" i="1"/>
  <c r="AI6" i="1" s="1"/>
  <c r="AG92" i="1"/>
  <c r="AC94" i="1"/>
  <c r="AC85" i="1" s="1"/>
  <c r="AE94" i="1"/>
  <c r="AE85" i="1" s="1"/>
  <c r="AI92" i="1"/>
  <c r="I117" i="1"/>
  <c r="K116" i="1"/>
  <c r="I119" i="1"/>
  <c r="W120" i="1"/>
  <c r="W111" i="1" s="1"/>
  <c r="AA118" i="1"/>
  <c r="AK15" i="1"/>
  <c r="AK6" i="1" s="1"/>
  <c r="AO13" i="1"/>
  <c r="AO15" i="1" s="1"/>
  <c r="AO6" i="1" s="1"/>
  <c r="E124" i="1"/>
  <c r="E123" i="1"/>
  <c r="H62" i="1"/>
  <c r="H63" i="1" s="1"/>
  <c r="H70" i="1"/>
  <c r="AL15" i="1"/>
  <c r="AL6" i="1" s="1"/>
  <c r="AP13" i="1"/>
  <c r="AP15" i="1" s="1"/>
  <c r="AP6" i="1" s="1"/>
  <c r="AJ13" i="1"/>
  <c r="AF15" i="1"/>
  <c r="AF6" i="1" s="1"/>
  <c r="AD39" i="1"/>
  <c r="Z41" i="1"/>
  <c r="Z32" i="1" s="1"/>
  <c r="I14" i="1"/>
  <c r="I9" i="1" s="1"/>
  <c r="I12" i="1"/>
  <c r="J11" i="1"/>
  <c r="L40" i="1"/>
  <c r="L38" i="1"/>
  <c r="N37" i="1"/>
  <c r="AE39" i="1"/>
  <c r="AA41" i="1"/>
  <c r="F100" i="1"/>
  <c r="F82" i="1" s="1"/>
  <c r="F102" i="1" s="1"/>
  <c r="F103" i="1" s="1"/>
  <c r="E72" i="1"/>
  <c r="E71" i="1"/>
  <c r="E98" i="1"/>
  <c r="E97" i="1"/>
  <c r="AB39" i="1"/>
  <c r="X41" i="1"/>
  <c r="X32" i="1" s="1"/>
  <c r="G122" i="1"/>
  <c r="G114" i="1"/>
  <c r="G115" i="1" s="1"/>
  <c r="H98" i="1"/>
  <c r="H97" i="1"/>
  <c r="H99" i="1" s="1"/>
  <c r="H17" i="1"/>
  <c r="H10" i="1"/>
  <c r="AC39" i="1"/>
  <c r="Y41" i="1"/>
  <c r="G18" i="1"/>
  <c r="G19" i="1"/>
  <c r="J43" i="1"/>
  <c r="J35" i="1"/>
  <c r="J67" i="1"/>
  <c r="J65" i="1"/>
  <c r="L64" i="1"/>
  <c r="H117" i="1"/>
  <c r="J116" i="1"/>
  <c r="H119" i="1"/>
  <c r="V120" i="1"/>
  <c r="V111" i="1" s="1"/>
  <c r="Z118" i="1"/>
  <c r="AF118" i="1"/>
  <c r="AB120" i="1"/>
  <c r="AB111" i="1" s="1"/>
  <c r="H45" i="1"/>
  <c r="H44" i="1"/>
  <c r="AE68" i="1"/>
  <c r="AE59" i="1" s="1"/>
  <c r="AI66" i="1"/>
  <c r="AD66" i="1"/>
  <c r="Z68" i="1"/>
  <c r="Z59" i="1" s="1"/>
  <c r="F122" i="1"/>
  <c r="F114" i="1"/>
  <c r="F115" i="1" s="1"/>
  <c r="T68" i="1"/>
  <c r="T59" i="1" s="1"/>
  <c r="X66" i="1"/>
  <c r="D7" i="2"/>
  <c r="C82" i="1"/>
  <c r="D4" i="3" s="1"/>
  <c r="D15" i="3"/>
  <c r="C1" i="10" s="1"/>
  <c r="C29" i="1"/>
  <c r="C49" i="1" s="1"/>
  <c r="C50" i="1" s="1"/>
  <c r="H89" i="1"/>
  <c r="H100" i="1" s="1"/>
  <c r="J86" i="1"/>
  <c r="J60" i="1"/>
  <c r="L36" i="1"/>
  <c r="N33" i="1"/>
  <c r="L112" i="1"/>
  <c r="C15" i="3"/>
  <c r="C3" i="1"/>
  <c r="C23" i="1" s="1"/>
  <c r="C24" i="1" s="1"/>
  <c r="L7" i="1"/>
  <c r="C56" i="1" l="1"/>
  <c r="C76" i="1" s="1"/>
  <c r="C77" i="1" s="1"/>
  <c r="C1" i="13"/>
  <c r="K4" i="13" s="1"/>
  <c r="C1" i="5"/>
  <c r="E78" i="5" s="1"/>
  <c r="G44" i="1"/>
  <c r="G45" i="1"/>
  <c r="J96" i="1"/>
  <c r="J88" i="1"/>
  <c r="G97" i="1"/>
  <c r="G99" i="1" s="1"/>
  <c r="G100" i="1" s="1"/>
  <c r="G98" i="1"/>
  <c r="AA32" i="1"/>
  <c r="AA36" i="1" s="1"/>
  <c r="E125" i="1"/>
  <c r="E126" i="1" s="1"/>
  <c r="C7" i="2" s="1"/>
  <c r="I43" i="1"/>
  <c r="I35" i="1"/>
  <c r="K38" i="1"/>
  <c r="K40" i="1"/>
  <c r="M37" i="1"/>
  <c r="AC118" i="1"/>
  <c r="Y120" i="1"/>
  <c r="Y111" i="1" s="1"/>
  <c r="K91" i="1"/>
  <c r="M90" i="1"/>
  <c r="K93" i="1"/>
  <c r="I96" i="1"/>
  <c r="I88" i="1"/>
  <c r="I89" i="1" s="1"/>
  <c r="F46" i="1"/>
  <c r="F47" i="1" s="1"/>
  <c r="F29" i="1" s="1"/>
  <c r="F49" i="1" s="1"/>
  <c r="F50" i="1" s="1"/>
  <c r="L91" i="1"/>
  <c r="N90" i="1"/>
  <c r="L93" i="1"/>
  <c r="Y32" i="1"/>
  <c r="Y36" i="1" s="1"/>
  <c r="C1" i="4"/>
  <c r="E75" i="4" s="1"/>
  <c r="C3" i="10"/>
  <c r="C1" i="9"/>
  <c r="AT39" i="9" s="1"/>
  <c r="AC83" i="9" s="1"/>
  <c r="R36" i="9"/>
  <c r="R44" i="9" s="1"/>
  <c r="AB39" i="9" s="1"/>
  <c r="AU151" i="9" s="1"/>
  <c r="X83" i="9"/>
  <c r="C10" i="9"/>
  <c r="D8" i="2"/>
  <c r="C10" i="4"/>
  <c r="H23" i="4" s="1"/>
  <c r="C10" i="10"/>
  <c r="R36" i="10"/>
  <c r="R44" i="10" s="1"/>
  <c r="C10" i="13"/>
  <c r="R36" i="13"/>
  <c r="R44" i="13" s="1"/>
  <c r="AB39" i="13" s="1"/>
  <c r="F56" i="1"/>
  <c r="F76" i="1" s="1"/>
  <c r="F77" i="1" s="1"/>
  <c r="E60" i="11"/>
  <c r="E56" i="11"/>
  <c r="E52" i="11"/>
  <c r="E48" i="11"/>
  <c r="E44" i="11"/>
  <c r="E40" i="11"/>
  <c r="E36" i="11"/>
  <c r="E32" i="11"/>
  <c r="E28" i="11"/>
  <c r="E63" i="11"/>
  <c r="E59" i="11"/>
  <c r="E55" i="11"/>
  <c r="E51" i="11"/>
  <c r="E47" i="11"/>
  <c r="E43" i="11"/>
  <c r="E39" i="11"/>
  <c r="E35" i="11"/>
  <c r="E31" i="11"/>
  <c r="E62" i="11"/>
  <c r="E58" i="11"/>
  <c r="E54" i="11"/>
  <c r="E50" i="11"/>
  <c r="E46" i="11"/>
  <c r="E42" i="11"/>
  <c r="E38" i="11"/>
  <c r="E34" i="11"/>
  <c r="E30" i="11"/>
  <c r="H4" i="11"/>
  <c r="E61" i="11"/>
  <c r="E57" i="11"/>
  <c r="E53" i="11"/>
  <c r="E49" i="11"/>
  <c r="E45" i="11"/>
  <c r="E41" i="11"/>
  <c r="E37" i="11"/>
  <c r="E33" i="11"/>
  <c r="E29" i="11"/>
  <c r="X83" i="11"/>
  <c r="H27" i="11"/>
  <c r="C10" i="11"/>
  <c r="G72" i="1"/>
  <c r="G71" i="1"/>
  <c r="G73" i="1" s="1"/>
  <c r="G74" i="1" s="1"/>
  <c r="G56" i="1" s="1"/>
  <c r="G76" i="1" s="1"/>
  <c r="G77" i="1" s="1"/>
  <c r="M64" i="1"/>
  <c r="K65" i="1"/>
  <c r="K67" i="1"/>
  <c r="I62" i="1"/>
  <c r="I63" i="1" s="1"/>
  <c r="I70" i="1"/>
  <c r="R36" i="11"/>
  <c r="R44" i="11" s="1"/>
  <c r="AB39" i="11" s="1"/>
  <c r="AB4" i="11"/>
  <c r="L4" i="11"/>
  <c r="AJ4" i="11"/>
  <c r="D4" i="11"/>
  <c r="AF4" i="11"/>
  <c r="X4" i="11"/>
  <c r="T4" i="11"/>
  <c r="P4" i="11"/>
  <c r="AK4" i="11"/>
  <c r="Y4" i="11"/>
  <c r="N4" i="11"/>
  <c r="AD4" i="11"/>
  <c r="K4" i="11"/>
  <c r="AA4" i="11"/>
  <c r="E4" i="11"/>
  <c r="I4" i="11"/>
  <c r="AG4" i="11"/>
  <c r="R4" i="11"/>
  <c r="AH4" i="11"/>
  <c r="R49" i="11"/>
  <c r="O4" i="11"/>
  <c r="AE4" i="11"/>
  <c r="M4" i="11"/>
  <c r="Q4" i="11"/>
  <c r="F4" i="11"/>
  <c r="V4" i="11"/>
  <c r="AL4" i="11"/>
  <c r="S4" i="11"/>
  <c r="AI4" i="11"/>
  <c r="AC4" i="11"/>
  <c r="U4" i="11"/>
  <c r="J4" i="11"/>
  <c r="Z4" i="11"/>
  <c r="G4" i="11"/>
  <c r="W4" i="11"/>
  <c r="AM4" i="11"/>
  <c r="D12" i="12"/>
  <c r="G28" i="12"/>
  <c r="F28" i="12" s="1"/>
  <c r="H28" i="12" s="1"/>
  <c r="E68" i="12"/>
  <c r="AN102" i="12"/>
  <c r="AD151" i="12" s="1"/>
  <c r="AR83" i="12"/>
  <c r="E43" i="10"/>
  <c r="AM10" i="10"/>
  <c r="E35" i="10"/>
  <c r="E44" i="10"/>
  <c r="E29" i="10"/>
  <c r="Z10" i="10"/>
  <c r="J10" i="10"/>
  <c r="E30" i="10"/>
  <c r="E62" i="10"/>
  <c r="E54" i="10"/>
  <c r="E36" i="10"/>
  <c r="Y10" i="10"/>
  <c r="E51" i="10"/>
  <c r="E31" i="10"/>
  <c r="AB10" i="10"/>
  <c r="L10" i="10"/>
  <c r="E61" i="10"/>
  <c r="E52" i="10"/>
  <c r="AI10" i="10"/>
  <c r="E48" i="10"/>
  <c r="K10" i="10"/>
  <c r="E38" i="10"/>
  <c r="E47" i="10"/>
  <c r="E58" i="10"/>
  <c r="AK10" i="10"/>
  <c r="E37" i="10"/>
  <c r="T10" i="10"/>
  <c r="E57" i="10"/>
  <c r="AE10" i="10"/>
  <c r="AA10" i="10"/>
  <c r="E49" i="10"/>
  <c r="AD10" i="10"/>
  <c r="E41" i="10"/>
  <c r="E56" i="10"/>
  <c r="AG10" i="10"/>
  <c r="E34" i="10"/>
  <c r="P10" i="10"/>
  <c r="E55" i="10"/>
  <c r="E53" i="10"/>
  <c r="E40" i="10"/>
  <c r="AL10" i="10"/>
  <c r="V10" i="10"/>
  <c r="F10" i="10"/>
  <c r="AC10" i="10"/>
  <c r="E60" i="10"/>
  <c r="E50" i="10"/>
  <c r="E33" i="10"/>
  <c r="U10" i="10"/>
  <c r="E42" i="10"/>
  <c r="E28" i="10"/>
  <c r="X10" i="10"/>
  <c r="H10" i="10"/>
  <c r="E59" i="10"/>
  <c r="O10" i="10"/>
  <c r="G10" i="10"/>
  <c r="R49" i="10"/>
  <c r="AT39" i="10" s="1"/>
  <c r="AC83" i="10" s="1"/>
  <c r="AH10" i="10"/>
  <c r="R10" i="10"/>
  <c r="Q10" i="10"/>
  <c r="E45" i="10"/>
  <c r="M10" i="10"/>
  <c r="AJ10" i="10"/>
  <c r="D10" i="10"/>
  <c r="E46" i="10"/>
  <c r="W10" i="10"/>
  <c r="E32" i="10"/>
  <c r="N10" i="10"/>
  <c r="I10" i="10"/>
  <c r="E39" i="10"/>
  <c r="E10" i="10"/>
  <c r="AF10" i="10"/>
  <c r="E63" i="10"/>
  <c r="S10" i="10"/>
  <c r="R108" i="5"/>
  <c r="R116" i="5" s="1"/>
  <c r="H27" i="5"/>
  <c r="H27" i="4"/>
  <c r="R95" i="4" s="1"/>
  <c r="R103" i="4" s="1"/>
  <c r="C10" i="5"/>
  <c r="AB66" i="1"/>
  <c r="X68" i="1"/>
  <c r="X59" i="1" s="1"/>
  <c r="H46" i="1"/>
  <c r="H47" i="1" s="1"/>
  <c r="H29" i="1" s="1"/>
  <c r="H49" i="1" s="1"/>
  <c r="H50" i="1" s="1"/>
  <c r="H122" i="1"/>
  <c r="H114" i="1"/>
  <c r="H115" i="1" s="1"/>
  <c r="AE41" i="1"/>
  <c r="AI39" i="1"/>
  <c r="AD41" i="1"/>
  <c r="AD32" i="1" s="1"/>
  <c r="AH39" i="1"/>
  <c r="AI94" i="1"/>
  <c r="AI85" i="1" s="1"/>
  <c r="AM92" i="1"/>
  <c r="AE118" i="1"/>
  <c r="AA120" i="1"/>
  <c r="AA111" i="1" s="1"/>
  <c r="AJ118" i="1"/>
  <c r="AF120" i="1"/>
  <c r="AF111" i="1" s="1"/>
  <c r="G20" i="1"/>
  <c r="G21" i="1" s="1"/>
  <c r="G3" i="1" s="1"/>
  <c r="G23" i="1" s="1"/>
  <c r="G24" i="1" s="1"/>
  <c r="AB41" i="1"/>
  <c r="AB32" i="1" s="1"/>
  <c r="AF39" i="1"/>
  <c r="L43" i="1"/>
  <c r="L35" i="1"/>
  <c r="I122" i="1"/>
  <c r="I114" i="1"/>
  <c r="I115" i="1" s="1"/>
  <c r="L67" i="1"/>
  <c r="L65" i="1"/>
  <c r="N64" i="1"/>
  <c r="E99" i="1"/>
  <c r="E100" i="1" s="1"/>
  <c r="E82" i="1" s="1"/>
  <c r="E102" i="1" s="1"/>
  <c r="E103" i="1" s="1"/>
  <c r="M116" i="1"/>
  <c r="K119" i="1"/>
  <c r="K117" i="1"/>
  <c r="AB92" i="1"/>
  <c r="X94" i="1"/>
  <c r="X85" i="1" s="1"/>
  <c r="E9" i="2"/>
  <c r="AC41" i="1"/>
  <c r="AG39" i="1"/>
  <c r="H72" i="1"/>
  <c r="H71" i="1"/>
  <c r="AM15" i="1"/>
  <c r="AM6" i="1" s="1"/>
  <c r="AQ13" i="1"/>
  <c r="AQ15" i="1" s="1"/>
  <c r="AQ6" i="1" s="1"/>
  <c r="F124" i="1"/>
  <c r="F123" i="1"/>
  <c r="J62" i="1"/>
  <c r="J70" i="1"/>
  <c r="E73" i="1"/>
  <c r="E74" i="1" s="1"/>
  <c r="AG94" i="1"/>
  <c r="AG85" i="1" s="1"/>
  <c r="AK92" i="1"/>
  <c r="L116" i="1"/>
  <c r="J117" i="1"/>
  <c r="J119" i="1"/>
  <c r="Z120" i="1"/>
  <c r="Z111" i="1" s="1"/>
  <c r="AD118" i="1"/>
  <c r="H19" i="1"/>
  <c r="H18" i="1"/>
  <c r="E108" i="1"/>
  <c r="E128" i="1" s="1"/>
  <c r="E129" i="1" s="1"/>
  <c r="J45" i="1"/>
  <c r="J44" i="1"/>
  <c r="AD68" i="1"/>
  <c r="AD59" i="1" s="1"/>
  <c r="AH66" i="1"/>
  <c r="J14" i="1"/>
  <c r="J9" i="1" s="1"/>
  <c r="J12" i="1"/>
  <c r="K11" i="1"/>
  <c r="AG66" i="1"/>
  <c r="AC68" i="1"/>
  <c r="AC59" i="1" s="1"/>
  <c r="G124" i="1"/>
  <c r="G123" i="1"/>
  <c r="AJ15" i="1"/>
  <c r="AJ6" i="1" s="1"/>
  <c r="AN13" i="1"/>
  <c r="N40" i="1"/>
  <c r="N38" i="1"/>
  <c r="P37" i="1"/>
  <c r="AI68" i="1"/>
  <c r="AI59" i="1" s="1"/>
  <c r="AM66" i="1"/>
  <c r="I17" i="1"/>
  <c r="I10" i="1"/>
  <c r="AD94" i="1"/>
  <c r="AD85" i="1" s="1"/>
  <c r="AH92" i="1"/>
  <c r="C102" i="1"/>
  <c r="C103" i="1" s="1"/>
  <c r="C28" i="5"/>
  <c r="F4" i="3"/>
  <c r="J63" i="1"/>
  <c r="L60" i="1"/>
  <c r="J89" i="1"/>
  <c r="L86" i="1"/>
  <c r="N36" i="1"/>
  <c r="P33" i="1"/>
  <c r="H82" i="1"/>
  <c r="H102" i="1" s="1"/>
  <c r="H103" i="1" s="1"/>
  <c r="D10" i="2"/>
  <c r="N112" i="1"/>
  <c r="C128" i="1"/>
  <c r="C129" i="1" s="1"/>
  <c r="C4" i="3"/>
  <c r="G4" i="3"/>
  <c r="N7" i="1"/>
  <c r="J4" i="9" l="1"/>
  <c r="E4" i="3"/>
  <c r="AK10" i="4"/>
  <c r="AK4" i="4" s="1"/>
  <c r="E39" i="4"/>
  <c r="E68" i="4"/>
  <c r="AO10" i="4"/>
  <c r="AO4" i="4" s="1"/>
  <c r="E69" i="4"/>
  <c r="E73" i="4"/>
  <c r="E61" i="4"/>
  <c r="E72" i="4"/>
  <c r="E28" i="4"/>
  <c r="E70" i="4"/>
  <c r="E67" i="4"/>
  <c r="E64" i="4"/>
  <c r="E41" i="4"/>
  <c r="E30" i="4"/>
  <c r="AW10" i="4"/>
  <c r="AW4" i="4" s="1"/>
  <c r="E71" i="4"/>
  <c r="AU10" i="4"/>
  <c r="AU4" i="4" s="1"/>
  <c r="E65" i="4"/>
  <c r="AE10" i="4"/>
  <c r="AE4" i="4" s="1"/>
  <c r="BJ10" i="4"/>
  <c r="AN10" i="4"/>
  <c r="AN4" i="4" s="1"/>
  <c r="AL10" i="4"/>
  <c r="AL4" i="4" s="1"/>
  <c r="E45" i="4"/>
  <c r="E42" i="4"/>
  <c r="BH10" i="4"/>
  <c r="AV10" i="4"/>
  <c r="AV4" i="4" s="1"/>
  <c r="F10" i="4"/>
  <c r="F4" i="4" s="1"/>
  <c r="E60" i="4"/>
  <c r="BK10" i="4"/>
  <c r="E48" i="4"/>
  <c r="Y10" i="4"/>
  <c r="Y4" i="4" s="1"/>
  <c r="E44" i="4"/>
  <c r="E34" i="4"/>
  <c r="E62" i="4"/>
  <c r="E54" i="4"/>
  <c r="AZ10" i="4"/>
  <c r="BB10" i="4"/>
  <c r="BF10" i="4"/>
  <c r="E49" i="4"/>
  <c r="E56" i="4"/>
  <c r="E37" i="4"/>
  <c r="AM10" i="4"/>
  <c r="AM4" i="4" s="1"/>
  <c r="E50" i="4"/>
  <c r="X10" i="4"/>
  <c r="X4" i="4" s="1"/>
  <c r="BD10" i="4"/>
  <c r="E52" i="4"/>
  <c r="AC10" i="4"/>
  <c r="AC4" i="4" s="1"/>
  <c r="AB10" i="4"/>
  <c r="AB4" i="4" s="1"/>
  <c r="BI10" i="4"/>
  <c r="E31" i="4"/>
  <c r="E43" i="4"/>
  <c r="S10" i="4"/>
  <c r="S4" i="4" s="1"/>
  <c r="E47" i="4"/>
  <c r="E32" i="4"/>
  <c r="V10" i="4"/>
  <c r="V4" i="4" s="1"/>
  <c r="R112" i="4"/>
  <c r="AX10" i="4"/>
  <c r="AX4" i="4" s="1"/>
  <c r="L10" i="4"/>
  <c r="L4" i="4" s="1"/>
  <c r="E36" i="4"/>
  <c r="E57" i="4"/>
  <c r="E55" i="4"/>
  <c r="O10" i="4"/>
  <c r="O4" i="4" s="1"/>
  <c r="N10" i="4"/>
  <c r="N4" i="4" s="1"/>
  <c r="E35" i="4"/>
  <c r="E58" i="4"/>
  <c r="AI10" i="4"/>
  <c r="AI4" i="4" s="1"/>
  <c r="AR10" i="4"/>
  <c r="AR4" i="4" s="1"/>
  <c r="AA10" i="4"/>
  <c r="AA4" i="4" s="1"/>
  <c r="E46" i="4"/>
  <c r="Q10" i="4"/>
  <c r="Q4" i="4" s="1"/>
  <c r="K10" i="4"/>
  <c r="K4" i="4" s="1"/>
  <c r="AS10" i="4"/>
  <c r="AS4" i="4" s="1"/>
  <c r="E40" i="4"/>
  <c r="AY10" i="4"/>
  <c r="AY4" i="4" s="1"/>
  <c r="BE10" i="4"/>
  <c r="J10" i="4"/>
  <c r="J4" i="4" s="1"/>
  <c r="E29" i="4"/>
  <c r="AF10" i="4"/>
  <c r="AF4" i="4" s="1"/>
  <c r="AG10" i="4"/>
  <c r="AG4" i="4" s="1"/>
  <c r="E59" i="4"/>
  <c r="AH10" i="4"/>
  <c r="AH4" i="4" s="1"/>
  <c r="E33" i="4"/>
  <c r="E38" i="4"/>
  <c r="M10" i="4"/>
  <c r="M4" i="4" s="1"/>
  <c r="AT10" i="4"/>
  <c r="AT4" i="4" s="1"/>
  <c r="R10" i="4"/>
  <c r="R4" i="4" s="1"/>
  <c r="W10" i="4"/>
  <c r="W4" i="4" s="1"/>
  <c r="E51" i="4"/>
  <c r="T10" i="4"/>
  <c r="T4" i="4" s="1"/>
  <c r="AJ10" i="4"/>
  <c r="AJ4" i="4" s="1"/>
  <c r="E63" i="4"/>
  <c r="BG10" i="4"/>
  <c r="H10" i="4"/>
  <c r="H4" i="4" s="1"/>
  <c r="AQ10" i="4"/>
  <c r="AQ4" i="4" s="1"/>
  <c r="AP10" i="4"/>
  <c r="AP4" i="4" s="1"/>
  <c r="D10" i="4"/>
  <c r="D4" i="4" s="1"/>
  <c r="I10" i="4"/>
  <c r="I4" i="4" s="1"/>
  <c r="P10" i="4"/>
  <c r="P4" i="4" s="1"/>
  <c r="Z10" i="4"/>
  <c r="Z4" i="4" s="1"/>
  <c r="BC10" i="4"/>
  <c r="AD10" i="4"/>
  <c r="AD4" i="4" s="1"/>
  <c r="G10" i="4"/>
  <c r="G4" i="4" s="1"/>
  <c r="E53" i="4"/>
  <c r="BA10" i="4"/>
  <c r="E10" i="4"/>
  <c r="E4" i="4" s="1"/>
  <c r="U10" i="4"/>
  <c r="U4" i="4" s="1"/>
  <c r="E75" i="13"/>
  <c r="E80" i="13"/>
  <c r="E79" i="13"/>
  <c r="R4" i="13"/>
  <c r="AU10" i="5"/>
  <c r="AU4" i="5" s="1"/>
  <c r="AC10" i="5"/>
  <c r="AC4" i="5" s="1"/>
  <c r="AA10" i="5"/>
  <c r="AA4" i="5" s="1"/>
  <c r="E69" i="5"/>
  <c r="BJ10" i="5"/>
  <c r="BJ4" i="5" s="1"/>
  <c r="F10" i="5"/>
  <c r="F4" i="5" s="1"/>
  <c r="R10" i="5"/>
  <c r="R4" i="5" s="1"/>
  <c r="L10" i="5"/>
  <c r="L4" i="5" s="1"/>
  <c r="E38" i="5"/>
  <c r="E54" i="5"/>
  <c r="W10" i="5"/>
  <c r="W4" i="5" s="1"/>
  <c r="E37" i="5"/>
  <c r="E70" i="5"/>
  <c r="E55" i="5"/>
  <c r="E56" i="5"/>
  <c r="E28" i="5"/>
  <c r="J10" i="5"/>
  <c r="J4" i="5" s="1"/>
  <c r="U10" i="5"/>
  <c r="U4" i="5" s="1"/>
  <c r="AE10" i="5"/>
  <c r="AE4" i="5" s="1"/>
  <c r="E73" i="5"/>
  <c r="E36" i="5"/>
  <c r="BD10" i="5"/>
  <c r="BD4" i="5" s="1"/>
  <c r="AQ10" i="5"/>
  <c r="AQ4" i="5" s="1"/>
  <c r="T10" i="5"/>
  <c r="T4" i="5" s="1"/>
  <c r="E79" i="5"/>
  <c r="X10" i="5"/>
  <c r="X4" i="5" s="1"/>
  <c r="E69" i="13"/>
  <c r="E35" i="5"/>
  <c r="E64" i="5"/>
  <c r="E87" i="5"/>
  <c r="E51" i="5"/>
  <c r="BF10" i="5"/>
  <c r="BF4" i="5" s="1"/>
  <c r="E77" i="5"/>
  <c r="E40" i="5"/>
  <c r="AO10" i="5"/>
  <c r="AO4" i="5" s="1"/>
  <c r="E76" i="5"/>
  <c r="E52" i="5"/>
  <c r="AD10" i="5"/>
  <c r="AD4" i="5" s="1"/>
  <c r="R121" i="5"/>
  <c r="I10" i="5"/>
  <c r="I4" i="5" s="1"/>
  <c r="BC10" i="5"/>
  <c r="BC4" i="5" s="1"/>
  <c r="BG10" i="5"/>
  <c r="BG4" i="5" s="1"/>
  <c r="E39" i="5"/>
  <c r="E61" i="5"/>
  <c r="E10" i="5"/>
  <c r="E4" i="5" s="1"/>
  <c r="BB10" i="5"/>
  <c r="BB4" i="5" s="1"/>
  <c r="Y10" i="5"/>
  <c r="Y4" i="5" s="1"/>
  <c r="E58" i="5"/>
  <c r="E45" i="5"/>
  <c r="H10" i="5"/>
  <c r="H4" i="5" s="1"/>
  <c r="Z10" i="5"/>
  <c r="Z4" i="5" s="1"/>
  <c r="N10" i="5"/>
  <c r="N4" i="5" s="1"/>
  <c r="E42" i="5"/>
  <c r="E29" i="5"/>
  <c r="AN10" i="5"/>
  <c r="AN4" i="5" s="1"/>
  <c r="AI10" i="5"/>
  <c r="AI4" i="5" s="1"/>
  <c r="E68" i="5"/>
  <c r="E62" i="5"/>
  <c r="E63" i="5"/>
  <c r="AM10" i="5"/>
  <c r="AM4" i="5" s="1"/>
  <c r="E71" i="5"/>
  <c r="AB10" i="5"/>
  <c r="AB4" i="5" s="1"/>
  <c r="AV10" i="5"/>
  <c r="AV4" i="5" s="1"/>
  <c r="E49" i="5"/>
  <c r="E47" i="5"/>
  <c r="E83" i="5"/>
  <c r="E67" i="5"/>
  <c r="BE10" i="5"/>
  <c r="BE4" i="5" s="1"/>
  <c r="BI10" i="5"/>
  <c r="BI4" i="5" s="1"/>
  <c r="AW10" i="5"/>
  <c r="AW4" i="5" s="1"/>
  <c r="E33" i="5"/>
  <c r="E50" i="5"/>
  <c r="AF10" i="5"/>
  <c r="AF4" i="5" s="1"/>
  <c r="G10" i="5"/>
  <c r="G4" i="5" s="1"/>
  <c r="E74" i="5"/>
  <c r="V10" i="5"/>
  <c r="V4" i="5" s="1"/>
  <c r="AY10" i="5"/>
  <c r="AY4" i="5" s="1"/>
  <c r="E48" i="5"/>
  <c r="E41" i="5"/>
  <c r="E81" i="5"/>
  <c r="BH10" i="5"/>
  <c r="BH4" i="5" s="1"/>
  <c r="E65" i="5"/>
  <c r="D10" i="5"/>
  <c r="D4" i="5" s="1"/>
  <c r="AL10" i="5"/>
  <c r="AL4" i="5" s="1"/>
  <c r="E31" i="5"/>
  <c r="E59" i="5"/>
  <c r="E85" i="5"/>
  <c r="P10" i="5"/>
  <c r="P4" i="5" s="1"/>
  <c r="AJ10" i="5"/>
  <c r="AJ4" i="5" s="1"/>
  <c r="AK10" i="5"/>
  <c r="AK4" i="5" s="1"/>
  <c r="K10" i="5"/>
  <c r="K4" i="5" s="1"/>
  <c r="E34" i="5"/>
  <c r="E32" i="5"/>
  <c r="E80" i="5"/>
  <c r="E66" i="5"/>
  <c r="Q10" i="5"/>
  <c r="Q4" i="5" s="1"/>
  <c r="E75" i="5"/>
  <c r="AZ10" i="5"/>
  <c r="AZ4" i="5" s="1"/>
  <c r="E57" i="5"/>
  <c r="E46" i="5"/>
  <c r="E82" i="5"/>
  <c r="AH10" i="5"/>
  <c r="AH4" i="5" s="1"/>
  <c r="AS10" i="5"/>
  <c r="AS4" i="5" s="1"/>
  <c r="BK10" i="5"/>
  <c r="BK4" i="5" s="1"/>
  <c r="BA10" i="5"/>
  <c r="BA4" i="5" s="1"/>
  <c r="E60" i="5"/>
  <c r="E53" i="5"/>
  <c r="E84" i="5"/>
  <c r="AP10" i="5"/>
  <c r="AP4" i="5" s="1"/>
  <c r="AX10" i="5"/>
  <c r="AX4" i="5" s="1"/>
  <c r="AG10" i="5"/>
  <c r="AG4" i="5" s="1"/>
  <c r="AT10" i="5"/>
  <c r="AT4" i="5" s="1"/>
  <c r="E43" i="5"/>
  <c r="E86" i="5"/>
  <c r="AR10" i="5"/>
  <c r="AR4" i="5" s="1"/>
  <c r="S10" i="5"/>
  <c r="S4" i="5" s="1"/>
  <c r="E72" i="5"/>
  <c r="O10" i="5"/>
  <c r="O4" i="5" s="1"/>
  <c r="E30" i="5"/>
  <c r="E44" i="5"/>
  <c r="M10" i="5"/>
  <c r="M4" i="5" s="1"/>
  <c r="AT39" i="13"/>
  <c r="E73" i="13"/>
  <c r="E4" i="13"/>
  <c r="E86" i="13"/>
  <c r="E38" i="13"/>
  <c r="R49" i="13"/>
  <c r="E57" i="13"/>
  <c r="E35" i="13"/>
  <c r="E82" i="13"/>
  <c r="E85" i="13"/>
  <c r="G4" i="13"/>
  <c r="N4" i="13"/>
  <c r="E76" i="13"/>
  <c r="E46" i="13"/>
  <c r="E36" i="13"/>
  <c r="E78" i="13"/>
  <c r="E81" i="13"/>
  <c r="E87" i="13"/>
  <c r="J4" i="13"/>
  <c r="E72" i="13"/>
  <c r="E41" i="13"/>
  <c r="E59" i="13"/>
  <c r="E74" i="13"/>
  <c r="E77" i="13"/>
  <c r="E83" i="13"/>
  <c r="F4" i="13"/>
  <c r="E68" i="13"/>
  <c r="BH4" i="13"/>
  <c r="BD4" i="13"/>
  <c r="E60" i="13"/>
  <c r="E44" i="13"/>
  <c r="BI4" i="13"/>
  <c r="E65" i="13"/>
  <c r="E71" i="13"/>
  <c r="AZ4" i="13"/>
  <c r="E53" i="13"/>
  <c r="E56" i="13"/>
  <c r="BE4" i="13"/>
  <c r="BK4" i="13"/>
  <c r="E67" i="13"/>
  <c r="AV4" i="13"/>
  <c r="E52" i="13"/>
  <c r="E42" i="13"/>
  <c r="BA4" i="13"/>
  <c r="BG4" i="13"/>
  <c r="E64" i="13"/>
  <c r="AR4" i="13"/>
  <c r="E43" i="13"/>
  <c r="E55" i="13"/>
  <c r="AW4" i="13"/>
  <c r="BC4" i="13"/>
  <c r="BJ4" i="13"/>
  <c r="AN4" i="13"/>
  <c r="E63" i="13"/>
  <c r="E48" i="13"/>
  <c r="AS4" i="13"/>
  <c r="AY4" i="13"/>
  <c r="BF4" i="13"/>
  <c r="AJ4" i="13"/>
  <c r="E30" i="13"/>
  <c r="E29" i="13"/>
  <c r="AO4" i="13"/>
  <c r="AU4" i="13"/>
  <c r="BB4" i="13"/>
  <c r="AF4" i="13"/>
  <c r="E61" i="13"/>
  <c r="E47" i="13"/>
  <c r="AK4" i="13"/>
  <c r="AQ4" i="13"/>
  <c r="AX4" i="13"/>
  <c r="AB4" i="13"/>
  <c r="E39" i="13"/>
  <c r="E31" i="13"/>
  <c r="AG4" i="13"/>
  <c r="AM4" i="13"/>
  <c r="AT4" i="13"/>
  <c r="X4" i="13"/>
  <c r="E49" i="13"/>
  <c r="E51" i="13"/>
  <c r="E32" i="13"/>
  <c r="AC4" i="13"/>
  <c r="AI4" i="13"/>
  <c r="AP4" i="13"/>
  <c r="T4" i="13"/>
  <c r="E34" i="13"/>
  <c r="E45" i="13"/>
  <c r="Y4" i="13"/>
  <c r="AE4" i="13"/>
  <c r="AL4" i="13"/>
  <c r="P4" i="13"/>
  <c r="E40" i="13"/>
  <c r="E62" i="13"/>
  <c r="U4" i="13"/>
  <c r="AA4" i="13"/>
  <c r="AH4" i="13"/>
  <c r="L4" i="13"/>
  <c r="E50" i="13"/>
  <c r="E37" i="13"/>
  <c r="E70" i="13"/>
  <c r="E66" i="13"/>
  <c r="E58" i="13"/>
  <c r="Q4" i="13"/>
  <c r="W4" i="13"/>
  <c r="AD4" i="13"/>
  <c r="H4" i="13"/>
  <c r="E28" i="13"/>
  <c r="E33" i="13"/>
  <c r="M4" i="13"/>
  <c r="S4" i="13"/>
  <c r="Z4" i="13"/>
  <c r="D4" i="13"/>
  <c r="E54" i="13"/>
  <c r="I4" i="13"/>
  <c r="O4" i="13"/>
  <c r="V4" i="13"/>
  <c r="E84" i="13"/>
  <c r="I98" i="1"/>
  <c r="I97" i="1"/>
  <c r="I99" i="1" s="1"/>
  <c r="I100" i="1" s="1"/>
  <c r="I82" i="1" s="1"/>
  <c r="I102" i="1" s="1"/>
  <c r="I103" i="1" s="1"/>
  <c r="K96" i="1"/>
  <c r="K88" i="1"/>
  <c r="K89" i="1" s="1"/>
  <c r="O90" i="1"/>
  <c r="M91" i="1"/>
  <c r="M93" i="1"/>
  <c r="AC120" i="1"/>
  <c r="AC111" i="1" s="1"/>
  <c r="AG118" i="1"/>
  <c r="O37" i="1"/>
  <c r="M40" i="1"/>
  <c r="M38" i="1"/>
  <c r="K35" i="1"/>
  <c r="K43" i="1"/>
  <c r="AC32" i="1"/>
  <c r="AC36" i="1" s="1"/>
  <c r="I45" i="1"/>
  <c r="I44" i="1"/>
  <c r="I46" i="1" s="1"/>
  <c r="I47" i="1" s="1"/>
  <c r="I29" i="1" s="1"/>
  <c r="I49" i="1" s="1"/>
  <c r="I50" i="1" s="1"/>
  <c r="L88" i="1"/>
  <c r="L89" i="1" s="1"/>
  <c r="L96" i="1"/>
  <c r="D9" i="2"/>
  <c r="G82" i="1"/>
  <c r="G102" i="1" s="1"/>
  <c r="G103" i="1" s="1"/>
  <c r="N93" i="1"/>
  <c r="N91" i="1"/>
  <c r="P90" i="1"/>
  <c r="AE32" i="1"/>
  <c r="AE36" i="1" s="1"/>
  <c r="J97" i="1"/>
  <c r="J98" i="1"/>
  <c r="E66" i="4"/>
  <c r="G46" i="1"/>
  <c r="G47" i="1" s="1"/>
  <c r="G29" i="1" s="1"/>
  <c r="G49" i="1" s="1"/>
  <c r="G50" i="1" s="1"/>
  <c r="E34" i="9"/>
  <c r="G4" i="9"/>
  <c r="M4" i="9"/>
  <c r="D4" i="9"/>
  <c r="E28" i="9"/>
  <c r="E32" i="9"/>
  <c r="E37" i="9"/>
  <c r="E35" i="9"/>
  <c r="E39" i="9"/>
  <c r="E29" i="9"/>
  <c r="I4" i="9"/>
  <c r="E38" i="9"/>
  <c r="H4" i="9"/>
  <c r="E31" i="9"/>
  <c r="E4" i="9"/>
  <c r="F4" i="9"/>
  <c r="E33" i="9"/>
  <c r="R49" i="9"/>
  <c r="O4" i="9"/>
  <c r="K4" i="9"/>
  <c r="L4" i="9"/>
  <c r="E36" i="9"/>
  <c r="N4" i="9"/>
  <c r="E30" i="9"/>
  <c r="E74" i="4"/>
  <c r="C3" i="11"/>
  <c r="AW83" i="11" s="1"/>
  <c r="AY101" i="11" s="1"/>
  <c r="AU151" i="11" s="1"/>
  <c r="C3" i="13"/>
  <c r="AW83" i="13" s="1"/>
  <c r="AY101" i="13" s="1"/>
  <c r="AU151" i="13" s="1"/>
  <c r="C3" i="12"/>
  <c r="C3" i="9"/>
  <c r="AW83" i="9" s="1"/>
  <c r="AY101" i="9" s="1"/>
  <c r="C12" i="10"/>
  <c r="D12" i="10" s="1"/>
  <c r="H27" i="10"/>
  <c r="C12" i="11"/>
  <c r="G28" i="11" s="1"/>
  <c r="F28" i="11" s="1"/>
  <c r="AC83" i="11"/>
  <c r="AN102" i="11" s="1"/>
  <c r="AD151" i="11" s="1"/>
  <c r="AT39" i="11"/>
  <c r="E64" i="11"/>
  <c r="I71" i="1"/>
  <c r="I72" i="1"/>
  <c r="M67" i="1"/>
  <c r="M65" i="1"/>
  <c r="O64" i="1"/>
  <c r="K70" i="1"/>
  <c r="K62" i="1"/>
  <c r="K63" i="1" s="1"/>
  <c r="C3" i="4"/>
  <c r="G29" i="12"/>
  <c r="F29" i="12" s="1"/>
  <c r="H29" i="12" s="1"/>
  <c r="E68" i="10"/>
  <c r="AN102" i="10"/>
  <c r="AD151" i="10" s="1"/>
  <c r="AR83" i="10"/>
  <c r="AN102" i="9"/>
  <c r="AD151" i="9" s="1"/>
  <c r="C3" i="5"/>
  <c r="H23" i="5"/>
  <c r="C61" i="4"/>
  <c r="C30" i="4"/>
  <c r="C46" i="4"/>
  <c r="C54" i="4"/>
  <c r="C47" i="4"/>
  <c r="C41" i="4"/>
  <c r="C42" i="4"/>
  <c r="C44" i="4"/>
  <c r="C50" i="4"/>
  <c r="C28" i="4"/>
  <c r="C45" i="4"/>
  <c r="C40" i="4"/>
  <c r="C36" i="4"/>
  <c r="C52" i="4"/>
  <c r="C49" i="4"/>
  <c r="C53" i="4"/>
  <c r="C48" i="4"/>
  <c r="C33" i="4"/>
  <c r="C43" i="4"/>
  <c r="C62" i="4"/>
  <c r="C63" i="4"/>
  <c r="C56" i="4"/>
  <c r="C37" i="4"/>
  <c r="C58" i="4"/>
  <c r="C29" i="4"/>
  <c r="C60" i="4"/>
  <c r="C57" i="4"/>
  <c r="C35" i="4"/>
  <c r="C31" i="4"/>
  <c r="C55" i="4"/>
  <c r="C38" i="4"/>
  <c r="C51" i="4"/>
  <c r="C32" i="4"/>
  <c r="C39" i="4"/>
  <c r="C59" i="4"/>
  <c r="C34" i="4"/>
  <c r="K12" i="1"/>
  <c r="L11" i="1"/>
  <c r="K14" i="1"/>
  <c r="K9" i="1" s="1"/>
  <c r="H20" i="1"/>
  <c r="H21" i="1" s="1"/>
  <c r="H3" i="1" s="1"/>
  <c r="H23" i="1" s="1"/>
  <c r="H24" i="1" s="1"/>
  <c r="AQ92" i="1"/>
  <c r="AQ94" i="1" s="1"/>
  <c r="AQ85" i="1" s="1"/>
  <c r="AM94" i="1"/>
  <c r="AM85" i="1" s="1"/>
  <c r="I19" i="1"/>
  <c r="I18" i="1"/>
  <c r="E56" i="1"/>
  <c r="E76" i="1" s="1"/>
  <c r="E77" i="1" s="1"/>
  <c r="E7" i="2"/>
  <c r="AQ66" i="1"/>
  <c r="AQ68" i="1" s="1"/>
  <c r="AQ59" i="1" s="1"/>
  <c r="AM68" i="1"/>
  <c r="AM59" i="1" s="1"/>
  <c r="J17" i="1"/>
  <c r="J10" i="1"/>
  <c r="I124" i="1"/>
  <c r="I123" i="1"/>
  <c r="I125" i="1" s="1"/>
  <c r="I126" i="1" s="1"/>
  <c r="I108" i="1" s="1"/>
  <c r="I128" i="1" s="1"/>
  <c r="I129" i="1" s="1"/>
  <c r="AH68" i="1"/>
  <c r="AH59" i="1" s="1"/>
  <c r="AL66" i="1"/>
  <c r="J71" i="1"/>
  <c r="J72" i="1"/>
  <c r="AG41" i="1"/>
  <c r="AK39" i="1"/>
  <c r="K114" i="1"/>
  <c r="K115" i="1" s="1"/>
  <c r="K122" i="1"/>
  <c r="AL39" i="1"/>
  <c r="AH41" i="1"/>
  <c r="AH32" i="1" s="1"/>
  <c r="P38" i="1"/>
  <c r="R37" i="1"/>
  <c r="P40" i="1"/>
  <c r="AN15" i="1"/>
  <c r="AN6" i="1" s="1"/>
  <c r="AR13" i="1"/>
  <c r="AR15" i="1" s="1"/>
  <c r="AR6" i="1" s="1"/>
  <c r="M119" i="1"/>
  <c r="M117" i="1"/>
  <c r="O116" i="1"/>
  <c r="L45" i="1"/>
  <c r="L44" i="1"/>
  <c r="J46" i="1"/>
  <c r="J47" i="1" s="1"/>
  <c r="J29" i="1" s="1"/>
  <c r="J49" i="1" s="1"/>
  <c r="J50" i="1" s="1"/>
  <c r="AH118" i="1"/>
  <c r="AD120" i="1"/>
  <c r="AD111" i="1" s="1"/>
  <c r="AF41" i="1"/>
  <c r="AF32" i="1" s="1"/>
  <c r="AJ39" i="1"/>
  <c r="AM39" i="1"/>
  <c r="AI41" i="1"/>
  <c r="N43" i="1"/>
  <c r="N35" i="1"/>
  <c r="G125" i="1"/>
  <c r="G126" i="1" s="1"/>
  <c r="F125" i="1"/>
  <c r="F126" i="1" s="1"/>
  <c r="N67" i="1"/>
  <c r="N65" i="1"/>
  <c r="P64" i="1"/>
  <c r="AH94" i="1"/>
  <c r="AH85" i="1" s="1"/>
  <c r="AL92" i="1"/>
  <c r="J114" i="1"/>
  <c r="J115" i="1" s="1"/>
  <c r="J122" i="1"/>
  <c r="H124" i="1"/>
  <c r="H123" i="1"/>
  <c r="AG68" i="1"/>
  <c r="AG59" i="1" s="1"/>
  <c r="AK66" i="1"/>
  <c r="L70" i="1"/>
  <c r="L62" i="1"/>
  <c r="L63" i="1" s="1"/>
  <c r="AJ120" i="1"/>
  <c r="AJ111" i="1" s="1"/>
  <c r="AN118" i="1"/>
  <c r="N116" i="1"/>
  <c r="L119" i="1"/>
  <c r="L117" i="1"/>
  <c r="AO92" i="1"/>
  <c r="AO94" i="1" s="1"/>
  <c r="AO85" i="1" s="1"/>
  <c r="AK94" i="1"/>
  <c r="AK85" i="1" s="1"/>
  <c r="H73" i="1"/>
  <c r="H74" i="1" s="1"/>
  <c r="AF92" i="1"/>
  <c r="AB94" i="1"/>
  <c r="AB85" i="1" s="1"/>
  <c r="AI118" i="1"/>
  <c r="AE120" i="1"/>
  <c r="AE111" i="1" s="1"/>
  <c r="AF66" i="1"/>
  <c r="AB68" i="1"/>
  <c r="AB59" i="1" s="1"/>
  <c r="N86" i="1"/>
  <c r="N60" i="1"/>
  <c r="P36" i="1"/>
  <c r="R33" i="1"/>
  <c r="P112" i="1"/>
  <c r="P7" i="1"/>
  <c r="C12" i="4" l="1"/>
  <c r="G28" i="4" s="1"/>
  <c r="E76" i="4"/>
  <c r="C12" i="5"/>
  <c r="D12" i="5" s="1"/>
  <c r="E88" i="13"/>
  <c r="E88" i="5"/>
  <c r="C12" i="13"/>
  <c r="D12" i="13" s="1"/>
  <c r="AC83" i="13"/>
  <c r="AN102" i="13" s="1"/>
  <c r="AD151" i="13" s="1"/>
  <c r="AG32" i="1"/>
  <c r="AG36" i="1" s="1"/>
  <c r="K45" i="1"/>
  <c r="K44" i="1"/>
  <c r="M43" i="1"/>
  <c r="M35" i="1"/>
  <c r="O40" i="1"/>
  <c r="O38" i="1"/>
  <c r="Q37" i="1"/>
  <c r="J99" i="1"/>
  <c r="J100" i="1" s="1"/>
  <c r="AG120" i="1"/>
  <c r="AG111" i="1" s="1"/>
  <c r="AK118" i="1"/>
  <c r="M96" i="1"/>
  <c r="M88" i="1"/>
  <c r="M89" i="1" s="1"/>
  <c r="P91" i="1"/>
  <c r="P93" i="1"/>
  <c r="R90" i="1"/>
  <c r="O93" i="1"/>
  <c r="O91" i="1"/>
  <c r="Q90" i="1"/>
  <c r="N96" i="1"/>
  <c r="N88" i="1"/>
  <c r="K97" i="1"/>
  <c r="K99" i="1" s="1"/>
  <c r="K100" i="1" s="1"/>
  <c r="K82" i="1" s="1"/>
  <c r="K102" i="1" s="1"/>
  <c r="K103" i="1" s="1"/>
  <c r="K98" i="1"/>
  <c r="AI32" i="1"/>
  <c r="AI36" i="1" s="1"/>
  <c r="L97" i="1"/>
  <c r="L99" i="1" s="1"/>
  <c r="L100" i="1" s="1"/>
  <c r="L98" i="1"/>
  <c r="E40" i="9"/>
  <c r="C12" i="9"/>
  <c r="D12" i="9" s="1"/>
  <c r="G28" i="10"/>
  <c r="F28" i="10" s="1"/>
  <c r="H28" i="10" s="1"/>
  <c r="D12" i="11"/>
  <c r="H28" i="11"/>
  <c r="G29" i="11" s="1"/>
  <c r="K72" i="1"/>
  <c r="K71" i="1"/>
  <c r="K73" i="1" s="1"/>
  <c r="K74" i="1" s="1"/>
  <c r="K56" i="1" s="1"/>
  <c r="K76" i="1" s="1"/>
  <c r="K77" i="1" s="1"/>
  <c r="M70" i="1"/>
  <c r="M62" i="1"/>
  <c r="M63" i="1" s="1"/>
  <c r="J73" i="1"/>
  <c r="J74" i="1" s="1"/>
  <c r="J56" i="1" s="1"/>
  <c r="J76" i="1" s="1"/>
  <c r="J77" i="1" s="1"/>
  <c r="Q64" i="1"/>
  <c r="O67" i="1"/>
  <c r="O65" i="1"/>
  <c r="I73" i="1"/>
  <c r="I74" i="1" s="1"/>
  <c r="I56" i="1" s="1"/>
  <c r="I76" i="1" s="1"/>
  <c r="I77" i="1" s="1"/>
  <c r="G30" i="12"/>
  <c r="G108" i="1"/>
  <c r="G128" i="1" s="1"/>
  <c r="G129" i="1" s="1"/>
  <c r="C9" i="2"/>
  <c r="L46" i="1"/>
  <c r="L47" i="1" s="1"/>
  <c r="L29" i="1" s="1"/>
  <c r="L49" i="1" s="1"/>
  <c r="L50" i="1" s="1"/>
  <c r="AP39" i="1"/>
  <c r="AP41" i="1" s="1"/>
  <c r="AP32" i="1" s="1"/>
  <c r="AL41" i="1"/>
  <c r="AL32" i="1" s="1"/>
  <c r="N45" i="1"/>
  <c r="N44" i="1"/>
  <c r="N46" i="1" s="1"/>
  <c r="N47" i="1" s="1"/>
  <c r="N29" i="1" s="1"/>
  <c r="N49" i="1" s="1"/>
  <c r="N50" i="1" s="1"/>
  <c r="L114" i="1"/>
  <c r="L115" i="1" s="1"/>
  <c r="L122" i="1"/>
  <c r="AN39" i="1"/>
  <c r="AJ41" i="1"/>
  <c r="AJ32" i="1" s="1"/>
  <c r="M114" i="1"/>
  <c r="M115" i="1" s="1"/>
  <c r="M122" i="1"/>
  <c r="N119" i="1"/>
  <c r="N117" i="1"/>
  <c r="P116" i="1"/>
  <c r="H125" i="1"/>
  <c r="H126" i="1" s="1"/>
  <c r="P67" i="1"/>
  <c r="P65" i="1"/>
  <c r="R64" i="1"/>
  <c r="K17" i="1"/>
  <c r="K10" i="1"/>
  <c r="AR17" i="1"/>
  <c r="AR12" i="1"/>
  <c r="L12" i="1"/>
  <c r="M11" i="1"/>
  <c r="L14" i="1"/>
  <c r="L9" i="1" s="1"/>
  <c r="AO66" i="1"/>
  <c r="AO68" i="1" s="1"/>
  <c r="AO59" i="1" s="1"/>
  <c r="AK68" i="1"/>
  <c r="AK59" i="1" s="1"/>
  <c r="AP92" i="1"/>
  <c r="AP94" i="1" s="1"/>
  <c r="AP85" i="1" s="1"/>
  <c r="AL94" i="1"/>
  <c r="AL85" i="1" s="1"/>
  <c r="AQ39" i="1"/>
  <c r="AQ41" i="1" s="1"/>
  <c r="AM41" i="1"/>
  <c r="AF68" i="1"/>
  <c r="AF59" i="1" s="1"/>
  <c r="AJ66" i="1"/>
  <c r="N70" i="1"/>
  <c r="N62" i="1"/>
  <c r="N63" i="1" s="1"/>
  <c r="AP66" i="1"/>
  <c r="AP68" i="1" s="1"/>
  <c r="AP59" i="1" s="1"/>
  <c r="AL68" i="1"/>
  <c r="AL59" i="1" s="1"/>
  <c r="O119" i="1"/>
  <c r="O117" i="1"/>
  <c r="Q116" i="1"/>
  <c r="AR118" i="1"/>
  <c r="AR120" i="1" s="1"/>
  <c r="AR111" i="1" s="1"/>
  <c r="AN120" i="1"/>
  <c r="AN111" i="1" s="1"/>
  <c r="AH120" i="1"/>
  <c r="AH111" i="1" s="1"/>
  <c r="AL118" i="1"/>
  <c r="AF94" i="1"/>
  <c r="AF85" i="1" s="1"/>
  <c r="AJ92" i="1"/>
  <c r="J124" i="1"/>
  <c r="J123" i="1"/>
  <c r="P43" i="1"/>
  <c r="P35" i="1"/>
  <c r="J19" i="1"/>
  <c r="J18" i="1"/>
  <c r="J20" i="1" s="1"/>
  <c r="J21" i="1" s="1"/>
  <c r="J3" i="1" s="1"/>
  <c r="J23" i="1" s="1"/>
  <c r="J24" i="1" s="1"/>
  <c r="AO39" i="1"/>
  <c r="AO41" i="1" s="1"/>
  <c r="AK41" i="1"/>
  <c r="E10" i="2"/>
  <c r="H56" i="1"/>
  <c r="H76" i="1" s="1"/>
  <c r="H77" i="1" s="1"/>
  <c r="T37" i="1"/>
  <c r="R40" i="1"/>
  <c r="R38" i="1"/>
  <c r="I20" i="1"/>
  <c r="I21" i="1" s="1"/>
  <c r="I3" i="1" s="1"/>
  <c r="I23" i="1" s="1"/>
  <c r="I24" i="1" s="1"/>
  <c r="K124" i="1"/>
  <c r="K123" i="1"/>
  <c r="K125" i="1" s="1"/>
  <c r="K126" i="1" s="1"/>
  <c r="K108" i="1" s="1"/>
  <c r="K128" i="1" s="1"/>
  <c r="K129" i="1" s="1"/>
  <c r="AI120" i="1"/>
  <c r="AI111" i="1" s="1"/>
  <c r="AM118" i="1"/>
  <c r="L71" i="1"/>
  <c r="L72" i="1"/>
  <c r="C8" i="2"/>
  <c r="F108" i="1"/>
  <c r="F128" i="1" s="1"/>
  <c r="F129" i="1" s="1"/>
  <c r="P60" i="1"/>
  <c r="T33" i="1"/>
  <c r="R36" i="1"/>
  <c r="N89" i="1"/>
  <c r="P86" i="1"/>
  <c r="R112" i="1"/>
  <c r="R7" i="1"/>
  <c r="D12" i="4" l="1"/>
  <c r="G28" i="13"/>
  <c r="F28" i="13" s="1"/>
  <c r="G28" i="5"/>
  <c r="F28" i="5" s="1"/>
  <c r="H28" i="5" s="1"/>
  <c r="G29" i="5" s="1"/>
  <c r="F29" i="5" s="1"/>
  <c r="D12" i="2"/>
  <c r="L82" i="1"/>
  <c r="L102" i="1" s="1"/>
  <c r="L103" i="1" s="1"/>
  <c r="P96" i="1"/>
  <c r="P88" i="1"/>
  <c r="M97" i="1"/>
  <c r="M98" i="1"/>
  <c r="AO118" i="1"/>
  <c r="AO120" i="1" s="1"/>
  <c r="AO111" i="1" s="1"/>
  <c r="AK120" i="1"/>
  <c r="AK111" i="1" s="1"/>
  <c r="O96" i="1"/>
  <c r="O88" i="1"/>
  <c r="O89" i="1" s="1"/>
  <c r="D11" i="2"/>
  <c r="J82" i="1"/>
  <c r="J102" i="1" s="1"/>
  <c r="J103" i="1" s="1"/>
  <c r="T90" i="1"/>
  <c r="R91" i="1"/>
  <c r="R93" i="1"/>
  <c r="S37" i="1"/>
  <c r="Q38" i="1"/>
  <c r="Q40" i="1"/>
  <c r="AQ32" i="1"/>
  <c r="AQ36" i="1" s="1"/>
  <c r="O43" i="1"/>
  <c r="O35" i="1"/>
  <c r="M45" i="1"/>
  <c r="M44" i="1"/>
  <c r="K46" i="1"/>
  <c r="K47" i="1" s="1"/>
  <c r="K29" i="1" s="1"/>
  <c r="K49" i="1" s="1"/>
  <c r="K50" i="1" s="1"/>
  <c r="AM36" i="1"/>
  <c r="AM32" i="1"/>
  <c r="AK32" i="1"/>
  <c r="AK36" i="1" s="1"/>
  <c r="N98" i="1"/>
  <c r="N97" i="1"/>
  <c r="N99" i="1" s="1"/>
  <c r="N100" i="1" s="1"/>
  <c r="AO32" i="1"/>
  <c r="AO36" i="1" s="1"/>
  <c r="Q91" i="1"/>
  <c r="S90" i="1"/>
  <c r="Q93" i="1"/>
  <c r="G28" i="9"/>
  <c r="F28" i="9" s="1"/>
  <c r="E11" i="2"/>
  <c r="F29" i="11"/>
  <c r="M71" i="1"/>
  <c r="M72" i="1"/>
  <c r="Q65" i="1"/>
  <c r="S64" i="1"/>
  <c r="Q67" i="1"/>
  <c r="O62" i="1"/>
  <c r="O63" i="1" s="1"/>
  <c r="O70" i="1"/>
  <c r="F30" i="12"/>
  <c r="G29" i="10"/>
  <c r="F28" i="4"/>
  <c r="L17" i="1"/>
  <c r="L10" i="1"/>
  <c r="P44" i="1"/>
  <c r="P45" i="1"/>
  <c r="AN66" i="1"/>
  <c r="AJ68" i="1"/>
  <c r="AJ59" i="1" s="1"/>
  <c r="Q119" i="1"/>
  <c r="Q117" i="1"/>
  <c r="S116" i="1"/>
  <c r="R35" i="1"/>
  <c r="R43" i="1"/>
  <c r="J125" i="1"/>
  <c r="J126" i="1" s="1"/>
  <c r="AR19" i="1"/>
  <c r="AR18" i="1"/>
  <c r="P70" i="1"/>
  <c r="P62" i="1"/>
  <c r="P63" i="1" s="1"/>
  <c r="AN41" i="1"/>
  <c r="AN32" i="1" s="1"/>
  <c r="AR39" i="1"/>
  <c r="AR41" i="1" s="1"/>
  <c r="AR32" i="1" s="1"/>
  <c r="C10" i="2"/>
  <c r="H108" i="1"/>
  <c r="H128" i="1" s="1"/>
  <c r="H129" i="1" s="1"/>
  <c r="L123" i="1"/>
  <c r="L124" i="1"/>
  <c r="O122" i="1"/>
  <c r="O114" i="1"/>
  <c r="O115" i="1" s="1"/>
  <c r="AN92" i="1"/>
  <c r="AJ94" i="1"/>
  <c r="AJ85" i="1" s="1"/>
  <c r="P119" i="1"/>
  <c r="P117" i="1"/>
  <c r="R116" i="1"/>
  <c r="M12" i="1"/>
  <c r="N11" i="1"/>
  <c r="M14" i="1"/>
  <c r="M9" i="1" s="1"/>
  <c r="R65" i="1"/>
  <c r="T64" i="1"/>
  <c r="R67" i="1"/>
  <c r="K19" i="1"/>
  <c r="K18" i="1"/>
  <c r="K20" i="1" s="1"/>
  <c r="K21" i="1" s="1"/>
  <c r="K3" i="1" s="1"/>
  <c r="K23" i="1" s="1"/>
  <c r="K24" i="1" s="1"/>
  <c r="M123" i="1"/>
  <c r="M124" i="1"/>
  <c r="L73" i="1"/>
  <c r="L74" i="1" s="1"/>
  <c r="AL120" i="1"/>
  <c r="AL111" i="1" s="1"/>
  <c r="AP118" i="1"/>
  <c r="AP120" i="1" s="1"/>
  <c r="AP111" i="1" s="1"/>
  <c r="N114" i="1"/>
  <c r="N115" i="1" s="1"/>
  <c r="N122" i="1"/>
  <c r="N72" i="1"/>
  <c r="N71" i="1"/>
  <c r="N73" i="1" s="1"/>
  <c r="N74" i="1" s="1"/>
  <c r="T40" i="1"/>
  <c r="T38" i="1"/>
  <c r="V37" i="1"/>
  <c r="AQ118" i="1"/>
  <c r="AQ120" i="1" s="1"/>
  <c r="AQ111" i="1" s="1"/>
  <c r="AM120" i="1"/>
  <c r="AM111" i="1" s="1"/>
  <c r="R60" i="1"/>
  <c r="P89" i="1"/>
  <c r="R86" i="1"/>
  <c r="T36" i="1"/>
  <c r="V33" i="1"/>
  <c r="T112" i="1"/>
  <c r="T7" i="1"/>
  <c r="D13" i="2" l="1"/>
  <c r="N82" i="1"/>
  <c r="N102" i="1" s="1"/>
  <c r="N103" i="1" s="1"/>
  <c r="Q43" i="1"/>
  <c r="Q35" i="1"/>
  <c r="R96" i="1"/>
  <c r="R88" i="1"/>
  <c r="Q96" i="1"/>
  <c r="Q88" i="1"/>
  <c r="Q89" i="1" s="1"/>
  <c r="U37" i="1"/>
  <c r="S38" i="1"/>
  <c r="S40" i="1"/>
  <c r="L125" i="1"/>
  <c r="L126" i="1" s="1"/>
  <c r="L108" i="1" s="1"/>
  <c r="L128" i="1" s="1"/>
  <c r="L129" i="1" s="1"/>
  <c r="M46" i="1"/>
  <c r="M47" i="1" s="1"/>
  <c r="M29" i="1" s="1"/>
  <c r="M49" i="1" s="1"/>
  <c r="M50" i="1" s="1"/>
  <c r="S93" i="1"/>
  <c r="S91" i="1"/>
  <c r="U90" i="1"/>
  <c r="T91" i="1"/>
  <c r="V90" i="1"/>
  <c r="T93" i="1"/>
  <c r="O98" i="1"/>
  <c r="O97" i="1"/>
  <c r="P98" i="1"/>
  <c r="P97" i="1"/>
  <c r="P99" i="1" s="1"/>
  <c r="P100" i="1"/>
  <c r="M99" i="1"/>
  <c r="M100" i="1" s="1"/>
  <c r="M82" i="1" s="1"/>
  <c r="M102" i="1" s="1"/>
  <c r="M103" i="1" s="1"/>
  <c r="O44" i="1"/>
  <c r="O45" i="1"/>
  <c r="H28" i="13"/>
  <c r="G29" i="13" s="1"/>
  <c r="F29" i="13" s="1"/>
  <c r="H29" i="11"/>
  <c r="G30" i="11" s="1"/>
  <c r="O72" i="1"/>
  <c r="O71" i="1"/>
  <c r="O73" i="1" s="1"/>
  <c r="O74" i="1" s="1"/>
  <c r="O56" i="1" s="1"/>
  <c r="O76" i="1" s="1"/>
  <c r="O77" i="1" s="1"/>
  <c r="S67" i="1"/>
  <c r="U64" i="1"/>
  <c r="S65" i="1"/>
  <c r="Q62" i="1"/>
  <c r="Q63" i="1" s="1"/>
  <c r="Q70" i="1"/>
  <c r="M73" i="1"/>
  <c r="M74" i="1" s="1"/>
  <c r="M56" i="1" s="1"/>
  <c r="M76" i="1" s="1"/>
  <c r="M77" i="1" s="1"/>
  <c r="H30" i="12"/>
  <c r="F29" i="10"/>
  <c r="H28" i="9"/>
  <c r="H28" i="4"/>
  <c r="AR20" i="1"/>
  <c r="E13" i="2"/>
  <c r="N56" i="1"/>
  <c r="N76" i="1" s="1"/>
  <c r="N77" i="1" s="1"/>
  <c r="J108" i="1"/>
  <c r="J128" i="1" s="1"/>
  <c r="J129" i="1" s="1"/>
  <c r="C11" i="2"/>
  <c r="N123" i="1"/>
  <c r="N124" i="1"/>
  <c r="R70" i="1"/>
  <c r="R62" i="1"/>
  <c r="R63" i="1" s="1"/>
  <c r="R44" i="1"/>
  <c r="R45" i="1"/>
  <c r="V64" i="1"/>
  <c r="T67" i="1"/>
  <c r="T65" i="1"/>
  <c r="S119" i="1"/>
  <c r="S117" i="1"/>
  <c r="U116" i="1"/>
  <c r="AR66" i="1"/>
  <c r="AR68" i="1" s="1"/>
  <c r="AR59" i="1" s="1"/>
  <c r="AN68" i="1"/>
  <c r="AN59" i="1" s="1"/>
  <c r="V40" i="1"/>
  <c r="V38" i="1"/>
  <c r="X37" i="1"/>
  <c r="AR92" i="1"/>
  <c r="AR94" i="1" s="1"/>
  <c r="AR85" i="1" s="1"/>
  <c r="AN94" i="1"/>
  <c r="AN85" i="1" s="1"/>
  <c r="E12" i="2"/>
  <c r="L56" i="1"/>
  <c r="L76" i="1" s="1"/>
  <c r="L77" i="1" s="1"/>
  <c r="Q122" i="1"/>
  <c r="Q114" i="1"/>
  <c r="Q115" i="1" s="1"/>
  <c r="P46" i="1"/>
  <c r="P47" i="1" s="1"/>
  <c r="P29" i="1" s="1"/>
  <c r="P49" i="1" s="1"/>
  <c r="P50" i="1" s="1"/>
  <c r="T35" i="1"/>
  <c r="T43" i="1"/>
  <c r="M10" i="1"/>
  <c r="M17" i="1"/>
  <c r="P72" i="1"/>
  <c r="P71" i="1"/>
  <c r="L21" i="1"/>
  <c r="L3" i="1" s="1"/>
  <c r="L23" i="1" s="1"/>
  <c r="L24" i="1" s="1"/>
  <c r="R119" i="1"/>
  <c r="R117" i="1"/>
  <c r="T116" i="1"/>
  <c r="M125" i="1"/>
  <c r="M126" i="1" s="1"/>
  <c r="M108" i="1" s="1"/>
  <c r="M128" i="1" s="1"/>
  <c r="M129" i="1" s="1"/>
  <c r="N12" i="1"/>
  <c r="N14" i="1"/>
  <c r="N9" i="1" s="1"/>
  <c r="O11" i="1"/>
  <c r="L19" i="1"/>
  <c r="L18" i="1"/>
  <c r="L20" i="1" s="1"/>
  <c r="P122" i="1"/>
  <c r="P114" i="1"/>
  <c r="P115" i="1" s="1"/>
  <c r="O123" i="1"/>
  <c r="O124" i="1"/>
  <c r="D14" i="2"/>
  <c r="P82" i="1"/>
  <c r="P102" i="1" s="1"/>
  <c r="P103" i="1" s="1"/>
  <c r="V36" i="1"/>
  <c r="X33" i="1"/>
  <c r="R89" i="1"/>
  <c r="T86" i="1"/>
  <c r="T60" i="1"/>
  <c r="V112" i="1"/>
  <c r="V7" i="1"/>
  <c r="W90" i="1" l="1"/>
  <c r="U91" i="1"/>
  <c r="U93" i="1"/>
  <c r="V93" i="1"/>
  <c r="X90" i="1"/>
  <c r="V91" i="1"/>
  <c r="S96" i="1"/>
  <c r="S88" i="1"/>
  <c r="S89" i="1" s="1"/>
  <c r="O125" i="1"/>
  <c r="O126" i="1" s="1"/>
  <c r="O108" i="1" s="1"/>
  <c r="O128" i="1" s="1"/>
  <c r="O129" i="1" s="1"/>
  <c r="Q97" i="1"/>
  <c r="Q98" i="1"/>
  <c r="T96" i="1"/>
  <c r="T88" i="1"/>
  <c r="T89" i="1" s="1"/>
  <c r="O46" i="1"/>
  <c r="O47" i="1" s="1"/>
  <c r="O29" i="1" s="1"/>
  <c r="O49" i="1" s="1"/>
  <c r="O50" i="1" s="1"/>
  <c r="R100" i="1"/>
  <c r="R82" i="1" s="1"/>
  <c r="R102" i="1" s="1"/>
  <c r="R103" i="1" s="1"/>
  <c r="N125" i="1"/>
  <c r="N126" i="1" s="1"/>
  <c r="N108" i="1" s="1"/>
  <c r="N128" i="1" s="1"/>
  <c r="N129" i="1" s="1"/>
  <c r="U40" i="1"/>
  <c r="U38" i="1"/>
  <c r="W37" i="1"/>
  <c r="C12" i="2"/>
  <c r="Q45" i="1"/>
  <c r="Q44" i="1"/>
  <c r="Q46" i="1" s="1"/>
  <c r="Q47" i="1" s="1"/>
  <c r="Q29" i="1" s="1"/>
  <c r="Q49" i="1" s="1"/>
  <c r="Q50" i="1" s="1"/>
  <c r="S43" i="1"/>
  <c r="S35" i="1"/>
  <c r="R98" i="1"/>
  <c r="R97" i="1"/>
  <c r="R99" i="1" s="1"/>
  <c r="O99" i="1"/>
  <c r="O100" i="1" s="1"/>
  <c r="O82" i="1" s="1"/>
  <c r="O102" i="1" s="1"/>
  <c r="O103" i="1" s="1"/>
  <c r="F30" i="11"/>
  <c r="H29" i="13"/>
  <c r="U67" i="1"/>
  <c r="U65" i="1"/>
  <c r="W64" i="1"/>
  <c r="Q72" i="1"/>
  <c r="Q71" i="1"/>
  <c r="S62" i="1"/>
  <c r="S63" i="1" s="1"/>
  <c r="S70" i="1"/>
  <c r="P73" i="1"/>
  <c r="P74" i="1" s="1"/>
  <c r="E14" i="2" s="1"/>
  <c r="G31" i="12"/>
  <c r="H29" i="10"/>
  <c r="G29" i="9"/>
  <c r="G29" i="4"/>
  <c r="Q124" i="1"/>
  <c r="Q123" i="1"/>
  <c r="M19" i="1"/>
  <c r="M18" i="1"/>
  <c r="M20" i="1" s="1"/>
  <c r="M21" i="1" s="1"/>
  <c r="M3" i="1" s="1"/>
  <c r="M23" i="1" s="1"/>
  <c r="M24" i="1" s="1"/>
  <c r="R46" i="1"/>
  <c r="R47" i="1" s="1"/>
  <c r="R29" i="1" s="1"/>
  <c r="R49" i="1" s="1"/>
  <c r="R50" i="1" s="1"/>
  <c r="O12" i="1"/>
  <c r="P11" i="1"/>
  <c r="O14" i="1"/>
  <c r="O9" i="1" s="1"/>
  <c r="T117" i="1"/>
  <c r="V116" i="1"/>
  <c r="T119" i="1"/>
  <c r="X40" i="1"/>
  <c r="X38" i="1"/>
  <c r="Z37" i="1"/>
  <c r="R72" i="1"/>
  <c r="R71" i="1"/>
  <c r="R73" i="1" s="1"/>
  <c r="R74" i="1" s="1"/>
  <c r="R56" i="1" s="1"/>
  <c r="R76" i="1" s="1"/>
  <c r="R77" i="1" s="1"/>
  <c r="P123" i="1"/>
  <c r="P124" i="1"/>
  <c r="S122" i="1"/>
  <c r="S114" i="1"/>
  <c r="S115" i="1" s="1"/>
  <c r="T45" i="1"/>
  <c r="T44" i="1"/>
  <c r="T46" i="1" s="1"/>
  <c r="T47" i="1" s="1"/>
  <c r="T29" i="1" s="1"/>
  <c r="T49" i="1" s="1"/>
  <c r="T50" i="1" s="1"/>
  <c r="T62" i="1"/>
  <c r="T70" i="1"/>
  <c r="U117" i="1"/>
  <c r="W116" i="1"/>
  <c r="U119" i="1"/>
  <c r="N10" i="1"/>
  <c r="N17" i="1"/>
  <c r="R122" i="1"/>
  <c r="R114" i="1"/>
  <c r="R115" i="1" s="1"/>
  <c r="V43" i="1"/>
  <c r="V35" i="1"/>
  <c r="V67" i="1"/>
  <c r="V65" i="1"/>
  <c r="X64" i="1"/>
  <c r="X36" i="1"/>
  <c r="Z33" i="1"/>
  <c r="V86" i="1"/>
  <c r="T63" i="1"/>
  <c r="V60" i="1"/>
  <c r="H29" i="5"/>
  <c r="X112" i="1"/>
  <c r="X7" i="1"/>
  <c r="Q99" i="1" l="1"/>
  <c r="Q100" i="1" s="1"/>
  <c r="Q82" i="1" s="1"/>
  <c r="Q102" i="1" s="1"/>
  <c r="Q103" i="1" s="1"/>
  <c r="U35" i="1"/>
  <c r="U43" i="1"/>
  <c r="S98" i="1"/>
  <c r="S97" i="1"/>
  <c r="V96" i="1"/>
  <c r="V88" i="1"/>
  <c r="V89" i="1" s="1"/>
  <c r="U96" i="1"/>
  <c r="U88" i="1"/>
  <c r="U89" i="1" s="1"/>
  <c r="W38" i="1"/>
  <c r="W40" i="1"/>
  <c r="Y37" i="1"/>
  <c r="T98" i="1"/>
  <c r="T97" i="1"/>
  <c r="T99" i="1" s="1"/>
  <c r="T100" i="1" s="1"/>
  <c r="X93" i="1"/>
  <c r="X91" i="1"/>
  <c r="Z90" i="1"/>
  <c r="C13" i="2"/>
  <c r="S44" i="1"/>
  <c r="S46" i="1" s="1"/>
  <c r="S47" i="1" s="1"/>
  <c r="S29" i="1" s="1"/>
  <c r="S49" i="1" s="1"/>
  <c r="S50" i="1" s="1"/>
  <c r="S45" i="1"/>
  <c r="D15" i="2"/>
  <c r="Y90" i="1"/>
  <c r="W91" i="1"/>
  <c r="W93" i="1"/>
  <c r="H30" i="11"/>
  <c r="G31" i="11" s="1"/>
  <c r="G30" i="13"/>
  <c r="P56" i="1"/>
  <c r="P76" i="1" s="1"/>
  <c r="P77" i="1" s="1"/>
  <c r="S72" i="1"/>
  <c r="S71" i="1"/>
  <c r="S73" i="1" s="1"/>
  <c r="S74" i="1" s="1"/>
  <c r="S56" i="1" s="1"/>
  <c r="S76" i="1" s="1"/>
  <c r="S77" i="1" s="1"/>
  <c r="W67" i="1"/>
  <c r="W65" i="1"/>
  <c r="Y64" i="1"/>
  <c r="Q73" i="1"/>
  <c r="Q74" i="1" s="1"/>
  <c r="Q56" i="1" s="1"/>
  <c r="Q76" i="1" s="1"/>
  <c r="Q77" i="1" s="1"/>
  <c r="U62" i="1"/>
  <c r="U63" i="1" s="1"/>
  <c r="U70" i="1"/>
  <c r="F31" i="12"/>
  <c r="G30" i="10"/>
  <c r="F29" i="9"/>
  <c r="F29" i="4"/>
  <c r="P12" i="1"/>
  <c r="Q11" i="1"/>
  <c r="P14" i="1"/>
  <c r="P9" i="1" s="1"/>
  <c r="Q125" i="1"/>
  <c r="Q126" i="1" s="1"/>
  <c r="Q108" i="1" s="1"/>
  <c r="Q128" i="1" s="1"/>
  <c r="Q129" i="1" s="1"/>
  <c r="P125" i="1"/>
  <c r="P126" i="1" s="1"/>
  <c r="T72" i="1"/>
  <c r="T71" i="1"/>
  <c r="S124" i="1"/>
  <c r="S123" i="1"/>
  <c r="S125" i="1" s="1"/>
  <c r="S126" i="1" s="1"/>
  <c r="S108" i="1" s="1"/>
  <c r="S128" i="1" s="1"/>
  <c r="S129" i="1" s="1"/>
  <c r="X116" i="1"/>
  <c r="V117" i="1"/>
  <c r="V119" i="1"/>
  <c r="Z40" i="1"/>
  <c r="Z38" i="1"/>
  <c r="AB37" i="1"/>
  <c r="V62" i="1"/>
  <c r="V63" i="1" s="1"/>
  <c r="V70" i="1"/>
  <c r="Y116" i="1"/>
  <c r="W119" i="1"/>
  <c r="W117" i="1"/>
  <c r="X43" i="1"/>
  <c r="X35" i="1"/>
  <c r="V45" i="1"/>
  <c r="V44" i="1"/>
  <c r="V46" i="1" s="1"/>
  <c r="V47" i="1" s="1"/>
  <c r="V29" i="1" s="1"/>
  <c r="V49" i="1" s="1"/>
  <c r="V50" i="1" s="1"/>
  <c r="R124" i="1"/>
  <c r="R123" i="1"/>
  <c r="R125" i="1" s="1"/>
  <c r="R126" i="1" s="1"/>
  <c r="T122" i="1"/>
  <c r="T114" i="1"/>
  <c r="T115" i="1" s="1"/>
  <c r="X67" i="1"/>
  <c r="X65" i="1"/>
  <c r="Z64" i="1"/>
  <c r="U122" i="1"/>
  <c r="U114" i="1"/>
  <c r="U115" i="1" s="1"/>
  <c r="E15" i="2"/>
  <c r="N19" i="1"/>
  <c r="N18" i="1"/>
  <c r="N20" i="1" s="1"/>
  <c r="N21" i="1" s="1"/>
  <c r="N3" i="1" s="1"/>
  <c r="N23" i="1" s="1"/>
  <c r="N24" i="1" s="1"/>
  <c r="O10" i="1"/>
  <c r="O17" i="1"/>
  <c r="G30" i="5"/>
  <c r="F30" i="5" s="1"/>
  <c r="Z36" i="1"/>
  <c r="AB33" i="1"/>
  <c r="X60" i="1"/>
  <c r="X86" i="1"/>
  <c r="Z112" i="1"/>
  <c r="Z7" i="1"/>
  <c r="X10" i="1"/>
  <c r="X21" i="1" s="1"/>
  <c r="T82" i="1" l="1"/>
  <c r="T102" i="1" s="1"/>
  <c r="T103" i="1" s="1"/>
  <c r="D16" i="2"/>
  <c r="Z93" i="1"/>
  <c r="Z91" i="1"/>
  <c r="AB90" i="1"/>
  <c r="U97" i="1"/>
  <c r="U98" i="1"/>
  <c r="X96" i="1"/>
  <c r="X88" i="1"/>
  <c r="X89" i="1" s="1"/>
  <c r="V97" i="1"/>
  <c r="V98" i="1"/>
  <c r="S99" i="1"/>
  <c r="S100" i="1" s="1"/>
  <c r="S82" i="1" s="1"/>
  <c r="S102" i="1" s="1"/>
  <c r="S103" i="1" s="1"/>
  <c r="Y40" i="1"/>
  <c r="Y38" i="1"/>
  <c r="AA37" i="1"/>
  <c r="U44" i="1"/>
  <c r="U46" i="1" s="1"/>
  <c r="U47" i="1" s="1"/>
  <c r="U29" i="1" s="1"/>
  <c r="U49" i="1" s="1"/>
  <c r="U50" i="1" s="1"/>
  <c r="U45" i="1"/>
  <c r="W88" i="1"/>
  <c r="W89" i="1" s="1"/>
  <c r="W96" i="1"/>
  <c r="W43" i="1"/>
  <c r="W35" i="1"/>
  <c r="Y91" i="1"/>
  <c r="Y93" i="1"/>
  <c r="AA90" i="1"/>
  <c r="F31" i="11"/>
  <c r="F30" i="13"/>
  <c r="W62" i="1"/>
  <c r="W63" i="1" s="1"/>
  <c r="W70" i="1"/>
  <c r="Y67" i="1"/>
  <c r="AA64" i="1"/>
  <c r="Y65" i="1"/>
  <c r="U71" i="1"/>
  <c r="U72" i="1"/>
  <c r="H31" i="12"/>
  <c r="F30" i="10"/>
  <c r="H29" i="9"/>
  <c r="H29" i="4"/>
  <c r="R108" i="1"/>
  <c r="R128" i="1" s="1"/>
  <c r="R129" i="1" s="1"/>
  <c r="C15" i="2"/>
  <c r="Z116" i="1"/>
  <c r="X119" i="1"/>
  <c r="X117" i="1"/>
  <c r="V114" i="1"/>
  <c r="V115" i="1" s="1"/>
  <c r="V122" i="1"/>
  <c r="X70" i="1"/>
  <c r="X62" i="1"/>
  <c r="X63" i="1" s="1"/>
  <c r="Z67" i="1"/>
  <c r="Z65" i="1"/>
  <c r="AB64" i="1"/>
  <c r="W114" i="1"/>
  <c r="W115" i="1" s="1"/>
  <c r="W122" i="1"/>
  <c r="V71" i="1"/>
  <c r="V72" i="1"/>
  <c r="X45" i="1"/>
  <c r="X44" i="1"/>
  <c r="X46" i="1" s="1"/>
  <c r="X47" i="1" s="1"/>
  <c r="X29" i="1" s="1"/>
  <c r="X49" i="1" s="1"/>
  <c r="X50" i="1" s="1"/>
  <c r="Y119" i="1"/>
  <c r="Y117" i="1"/>
  <c r="AA116" i="1"/>
  <c r="P10" i="1"/>
  <c r="P17" i="1"/>
  <c r="O18" i="1"/>
  <c r="O19" i="1"/>
  <c r="AB38" i="1"/>
  <c r="AD37" i="1"/>
  <c r="AB40" i="1"/>
  <c r="R11" i="1"/>
  <c r="Q14" i="1"/>
  <c r="Q9" i="1" s="1"/>
  <c r="Q12" i="1"/>
  <c r="C14" i="2"/>
  <c r="P108" i="1"/>
  <c r="P128" i="1" s="1"/>
  <c r="P129" i="1" s="1"/>
  <c r="T124" i="1"/>
  <c r="T123" i="1"/>
  <c r="T125" i="1" s="1"/>
  <c r="T126" i="1" s="1"/>
  <c r="U124" i="1"/>
  <c r="U123" i="1"/>
  <c r="Z43" i="1"/>
  <c r="Z35" i="1"/>
  <c r="T73" i="1"/>
  <c r="T74" i="1" s="1"/>
  <c r="Z86" i="1"/>
  <c r="Z60" i="1"/>
  <c r="AB36" i="1"/>
  <c r="AD33" i="1"/>
  <c r="AB112" i="1"/>
  <c r="X3" i="1"/>
  <c r="X23" i="1" s="1"/>
  <c r="X24" i="1" s="1"/>
  <c r="AB7" i="1"/>
  <c r="AA40" i="1" l="1"/>
  <c r="AC37" i="1"/>
  <c r="AA38" i="1"/>
  <c r="U125" i="1"/>
  <c r="U126" i="1" s="1"/>
  <c r="U108" i="1" s="1"/>
  <c r="U128" i="1" s="1"/>
  <c r="U129" i="1" s="1"/>
  <c r="X98" i="1"/>
  <c r="X97" i="1"/>
  <c r="X99" i="1" s="1"/>
  <c r="X100" i="1" s="1"/>
  <c r="U99" i="1"/>
  <c r="U100" i="1" s="1"/>
  <c r="U82" i="1" s="1"/>
  <c r="U102" i="1" s="1"/>
  <c r="U103" i="1" s="1"/>
  <c r="AB93" i="1"/>
  <c r="AB91" i="1"/>
  <c r="AD90" i="1"/>
  <c r="AC90" i="1"/>
  <c r="AA91" i="1"/>
  <c r="AA93" i="1"/>
  <c r="Z96" i="1"/>
  <c r="Z88" i="1"/>
  <c r="Z89" i="1" s="1"/>
  <c r="W97" i="1"/>
  <c r="W98" i="1"/>
  <c r="Y43" i="1"/>
  <c r="Y35" i="1"/>
  <c r="V99" i="1"/>
  <c r="V100" i="1" s="1"/>
  <c r="Y96" i="1"/>
  <c r="Y88" i="1"/>
  <c r="Y89" i="1" s="1"/>
  <c r="W45" i="1"/>
  <c r="W44" i="1"/>
  <c r="W46" i="1" s="1"/>
  <c r="W47" i="1" s="1"/>
  <c r="W29" i="1" s="1"/>
  <c r="W49" i="1" s="1"/>
  <c r="W50" i="1" s="1"/>
  <c r="H31" i="11"/>
  <c r="H30" i="13"/>
  <c r="AA67" i="1"/>
  <c r="AA65" i="1"/>
  <c r="AC64" i="1"/>
  <c r="Y70" i="1"/>
  <c r="Y62" i="1"/>
  <c r="Y63" i="1" s="1"/>
  <c r="U73" i="1"/>
  <c r="U74" i="1" s="1"/>
  <c r="U56" i="1" s="1"/>
  <c r="U76" i="1" s="1"/>
  <c r="U77" i="1" s="1"/>
  <c r="W72" i="1"/>
  <c r="W71" i="1"/>
  <c r="W73" i="1" s="1"/>
  <c r="W74" i="1" s="1"/>
  <c r="W56" i="1" s="1"/>
  <c r="W76" i="1" s="1"/>
  <c r="W77" i="1" s="1"/>
  <c r="G32" i="12"/>
  <c r="H30" i="10"/>
  <c r="G30" i="9"/>
  <c r="G30" i="4"/>
  <c r="T108" i="1"/>
  <c r="T128" i="1" s="1"/>
  <c r="T129" i="1" s="1"/>
  <c r="C16" i="2"/>
  <c r="AB43" i="1"/>
  <c r="AB35" i="1"/>
  <c r="W124" i="1"/>
  <c r="W123" i="1"/>
  <c r="W125" i="1" s="1"/>
  <c r="W126" i="1" s="1"/>
  <c r="W108" i="1" s="1"/>
  <c r="W128" i="1" s="1"/>
  <c r="W129" i="1" s="1"/>
  <c r="V126" i="1"/>
  <c r="Z119" i="1"/>
  <c r="Z117" i="1"/>
  <c r="AB116" i="1"/>
  <c r="AA119" i="1"/>
  <c r="AA117" i="1"/>
  <c r="AC116" i="1"/>
  <c r="AB67" i="1"/>
  <c r="AB65" i="1"/>
  <c r="AD64" i="1"/>
  <c r="Z70" i="1"/>
  <c r="Z62" i="1"/>
  <c r="Z63" i="1" s="1"/>
  <c r="X114" i="1"/>
  <c r="X115" i="1" s="1"/>
  <c r="X122" i="1"/>
  <c r="V73" i="1"/>
  <c r="V74" i="1" s="1"/>
  <c r="E16" i="2"/>
  <c r="T56" i="1"/>
  <c r="T76" i="1" s="1"/>
  <c r="T77" i="1" s="1"/>
  <c r="Q10" i="1"/>
  <c r="Q17" i="1"/>
  <c r="O20" i="1"/>
  <c r="O21" i="1" s="1"/>
  <c r="O3" i="1" s="1"/>
  <c r="O23" i="1" s="1"/>
  <c r="O24" i="1" s="1"/>
  <c r="Y114" i="1"/>
  <c r="Y115" i="1" s="1"/>
  <c r="Y122" i="1"/>
  <c r="S11" i="1"/>
  <c r="R14" i="1"/>
  <c r="R9" i="1" s="1"/>
  <c r="R12" i="1"/>
  <c r="P18" i="1"/>
  <c r="P19" i="1"/>
  <c r="X71" i="1"/>
  <c r="X72" i="1"/>
  <c r="AF37" i="1"/>
  <c r="AD40" i="1"/>
  <c r="AD38" i="1"/>
  <c r="Z45" i="1"/>
  <c r="Z44" i="1"/>
  <c r="V124" i="1"/>
  <c r="V123" i="1"/>
  <c r="V125" i="1" s="1"/>
  <c r="AD36" i="1"/>
  <c r="AF33" i="1"/>
  <c r="H30" i="5"/>
  <c r="AB60" i="1"/>
  <c r="AB86" i="1"/>
  <c r="AD112" i="1"/>
  <c r="AD7" i="1"/>
  <c r="D18" i="2" l="1"/>
  <c r="X82" i="1"/>
  <c r="X102" i="1" s="1"/>
  <c r="X103" i="1" s="1"/>
  <c r="AB96" i="1"/>
  <c r="AB88" i="1"/>
  <c r="Y44" i="1"/>
  <c r="Y45" i="1"/>
  <c r="AC93" i="1"/>
  <c r="AC91" i="1"/>
  <c r="AE90" i="1"/>
  <c r="W99" i="1"/>
  <c r="W100" i="1" s="1"/>
  <c r="W82" i="1" s="1"/>
  <c r="W102" i="1" s="1"/>
  <c r="W103" i="1" s="1"/>
  <c r="AD91" i="1"/>
  <c r="AD93" i="1"/>
  <c r="AF90" i="1"/>
  <c r="Z98" i="1"/>
  <c r="Z97" i="1"/>
  <c r="Z99" i="1" s="1"/>
  <c r="Z100" i="1" s="1"/>
  <c r="AA96" i="1"/>
  <c r="AA88" i="1"/>
  <c r="AA89" i="1" s="1"/>
  <c r="AC40" i="1"/>
  <c r="AC38" i="1"/>
  <c r="AE37" i="1"/>
  <c r="AA43" i="1"/>
  <c r="AA35" i="1"/>
  <c r="Y97" i="1"/>
  <c r="Y98" i="1"/>
  <c r="Z46" i="1"/>
  <c r="Z47" i="1" s="1"/>
  <c r="Z29" i="1" s="1"/>
  <c r="Z49" i="1" s="1"/>
  <c r="Z50" i="1" s="1"/>
  <c r="D17" i="2"/>
  <c r="V82" i="1"/>
  <c r="V102" i="1" s="1"/>
  <c r="V103" i="1" s="1"/>
  <c r="G32" i="11"/>
  <c r="F32" i="11" s="1"/>
  <c r="H32" i="11" s="1"/>
  <c r="G33" i="11" s="1"/>
  <c r="F33" i="11" s="1"/>
  <c r="H33" i="11" s="1"/>
  <c r="G34" i="11" s="1"/>
  <c r="F34" i="11" s="1"/>
  <c r="H34" i="11" s="1"/>
  <c r="G35" i="11" s="1"/>
  <c r="F35" i="11" s="1"/>
  <c r="H35" i="11" s="1"/>
  <c r="G36" i="11" s="1"/>
  <c r="F36" i="11" s="1"/>
  <c r="H36" i="11" s="1"/>
  <c r="G37" i="11" s="1"/>
  <c r="F37" i="11" s="1"/>
  <c r="H37" i="11" s="1"/>
  <c r="G38" i="11" s="1"/>
  <c r="F38" i="11" s="1"/>
  <c r="H38" i="11" s="1"/>
  <c r="G39" i="11" s="1"/>
  <c r="F39" i="11" s="1"/>
  <c r="H39" i="11" s="1"/>
  <c r="G40" i="11" s="1"/>
  <c r="F40" i="11" s="1"/>
  <c r="H40" i="11" s="1"/>
  <c r="G41" i="11" s="1"/>
  <c r="F41" i="11" s="1"/>
  <c r="H41" i="11" s="1"/>
  <c r="G42" i="11" s="1"/>
  <c r="F42" i="11" s="1"/>
  <c r="H42" i="11" s="1"/>
  <c r="G43" i="11" s="1"/>
  <c r="F43" i="11" s="1"/>
  <c r="H43" i="11" s="1"/>
  <c r="G44" i="11" s="1"/>
  <c r="F44" i="11" s="1"/>
  <c r="H44" i="11" s="1"/>
  <c r="G45" i="11" s="1"/>
  <c r="F45" i="11" s="1"/>
  <c r="H45" i="11" s="1"/>
  <c r="G46" i="11" s="1"/>
  <c r="F46" i="11" s="1"/>
  <c r="H46" i="11" s="1"/>
  <c r="G47" i="11" s="1"/>
  <c r="F47" i="11" s="1"/>
  <c r="H47" i="11" s="1"/>
  <c r="G48" i="11" s="1"/>
  <c r="F48" i="11" s="1"/>
  <c r="H48" i="11" s="1"/>
  <c r="G49" i="11" s="1"/>
  <c r="F49" i="11" s="1"/>
  <c r="H49" i="11" s="1"/>
  <c r="G50" i="11" s="1"/>
  <c r="F50" i="11" s="1"/>
  <c r="H50" i="11" s="1"/>
  <c r="G51" i="11" s="1"/>
  <c r="F51" i="11" s="1"/>
  <c r="H51" i="11" s="1"/>
  <c r="G52" i="11" s="1"/>
  <c r="F52" i="11" s="1"/>
  <c r="H52" i="11" s="1"/>
  <c r="G53" i="11" s="1"/>
  <c r="F53" i="11" s="1"/>
  <c r="H53" i="11" s="1"/>
  <c r="G54" i="11" s="1"/>
  <c r="F54" i="11" s="1"/>
  <c r="H54" i="11" s="1"/>
  <c r="G55" i="11" s="1"/>
  <c r="F55" i="11" s="1"/>
  <c r="H55" i="11" s="1"/>
  <c r="G31" i="13"/>
  <c r="X73" i="1"/>
  <c r="X74" i="1" s="1"/>
  <c r="E18" i="2" s="1"/>
  <c r="Y72" i="1"/>
  <c r="Y71" i="1"/>
  <c r="Y73" i="1" s="1"/>
  <c r="Y74" i="1" s="1"/>
  <c r="Y56" i="1" s="1"/>
  <c r="Y76" i="1" s="1"/>
  <c r="Y77" i="1" s="1"/>
  <c r="AE64" i="1"/>
  <c r="AC65" i="1"/>
  <c r="AC67" i="1"/>
  <c r="AA62" i="1"/>
  <c r="AA63" i="1" s="1"/>
  <c r="AA70" i="1"/>
  <c r="F32" i="12"/>
  <c r="H32" i="12" s="1"/>
  <c r="G33" i="12" s="1"/>
  <c r="F33" i="12" s="1"/>
  <c r="H33" i="12" s="1"/>
  <c r="G34" i="12" s="1"/>
  <c r="F34" i="12" s="1"/>
  <c r="H34" i="12" s="1"/>
  <c r="G35" i="12" s="1"/>
  <c r="F35" i="12" s="1"/>
  <c r="H35" i="12" s="1"/>
  <c r="G36" i="12" s="1"/>
  <c r="F36" i="12" s="1"/>
  <c r="H36" i="12" s="1"/>
  <c r="G37" i="12" s="1"/>
  <c r="F37" i="12" s="1"/>
  <c r="H37" i="12" s="1"/>
  <c r="G38" i="12" s="1"/>
  <c r="F38" i="12" s="1"/>
  <c r="H38" i="12" s="1"/>
  <c r="G31" i="10"/>
  <c r="F30" i="9"/>
  <c r="F30" i="4"/>
  <c r="X123" i="1"/>
  <c r="X124" i="1"/>
  <c r="AD65" i="1"/>
  <c r="AF64" i="1"/>
  <c r="AD67" i="1"/>
  <c r="V108" i="1"/>
  <c r="V128" i="1" s="1"/>
  <c r="V129" i="1" s="1"/>
  <c r="C17" i="2"/>
  <c r="Z114" i="1"/>
  <c r="Z115" i="1" s="1"/>
  <c r="Z122" i="1"/>
  <c r="AC119" i="1"/>
  <c r="AC117" i="1"/>
  <c r="AE116" i="1"/>
  <c r="R10" i="1"/>
  <c r="R17" i="1"/>
  <c r="AB44" i="1"/>
  <c r="AB45" i="1"/>
  <c r="Z72" i="1"/>
  <c r="Z71" i="1"/>
  <c r="P20" i="1"/>
  <c r="P21" i="1" s="1"/>
  <c r="P3" i="1" s="1"/>
  <c r="P23" i="1" s="1"/>
  <c r="P24" i="1" s="1"/>
  <c r="AD35" i="1"/>
  <c r="AD43" i="1"/>
  <c r="S14" i="1"/>
  <c r="S9" i="1" s="1"/>
  <c r="T11" i="1"/>
  <c r="S12" i="1"/>
  <c r="AA122" i="1"/>
  <c r="AA114" i="1"/>
  <c r="AA115" i="1" s="1"/>
  <c r="AF40" i="1"/>
  <c r="AF38" i="1"/>
  <c r="AH37" i="1"/>
  <c r="Y123" i="1"/>
  <c r="Y124" i="1"/>
  <c r="AB70" i="1"/>
  <c r="AB62" i="1"/>
  <c r="AB63" i="1" s="1"/>
  <c r="Q18" i="1"/>
  <c r="Q19" i="1"/>
  <c r="E17" i="2"/>
  <c r="V56" i="1"/>
  <c r="V76" i="1" s="1"/>
  <c r="V77" i="1" s="1"/>
  <c r="AB119" i="1"/>
  <c r="AB117" i="1"/>
  <c r="AD116" i="1"/>
  <c r="AB89" i="1"/>
  <c r="AD86" i="1"/>
  <c r="G31" i="5"/>
  <c r="F31" i="5" s="1"/>
  <c r="AH33" i="1"/>
  <c r="AF36" i="1"/>
  <c r="AD60" i="1"/>
  <c r="AF112" i="1"/>
  <c r="AF7" i="1"/>
  <c r="Z82" i="1" l="1"/>
  <c r="Z102" i="1" s="1"/>
  <c r="Z103" i="1" s="1"/>
  <c r="D19" i="2"/>
  <c r="AD96" i="1"/>
  <c r="AD88" i="1"/>
  <c r="AH90" i="1"/>
  <c r="AF93" i="1"/>
  <c r="AF91" i="1"/>
  <c r="AE91" i="1"/>
  <c r="AG90" i="1"/>
  <c r="AE93" i="1"/>
  <c r="AC88" i="1"/>
  <c r="AC89" i="1" s="1"/>
  <c r="AC96" i="1"/>
  <c r="AA98" i="1"/>
  <c r="AA97" i="1"/>
  <c r="AA99" i="1" s="1"/>
  <c r="AA100" i="1" s="1"/>
  <c r="AA82" i="1" s="1"/>
  <c r="AA102" i="1" s="1"/>
  <c r="AA103" i="1" s="1"/>
  <c r="Y46" i="1"/>
  <c r="Y47" i="1" s="1"/>
  <c r="Y29" i="1" s="1"/>
  <c r="Y49" i="1" s="1"/>
  <c r="Y50" i="1" s="1"/>
  <c r="Y99" i="1"/>
  <c r="Y100" i="1" s="1"/>
  <c r="Y82" i="1" s="1"/>
  <c r="Y102" i="1" s="1"/>
  <c r="Y103" i="1" s="1"/>
  <c r="AB97" i="1"/>
  <c r="AB98" i="1"/>
  <c r="AC43" i="1"/>
  <c r="AC35" i="1"/>
  <c r="X56" i="1"/>
  <c r="X76" i="1" s="1"/>
  <c r="X77" i="1" s="1"/>
  <c r="AA44" i="1"/>
  <c r="AA46" i="1" s="1"/>
  <c r="AA47" i="1" s="1"/>
  <c r="AA29" i="1" s="1"/>
  <c r="AA49" i="1" s="1"/>
  <c r="AA50" i="1" s="1"/>
  <c r="AA45" i="1"/>
  <c r="AE40" i="1"/>
  <c r="AG37" i="1"/>
  <c r="AE38" i="1"/>
  <c r="G56" i="11"/>
  <c r="F56" i="11" s="1"/>
  <c r="H56" i="11" s="1"/>
  <c r="G57" i="11" s="1"/>
  <c r="F57" i="11" s="1"/>
  <c r="H57" i="11" s="1"/>
  <c r="G58" i="11" s="1"/>
  <c r="F58" i="11" s="1"/>
  <c r="H58" i="11" s="1"/>
  <c r="G59" i="11" s="1"/>
  <c r="F59" i="11" s="1"/>
  <c r="H59" i="11" s="1"/>
  <c r="G60" i="11" s="1"/>
  <c r="F60" i="11" s="1"/>
  <c r="H60" i="11" s="1"/>
  <c r="G61" i="11" s="1"/>
  <c r="F61" i="11" s="1"/>
  <c r="H61" i="11" s="1"/>
  <c r="G62" i="11" s="1"/>
  <c r="F62" i="11" s="1"/>
  <c r="H62" i="11" s="1"/>
  <c r="G63" i="11" s="1"/>
  <c r="F31" i="13"/>
  <c r="AA72" i="1"/>
  <c r="AA71" i="1"/>
  <c r="AA73" i="1" s="1"/>
  <c r="AA74" i="1" s="1"/>
  <c r="AA56" i="1" s="1"/>
  <c r="AA76" i="1" s="1"/>
  <c r="AA77" i="1" s="1"/>
  <c r="AE65" i="1"/>
  <c r="AE67" i="1"/>
  <c r="AG64" i="1"/>
  <c r="AC62" i="1"/>
  <c r="AC63" i="1" s="1"/>
  <c r="AC70" i="1"/>
  <c r="G39" i="12"/>
  <c r="F39" i="12" s="1"/>
  <c r="H39" i="12" s="1"/>
  <c r="G40" i="12" s="1"/>
  <c r="F40" i="12" s="1"/>
  <c r="H40" i="12" s="1"/>
  <c r="G41" i="12" s="1"/>
  <c r="F41" i="12" s="1"/>
  <c r="H41" i="12" s="1"/>
  <c r="G42" i="12" s="1"/>
  <c r="F42" i="12" s="1"/>
  <c r="H42" i="12" s="1"/>
  <c r="G43" i="12" s="1"/>
  <c r="F43" i="12" s="1"/>
  <c r="H43" i="12" s="1"/>
  <c r="G44" i="12" s="1"/>
  <c r="F44" i="12" s="1"/>
  <c r="H44" i="12" s="1"/>
  <c r="G45" i="12" s="1"/>
  <c r="F45" i="12" s="1"/>
  <c r="H45" i="12" s="1"/>
  <c r="G46" i="12" s="1"/>
  <c r="F46" i="12" s="1"/>
  <c r="H46" i="12" s="1"/>
  <c r="F31" i="10"/>
  <c r="H30" i="9"/>
  <c r="H30" i="4"/>
  <c r="AF35" i="1"/>
  <c r="AF43" i="1"/>
  <c r="Z73" i="1"/>
  <c r="Z74" i="1" s="1"/>
  <c r="AB72" i="1"/>
  <c r="AB71" i="1"/>
  <c r="AB73" i="1" s="1"/>
  <c r="AB74" i="1" s="1"/>
  <c r="AD70" i="1"/>
  <c r="AD62" i="1"/>
  <c r="AD63" i="1" s="1"/>
  <c r="AB122" i="1"/>
  <c r="AB114" i="1"/>
  <c r="AB115" i="1" s="1"/>
  <c r="AA123" i="1"/>
  <c r="AA124" i="1"/>
  <c r="AH64" i="1"/>
  <c r="AF67" i="1"/>
  <c r="AF65" i="1"/>
  <c r="R18" i="1"/>
  <c r="R19" i="1"/>
  <c r="AE119" i="1"/>
  <c r="AE117" i="1"/>
  <c r="AG116" i="1"/>
  <c r="Q20" i="1"/>
  <c r="Q21" i="1" s="1"/>
  <c r="Q3" i="1" s="1"/>
  <c r="Q23" i="1" s="1"/>
  <c r="Q24" i="1" s="1"/>
  <c r="T14" i="1"/>
  <c r="T9" i="1" s="1"/>
  <c r="T12" i="1"/>
  <c r="U11" i="1"/>
  <c r="S10" i="1"/>
  <c r="S17" i="1"/>
  <c r="AC122" i="1"/>
  <c r="AC114" i="1"/>
  <c r="AC115" i="1" s="1"/>
  <c r="X125" i="1"/>
  <c r="X126" i="1" s="1"/>
  <c r="AB46" i="1"/>
  <c r="AB47" i="1" s="1"/>
  <c r="AB29" i="1" s="1"/>
  <c r="AB49" i="1" s="1"/>
  <c r="AB50" i="1" s="1"/>
  <c r="Y125" i="1"/>
  <c r="Y126" i="1" s="1"/>
  <c r="Y108" i="1" s="1"/>
  <c r="Y128" i="1" s="1"/>
  <c r="Y129" i="1" s="1"/>
  <c r="AD44" i="1"/>
  <c r="AD45" i="1"/>
  <c r="AD119" i="1"/>
  <c r="AD117" i="1"/>
  <c r="AF116" i="1"/>
  <c r="AH40" i="1"/>
  <c r="AH38" i="1"/>
  <c r="AJ37" i="1"/>
  <c r="Z123" i="1"/>
  <c r="Z124" i="1"/>
  <c r="AJ33" i="1"/>
  <c r="AH36" i="1"/>
  <c r="AF60" i="1"/>
  <c r="AD89" i="1"/>
  <c r="AF86" i="1"/>
  <c r="AH112" i="1"/>
  <c r="AH7" i="1"/>
  <c r="AC44" i="1" l="1"/>
  <c r="AC45" i="1"/>
  <c r="AE96" i="1"/>
  <c r="AE88" i="1"/>
  <c r="AE89" i="1" s="1"/>
  <c r="AG93" i="1"/>
  <c r="AI90" i="1"/>
  <c r="AG91" i="1"/>
  <c r="AB99" i="1"/>
  <c r="AB100" i="1" s="1"/>
  <c r="AG38" i="1"/>
  <c r="AI37" i="1"/>
  <c r="AG40" i="1"/>
  <c r="AF88" i="1"/>
  <c r="AF89" i="1" s="1"/>
  <c r="AF96" i="1"/>
  <c r="AH91" i="1"/>
  <c r="AJ90" i="1"/>
  <c r="AH93" i="1"/>
  <c r="AD98" i="1"/>
  <c r="AD97" i="1"/>
  <c r="AD99" i="1" s="1"/>
  <c r="AD100" i="1" s="1"/>
  <c r="AC97" i="1"/>
  <c r="AC99" i="1" s="1"/>
  <c r="AC100" i="1" s="1"/>
  <c r="AC82" i="1" s="1"/>
  <c r="AC102" i="1" s="1"/>
  <c r="AC103" i="1" s="1"/>
  <c r="AC98" i="1"/>
  <c r="AE43" i="1"/>
  <c r="AE35" i="1"/>
  <c r="R20" i="1"/>
  <c r="R21" i="1" s="1"/>
  <c r="R3" i="1" s="1"/>
  <c r="R23" i="1" s="1"/>
  <c r="R24" i="1" s="1"/>
  <c r="F63" i="11"/>
  <c r="G64" i="11"/>
  <c r="H31" i="13"/>
  <c r="AE62" i="1"/>
  <c r="AE63" i="1" s="1"/>
  <c r="AE70" i="1"/>
  <c r="AC71" i="1"/>
  <c r="AC72" i="1"/>
  <c r="AG67" i="1"/>
  <c r="AG65" i="1"/>
  <c r="AI64" i="1"/>
  <c r="G47" i="12"/>
  <c r="F47" i="12" s="1"/>
  <c r="H47" i="12" s="1"/>
  <c r="G48" i="12" s="1"/>
  <c r="F48" i="12" s="1"/>
  <c r="H48" i="12" s="1"/>
  <c r="G49" i="12" s="1"/>
  <c r="F49" i="12" s="1"/>
  <c r="H49" i="12" s="1"/>
  <c r="G50" i="12" s="1"/>
  <c r="F50" i="12" s="1"/>
  <c r="H50" i="12" s="1"/>
  <c r="H31" i="10"/>
  <c r="G31" i="9"/>
  <c r="G31" i="4"/>
  <c r="E20" i="2"/>
  <c r="AB56" i="1"/>
  <c r="AB76" i="1" s="1"/>
  <c r="AB77" i="1" s="1"/>
  <c r="AD122" i="1"/>
  <c r="AD114" i="1"/>
  <c r="AD115" i="1" s="1"/>
  <c r="U14" i="1"/>
  <c r="U9" i="1" s="1"/>
  <c r="U12" i="1"/>
  <c r="V11" i="1"/>
  <c r="AD72" i="1"/>
  <c r="AD71" i="1"/>
  <c r="AD73" i="1" s="1"/>
  <c r="AD74" i="1" s="1"/>
  <c r="AD56" i="1" s="1"/>
  <c r="AD76" i="1" s="1"/>
  <c r="AD77" i="1" s="1"/>
  <c r="AF62" i="1"/>
  <c r="AF63" i="1" s="1"/>
  <c r="AF70" i="1"/>
  <c r="AH67" i="1"/>
  <c r="AH65" i="1"/>
  <c r="AJ64" i="1"/>
  <c r="T17" i="1"/>
  <c r="T10" i="1"/>
  <c r="AD46" i="1"/>
  <c r="AD47" i="1" s="1"/>
  <c r="AD29" i="1" s="1"/>
  <c r="AD49" i="1" s="1"/>
  <c r="AD50" i="1" s="1"/>
  <c r="AG117" i="1"/>
  <c r="AI116" i="1"/>
  <c r="AG119" i="1"/>
  <c r="E19" i="2"/>
  <c r="Z56" i="1"/>
  <c r="Z76" i="1" s="1"/>
  <c r="Z77" i="1" s="1"/>
  <c r="S18" i="1"/>
  <c r="S19" i="1"/>
  <c r="AJ40" i="1"/>
  <c r="AJ38" i="1"/>
  <c r="AL37" i="1"/>
  <c r="AH43" i="1"/>
  <c r="AH35" i="1"/>
  <c r="AA125" i="1"/>
  <c r="AA126" i="1" s="1"/>
  <c r="AA108" i="1" s="1"/>
  <c r="AA128" i="1" s="1"/>
  <c r="AA129" i="1" s="1"/>
  <c r="AF45" i="1"/>
  <c r="AF44" i="1"/>
  <c r="AF46" i="1" s="1"/>
  <c r="AF47" i="1" s="1"/>
  <c r="AF29" i="1" s="1"/>
  <c r="AF49" i="1" s="1"/>
  <c r="AF50" i="1" s="1"/>
  <c r="X108" i="1"/>
  <c r="X128" i="1" s="1"/>
  <c r="X129" i="1" s="1"/>
  <c r="C18" i="2"/>
  <c r="AF117" i="1"/>
  <c r="AH116" i="1"/>
  <c r="AF119" i="1"/>
  <c r="AE122" i="1"/>
  <c r="AE114" i="1"/>
  <c r="AE115" i="1" s="1"/>
  <c r="AC124" i="1"/>
  <c r="AC123" i="1"/>
  <c r="AC125" i="1" s="1"/>
  <c r="AC126" i="1" s="1"/>
  <c r="AC108" i="1" s="1"/>
  <c r="AC128" i="1" s="1"/>
  <c r="AC129" i="1" s="1"/>
  <c r="Z125" i="1"/>
  <c r="Z126" i="1" s="1"/>
  <c r="AB123" i="1"/>
  <c r="AB124" i="1"/>
  <c r="AH60" i="1"/>
  <c r="AH86" i="1"/>
  <c r="H31" i="5"/>
  <c r="AJ36" i="1"/>
  <c r="AL33" i="1"/>
  <c r="AJ112" i="1"/>
  <c r="AJ7" i="1"/>
  <c r="AD82" i="1" l="1"/>
  <c r="AD102" i="1" s="1"/>
  <c r="AD103" i="1" s="1"/>
  <c r="D21" i="2"/>
  <c r="AG35" i="1"/>
  <c r="AG43" i="1"/>
  <c r="AK37" i="1"/>
  <c r="AI38" i="1"/>
  <c r="AI40" i="1"/>
  <c r="AJ93" i="1"/>
  <c r="AJ91" i="1"/>
  <c r="AL90" i="1"/>
  <c r="D20" i="2"/>
  <c r="AB82" i="1"/>
  <c r="AB102" i="1" s="1"/>
  <c r="AB103" i="1" s="1"/>
  <c r="AH88" i="1"/>
  <c r="AH89" i="1" s="1"/>
  <c r="AH96" i="1"/>
  <c r="AI91" i="1"/>
  <c r="AI93" i="1"/>
  <c r="AK90" i="1"/>
  <c r="AF98" i="1"/>
  <c r="AF97" i="1"/>
  <c r="AF99" i="1" s="1"/>
  <c r="AF100" i="1" s="1"/>
  <c r="AG96" i="1"/>
  <c r="AG88" i="1"/>
  <c r="AG89" i="1" s="1"/>
  <c r="AE97" i="1"/>
  <c r="AE98" i="1"/>
  <c r="AE44" i="1"/>
  <c r="AE45" i="1"/>
  <c r="AC46" i="1"/>
  <c r="AC47" i="1" s="1"/>
  <c r="AC29" i="1" s="1"/>
  <c r="AC49" i="1" s="1"/>
  <c r="AC50" i="1" s="1"/>
  <c r="H63" i="11"/>
  <c r="F64" i="11"/>
  <c r="G32" i="13"/>
  <c r="F32" i="13" s="1"/>
  <c r="H32" i="13" s="1"/>
  <c r="G33" i="13" s="1"/>
  <c r="F33" i="13" s="1"/>
  <c r="H33" i="13" s="1"/>
  <c r="G34" i="13" s="1"/>
  <c r="F34" i="13" s="1"/>
  <c r="H34" i="13" s="1"/>
  <c r="G35" i="13" s="1"/>
  <c r="F35" i="13" s="1"/>
  <c r="H35" i="13" s="1"/>
  <c r="G36" i="13" s="1"/>
  <c r="F36" i="13" s="1"/>
  <c r="H36" i="13" s="1"/>
  <c r="AI65" i="1"/>
  <c r="AK64" i="1"/>
  <c r="AI67" i="1"/>
  <c r="AE72" i="1"/>
  <c r="AE71" i="1"/>
  <c r="AC73" i="1"/>
  <c r="AC74" i="1" s="1"/>
  <c r="AC56" i="1" s="1"/>
  <c r="AC76" i="1" s="1"/>
  <c r="AC77" i="1" s="1"/>
  <c r="AG62" i="1"/>
  <c r="AG63" i="1" s="1"/>
  <c r="AG70" i="1"/>
  <c r="G51" i="12"/>
  <c r="G32" i="10"/>
  <c r="F32" i="10" s="1"/>
  <c r="H32" i="10" s="1"/>
  <c r="G33" i="10" s="1"/>
  <c r="F33" i="10" s="1"/>
  <c r="H33" i="10" s="1"/>
  <c r="G34" i="10" s="1"/>
  <c r="F34" i="10" s="1"/>
  <c r="H34" i="10" s="1"/>
  <c r="G35" i="10" s="1"/>
  <c r="F35" i="10" s="1"/>
  <c r="H35" i="10" s="1"/>
  <c r="G36" i="10" s="1"/>
  <c r="F36" i="10" s="1"/>
  <c r="H36" i="10" s="1"/>
  <c r="G37" i="10" s="1"/>
  <c r="F37" i="10" s="1"/>
  <c r="H37" i="10" s="1"/>
  <c r="G38" i="10" s="1"/>
  <c r="F38" i="10" s="1"/>
  <c r="H38" i="10" s="1"/>
  <c r="G39" i="10" s="1"/>
  <c r="F39" i="10" s="1"/>
  <c r="H39" i="10" s="1"/>
  <c r="G40" i="10" s="1"/>
  <c r="F40" i="10" s="1"/>
  <c r="H40" i="10" s="1"/>
  <c r="G41" i="10" s="1"/>
  <c r="F41" i="10" s="1"/>
  <c r="H41" i="10" s="1"/>
  <c r="G42" i="10" s="1"/>
  <c r="F42" i="10" s="1"/>
  <c r="H42" i="10" s="1"/>
  <c r="G43" i="10" s="1"/>
  <c r="F43" i="10" s="1"/>
  <c r="H43" i="10" s="1"/>
  <c r="G44" i="10" s="1"/>
  <c r="F44" i="10" s="1"/>
  <c r="H44" i="10" s="1"/>
  <c r="G45" i="10" s="1"/>
  <c r="F45" i="10" s="1"/>
  <c r="H45" i="10" s="1"/>
  <c r="G46" i="10" s="1"/>
  <c r="F46" i="10" s="1"/>
  <c r="H46" i="10" s="1"/>
  <c r="G47" i="10" s="1"/>
  <c r="F47" i="10" s="1"/>
  <c r="H47" i="10" s="1"/>
  <c r="G48" i="10" s="1"/>
  <c r="F48" i="10" s="1"/>
  <c r="H48" i="10" s="1"/>
  <c r="G49" i="10" s="1"/>
  <c r="F49" i="10" s="1"/>
  <c r="H49" i="10" s="1"/>
  <c r="G50" i="10" s="1"/>
  <c r="F50" i="10" s="1"/>
  <c r="H50" i="10" s="1"/>
  <c r="F31" i="9"/>
  <c r="F31" i="4"/>
  <c r="AH62" i="1"/>
  <c r="AH70" i="1"/>
  <c r="AJ43" i="1"/>
  <c r="AJ35" i="1"/>
  <c r="T19" i="1"/>
  <c r="T18" i="1"/>
  <c r="T20" i="1" s="1"/>
  <c r="T21" i="1" s="1"/>
  <c r="T3" i="1" s="1"/>
  <c r="T23" i="1" s="1"/>
  <c r="T24" i="1" s="1"/>
  <c r="V14" i="1"/>
  <c r="V9" i="1" s="1"/>
  <c r="V12" i="1"/>
  <c r="W11" i="1"/>
  <c r="AF72" i="1"/>
  <c r="AF71" i="1"/>
  <c r="S20" i="1"/>
  <c r="S21" i="1" s="1"/>
  <c r="S3" i="1" s="1"/>
  <c r="S23" i="1" s="1"/>
  <c r="S24" i="1" s="1"/>
  <c r="U17" i="1"/>
  <c r="U10" i="1"/>
  <c r="E21" i="2"/>
  <c r="AD124" i="1"/>
  <c r="AD123" i="1"/>
  <c r="AD125" i="1" s="1"/>
  <c r="AD126" i="1" s="1"/>
  <c r="C19" i="2"/>
  <c r="Z108" i="1"/>
  <c r="Z128" i="1" s="1"/>
  <c r="Z129" i="1" s="1"/>
  <c r="AJ67" i="1"/>
  <c r="AJ65" i="1"/>
  <c r="AL64" i="1"/>
  <c r="AF122" i="1"/>
  <c r="AF114" i="1"/>
  <c r="AF115" i="1" s="1"/>
  <c r="AB125" i="1"/>
  <c r="AB126" i="1" s="1"/>
  <c r="AG122" i="1"/>
  <c r="AG114" i="1"/>
  <c r="AG115" i="1" s="1"/>
  <c r="AL40" i="1"/>
  <c r="AL38" i="1"/>
  <c r="AN37" i="1"/>
  <c r="AE124" i="1"/>
  <c r="AE123" i="1"/>
  <c r="AJ116" i="1"/>
  <c r="AH117" i="1"/>
  <c r="AH119" i="1"/>
  <c r="AH45" i="1"/>
  <c r="AH44" i="1"/>
  <c r="AH46" i="1" s="1"/>
  <c r="AH47" i="1" s="1"/>
  <c r="AH29" i="1" s="1"/>
  <c r="AH49" i="1" s="1"/>
  <c r="AH50" i="1" s="1"/>
  <c r="AK116" i="1"/>
  <c r="AI119" i="1"/>
  <c r="AI117" i="1"/>
  <c r="AJ86" i="1"/>
  <c r="AH63" i="1"/>
  <c r="AJ60" i="1"/>
  <c r="G32" i="5"/>
  <c r="F32" i="5" s="1"/>
  <c r="AL36" i="1"/>
  <c r="AN33" i="1"/>
  <c r="AL112" i="1"/>
  <c r="AL7" i="1"/>
  <c r="AF82" i="1" l="1"/>
  <c r="AF102" i="1" s="1"/>
  <c r="AF103" i="1" s="1"/>
  <c r="D22" i="2"/>
  <c r="AH97" i="1"/>
  <c r="AH98" i="1"/>
  <c r="AJ96" i="1"/>
  <c r="AJ88" i="1"/>
  <c r="AJ89" i="1" s="1"/>
  <c r="AK93" i="1"/>
  <c r="AK91" i="1"/>
  <c r="AM90" i="1"/>
  <c r="AI88" i="1"/>
  <c r="AI89" i="1" s="1"/>
  <c r="AI96" i="1"/>
  <c r="AL91" i="1"/>
  <c r="AN90" i="1"/>
  <c r="AL93" i="1"/>
  <c r="AK40" i="1"/>
  <c r="AK38" i="1"/>
  <c r="AM37" i="1"/>
  <c r="AE46" i="1"/>
  <c r="AE47" i="1" s="1"/>
  <c r="AE29" i="1" s="1"/>
  <c r="AE49" i="1" s="1"/>
  <c r="AE50" i="1" s="1"/>
  <c r="AG45" i="1"/>
  <c r="AG44" i="1"/>
  <c r="AI35" i="1"/>
  <c r="AI43" i="1"/>
  <c r="AE99" i="1"/>
  <c r="AE100" i="1" s="1"/>
  <c r="AE82" i="1" s="1"/>
  <c r="AE102" i="1" s="1"/>
  <c r="AE103" i="1" s="1"/>
  <c r="AG97" i="1"/>
  <c r="AG98" i="1"/>
  <c r="G37" i="13"/>
  <c r="F37" i="13" s="1"/>
  <c r="H37" i="13" s="1"/>
  <c r="G38" i="13" s="1"/>
  <c r="F38" i="13" s="1"/>
  <c r="H38" i="13" s="1"/>
  <c r="G39" i="13" s="1"/>
  <c r="F39" i="13" s="1"/>
  <c r="H39" i="13" s="1"/>
  <c r="G40" i="13" s="1"/>
  <c r="F40" i="13" s="1"/>
  <c r="H40" i="13" s="1"/>
  <c r="G41" i="13" s="1"/>
  <c r="F41" i="13" s="1"/>
  <c r="H41" i="13" s="1"/>
  <c r="G42" i="13" s="1"/>
  <c r="F42" i="13" s="1"/>
  <c r="H42" i="13" s="1"/>
  <c r="G43" i="13" s="1"/>
  <c r="F43" i="13" s="1"/>
  <c r="H43" i="13" s="1"/>
  <c r="G44" i="13" s="1"/>
  <c r="F44" i="13" s="1"/>
  <c r="H44" i="13" s="1"/>
  <c r="G45" i="13" s="1"/>
  <c r="F45" i="13" s="1"/>
  <c r="H45" i="13" s="1"/>
  <c r="G46" i="13" s="1"/>
  <c r="F46" i="13" s="1"/>
  <c r="H46" i="13" s="1"/>
  <c r="G47" i="13" s="1"/>
  <c r="F47" i="13" s="1"/>
  <c r="H47" i="13" s="1"/>
  <c r="G48" i="13" s="1"/>
  <c r="F48" i="13" s="1"/>
  <c r="H48" i="13" s="1"/>
  <c r="G49" i="13" s="1"/>
  <c r="F49" i="13" s="1"/>
  <c r="H49" i="13" s="1"/>
  <c r="G50" i="13" s="1"/>
  <c r="F50" i="13" s="1"/>
  <c r="H50" i="13" s="1"/>
  <c r="AG72" i="1"/>
  <c r="AG71" i="1"/>
  <c r="AG73" i="1" s="1"/>
  <c r="AG74" i="1" s="1"/>
  <c r="AG56" i="1" s="1"/>
  <c r="AG76" i="1" s="1"/>
  <c r="AG77" i="1" s="1"/>
  <c r="AM64" i="1"/>
  <c r="AK67" i="1"/>
  <c r="AK65" i="1"/>
  <c r="AI70" i="1"/>
  <c r="AI62" i="1"/>
  <c r="AI63" i="1" s="1"/>
  <c r="AF73" i="1"/>
  <c r="AF74" i="1" s="1"/>
  <c r="E22" i="2" s="1"/>
  <c r="AE73" i="1"/>
  <c r="AE74" i="1" s="1"/>
  <c r="AE56" i="1" s="1"/>
  <c r="AE76" i="1" s="1"/>
  <c r="AE77" i="1" s="1"/>
  <c r="F51" i="12"/>
  <c r="G68" i="12"/>
  <c r="G51" i="10"/>
  <c r="H31" i="9"/>
  <c r="H31" i="4"/>
  <c r="G32" i="4" s="1"/>
  <c r="AJ45" i="1"/>
  <c r="AJ44" i="1"/>
  <c r="AJ46" i="1" s="1"/>
  <c r="AJ47" i="1" s="1"/>
  <c r="AJ29" i="1" s="1"/>
  <c r="AJ49" i="1" s="1"/>
  <c r="AJ50" i="1" s="1"/>
  <c r="U19" i="1"/>
  <c r="U18" i="1"/>
  <c r="U20" i="1" s="1"/>
  <c r="U21" i="1" s="1"/>
  <c r="U3" i="1" s="1"/>
  <c r="U23" i="1" s="1"/>
  <c r="U24" i="1" s="1"/>
  <c r="AH114" i="1"/>
  <c r="AH115" i="1" s="1"/>
  <c r="AH122" i="1"/>
  <c r="W12" i="1"/>
  <c r="Y11" i="1"/>
  <c r="W14" i="1"/>
  <c r="W9" i="1" s="1"/>
  <c r="AH71" i="1"/>
  <c r="AH72" i="1"/>
  <c r="AL43" i="1"/>
  <c r="AL35" i="1"/>
  <c r="C21" i="2"/>
  <c r="AD108" i="1"/>
  <c r="AD128" i="1" s="1"/>
  <c r="AD129" i="1" s="1"/>
  <c r="AE125" i="1"/>
  <c r="AE126" i="1" s="1"/>
  <c r="AE108" i="1" s="1"/>
  <c r="AE128" i="1" s="1"/>
  <c r="AE129" i="1" s="1"/>
  <c r="AB108" i="1"/>
  <c r="AB128" i="1" s="1"/>
  <c r="AB129" i="1" s="1"/>
  <c r="C20" i="2"/>
  <c r="V17" i="1"/>
  <c r="V10" i="1"/>
  <c r="AL116" i="1"/>
  <c r="AJ119" i="1"/>
  <c r="AJ117" i="1"/>
  <c r="AJ70" i="1"/>
  <c r="AJ62" i="1"/>
  <c r="AJ63" i="1" s="1"/>
  <c r="AL67" i="1"/>
  <c r="AL65" i="1"/>
  <c r="AN64" i="1"/>
  <c r="AG124" i="1"/>
  <c r="AG123" i="1"/>
  <c r="AI114" i="1"/>
  <c r="AI115" i="1" s="1"/>
  <c r="AI122" i="1"/>
  <c r="AK119" i="1"/>
  <c r="AK117" i="1"/>
  <c r="AM116" i="1"/>
  <c r="AN38" i="1"/>
  <c r="AP37" i="1"/>
  <c r="AN40" i="1"/>
  <c r="AF124" i="1"/>
  <c r="AF123" i="1"/>
  <c r="AL60" i="1"/>
  <c r="AN36" i="1"/>
  <c r="AP33" i="1"/>
  <c r="AL86" i="1"/>
  <c r="AN112" i="1"/>
  <c r="AN7" i="1"/>
  <c r="AK43" i="1" l="1"/>
  <c r="AK35" i="1"/>
  <c r="AM38" i="1"/>
  <c r="AO37" i="1"/>
  <c r="AM40" i="1"/>
  <c r="AI97" i="1"/>
  <c r="AI98" i="1"/>
  <c r="AM93" i="1"/>
  <c r="AM91" i="1"/>
  <c r="AO90" i="1"/>
  <c r="AJ98" i="1"/>
  <c r="AJ97" i="1"/>
  <c r="AN93" i="1"/>
  <c r="AN91" i="1"/>
  <c r="AP90" i="1"/>
  <c r="AG99" i="1"/>
  <c r="AG100" i="1" s="1"/>
  <c r="AG82" i="1" s="1"/>
  <c r="AG102" i="1" s="1"/>
  <c r="AG103" i="1" s="1"/>
  <c r="AK88" i="1"/>
  <c r="AK89" i="1" s="1"/>
  <c r="AK96" i="1"/>
  <c r="AH99" i="1"/>
  <c r="AH100" i="1" s="1"/>
  <c r="AI45" i="1"/>
  <c r="AI44" i="1"/>
  <c r="AI46" i="1" s="1"/>
  <c r="AI47" i="1" s="1"/>
  <c r="AI29" i="1" s="1"/>
  <c r="AI49" i="1" s="1"/>
  <c r="AI50" i="1" s="1"/>
  <c r="AL96" i="1"/>
  <c r="AL88" i="1"/>
  <c r="AF125" i="1"/>
  <c r="AF126" i="1" s="1"/>
  <c r="C22" i="2" s="1"/>
  <c r="AG46" i="1"/>
  <c r="AG47" i="1" s="1"/>
  <c r="AG29" i="1" s="1"/>
  <c r="AG49" i="1" s="1"/>
  <c r="AG50" i="1" s="1"/>
  <c r="AF56" i="1"/>
  <c r="AF76" i="1" s="1"/>
  <c r="AF77" i="1" s="1"/>
  <c r="G51" i="13"/>
  <c r="AK62" i="1"/>
  <c r="AK63" i="1" s="1"/>
  <c r="AK70" i="1"/>
  <c r="AO64" i="1"/>
  <c r="AM65" i="1"/>
  <c r="AM67" i="1"/>
  <c r="AI72" i="1"/>
  <c r="AI71" i="1"/>
  <c r="AI73" i="1" s="1"/>
  <c r="AI74" i="1" s="1"/>
  <c r="AI56" i="1" s="1"/>
  <c r="AI76" i="1" s="1"/>
  <c r="AI77" i="1" s="1"/>
  <c r="F68" i="12"/>
  <c r="H51" i="12"/>
  <c r="G52" i="12" s="1"/>
  <c r="F52" i="12" s="1"/>
  <c r="H52" i="12" s="1"/>
  <c r="G53" i="12" s="1"/>
  <c r="F53" i="12" s="1"/>
  <c r="H53" i="12" s="1"/>
  <c r="G54" i="12" s="1"/>
  <c r="F54" i="12" s="1"/>
  <c r="H54" i="12" s="1"/>
  <c r="G55" i="12" s="1"/>
  <c r="F55" i="12" s="1"/>
  <c r="H55" i="12" s="1"/>
  <c r="G56" i="12" s="1"/>
  <c r="F56" i="12" s="1"/>
  <c r="H56" i="12" s="1"/>
  <c r="G57" i="12" s="1"/>
  <c r="F57" i="12" s="1"/>
  <c r="H57" i="12" s="1"/>
  <c r="G58" i="12" s="1"/>
  <c r="F58" i="12" s="1"/>
  <c r="H58" i="12" s="1"/>
  <c r="G59" i="12" s="1"/>
  <c r="F59" i="12" s="1"/>
  <c r="H59" i="12" s="1"/>
  <c r="F51" i="10"/>
  <c r="G68" i="10"/>
  <c r="G32" i="9"/>
  <c r="F32" i="4"/>
  <c r="AJ71" i="1"/>
  <c r="AJ72" i="1"/>
  <c r="V19" i="1"/>
  <c r="V18" i="1"/>
  <c r="V20" i="1" s="1"/>
  <c r="V21" i="1" s="1"/>
  <c r="V3" i="1" s="1"/>
  <c r="V23" i="1" s="1"/>
  <c r="V24" i="1" s="1"/>
  <c r="AL119" i="1"/>
  <c r="AL117" i="1"/>
  <c r="AN116" i="1"/>
  <c r="AH73" i="1"/>
  <c r="AH74" i="1" s="1"/>
  <c r="AN43" i="1"/>
  <c r="AN35" i="1"/>
  <c r="W17" i="1"/>
  <c r="W10" i="1"/>
  <c r="AR37" i="1"/>
  <c r="AP40" i="1"/>
  <c r="AP38" i="1"/>
  <c r="Y12" i="1"/>
  <c r="Z11" i="1"/>
  <c r="Y14" i="1"/>
  <c r="Y9" i="1" s="1"/>
  <c r="AJ114" i="1"/>
  <c r="AJ115" i="1" s="1"/>
  <c r="AJ122" i="1"/>
  <c r="AL70" i="1"/>
  <c r="AL62" i="1"/>
  <c r="AL63" i="1" s="1"/>
  <c r="AK114" i="1"/>
  <c r="AK115" i="1" s="1"/>
  <c r="AK122" i="1"/>
  <c r="AI124" i="1"/>
  <c r="AI123" i="1"/>
  <c r="AL45" i="1"/>
  <c r="AL44" i="1"/>
  <c r="AN67" i="1"/>
  <c r="AN65" i="1"/>
  <c r="AP64" i="1"/>
  <c r="AM119" i="1"/>
  <c r="AM117" i="1"/>
  <c r="AO116" i="1"/>
  <c r="AG125" i="1"/>
  <c r="AG126" i="1" s="1"/>
  <c r="AG108" i="1" s="1"/>
  <c r="AG128" i="1" s="1"/>
  <c r="AG129" i="1" s="1"/>
  <c r="AH124" i="1"/>
  <c r="AH123" i="1"/>
  <c r="AH125" i="1" s="1"/>
  <c r="AH126" i="1" s="1"/>
  <c r="AL89" i="1"/>
  <c r="AN86" i="1"/>
  <c r="H32" i="5"/>
  <c r="AP36" i="1"/>
  <c r="AR33" i="1"/>
  <c r="AR36" i="1" s="1"/>
  <c r="AN60" i="1"/>
  <c r="AP112" i="1"/>
  <c r="AP7" i="1"/>
  <c r="AK97" i="1" l="1"/>
  <c r="AK99" i="1" s="1"/>
  <c r="AK100" i="1" s="1"/>
  <c r="AK82" i="1" s="1"/>
  <c r="AK102" i="1" s="1"/>
  <c r="AK103" i="1" s="1"/>
  <c r="AK98" i="1"/>
  <c r="AR90" i="1"/>
  <c r="AP93" i="1"/>
  <c r="AP91" i="1"/>
  <c r="D23" i="2"/>
  <c r="AH82" i="1"/>
  <c r="AH102" i="1" s="1"/>
  <c r="AH103" i="1" s="1"/>
  <c r="AN96" i="1"/>
  <c r="AN88" i="1"/>
  <c r="AM35" i="1"/>
  <c r="AM43" i="1"/>
  <c r="AQ37" i="1"/>
  <c r="AO38" i="1"/>
  <c r="AO40" i="1"/>
  <c r="AJ99" i="1"/>
  <c r="AJ100" i="1" s="1"/>
  <c r="AQ90" i="1"/>
  <c r="AO91" i="1"/>
  <c r="AO93" i="1"/>
  <c r="AM88" i="1"/>
  <c r="AM89" i="1" s="1"/>
  <c r="AM96" i="1"/>
  <c r="AI99" i="1"/>
  <c r="AI100" i="1" s="1"/>
  <c r="AI82" i="1" s="1"/>
  <c r="AI102" i="1" s="1"/>
  <c r="AI103" i="1" s="1"/>
  <c r="AF108" i="1"/>
  <c r="AF128" i="1" s="1"/>
  <c r="AF129" i="1" s="1"/>
  <c r="AK45" i="1"/>
  <c r="AK44" i="1"/>
  <c r="AK46" i="1" s="1"/>
  <c r="AK47" i="1" s="1"/>
  <c r="AK29" i="1" s="1"/>
  <c r="AK49" i="1" s="1"/>
  <c r="AK50" i="1" s="1"/>
  <c r="AL98" i="1"/>
  <c r="AL97" i="1"/>
  <c r="AL99" i="1" s="1"/>
  <c r="AL100" i="1" s="1"/>
  <c r="AI125" i="1"/>
  <c r="AI126" i="1" s="1"/>
  <c r="AI108" i="1" s="1"/>
  <c r="AI128" i="1" s="1"/>
  <c r="AI129" i="1" s="1"/>
  <c r="F51" i="13"/>
  <c r="AK71" i="1"/>
  <c r="AK72" i="1"/>
  <c r="AO67" i="1"/>
  <c r="AO65" i="1"/>
  <c r="AQ64" i="1"/>
  <c r="AM62" i="1"/>
  <c r="AM63" i="1" s="1"/>
  <c r="AM70" i="1"/>
  <c r="G60" i="12"/>
  <c r="F60" i="12" s="1"/>
  <c r="H60" i="12" s="1"/>
  <c r="G61" i="12" s="1"/>
  <c r="F61" i="12" s="1"/>
  <c r="H61" i="12" s="1"/>
  <c r="G62" i="12" s="1"/>
  <c r="F62" i="12" s="1"/>
  <c r="H62" i="12" s="1"/>
  <c r="G63" i="12" s="1"/>
  <c r="F63" i="12" s="1"/>
  <c r="H63" i="12" s="1"/>
  <c r="H51" i="10"/>
  <c r="G52" i="10" s="1"/>
  <c r="F52" i="10" s="1"/>
  <c r="H52" i="10" s="1"/>
  <c r="G53" i="10" s="1"/>
  <c r="F53" i="10" s="1"/>
  <c r="H53" i="10" s="1"/>
  <c r="G54" i="10" s="1"/>
  <c r="F54" i="10" s="1"/>
  <c r="H54" i="10" s="1"/>
  <c r="G55" i="10" s="1"/>
  <c r="F55" i="10" s="1"/>
  <c r="H55" i="10" s="1"/>
  <c r="G56" i="10" s="1"/>
  <c r="F56" i="10" s="1"/>
  <c r="H56" i="10" s="1"/>
  <c r="G57" i="10" s="1"/>
  <c r="F57" i="10" s="1"/>
  <c r="H57" i="10" s="1"/>
  <c r="G58" i="10" s="1"/>
  <c r="F58" i="10" s="1"/>
  <c r="H58" i="10" s="1"/>
  <c r="G59" i="10" s="1"/>
  <c r="F59" i="10" s="1"/>
  <c r="H59" i="10" s="1"/>
  <c r="G60" i="10" s="1"/>
  <c r="F60" i="10" s="1"/>
  <c r="H60" i="10" s="1"/>
  <c r="G61" i="10" s="1"/>
  <c r="F61" i="10" s="1"/>
  <c r="H61" i="10" s="1"/>
  <c r="G62" i="10" s="1"/>
  <c r="F62" i="10" s="1"/>
  <c r="H62" i="10" s="1"/>
  <c r="G63" i="10" s="1"/>
  <c r="F63" i="10" s="1"/>
  <c r="H63" i="10" s="1"/>
  <c r="F68" i="10"/>
  <c r="F32" i="9"/>
  <c r="H32" i="4"/>
  <c r="G33" i="4" s="1"/>
  <c r="F33" i="4" s="1"/>
  <c r="H33" i="4" s="1"/>
  <c r="G34" i="4" s="1"/>
  <c r="F34" i="4" s="1"/>
  <c r="H34" i="4" s="1"/>
  <c r="G35" i="4" s="1"/>
  <c r="F35" i="4" s="1"/>
  <c r="H35" i="4" s="1"/>
  <c r="G36" i="4" s="1"/>
  <c r="F36" i="4" s="1"/>
  <c r="H36" i="4" s="1"/>
  <c r="G37" i="4" s="1"/>
  <c r="F37" i="4" s="1"/>
  <c r="H37" i="4" s="1"/>
  <c r="AH108" i="1"/>
  <c r="AH128" i="1" s="1"/>
  <c r="AH129" i="1" s="1"/>
  <c r="C23" i="2"/>
  <c r="AP65" i="1"/>
  <c r="AR64" i="1"/>
  <c r="AP67" i="1"/>
  <c r="Z12" i="1"/>
  <c r="AA11" i="1"/>
  <c r="Z14" i="1"/>
  <c r="Z9" i="1" s="1"/>
  <c r="AR40" i="1"/>
  <c r="AR38" i="1"/>
  <c r="AN119" i="1"/>
  <c r="AN117" i="1"/>
  <c r="AP116" i="1"/>
  <c r="AJ73" i="1"/>
  <c r="AJ74" i="1" s="1"/>
  <c r="AN44" i="1"/>
  <c r="AN45" i="1"/>
  <c r="AN70" i="1"/>
  <c r="AN62" i="1"/>
  <c r="AN63" i="1" s="1"/>
  <c r="AL114" i="1"/>
  <c r="AL115" i="1" s="1"/>
  <c r="AL122" i="1"/>
  <c r="AK123" i="1"/>
  <c r="AK124" i="1"/>
  <c r="AL72" i="1"/>
  <c r="AL71" i="1"/>
  <c r="E23" i="2"/>
  <c r="AH56" i="1"/>
  <c r="AH76" i="1" s="1"/>
  <c r="AH77" i="1" s="1"/>
  <c r="AJ123" i="1"/>
  <c r="AJ124" i="1"/>
  <c r="AP43" i="1"/>
  <c r="AP35" i="1"/>
  <c r="W19" i="1"/>
  <c r="W18" i="1"/>
  <c r="W20" i="1" s="1"/>
  <c r="W21" i="1" s="1"/>
  <c r="W3" i="1" s="1"/>
  <c r="W23" i="1" s="1"/>
  <c r="W24" i="1" s="1"/>
  <c r="AO119" i="1"/>
  <c r="AO117" i="1"/>
  <c r="AQ116" i="1"/>
  <c r="AM122" i="1"/>
  <c r="AM114" i="1"/>
  <c r="AM115" i="1" s="1"/>
  <c r="AL46" i="1"/>
  <c r="AL47" i="1" s="1"/>
  <c r="AL29" i="1" s="1"/>
  <c r="AL49" i="1" s="1"/>
  <c r="AL50" i="1" s="1"/>
  <c r="Y10" i="1"/>
  <c r="Y17" i="1"/>
  <c r="G33" i="5"/>
  <c r="F33" i="5" s="1"/>
  <c r="AP60" i="1"/>
  <c r="AN89" i="1"/>
  <c r="AP86" i="1"/>
  <c r="AR112" i="1"/>
  <c r="AR7" i="1"/>
  <c r="AR10" i="1" s="1"/>
  <c r="AR21" i="1" s="1"/>
  <c r="D25" i="2" l="1"/>
  <c r="AL82" i="1"/>
  <c r="AL102" i="1" s="1"/>
  <c r="AL103" i="1" s="1"/>
  <c r="D24" i="2"/>
  <c r="AJ82" i="1"/>
  <c r="AJ102" i="1" s="1"/>
  <c r="AJ103" i="1" s="1"/>
  <c r="AN98" i="1"/>
  <c r="AN97" i="1"/>
  <c r="AN99" i="1" s="1"/>
  <c r="AN100" i="1" s="1"/>
  <c r="AO43" i="1"/>
  <c r="AO35" i="1"/>
  <c r="AQ40" i="1"/>
  <c r="AQ38" i="1"/>
  <c r="AP88" i="1"/>
  <c r="AP96" i="1"/>
  <c r="AM45" i="1"/>
  <c r="AM44" i="1"/>
  <c r="AM46" i="1" s="1"/>
  <c r="AM47" i="1" s="1"/>
  <c r="AM29" i="1" s="1"/>
  <c r="AM49" i="1" s="1"/>
  <c r="AM50" i="1" s="1"/>
  <c r="AR93" i="1"/>
  <c r="AR91" i="1"/>
  <c r="AQ93" i="1"/>
  <c r="AQ91" i="1"/>
  <c r="AO96" i="1"/>
  <c r="AO88" i="1"/>
  <c r="AO89" i="1" s="1"/>
  <c r="AM97" i="1"/>
  <c r="AM98" i="1"/>
  <c r="H51" i="13"/>
  <c r="G52" i="13" s="1"/>
  <c r="F52" i="13" s="1"/>
  <c r="H52" i="13" s="1"/>
  <c r="G53" i="13" s="1"/>
  <c r="F53" i="13" s="1"/>
  <c r="H53" i="13" s="1"/>
  <c r="G54" i="13" s="1"/>
  <c r="F54" i="13" s="1"/>
  <c r="H54" i="13" s="1"/>
  <c r="G55" i="13" s="1"/>
  <c r="F55" i="13" s="1"/>
  <c r="H55" i="13" s="1"/>
  <c r="G56" i="13" s="1"/>
  <c r="F56" i="13" s="1"/>
  <c r="H56" i="13" s="1"/>
  <c r="G57" i="13" s="1"/>
  <c r="F57" i="13" s="1"/>
  <c r="H57" i="13" s="1"/>
  <c r="G58" i="13" s="1"/>
  <c r="F58" i="13" s="1"/>
  <c r="H58" i="13" s="1"/>
  <c r="G59" i="13" s="1"/>
  <c r="F59" i="13" s="1"/>
  <c r="H59" i="13" s="1"/>
  <c r="G60" i="13" s="1"/>
  <c r="F60" i="13" s="1"/>
  <c r="H60" i="13" s="1"/>
  <c r="G61" i="13" s="1"/>
  <c r="F61" i="13" s="1"/>
  <c r="H61" i="13" s="1"/>
  <c r="G62" i="13" s="1"/>
  <c r="F62" i="13" s="1"/>
  <c r="H62" i="13" s="1"/>
  <c r="G63" i="13" s="1"/>
  <c r="F63" i="13" s="1"/>
  <c r="H63" i="13" s="1"/>
  <c r="G64" i="13" s="1"/>
  <c r="F64" i="13" s="1"/>
  <c r="H64" i="13" s="1"/>
  <c r="G65" i="13" s="1"/>
  <c r="F65" i="13" s="1"/>
  <c r="H65" i="13" s="1"/>
  <c r="G66" i="13" s="1"/>
  <c r="F66" i="13" s="1"/>
  <c r="H66" i="13" s="1"/>
  <c r="AM71" i="1"/>
  <c r="AM72" i="1"/>
  <c r="AO70" i="1"/>
  <c r="AO62" i="1"/>
  <c r="AO63" i="1" s="1"/>
  <c r="AL73" i="1"/>
  <c r="AL74" i="1" s="1"/>
  <c r="AL56" i="1" s="1"/>
  <c r="AL76" i="1" s="1"/>
  <c r="AL77" i="1" s="1"/>
  <c r="AQ65" i="1"/>
  <c r="AQ67" i="1"/>
  <c r="AK73" i="1"/>
  <c r="AK74" i="1" s="1"/>
  <c r="AK56" i="1" s="1"/>
  <c r="AK76" i="1" s="1"/>
  <c r="AK77" i="1" s="1"/>
  <c r="H32" i="9"/>
  <c r="G33" i="9" s="1"/>
  <c r="F33" i="9" s="1"/>
  <c r="H33" i="9" s="1"/>
  <c r="G34" i="9" s="1"/>
  <c r="F34" i="9" s="1"/>
  <c r="H34" i="9" s="1"/>
  <c r="G35" i="9" s="1"/>
  <c r="F35" i="9" s="1"/>
  <c r="H35" i="9" s="1"/>
  <c r="G36" i="9" s="1"/>
  <c r="F36" i="9" s="1"/>
  <c r="H36" i="9" s="1"/>
  <c r="G37" i="9" s="1"/>
  <c r="F37" i="9" s="1"/>
  <c r="H37" i="9" s="1"/>
  <c r="G38" i="9" s="1"/>
  <c r="F38" i="9" s="1"/>
  <c r="H38" i="9" s="1"/>
  <c r="G39" i="9" s="1"/>
  <c r="H33" i="5"/>
  <c r="G34" i="5" s="1"/>
  <c r="F34" i="5" s="1"/>
  <c r="AN46" i="1"/>
  <c r="AN47" i="1" s="1"/>
  <c r="AN29" i="1" s="1"/>
  <c r="AN49" i="1" s="1"/>
  <c r="AN50" i="1" s="1"/>
  <c r="AK125" i="1"/>
  <c r="AK126" i="1" s="1"/>
  <c r="AK108" i="1" s="1"/>
  <c r="AK128" i="1" s="1"/>
  <c r="AK129" i="1" s="1"/>
  <c r="AP119" i="1"/>
  <c r="AP117" i="1"/>
  <c r="AR116" i="1"/>
  <c r="AA12" i="1"/>
  <c r="AA14" i="1"/>
  <c r="AA9" i="1" s="1"/>
  <c r="AB11" i="1"/>
  <c r="AJ56" i="1"/>
  <c r="AJ76" i="1" s="1"/>
  <c r="AJ77" i="1" s="1"/>
  <c r="E24" i="2"/>
  <c r="AJ125" i="1"/>
  <c r="AJ126" i="1" s="1"/>
  <c r="AN122" i="1"/>
  <c r="AN114" i="1"/>
  <c r="AN115" i="1" s="1"/>
  <c r="AP70" i="1"/>
  <c r="AP62" i="1"/>
  <c r="AP63" i="1" s="1"/>
  <c r="Y19" i="1"/>
  <c r="Y18" i="1"/>
  <c r="Y20" i="1" s="1"/>
  <c r="Y21" i="1" s="1"/>
  <c r="Y3" i="1" s="1"/>
  <c r="Y23" i="1" s="1"/>
  <c r="Y24" i="1" s="1"/>
  <c r="AM123" i="1"/>
  <c r="AM124" i="1"/>
  <c r="AL123" i="1"/>
  <c r="AL125" i="1" s="1"/>
  <c r="AL126" i="1" s="1"/>
  <c r="AL124" i="1"/>
  <c r="AR67" i="1"/>
  <c r="AR65" i="1"/>
  <c r="AP44" i="1"/>
  <c r="AP45" i="1"/>
  <c r="AR35" i="1"/>
  <c r="AR43" i="1"/>
  <c r="Z10" i="1"/>
  <c r="Z17" i="1"/>
  <c r="AQ119" i="1"/>
  <c r="AQ117" i="1"/>
  <c r="AO122" i="1"/>
  <c r="AO114" i="1"/>
  <c r="AO115" i="1" s="1"/>
  <c r="AN72" i="1"/>
  <c r="AN71" i="1"/>
  <c r="AN73" i="1" s="1"/>
  <c r="AN74" i="1" s="1"/>
  <c r="AP89" i="1"/>
  <c r="AR86" i="1"/>
  <c r="AR60" i="1"/>
  <c r="G38" i="4"/>
  <c r="F38" i="4" s="1"/>
  <c r="H38" i="4" s="1"/>
  <c r="AR3" i="1"/>
  <c r="AR23" i="1" s="1"/>
  <c r="AR24" i="1" s="1"/>
  <c r="D26" i="2" l="1"/>
  <c r="AN82" i="1"/>
  <c r="AN102" i="1" s="1"/>
  <c r="AN103" i="1" s="1"/>
  <c r="AQ35" i="1"/>
  <c r="AQ43" i="1"/>
  <c r="AP98" i="1"/>
  <c r="AP97" i="1"/>
  <c r="AP99" i="1" s="1"/>
  <c r="AQ96" i="1"/>
  <c r="AQ88" i="1"/>
  <c r="AQ89" i="1" s="1"/>
  <c r="AR96" i="1"/>
  <c r="AR88" i="1"/>
  <c r="AO98" i="1"/>
  <c r="AO97" i="1"/>
  <c r="AO44" i="1"/>
  <c r="AO45" i="1"/>
  <c r="AR89" i="1"/>
  <c r="AP100" i="1"/>
  <c r="AP82" i="1" s="1"/>
  <c r="AP102" i="1" s="1"/>
  <c r="AP103" i="1" s="1"/>
  <c r="AM99" i="1"/>
  <c r="AM100" i="1" s="1"/>
  <c r="AM82" i="1" s="1"/>
  <c r="AM102" i="1" s="1"/>
  <c r="AM103" i="1" s="1"/>
  <c r="F39" i="9"/>
  <c r="G40" i="9"/>
  <c r="G67" i="13"/>
  <c r="F67" i="13" s="1"/>
  <c r="H67" i="13" s="1"/>
  <c r="G68" i="13" s="1"/>
  <c r="F68" i="13" s="1"/>
  <c r="H68" i="13" s="1"/>
  <c r="G69" i="13" s="1"/>
  <c r="F69" i="13" s="1"/>
  <c r="H69" i="13" s="1"/>
  <c r="E25" i="2"/>
  <c r="AQ62" i="1"/>
  <c r="AQ63" i="1" s="1"/>
  <c r="AQ70" i="1"/>
  <c r="AO72" i="1"/>
  <c r="AO71" i="1"/>
  <c r="AM73" i="1"/>
  <c r="AM74" i="1" s="1"/>
  <c r="AM56" i="1" s="1"/>
  <c r="AM76" i="1" s="1"/>
  <c r="AM77" i="1" s="1"/>
  <c r="H34" i="5"/>
  <c r="G35" i="5" s="1"/>
  <c r="F35" i="5" s="1"/>
  <c r="AL108" i="1"/>
  <c r="AL128" i="1" s="1"/>
  <c r="AL129" i="1" s="1"/>
  <c r="C25" i="2"/>
  <c r="AN56" i="1"/>
  <c r="AN76" i="1" s="1"/>
  <c r="AN77" i="1" s="1"/>
  <c r="E26" i="2"/>
  <c r="AA10" i="1"/>
  <c r="AA17" i="1"/>
  <c r="AR117" i="1"/>
  <c r="AR119" i="1"/>
  <c r="AM125" i="1"/>
  <c r="AM126" i="1" s="1"/>
  <c r="AM108" i="1" s="1"/>
  <c r="AM128" i="1" s="1"/>
  <c r="AM129" i="1" s="1"/>
  <c r="AB12" i="1"/>
  <c r="AC11" i="1"/>
  <c r="AB14" i="1"/>
  <c r="AB9" i="1" s="1"/>
  <c r="AQ122" i="1"/>
  <c r="AQ114" i="1"/>
  <c r="AQ115" i="1" s="1"/>
  <c r="AP46" i="1"/>
  <c r="AP47" i="1" s="1"/>
  <c r="AP29" i="1" s="1"/>
  <c r="AP49" i="1" s="1"/>
  <c r="AP50" i="1" s="1"/>
  <c r="AP122" i="1"/>
  <c r="AP114" i="1"/>
  <c r="AP115" i="1" s="1"/>
  <c r="AO124" i="1"/>
  <c r="AO123" i="1"/>
  <c r="AP72" i="1"/>
  <c r="AP71" i="1"/>
  <c r="AR45" i="1"/>
  <c r="AR44" i="1"/>
  <c r="AR46" i="1" s="1"/>
  <c r="AR47" i="1" s="1"/>
  <c r="AR29" i="1" s="1"/>
  <c r="AR49" i="1" s="1"/>
  <c r="AR50" i="1" s="1"/>
  <c r="AR62" i="1"/>
  <c r="AR63" i="1" s="1"/>
  <c r="AR70" i="1"/>
  <c r="AN123" i="1"/>
  <c r="AN124" i="1"/>
  <c r="Z19" i="1"/>
  <c r="Z18" i="1"/>
  <c r="Z20" i="1" s="1"/>
  <c r="Z21" i="1" s="1"/>
  <c r="Z3" i="1" s="1"/>
  <c r="Z23" i="1" s="1"/>
  <c r="Z24" i="1" s="1"/>
  <c r="AJ108" i="1"/>
  <c r="AJ128" i="1" s="1"/>
  <c r="AJ129" i="1" s="1"/>
  <c r="C24" i="2"/>
  <c r="G39" i="4"/>
  <c r="F39" i="4" s="1"/>
  <c r="H39" i="4" s="1"/>
  <c r="AO99" i="1" l="1"/>
  <c r="AO100" i="1" s="1"/>
  <c r="AO82" i="1" s="1"/>
  <c r="AO102" i="1" s="1"/>
  <c r="AO103" i="1" s="1"/>
  <c r="AQ45" i="1"/>
  <c r="AQ44" i="1"/>
  <c r="AQ46" i="1" s="1"/>
  <c r="AQ47" i="1" s="1"/>
  <c r="AQ29" i="1" s="1"/>
  <c r="AQ49" i="1" s="1"/>
  <c r="AQ50" i="1" s="1"/>
  <c r="AO46" i="1"/>
  <c r="AO47" i="1" s="1"/>
  <c r="AO29" i="1" s="1"/>
  <c r="AO49" i="1" s="1"/>
  <c r="AO50" i="1" s="1"/>
  <c r="AQ98" i="1"/>
  <c r="AQ97" i="1"/>
  <c r="AQ99" i="1" s="1"/>
  <c r="AQ100" i="1" s="1"/>
  <c r="AQ82" i="1" s="1"/>
  <c r="AQ102" i="1" s="1"/>
  <c r="AQ103" i="1" s="1"/>
  <c r="AO125" i="1"/>
  <c r="AO126" i="1" s="1"/>
  <c r="AO108" i="1" s="1"/>
  <c r="AO128" i="1" s="1"/>
  <c r="AO129" i="1" s="1"/>
  <c r="D27" i="2"/>
  <c r="AR98" i="1"/>
  <c r="AR97" i="1"/>
  <c r="AR99" i="1" s="1"/>
  <c r="AR100" i="1" s="1"/>
  <c r="AR82" i="1" s="1"/>
  <c r="AR102" i="1" s="1"/>
  <c r="AR103" i="1" s="1"/>
  <c r="H39" i="9"/>
  <c r="F40" i="9"/>
  <c r="G70" i="13"/>
  <c r="F70" i="13" s="1"/>
  <c r="H70" i="13" s="1"/>
  <c r="G71" i="13" s="1"/>
  <c r="F71" i="13" s="1"/>
  <c r="H71" i="13" s="1"/>
  <c r="G72" i="13" s="1"/>
  <c r="F72" i="13" s="1"/>
  <c r="H72" i="13" s="1"/>
  <c r="AO73" i="1"/>
  <c r="AO74" i="1" s="1"/>
  <c r="AO56" i="1" s="1"/>
  <c r="AO76" i="1" s="1"/>
  <c r="AO77" i="1" s="1"/>
  <c r="AQ71" i="1"/>
  <c r="AQ72" i="1"/>
  <c r="AP73" i="1"/>
  <c r="AP74" i="1" s="1"/>
  <c r="E27" i="2" s="1"/>
  <c r="H35" i="5"/>
  <c r="G36" i="5" s="1"/>
  <c r="F36" i="5" s="1"/>
  <c r="AA18" i="1"/>
  <c r="AA19" i="1"/>
  <c r="AB10" i="1"/>
  <c r="AB17" i="1"/>
  <c r="AN125" i="1"/>
  <c r="AN126" i="1" s="1"/>
  <c r="AR122" i="1"/>
  <c r="AR114" i="1"/>
  <c r="AR115" i="1" s="1"/>
  <c r="AR72" i="1"/>
  <c r="AR71" i="1"/>
  <c r="AP124" i="1"/>
  <c r="AP123" i="1"/>
  <c r="AP125" i="1" s="1"/>
  <c r="AD11" i="1"/>
  <c r="AC14" i="1"/>
  <c r="AC9" i="1" s="1"/>
  <c r="AC12" i="1"/>
  <c r="AP126" i="1"/>
  <c r="AQ124" i="1"/>
  <c r="AQ123" i="1"/>
  <c r="AQ125" i="1" s="1"/>
  <c r="AQ126" i="1" s="1"/>
  <c r="AQ108" i="1" s="1"/>
  <c r="AQ128" i="1" s="1"/>
  <c r="AQ129" i="1" s="1"/>
  <c r="G40" i="4"/>
  <c r="F40" i="4" s="1"/>
  <c r="H40" i="4" s="1"/>
  <c r="D28" i="2" l="1"/>
  <c r="G73" i="13"/>
  <c r="F73" i="13" s="1"/>
  <c r="H73" i="13" s="1"/>
  <c r="G74" i="13" s="1"/>
  <c r="F74" i="13" s="1"/>
  <c r="H74" i="13" s="1"/>
  <c r="G75" i="13" s="1"/>
  <c r="F75" i="13" s="1"/>
  <c r="H75" i="13" s="1"/>
  <c r="AP56" i="1"/>
  <c r="AP76" i="1" s="1"/>
  <c r="AP77" i="1" s="1"/>
  <c r="AR73" i="1"/>
  <c r="AR74" i="1" s="1"/>
  <c r="AR56" i="1" s="1"/>
  <c r="AR76" i="1" s="1"/>
  <c r="AR77" i="1" s="1"/>
  <c r="AQ73" i="1"/>
  <c r="AQ74" i="1" s="1"/>
  <c r="AQ56" i="1" s="1"/>
  <c r="AQ76" i="1" s="1"/>
  <c r="AQ77" i="1" s="1"/>
  <c r="H36" i="5"/>
  <c r="G37" i="5" s="1"/>
  <c r="F37" i="5" s="1"/>
  <c r="AR124" i="1"/>
  <c r="AR123" i="1"/>
  <c r="AR125" i="1" s="1"/>
  <c r="AR126" i="1" s="1"/>
  <c r="AN108" i="1"/>
  <c r="AN128" i="1" s="1"/>
  <c r="AN129" i="1" s="1"/>
  <c r="C26" i="2"/>
  <c r="AB18" i="1"/>
  <c r="AB19" i="1"/>
  <c r="AC10" i="1"/>
  <c r="AC17" i="1"/>
  <c r="C27" i="2"/>
  <c r="AP108" i="1"/>
  <c r="AP128" i="1" s="1"/>
  <c r="AP129" i="1" s="1"/>
  <c r="AA20" i="1"/>
  <c r="AA21" i="1" s="1"/>
  <c r="AA3" i="1" s="1"/>
  <c r="AA23" i="1" s="1"/>
  <c r="AA24" i="1" s="1"/>
  <c r="AE11" i="1"/>
  <c r="AD14" i="1"/>
  <c r="AD9" i="1" s="1"/>
  <c r="AD12" i="1"/>
  <c r="G41" i="4"/>
  <c r="F41" i="4" s="1"/>
  <c r="H41" i="4" s="1"/>
  <c r="AB20" i="1" l="1"/>
  <c r="AB21" i="1" s="1"/>
  <c r="AB3" i="1" s="1"/>
  <c r="AB23" i="1" s="1"/>
  <c r="AB24" i="1" s="1"/>
  <c r="G76" i="13"/>
  <c r="F76" i="13" s="1"/>
  <c r="H76" i="13" s="1"/>
  <c r="G77" i="13" s="1"/>
  <c r="F77" i="13" s="1"/>
  <c r="H77" i="13" s="1"/>
  <c r="G78" i="13" s="1"/>
  <c r="F78" i="13" s="1"/>
  <c r="H78" i="13" s="1"/>
  <c r="E28" i="2"/>
  <c r="H37" i="5"/>
  <c r="G38" i="5" s="1"/>
  <c r="F38" i="5" s="1"/>
  <c r="C28" i="2"/>
  <c r="AR108" i="1"/>
  <c r="AR128" i="1" s="1"/>
  <c r="AR129" i="1" s="1"/>
  <c r="AC18" i="1"/>
  <c r="AC19" i="1"/>
  <c r="AD10" i="1"/>
  <c r="AD17" i="1"/>
  <c r="AF11" i="1"/>
  <c r="AE14" i="1"/>
  <c r="AE9" i="1" s="1"/>
  <c r="AE12" i="1"/>
  <c r="G42" i="4"/>
  <c r="F42" i="4" s="1"/>
  <c r="H42" i="4" s="1"/>
  <c r="G79" i="13" l="1"/>
  <c r="F79" i="13" s="1"/>
  <c r="H79" i="13" s="1"/>
  <c r="G80" i="13" s="1"/>
  <c r="F80" i="13" s="1"/>
  <c r="H80" i="13" s="1"/>
  <c r="G81" i="13" s="1"/>
  <c r="F81" i="13" s="1"/>
  <c r="H81" i="13" s="1"/>
  <c r="H38" i="5"/>
  <c r="G39" i="5" s="1"/>
  <c r="F39" i="5" s="1"/>
  <c r="AF14" i="1"/>
  <c r="AF9" i="1" s="1"/>
  <c r="AF12" i="1"/>
  <c r="AG11" i="1"/>
  <c r="AE10" i="1"/>
  <c r="AE17" i="1"/>
  <c r="AD18" i="1"/>
  <c r="AD19" i="1"/>
  <c r="AC20" i="1"/>
  <c r="AC21" i="1" s="1"/>
  <c r="AC3" i="1" s="1"/>
  <c r="AC23" i="1" s="1"/>
  <c r="AC24" i="1" s="1"/>
  <c r="G43" i="4"/>
  <c r="F43" i="4" s="1"/>
  <c r="H43" i="4" s="1"/>
  <c r="G82" i="13" l="1"/>
  <c r="F82" i="13" s="1"/>
  <c r="H82" i="13" s="1"/>
  <c r="G83" i="13" s="1"/>
  <c r="F83" i="13" s="1"/>
  <c r="H83" i="13" s="1"/>
  <c r="G84" i="13" s="1"/>
  <c r="F84" i="13" s="1"/>
  <c r="H84" i="13" s="1"/>
  <c r="H39" i="5"/>
  <c r="G40" i="5" s="1"/>
  <c r="F40" i="5" s="1"/>
  <c r="AE18" i="1"/>
  <c r="AE19" i="1"/>
  <c r="AD20" i="1"/>
  <c r="AD21" i="1" s="1"/>
  <c r="AD3" i="1" s="1"/>
  <c r="AD23" i="1" s="1"/>
  <c r="AD24" i="1" s="1"/>
  <c r="AG14" i="1"/>
  <c r="AG9" i="1" s="1"/>
  <c r="AG12" i="1"/>
  <c r="AH11" i="1"/>
  <c r="AF17" i="1"/>
  <c r="AF10" i="1"/>
  <c r="G44" i="4"/>
  <c r="F44" i="4" s="1"/>
  <c r="H44" i="4" s="1"/>
  <c r="G85" i="13" l="1"/>
  <c r="F85" i="13" s="1"/>
  <c r="H85" i="13" s="1"/>
  <c r="G86" i="13" s="1"/>
  <c r="F86" i="13" s="1"/>
  <c r="H86" i="13" s="1"/>
  <c r="G87" i="13" s="1"/>
  <c r="H40" i="5"/>
  <c r="G41" i="5" s="1"/>
  <c r="F41" i="5" s="1"/>
  <c r="AF19" i="1"/>
  <c r="AF18" i="1"/>
  <c r="AF20" i="1" s="1"/>
  <c r="AG17" i="1"/>
  <c r="AG10" i="1"/>
  <c r="AF21" i="1"/>
  <c r="AF3" i="1" s="1"/>
  <c r="AF23" i="1" s="1"/>
  <c r="AF24" i="1" s="1"/>
  <c r="AH14" i="1"/>
  <c r="AH9" i="1" s="1"/>
  <c r="AH12" i="1"/>
  <c r="AI11" i="1"/>
  <c r="AE20" i="1"/>
  <c r="AE21" i="1" s="1"/>
  <c r="AE3" i="1" s="1"/>
  <c r="AE23" i="1" s="1"/>
  <c r="AE24" i="1" s="1"/>
  <c r="G45" i="4"/>
  <c r="F45" i="4" s="1"/>
  <c r="H45" i="4" s="1"/>
  <c r="F87" i="13" l="1"/>
  <c r="G88" i="13"/>
  <c r="H41" i="5"/>
  <c r="G42" i="5" s="1"/>
  <c r="F42" i="5" s="1"/>
  <c r="AI12" i="1"/>
  <c r="AJ11" i="1"/>
  <c r="AI14" i="1"/>
  <c r="AI9" i="1" s="1"/>
  <c r="AH17" i="1"/>
  <c r="AH10" i="1"/>
  <c r="AG19" i="1"/>
  <c r="AG18" i="1"/>
  <c r="AG20" i="1" s="1"/>
  <c r="AG21" i="1" s="1"/>
  <c r="AG3" i="1" s="1"/>
  <c r="AG23" i="1" s="1"/>
  <c r="AG24" i="1" s="1"/>
  <c r="G46" i="4"/>
  <c r="F46" i="4" s="1"/>
  <c r="H46" i="4" s="1"/>
  <c r="H87" i="13" l="1"/>
  <c r="F88" i="13"/>
  <c r="H42" i="5"/>
  <c r="G43" i="5" s="1"/>
  <c r="F43" i="5" s="1"/>
  <c r="AH19" i="1"/>
  <c r="AH18" i="1"/>
  <c r="AH20" i="1" s="1"/>
  <c r="AH21" i="1" s="1"/>
  <c r="AH3" i="1" s="1"/>
  <c r="AH23" i="1" s="1"/>
  <c r="AH24" i="1" s="1"/>
  <c r="AI17" i="1"/>
  <c r="AI10" i="1"/>
  <c r="AJ12" i="1"/>
  <c r="AK11" i="1"/>
  <c r="AJ14" i="1"/>
  <c r="AJ9" i="1" s="1"/>
  <c r="G47" i="4"/>
  <c r="F47" i="4" s="1"/>
  <c r="H47" i="4" s="1"/>
  <c r="H43" i="5" l="1"/>
  <c r="G44" i="5" s="1"/>
  <c r="F44" i="5" s="1"/>
  <c r="AJ17" i="1"/>
  <c r="AJ10" i="1"/>
  <c r="AK12" i="1"/>
  <c r="AL11" i="1"/>
  <c r="AK14" i="1"/>
  <c r="AK9" i="1" s="1"/>
  <c r="AI19" i="1"/>
  <c r="AI18" i="1"/>
  <c r="AI20" i="1" s="1"/>
  <c r="AI21" i="1" s="1"/>
  <c r="AI3" i="1" s="1"/>
  <c r="AI23" i="1" s="1"/>
  <c r="AI24" i="1" s="1"/>
  <c r="G48" i="4"/>
  <c r="F48" i="4" s="1"/>
  <c r="H48" i="4" s="1"/>
  <c r="H44" i="5" l="1"/>
  <c r="G45" i="5" s="1"/>
  <c r="F45" i="5" s="1"/>
  <c r="AL12" i="1"/>
  <c r="AM11" i="1"/>
  <c r="AL14" i="1"/>
  <c r="AL9" i="1" s="1"/>
  <c r="AK10" i="1"/>
  <c r="AK17" i="1"/>
  <c r="AJ19" i="1"/>
  <c r="AJ18" i="1"/>
  <c r="AJ20" i="1" s="1"/>
  <c r="AJ21" i="1" s="1"/>
  <c r="AJ3" i="1" s="1"/>
  <c r="AJ23" i="1" s="1"/>
  <c r="AJ24" i="1" s="1"/>
  <c r="G49" i="4"/>
  <c r="F49" i="4" s="1"/>
  <c r="H49" i="4" s="1"/>
  <c r="H45" i="5" l="1"/>
  <c r="G46" i="5" s="1"/>
  <c r="F46" i="5" s="1"/>
  <c r="AL10" i="1"/>
  <c r="AL17" i="1"/>
  <c r="AM12" i="1"/>
  <c r="AM14" i="1"/>
  <c r="AM9" i="1" s="1"/>
  <c r="AN11" i="1"/>
  <c r="AK19" i="1"/>
  <c r="AK18" i="1"/>
  <c r="AK20" i="1" s="1"/>
  <c r="AK21" i="1" s="1"/>
  <c r="AK3" i="1" s="1"/>
  <c r="AK23" i="1" s="1"/>
  <c r="AK24" i="1" s="1"/>
  <c r="G50" i="4"/>
  <c r="F50" i="4" s="1"/>
  <c r="H50" i="4" s="1"/>
  <c r="H46" i="5" l="1"/>
  <c r="G47" i="5" s="1"/>
  <c r="F47" i="5" s="1"/>
  <c r="AN12" i="1"/>
  <c r="AO11" i="1"/>
  <c r="AN14" i="1"/>
  <c r="AN9" i="1" s="1"/>
  <c r="AL19" i="1"/>
  <c r="AL18" i="1"/>
  <c r="AL20" i="1" s="1"/>
  <c r="AM10" i="1"/>
  <c r="AM17" i="1"/>
  <c r="AL21" i="1"/>
  <c r="AL3" i="1" s="1"/>
  <c r="AL23" i="1" s="1"/>
  <c r="AL24" i="1" s="1"/>
  <c r="G51" i="4"/>
  <c r="F51" i="4" s="1"/>
  <c r="H51" i="4" s="1"/>
  <c r="H47" i="5" l="1"/>
  <c r="G48" i="5" s="1"/>
  <c r="F48" i="5" s="1"/>
  <c r="AN10" i="1"/>
  <c r="AN17" i="1"/>
  <c r="AP11" i="1"/>
  <c r="AO14" i="1"/>
  <c r="AO9" i="1" s="1"/>
  <c r="AO12" i="1"/>
  <c r="AM18" i="1"/>
  <c r="AM19" i="1"/>
  <c r="G52" i="4"/>
  <c r="F52" i="4" s="1"/>
  <c r="H52" i="4" s="1"/>
  <c r="H48" i="5" l="1"/>
  <c r="G49" i="5" s="1"/>
  <c r="F49" i="5" s="1"/>
  <c r="AM20" i="1"/>
  <c r="AM21" i="1" s="1"/>
  <c r="AM3" i="1" s="1"/>
  <c r="AM23" i="1" s="1"/>
  <c r="AM24" i="1" s="1"/>
  <c r="AN18" i="1"/>
  <c r="AN19" i="1"/>
  <c r="AO10" i="1"/>
  <c r="AO17" i="1"/>
  <c r="AQ11" i="1"/>
  <c r="AP14" i="1"/>
  <c r="AP9" i="1" s="1"/>
  <c r="AP12" i="1"/>
  <c r="G53" i="4"/>
  <c r="F53" i="4" s="1"/>
  <c r="H53" i="4" s="1"/>
  <c r="H49" i="5" l="1"/>
  <c r="G50" i="5" s="1"/>
  <c r="F50" i="5" s="1"/>
  <c r="AO18" i="1"/>
  <c r="AO19" i="1"/>
  <c r="AP10" i="1"/>
  <c r="AP17" i="1"/>
  <c r="AQ14" i="1"/>
  <c r="AQ9" i="1" s="1"/>
  <c r="AQ12" i="1"/>
  <c r="AN20" i="1"/>
  <c r="AN21" i="1" s="1"/>
  <c r="AN3" i="1" s="1"/>
  <c r="AN23" i="1" s="1"/>
  <c r="AN24" i="1" s="1"/>
  <c r="G54" i="4"/>
  <c r="F54" i="4" s="1"/>
  <c r="H54" i="4" s="1"/>
  <c r="AO20" i="1" l="1"/>
  <c r="AO21" i="1" s="1"/>
  <c r="AO3" i="1" s="1"/>
  <c r="AO23" i="1" s="1"/>
  <c r="AO24" i="1" s="1"/>
  <c r="H50" i="5"/>
  <c r="G51" i="5" s="1"/>
  <c r="F51" i="5" s="1"/>
  <c r="AP18" i="1"/>
  <c r="AP19" i="1"/>
  <c r="AQ10" i="1"/>
  <c r="AQ17" i="1"/>
  <c r="G55" i="4"/>
  <c r="F55" i="4" s="1"/>
  <c r="H55" i="4" s="1"/>
  <c r="H51" i="5" l="1"/>
  <c r="G52" i="5" s="1"/>
  <c r="F52" i="5" s="1"/>
  <c r="AQ18" i="1"/>
  <c r="AQ19" i="1"/>
  <c r="AP20" i="1"/>
  <c r="AP21" i="1" s="1"/>
  <c r="AP3" i="1" s="1"/>
  <c r="AP23" i="1" s="1"/>
  <c r="AP24" i="1" s="1"/>
  <c r="G56" i="4"/>
  <c r="F56" i="4" s="1"/>
  <c r="H56" i="4" s="1"/>
  <c r="H52" i="5" l="1"/>
  <c r="G53" i="5" s="1"/>
  <c r="F53" i="5" s="1"/>
  <c r="AQ20" i="1"/>
  <c r="AQ21" i="1" s="1"/>
  <c r="AQ3" i="1" s="1"/>
  <c r="AQ23" i="1" s="1"/>
  <c r="AQ24" i="1" s="1"/>
  <c r="G57" i="4"/>
  <c r="F57" i="4" s="1"/>
  <c r="H57" i="4" s="1"/>
  <c r="H53" i="5" l="1"/>
  <c r="G54" i="5" s="1"/>
  <c r="F54" i="5" s="1"/>
  <c r="G58" i="4"/>
  <c r="F58" i="4" s="1"/>
  <c r="H58" i="4" s="1"/>
  <c r="H54" i="5" l="1"/>
  <c r="G55" i="5" s="1"/>
  <c r="F55" i="5" s="1"/>
  <c r="G59" i="4"/>
  <c r="F59" i="4" s="1"/>
  <c r="H59" i="4" s="1"/>
  <c r="H55" i="5" l="1"/>
  <c r="G56" i="5" s="1"/>
  <c r="F56" i="5" s="1"/>
  <c r="G60" i="4"/>
  <c r="F60" i="4" s="1"/>
  <c r="H60" i="4" s="1"/>
  <c r="H56" i="5" l="1"/>
  <c r="G57" i="5" s="1"/>
  <c r="F57" i="5" s="1"/>
  <c r="G61" i="4"/>
  <c r="F61" i="4" s="1"/>
  <c r="H61" i="4" s="1"/>
  <c r="H57" i="5" l="1"/>
  <c r="G58" i="5" s="1"/>
  <c r="F58" i="5" s="1"/>
  <c r="G62" i="4"/>
  <c r="F62" i="4" s="1"/>
  <c r="H62" i="4" s="1"/>
  <c r="H58" i="5" l="1"/>
  <c r="G59" i="5" s="1"/>
  <c r="F59" i="5" s="1"/>
  <c r="G63" i="4"/>
  <c r="F63" i="4" s="1"/>
  <c r="H63" i="4" l="1"/>
  <c r="H59" i="5"/>
  <c r="G60" i="5" s="1"/>
  <c r="F60" i="5" s="1"/>
  <c r="G64" i="4" l="1"/>
  <c r="F64" i="4" s="1"/>
  <c r="H64" i="4" s="1"/>
  <c r="G65" i="4" s="1"/>
  <c r="F65" i="4" s="1"/>
  <c r="H65" i="4" s="1"/>
  <c r="G66" i="4" s="1"/>
  <c r="F66" i="4" s="1"/>
  <c r="H66" i="4" s="1"/>
  <c r="G67" i="4" s="1"/>
  <c r="F67" i="4" s="1"/>
  <c r="H67" i="4" s="1"/>
  <c r="G68" i="4" s="1"/>
  <c r="F68" i="4" s="1"/>
  <c r="H68" i="4" s="1"/>
  <c r="G69" i="4" s="1"/>
  <c r="F69" i="4" s="1"/>
  <c r="H69" i="4" s="1"/>
  <c r="G70" i="4" s="1"/>
  <c r="F70" i="4" s="1"/>
  <c r="H70" i="4" s="1"/>
  <c r="G71" i="4" s="1"/>
  <c r="F71" i="4" s="1"/>
  <c r="H71" i="4" s="1"/>
  <c r="G72" i="4" s="1"/>
  <c r="F72" i="4" s="1"/>
  <c r="H72" i="4" s="1"/>
  <c r="H60" i="5"/>
  <c r="G61" i="5" s="1"/>
  <c r="F61" i="5" s="1"/>
  <c r="G73" i="4" l="1"/>
  <c r="F73" i="4" s="1"/>
  <c r="H73" i="4" s="1"/>
  <c r="G74" i="4" s="1"/>
  <c r="F74" i="4" s="1"/>
  <c r="H74" i="4" s="1"/>
  <c r="G75" i="4" s="1"/>
  <c r="H61" i="5"/>
  <c r="G62" i="5" s="1"/>
  <c r="F62" i="5" s="1"/>
  <c r="F75" i="4" l="1"/>
  <c r="G76" i="4"/>
  <c r="H62" i="5"/>
  <c r="G63" i="5" s="1"/>
  <c r="F63" i="5" s="1"/>
  <c r="H75" i="4" l="1"/>
  <c r="F76" i="4"/>
  <c r="H63" i="5"/>
  <c r="G64" i="5" s="1"/>
  <c r="F64" i="5" s="1"/>
  <c r="H64" i="5" s="1"/>
  <c r="G65" i="5" l="1"/>
  <c r="F65" i="5" s="1"/>
  <c r="H65" i="5" s="1"/>
  <c r="G66" i="5" l="1"/>
  <c r="F66" i="5" s="1"/>
  <c r="H66" i="5" s="1"/>
  <c r="G67" i="5" l="1"/>
  <c r="F67" i="5" s="1"/>
  <c r="H67" i="5" s="1"/>
  <c r="G68" i="5" l="1"/>
  <c r="F68" i="5" s="1"/>
  <c r="H68" i="5" s="1"/>
  <c r="G69" i="5" l="1"/>
  <c r="F69" i="5" s="1"/>
  <c r="H69" i="5" s="1"/>
  <c r="G70" i="5" l="1"/>
  <c r="F70" i="5" s="1"/>
  <c r="H70" i="5" s="1"/>
  <c r="G71" i="5" l="1"/>
  <c r="F71" i="5" s="1"/>
  <c r="H71" i="5" s="1"/>
  <c r="G72" i="5" l="1"/>
  <c r="F72" i="5" s="1"/>
  <c r="H72" i="5" s="1"/>
  <c r="G73" i="5" l="1"/>
  <c r="F73" i="5" s="1"/>
  <c r="H73" i="5" s="1"/>
  <c r="G74" i="5" l="1"/>
  <c r="F74" i="5" l="1"/>
  <c r="H74" i="5" s="1"/>
  <c r="G75" i="5" l="1"/>
  <c r="F75" i="5" s="1"/>
  <c r="H75" i="5" s="1"/>
  <c r="G76" i="5" s="1"/>
  <c r="F76" i="5" l="1"/>
  <c r="H76" i="5" l="1"/>
  <c r="G77" i="5" l="1"/>
  <c r="F77" i="5" l="1"/>
  <c r="H77" i="5" l="1"/>
  <c r="G78" i="5" l="1"/>
  <c r="F78" i="5" l="1"/>
  <c r="H78" i="5" l="1"/>
  <c r="G79" i="5" l="1"/>
  <c r="F79" i="5" l="1"/>
  <c r="H79" i="5" l="1"/>
  <c r="G80" i="5" l="1"/>
  <c r="F80" i="5" l="1"/>
  <c r="H80" i="5" l="1"/>
  <c r="G81" i="5" l="1"/>
  <c r="F81" i="5" l="1"/>
  <c r="H81" i="5" l="1"/>
  <c r="G82" i="5" l="1"/>
  <c r="F82" i="5" s="1"/>
  <c r="H82" i="5" s="1"/>
  <c r="G83" i="5" l="1"/>
  <c r="F83" i="5" s="1"/>
  <c r="H83" i="5" s="1"/>
  <c r="G84" i="5" l="1"/>
  <c r="F84" i="5" s="1"/>
  <c r="H84" i="5" s="1"/>
  <c r="G85" i="5" l="1"/>
  <c r="F85" i="5" s="1"/>
  <c r="H85" i="5" s="1"/>
  <c r="G86" i="5" l="1"/>
  <c r="F86" i="5" s="1"/>
  <c r="H86" i="5" s="1"/>
  <c r="G87" i="5" l="1"/>
  <c r="F87" i="5" l="1"/>
  <c r="F88" i="5" l="1"/>
  <c r="H87" i="5"/>
</calcChain>
</file>

<file path=xl/sharedStrings.xml><?xml version="1.0" encoding="utf-8"?>
<sst xmlns="http://schemas.openxmlformats.org/spreadsheetml/2006/main" count="1720" uniqueCount="359">
  <si>
    <t>Editable</t>
  </si>
  <si>
    <t>1 Yr</t>
  </si>
  <si>
    <t>2 Yrs</t>
  </si>
  <si>
    <t>3 Yrs</t>
  </si>
  <si>
    <t>4 Yrs</t>
  </si>
  <si>
    <t>5 Yrs</t>
  </si>
  <si>
    <t>GROSS AMOUNT</t>
  </si>
  <si>
    <t>NET PROCEEDS</t>
  </si>
  <si>
    <t>Add:</t>
  </si>
  <si>
    <t>Service Fee</t>
  </si>
  <si>
    <t>Insurance</t>
  </si>
  <si>
    <t>CapCon</t>
  </si>
  <si>
    <t>membership fee</t>
  </si>
  <si>
    <t>Advance Interest</t>
  </si>
  <si>
    <t>LOAN AMOUNT</t>
  </si>
  <si>
    <t>Annual Interest Rate</t>
  </si>
  <si>
    <t>Effective Interest Rate</t>
  </si>
  <si>
    <t>Monthly Amortization</t>
  </si>
  <si>
    <t>Net Proceeds</t>
  </si>
  <si>
    <t>1 Yr                    12 Months</t>
  </si>
  <si>
    <t>2 Yrs                24 Months</t>
  </si>
  <si>
    <t>3 Yrs                  36 Months</t>
  </si>
  <si>
    <t>GROSS</t>
  </si>
  <si>
    <t>NET</t>
  </si>
  <si>
    <t>SF</t>
  </si>
  <si>
    <t xml:space="preserve">LOAN AMOUNT </t>
  </si>
  <si>
    <t>Annual Interest</t>
  </si>
  <si>
    <t>Effective Interest rate</t>
  </si>
  <si>
    <t>Loan Term</t>
  </si>
  <si>
    <t>Monthly Interest Rate</t>
  </si>
  <si>
    <t>Nr of Payments</t>
  </si>
  <si>
    <t>Income</t>
  </si>
  <si>
    <t>% Income</t>
  </si>
  <si>
    <t>4 yrs</t>
  </si>
  <si>
    <t>Amortization</t>
  </si>
  <si>
    <t>Timeline</t>
  </si>
  <si>
    <t>NET PROCEEDS/CASH FLOW</t>
  </si>
  <si>
    <t>Interest Rate of Return</t>
  </si>
  <si>
    <t>LOAN LEDGER CARD</t>
  </si>
  <si>
    <t>Name:</t>
  </si>
  <si>
    <t>Loan Voucher No.</t>
  </si>
  <si>
    <t>Serial:</t>
  </si>
  <si>
    <t>Address:</t>
  </si>
  <si>
    <t>Amount:</t>
  </si>
  <si>
    <t>Posting date</t>
  </si>
  <si>
    <t>Date of Loan:</t>
  </si>
  <si>
    <t>Maturity Date</t>
  </si>
  <si>
    <t>Term:</t>
  </si>
  <si>
    <t>MOS</t>
  </si>
  <si>
    <t>Loan</t>
  </si>
  <si>
    <t>Installment</t>
  </si>
  <si>
    <t>Principal</t>
  </si>
  <si>
    <t>EIR</t>
  </si>
  <si>
    <t>Balance</t>
  </si>
  <si>
    <t>Month 0</t>
  </si>
  <si>
    <t>PEOPLE'S MULTI-PURPOSE COOPERATIVE</t>
  </si>
  <si>
    <t>20-E 2nd Camarilla St. corner 15th Ave., Brgy. San Roque, Murphy Cubao, Quezon City</t>
  </si>
  <si>
    <t>LOAN RELEASE VOUCHER</t>
  </si>
  <si>
    <t>Date:</t>
  </si>
  <si>
    <t>LV No:</t>
  </si>
  <si>
    <t>Name of Borrower:</t>
  </si>
  <si>
    <t>Serial No.:</t>
  </si>
  <si>
    <t>Principal Amount</t>
  </si>
  <si>
    <t>(-)</t>
  </si>
  <si>
    <t>Balance Old Loan(s)</t>
  </si>
  <si>
    <t>Membership Fee:</t>
  </si>
  <si>
    <t>Paid up Capital:</t>
  </si>
  <si>
    <t>Insurance Premium - Paramount</t>
  </si>
  <si>
    <t>NET PROCEEDS (Php):</t>
  </si>
  <si>
    <t>PAYMENT</t>
  </si>
  <si>
    <t xml:space="preserve">Monthly Interest Payable </t>
  </si>
  <si>
    <t>First Payment Due On:</t>
  </si>
  <si>
    <t>Maturity:</t>
  </si>
  <si>
    <t>EIR (%):</t>
  </si>
  <si>
    <t>Interest Rate per Month (%):</t>
  </si>
  <si>
    <t>Certified &amp; Corrected by:</t>
  </si>
  <si>
    <t>Approved By:</t>
  </si>
  <si>
    <t>Processor</t>
  </si>
  <si>
    <t>President</t>
  </si>
  <si>
    <t>Received By:</t>
  </si>
  <si>
    <t>Signature Over Printed Name/Date</t>
  </si>
  <si>
    <t>CDEA  LOAN TABLE</t>
  </si>
  <si>
    <t>PEOPLE'S MULTI-PURPOSE COOPERATIVE  EFFECTIVE ON         JANUARY 16, 2025</t>
  </si>
  <si>
    <t>12 Months</t>
  </si>
  <si>
    <t>24 Months</t>
  </si>
  <si>
    <t>36 Months</t>
  </si>
  <si>
    <t>48 Months</t>
  </si>
  <si>
    <t>60 Months</t>
  </si>
  <si>
    <t>9% HIGHEST INTEREST RATE</t>
  </si>
  <si>
    <t>ALEXANDER A. FERIA JR</t>
  </si>
  <si>
    <t>PAMELA CHERRY A. REYES</t>
  </si>
  <si>
    <t>COL. ALEXANDER L. FERIA (RET) CPA MNSA</t>
  </si>
  <si>
    <t>Advance interest</t>
  </si>
  <si>
    <t>LOAN VERIFIER</t>
  </si>
  <si>
    <t>PROCESSOR</t>
  </si>
  <si>
    <t>STALL # 2 PRINCIPE BLDG. MAHARLIKA HI-WAY UPI GAMU ISABELA</t>
  </si>
  <si>
    <t xml:space="preserve">MARTIN BARROGA RICARDO </t>
  </si>
  <si>
    <t>LV - 047</t>
  </si>
  <si>
    <t>O- 127212</t>
  </si>
  <si>
    <t>B4 L14 DEROSA ST. MS2, LNC, BRGY NAVARRO, CITY OF GENERAL TRIAS, CAVITE</t>
  </si>
  <si>
    <t>60 months</t>
  </si>
  <si>
    <t>Verifier</t>
  </si>
  <si>
    <t>RICARDO BARROGA MARTIN</t>
  </si>
  <si>
    <t>i</t>
  </si>
  <si>
    <t>CARLITO VASQUEZ GARCIA</t>
  </si>
  <si>
    <t>LV- 047</t>
  </si>
  <si>
    <t>PEMBO, MAKATI CITY , METRO MANILA</t>
  </si>
  <si>
    <t>48 months</t>
  </si>
  <si>
    <t xml:space="preserve">20-E 2nd Camarilla St corner 15th Avenue, </t>
  </si>
  <si>
    <t>Brgy San Roque, Murphy Cubao, Quezon City</t>
  </si>
  <si>
    <t>Mobile No. (+63)953-033-1580 (GLOBE)</t>
  </si>
  <si>
    <t>LOAN APPLICATION FORM</t>
  </si>
  <si>
    <t>m</t>
  </si>
  <si>
    <t>d</t>
  </si>
  <si>
    <t>y</t>
  </si>
  <si>
    <t>APPLICATION TYPE</t>
  </si>
  <si>
    <t>LOAN CLASSIFICATION</t>
  </si>
  <si>
    <t>TERM</t>
  </si>
  <si>
    <t>RELEASE OF LOAN PROCEEDS</t>
  </si>
  <si>
    <t>New</t>
  </si>
  <si>
    <t>Salary Loan</t>
  </si>
  <si>
    <t>Check</t>
  </si>
  <si>
    <t>Renewal</t>
  </si>
  <si>
    <t>Pension Loan</t>
  </si>
  <si>
    <t>Bank Electronic Transfer to Borrowers Account</t>
  </si>
  <si>
    <t>Additional</t>
  </si>
  <si>
    <t>Emergency</t>
  </si>
  <si>
    <t>Others:</t>
  </si>
  <si>
    <t>Reloan</t>
  </si>
  <si>
    <t>Health Assistance Loan</t>
  </si>
  <si>
    <t>Restructure</t>
  </si>
  <si>
    <t>Educational Loan</t>
  </si>
  <si>
    <t xml:space="preserve">Others: </t>
  </si>
  <si>
    <t>AMOUNT APPLIED:</t>
  </si>
  <si>
    <t>MONTHLY AMORTIZATION:</t>
  </si>
  <si>
    <t>LOAN ID:</t>
  </si>
  <si>
    <t>DEDUCTION CODE:</t>
  </si>
  <si>
    <t>LOAN PURPOSE:</t>
  </si>
  <si>
    <t>MEM ID:</t>
  </si>
  <si>
    <t>Regular Member</t>
  </si>
  <si>
    <t>Old Member</t>
  </si>
  <si>
    <t>Associate Member</t>
  </si>
  <si>
    <t>New Member</t>
  </si>
  <si>
    <t>BORROWER'S INFORMATION</t>
  </si>
  <si>
    <t>(LAST NAME)</t>
  </si>
  <si>
    <t>(FIRST NAME)</t>
  </si>
  <si>
    <t>(MIDDLE NAME)</t>
  </si>
  <si>
    <t>(SUFFIX)</t>
  </si>
  <si>
    <t>Rank/Position:</t>
  </si>
  <si>
    <t>Branch of Service:</t>
  </si>
  <si>
    <t>Date of Appointment:</t>
  </si>
  <si>
    <t>Date of Retirement:</t>
  </si>
  <si>
    <t>2004-023 OCD</t>
  </si>
  <si>
    <t>Length of Service:</t>
  </si>
  <si>
    <t>Date of Birth:</t>
  </si>
  <si>
    <t>Age:</t>
  </si>
  <si>
    <t>Civil Status:</t>
  </si>
  <si>
    <t>Single</t>
  </si>
  <si>
    <t>Widower</t>
  </si>
  <si>
    <t>Home Phone No.</t>
  </si>
  <si>
    <t xml:space="preserve">Married </t>
  </si>
  <si>
    <t>Separated</t>
  </si>
  <si>
    <t>Unit Assignment:</t>
  </si>
  <si>
    <t>Unit/Office/Business Address:</t>
  </si>
  <si>
    <t>Unit/Office Telephone No/s:</t>
  </si>
  <si>
    <t>AFP/Company ID No:</t>
  </si>
  <si>
    <t>Email Address:</t>
  </si>
  <si>
    <t>Tax Identification No/s:</t>
  </si>
  <si>
    <t>-</t>
  </si>
  <si>
    <t>1</t>
  </si>
  <si>
    <t>6</t>
  </si>
  <si>
    <t>Present Address:</t>
  </si>
  <si>
    <t>NOTIFICATION CLAUSE</t>
  </si>
  <si>
    <t>I  hereby  acknowledge and authorized the People's Multi-Purpose Cooperative (PMPC) for the following: 1) the regular submission and disclosure</t>
  </si>
  <si>
    <t>of  my basic credit data  (as defined under Republic Act Nr 9510 and its Implementing Rules and Regulations) to the  Credit Information Corporation (CIC)</t>
  </si>
  <si>
    <t xml:space="preserve">as  well  as  any  updates  or  corrections  thereof;  and  2)  the sharing of my basic data and with other lenders authorized by the CIC, and credit reporting </t>
  </si>
  <si>
    <t>agencies duly accredited by the CIC.</t>
  </si>
  <si>
    <t>Printed Name &amp; Signature of Borrower</t>
  </si>
  <si>
    <t>CERTIFICATION</t>
  </si>
  <si>
    <t>I hereby certify that the applicant is assigned to this Office; is not on leave without pay; has no pending case; and, that all information he/she</t>
  </si>
  <si>
    <t>provided is true and correct.</t>
  </si>
  <si>
    <t>CERTIFYING OFFICER</t>
  </si>
  <si>
    <t>DESIGNATION</t>
  </si>
  <si>
    <t>OFFICE</t>
  </si>
  <si>
    <t>CONTACT NUMBER</t>
  </si>
  <si>
    <t>(Signature Over Printed Name)</t>
  </si>
  <si>
    <t>CREDIT HISTORY</t>
  </si>
  <si>
    <t>Loan ID</t>
  </si>
  <si>
    <t>Date Granted</t>
  </si>
  <si>
    <t>Loan Granted</t>
  </si>
  <si>
    <t>Term</t>
  </si>
  <si>
    <t>MA</t>
  </si>
  <si>
    <t>Status/Remarks</t>
  </si>
  <si>
    <t>Principal Balance</t>
  </si>
  <si>
    <t>LOAN APPROVAL</t>
  </si>
  <si>
    <t>Loan Amount:</t>
  </si>
  <si>
    <t>MA:</t>
  </si>
  <si>
    <t>Required NTHP:</t>
  </si>
  <si>
    <t>NTHP after MA</t>
  </si>
  <si>
    <t>Total Loan Exposure:</t>
  </si>
  <si>
    <t>PROCESSED &amp; VERIFIED BY:</t>
  </si>
  <si>
    <t>SIGNATURE OVER PRINTED NAME</t>
  </si>
  <si>
    <t>RECOMMEND APPROVAL/DISAPPROVAL:</t>
  </si>
  <si>
    <t>APPROVED/DISAPPROVED:</t>
  </si>
  <si>
    <t>JEFFRAE A. SAPLA</t>
  </si>
  <si>
    <t>COL.ALEXANDER L. FERIA (RET)CPA MNSA</t>
  </si>
  <si>
    <t>PROMISORY NOTE NO:</t>
  </si>
  <si>
    <t>FOR VALUE RECEIVED,  the undersigned  promise  to  pay  the  People's Multi-Purpose Cooperative (PMPC)  the sum of Php</t>
  </si>
  <si>
    <t>in</t>
  </si>
  <si>
    <t xml:space="preserve"> equal monthly installments amounting to Php</t>
  </si>
  <si>
    <r>
      <t>each, to be paid on the</t>
    </r>
    <r>
      <rPr>
        <b/>
        <sz val="14"/>
        <rFont val="Calibri"/>
        <family val="2"/>
        <scheme val="minor"/>
      </rPr>
      <t xml:space="preserve"> 28th</t>
    </r>
    <r>
      <rPr>
        <sz val="14"/>
        <rFont val="Calibri"/>
        <family val="2"/>
        <scheme val="minor"/>
      </rPr>
      <t xml:space="preserve"> day of every month starting on </t>
    </r>
  </si>
  <si>
    <r>
      <t>/ Single Payment of</t>
    </r>
    <r>
      <rPr>
        <u/>
        <sz val="14"/>
        <rFont val="Calibri"/>
        <family val="2"/>
        <scheme val="minor"/>
      </rPr>
      <t xml:space="preserve">                                </t>
    </r>
    <r>
      <rPr>
        <sz val="14"/>
        <rFont val="Calibri"/>
        <family val="2"/>
        <scheme val="minor"/>
      </rPr>
      <t xml:space="preserve"> due on</t>
    </r>
    <r>
      <rPr>
        <u/>
        <sz val="14"/>
        <rFont val="Calibri"/>
        <family val="2"/>
        <scheme val="minor"/>
      </rPr>
      <t xml:space="preserve">                                    </t>
    </r>
    <r>
      <rPr>
        <sz val="14"/>
        <rFont val="Calibri"/>
        <family val="2"/>
        <scheme val="minor"/>
      </rPr>
      <t xml:space="preserve"> unpaid installments from maturity will bear charges on unpaid  principal </t>
    </r>
  </si>
  <si>
    <r>
      <t xml:space="preserve">at the rate of </t>
    </r>
    <r>
      <rPr>
        <b/>
        <sz val="14"/>
        <rFont val="Calibri"/>
        <family val="2"/>
        <scheme val="minor"/>
      </rPr>
      <t>2% per month</t>
    </r>
    <r>
      <rPr>
        <sz val="14"/>
        <rFont val="Calibri"/>
        <family val="2"/>
        <scheme val="minor"/>
      </rPr>
      <t xml:space="preserve"> as penatly thereof.</t>
    </r>
  </si>
  <si>
    <t xml:space="preserve">     I hereby waive presentment for payment and notice of dishonor. PMPC may accept partial payment reserving its right of recourse against me. PMPC is hereby authorized and empowered to set off or apply without notice what is due under this Note from whatever funds I have in the Cooperative.</t>
  </si>
  <si>
    <t xml:space="preserve">     It is further agreed that in case of separation from the service of whatever cause, the unpaid balance with its accumulated surcharges  and  interest  as stipulated above be deducted from my last paymnet, commutation of leave/furlough and/or from my pension.</t>
  </si>
  <si>
    <t xml:space="preserve">     It is further agreed that  when installments are not paid when due and payable, the whole of the principal sum remaining unpaid shall forthwith become due and payable at the election of the Cooperative. I promise and agree to pay for a reasonable attorney's fee if this note is not paid  according  to  its  legal tenor and effect when palced in a lawyer's hand for collection. In case litigation, venue shall be vested in the competent court as may be allowed by the Rules of Court at the sole option of PMPC.</t>
  </si>
  <si>
    <t xml:space="preserve">     Further, I hereby agree and authorized PMPC to encumber, assign or sell to any person or entity any right which it may have under thi Note, and/or any assignment, mortgage lien, pledge or other encumbrances constituted in favor of PMPC pursuant to the provisions of this Note if any.  The  consent  herein granted is recognized and acknowledged by me/us as a waiver, to all intent and purposes of whatever right I may have to notice of actual encumbrance/ assignment.</t>
  </si>
  <si>
    <t>Military/Pensioners ID</t>
  </si>
  <si>
    <t>Employee's ID/Office ID</t>
  </si>
  <si>
    <t>Driver's License</t>
  </si>
  <si>
    <t>Signature over Printed Name</t>
  </si>
  <si>
    <t xml:space="preserve">ID No: </t>
  </si>
  <si>
    <t xml:space="preserve">Expiration Date: </t>
  </si>
  <si>
    <t>LEFT THUMBMARK</t>
  </si>
  <si>
    <t>RIGHT THUMBMARK</t>
  </si>
  <si>
    <t>ACKNOWLEDGEMENT</t>
  </si>
  <si>
    <t>REPUBLIC OF THE PHILIPPINES</t>
  </si>
  <si>
    <t>(20-E, 2nd Camarilla St., Cor. 15th Ave.,BRGY San Roque, Murphy Cubao, Quezon City)  S.S</t>
  </si>
  <si>
    <t xml:space="preserve">     BEFORE ME, a Notary Public for and in Cubao, Quezon City this _______ day of _______________, 20_____, personally appeared __________________</t>
  </si>
  <si>
    <t>__________, who presented to me the Identification Cards mentioned above, known to me to  be  the  same  person  who  executed  the forgoing application for loan and promissory note and acknowledged that the same as his/her true act and deed and took oath  that  the  statement  herein are true and correct and that the application is made for the purpose under consideration.</t>
  </si>
  <si>
    <t>WITNESS MY HAND AND NOTARIAL SEAL, on the date, year and palce first above written.</t>
  </si>
  <si>
    <t>Doc No.</t>
  </si>
  <si>
    <t>Page No.</t>
  </si>
  <si>
    <t>Book No.</t>
  </si>
  <si>
    <t>Series of.</t>
  </si>
  <si>
    <t>AUTHORITY TO DEDUCT</t>
  </si>
  <si>
    <t>In connection with my loan described above, I  hereby  authorize  the  Finance/ Agent/ Disburing  Officer  of  the  AFP  Finance  Center,  subdivision  or</t>
  </si>
  <si>
    <t>instrumentality of the Government or any other office to which I may subsequently be detailed, assigned or appointed to deduct and /or withhold from my</t>
  </si>
  <si>
    <r>
      <t xml:space="preserve">monthly payment of </t>
    </r>
    <r>
      <rPr>
        <b/>
        <sz val="13"/>
        <color rgb="FF000000"/>
        <rFont val="Calibri"/>
        <family val="2"/>
        <scheme val="minor"/>
      </rPr>
      <t>Php</t>
    </r>
  </si>
  <si>
    <t>, for the period of</t>
  </si>
  <si>
    <r>
      <t xml:space="preserve">months with the total amount of </t>
    </r>
    <r>
      <rPr>
        <b/>
        <sz val="12"/>
        <color theme="1"/>
        <rFont val="Calibri"/>
        <family val="2"/>
        <scheme val="minor"/>
      </rPr>
      <t>Php</t>
    </r>
  </si>
  <si>
    <t>has been fully paid.</t>
  </si>
  <si>
    <t>Likewise, I hereby authorize the above-mentioned official to deduct and/or withhold part of my pension, commutation, salary or any amount due me</t>
  </si>
  <si>
    <t xml:space="preserve">and my heirs for the payment of said loan together with the surcharges interest, if any, until the same have been paid in fully. </t>
  </si>
  <si>
    <t>(Signature of Borrower Over Printed Name)</t>
  </si>
  <si>
    <t>THIS IS TO CERTIFY that the applicant is under my paying jurisdiction and the amount stated above can be sufficiently deducted from monthly pay.</t>
  </si>
  <si>
    <t>I guarantee to deduct the amount as stipulated above and to remit the same to the Treasurer, PEOPLE'S MULTI-PURPOSE COOPERATIVE (PMCP) as soon</t>
  </si>
  <si>
    <t>as possible.</t>
  </si>
  <si>
    <t xml:space="preserve">(Signature of Finance/Agent/Disbursing Officer over Printed Name) </t>
  </si>
  <si>
    <t>Outstanding Balance</t>
  </si>
  <si>
    <t>HIGHEST LOAN OFFERED FOR 66-70</t>
  </si>
  <si>
    <t>HIGHEST LOAN OFFERED FOR 71-75</t>
  </si>
  <si>
    <t>HIGHEST LOAN OFFER FOR 18-65 YO</t>
  </si>
  <si>
    <t>pvap</t>
  </si>
  <si>
    <t>Loan  Balance</t>
  </si>
  <si>
    <t>MADONNA LYN ORTEGA MARQUEZ</t>
  </si>
  <si>
    <t>CDEA-001</t>
  </si>
  <si>
    <t>Serial Nr:</t>
  </si>
  <si>
    <t>2004-023</t>
  </si>
  <si>
    <t>BLK 1 LOT 8 JOSHUA ST., BEYOND HOMES BRGY  SAN FRANCISCO, GENERAL TRIAS, CAVITE</t>
  </si>
  <si>
    <t>MARQUEZ</t>
  </si>
  <si>
    <t>MADONNA LYN</t>
  </si>
  <si>
    <t>ORTEGA</t>
  </si>
  <si>
    <t>Term  of loan in months:</t>
  </si>
  <si>
    <t>month(s)</t>
  </si>
  <si>
    <t>HRMD IV</t>
  </si>
  <si>
    <t>OCD</t>
  </si>
  <si>
    <t xml:space="preserve">Monthly Amortization </t>
  </si>
  <si>
    <t>20 YEARS AND 6 MOS</t>
  </si>
  <si>
    <t>OCT 1 1981</t>
  </si>
  <si>
    <t>HRMDD - OCD</t>
  </si>
  <si>
    <t>CAMP AGUINALDO QUEZON CITY</t>
  </si>
  <si>
    <t>Verified by:</t>
  </si>
  <si>
    <t>madomarquez819@gmail.com</t>
  </si>
  <si>
    <t>0</t>
  </si>
  <si>
    <t>ALEXANDER A. FERIA JR.</t>
  </si>
  <si>
    <t>Verifier/PELVAMS Liason</t>
  </si>
  <si>
    <t>MADONNA LYN O MARQUEZ</t>
  </si>
  <si>
    <t>COL.ALEXANDER L. FERIA (RET) CPA MNSA</t>
  </si>
  <si>
    <t>MS RUBY D ABELLADO</t>
  </si>
  <si>
    <t>HRMD III</t>
  </si>
  <si>
    <t>HRMDD</t>
  </si>
  <si>
    <t>02125296</t>
  </si>
  <si>
    <t>20-E 15th Avenue Corner, 2nd Camarilla St.</t>
  </si>
  <si>
    <t>Brgy. San Roque, Murphy, Cubao, Quezon City</t>
  </si>
  <si>
    <t>Mobile Number: 09194983770 / 09530331580</t>
  </si>
  <si>
    <t>AUTHORIZATION FOR ACTIVE DEDUCTION</t>
  </si>
  <si>
    <t>DATE</t>
  </si>
  <si>
    <t>To whom it may concern:</t>
  </si>
  <si>
    <t xml:space="preserve">                   I hereby authorize that the amount of </t>
  </si>
  <si>
    <t>Five Thousand Six Hundred Ten and 02/100 (Php 5,610.02)</t>
  </si>
  <si>
    <t>for a period</t>
  </si>
  <si>
    <t xml:space="preserve">months with the total amount of </t>
  </si>
  <si>
    <t xml:space="preserve">Two Hundred One Thousand Nine Hundred </t>
  </si>
  <si>
    <t>Sixty and 56/100</t>
  </si>
  <si>
    <t>UMID I.D.</t>
  </si>
  <si>
    <t>006-0082-1396-1</t>
  </si>
  <si>
    <t>MRS. LALAIN N. BARROGA</t>
  </si>
  <si>
    <t>3</t>
  </si>
  <si>
    <t>SMALL BUSINESS LOAN</t>
  </si>
  <si>
    <t>PMPC</t>
  </si>
  <si>
    <t>1 YEAR</t>
  </si>
  <si>
    <t xml:space="preserve">TO WITHDRAW </t>
  </si>
  <si>
    <t>total number of income</t>
  </si>
  <si>
    <t>cooperative income</t>
  </si>
  <si>
    <t>Dividends</t>
  </si>
  <si>
    <t>Patronage Refund</t>
  </si>
  <si>
    <t xml:space="preserve">income </t>
  </si>
  <si>
    <t>cc</t>
  </si>
  <si>
    <t>xander</t>
  </si>
  <si>
    <t>misson</t>
  </si>
  <si>
    <t>vision</t>
  </si>
  <si>
    <t>jan</t>
  </si>
  <si>
    <t>december</t>
  </si>
  <si>
    <t>currrent</t>
  </si>
  <si>
    <t>2023 - 2024</t>
  </si>
  <si>
    <t>savings</t>
  </si>
  <si>
    <t>time</t>
  </si>
  <si>
    <t>2024-2025</t>
  </si>
  <si>
    <t>2025-2026</t>
  </si>
  <si>
    <t>CHEQUE</t>
  </si>
  <si>
    <t>12 MON THS</t>
  </si>
  <si>
    <t>2</t>
  </si>
  <si>
    <t>SURAIDA S. ANOG</t>
  </si>
  <si>
    <t>LV-054</t>
  </si>
  <si>
    <t>PUROK 4 GUIANG, GAMU, ISABELA</t>
  </si>
  <si>
    <t>ANOG</t>
  </si>
  <si>
    <t>SURAIDA</t>
  </si>
  <si>
    <t>SASAPAN</t>
  </si>
  <si>
    <t>BENEFICIARY</t>
  </si>
  <si>
    <t>MARCH 14 1965</t>
  </si>
  <si>
    <t>AFP  LOAN TABLE W/O CAPCON</t>
  </si>
  <si>
    <t>AFP  LOAN TABLE W/ CAPCON</t>
  </si>
  <si>
    <t xml:space="preserve">AGE INSURANCE </t>
  </si>
  <si>
    <t>18 TO 65</t>
  </si>
  <si>
    <t>66 TO  70</t>
  </si>
  <si>
    <t>71 TO 75</t>
  </si>
  <si>
    <t>MAXIMUM NET PROCEEDS</t>
  </si>
  <si>
    <t>REQUIREMENTS</t>
  </si>
  <si>
    <t>NON-MEDICAL LIMIT (HEALTH QUESTIONNAIRE)</t>
  </si>
  <si>
    <t>9</t>
  </si>
  <si>
    <t xml:space="preserve"> </t>
  </si>
  <si>
    <t>LRV-059</t>
  </si>
  <si>
    <t>PA</t>
  </si>
  <si>
    <t>O-7704</t>
  </si>
  <si>
    <t>TABAQUERO, ARTHUR I.</t>
  </si>
  <si>
    <t>#49 RICARTE ST. AFPOVAI WESTERN BICUTAN TAGUIG CITY METRO MANILA</t>
  </si>
  <si>
    <t>LTGEN</t>
  </si>
  <si>
    <t>8</t>
  </si>
  <si>
    <r>
      <t xml:space="preserve">     BEFORE ME, a Notary Public for and in Cubao, Quezon City this _____ day of </t>
    </r>
    <r>
      <rPr>
        <u/>
        <sz val="13"/>
        <color theme="1"/>
        <rFont val="Calibri"/>
        <family val="2"/>
        <scheme val="minor"/>
      </rPr>
      <t>JANUARY</t>
    </r>
    <r>
      <rPr>
        <sz val="13"/>
        <color theme="1"/>
        <rFont val="Calibri"/>
        <family val="2"/>
        <scheme val="minor"/>
      </rPr>
      <t>, 2026, personally appeared __________________</t>
    </r>
  </si>
  <si>
    <t>LV-059</t>
  </si>
  <si>
    <t>COL. ALEXANDER L. FERIA (RET),CPA, MNSA</t>
  </si>
  <si>
    <t>TABAQUERO</t>
  </si>
  <si>
    <t>ARTHUR</t>
  </si>
  <si>
    <t>IBANEZ</t>
  </si>
  <si>
    <t xml:space="preserve">     It is further agreed that in case of separation from the service of whatever cause, the unpaid balance with its accumulated surcharges  and  interest  as stipulated above be deducted from my last paymnet, commutation of leave/furlough, capital contribution, and/or from my pension.</t>
  </si>
  <si>
    <t>691 PL</t>
  </si>
  <si>
    <t>ait38467704@gmail.com</t>
  </si>
  <si>
    <t xml:space="preserve"> 01/09/2026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</si>
</sst>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_-* #,##0.00_-;\-* #,##0.00_-;_-* &quot;-&quot;??_-;_-@_-"/>
    <numFmt numFmtId="165" formatCode="_-* #,##0_-;\-* #,##0_-;_-* &quot;-&quot;??_-;_-@_-"/>
    <numFmt numFmtId="166" formatCode="[$-3409]dd\-mmm\-yy;@"/>
    <numFmt numFmtId="167" formatCode="0.0000%"/>
    <numFmt numFmtId="168" formatCode="0.0%"/>
    <numFmt numFmtId="169" formatCode="_-* #,##0.000000_-;\-* #,##0.000000_-;_-* &quot;-&quot;??_-;_-@_-"/>
    <numFmt numFmtId="170" formatCode="_-* #,##0.0000_-;\-* #,##0.0000_-;_-* &quot;-&quot;??_-;_-@_-"/>
    <numFmt numFmtId="171" formatCode="&quot;₱&quot;#,##0.00"/>
    <numFmt numFmtId="172" formatCode="dd/mm/yyyy;@"/>
    <numFmt numFmtId="173" formatCode="[$-3409]mmmm\ dd\,\ yyyy;@"/>
    <numFmt numFmtId="174" formatCode="[$-409]d\-mmm\-yyyy;@"/>
  </numFmts>
  <fonts count="5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Arial"/>
      <family val="2"/>
    </font>
    <font>
      <b/>
      <sz val="11"/>
      <color rgb="FFFF0000"/>
      <name val="Calibri"/>
      <family val="2"/>
      <scheme val="minor"/>
    </font>
    <font>
      <sz val="16"/>
      <color rgb="FFFF0000"/>
      <name val="Calibri"/>
      <family val="2"/>
      <scheme val="minor"/>
    </font>
    <font>
      <sz val="11"/>
      <color rgb="FFFF0000"/>
      <name val="Calibri"/>
      <family val="2"/>
      <scheme val="minor"/>
    </font>
    <font>
      <sz val="11"/>
      <color theme="1"/>
      <name val="Arial"/>
      <family val="2"/>
    </font>
    <font>
      <sz val="11"/>
      <color theme="1"/>
      <name val="Bahnschrift Light Condensed"/>
      <family val="2"/>
    </font>
    <font>
      <b/>
      <sz val="18"/>
      <color theme="1"/>
      <name val="MS Gothic"/>
      <family val="3"/>
    </font>
    <font>
      <sz val="10"/>
      <color theme="1"/>
      <name val="Arial"/>
      <family val="2"/>
    </font>
    <font>
      <b/>
      <sz val="14"/>
      <color theme="0"/>
      <name val="Arial"/>
      <family val="2"/>
    </font>
    <font>
      <b/>
      <sz val="12"/>
      <color theme="1"/>
      <name val="Arial"/>
      <family val="2"/>
    </font>
    <font>
      <sz val="12"/>
      <color theme="1"/>
      <name val="Arial"/>
      <family val="2"/>
    </font>
    <font>
      <sz val="12"/>
      <color theme="1"/>
      <name val="Bahnschrift Light Condensed"/>
      <family val="2"/>
    </font>
    <font>
      <sz val="11"/>
      <color theme="0"/>
      <name val="Arial"/>
      <family val="2"/>
    </font>
    <font>
      <b/>
      <sz val="10"/>
      <color theme="1"/>
      <name val="Arial"/>
      <family val="2"/>
    </font>
    <font>
      <sz val="12"/>
      <color theme="1"/>
      <name val="MS Gothic"/>
      <family val="3"/>
    </font>
    <font>
      <b/>
      <sz val="16"/>
      <color theme="1"/>
      <name val="Calibri"/>
      <family val="2"/>
      <scheme val="minor"/>
    </font>
    <font>
      <b/>
      <sz val="11"/>
      <color theme="0"/>
      <name val="Calibri"/>
      <family val="2"/>
      <scheme val="minor"/>
    </font>
    <font>
      <b/>
      <sz val="11"/>
      <color theme="1"/>
      <name val="Century Gothic"/>
      <family val="2"/>
    </font>
    <font>
      <sz val="11"/>
      <color theme="1"/>
      <name val="Century Gothic"/>
      <family val="2"/>
    </font>
    <font>
      <sz val="11"/>
      <color theme="1"/>
      <name val="Calibri"/>
      <family val="2"/>
      <scheme val="minor"/>
    </font>
    <font>
      <b/>
      <sz val="14"/>
      <color theme="0"/>
      <name val="Calibri"/>
      <family val="2"/>
      <scheme val="minor"/>
    </font>
    <font>
      <sz val="12"/>
      <color theme="1"/>
      <name val="Arial Rounded MT Bold"/>
      <family val="2"/>
    </font>
    <font>
      <sz val="22"/>
      <color theme="1"/>
      <name val="Arial Rounded MT Bold"/>
      <family val="2"/>
    </font>
    <font>
      <sz val="36"/>
      <color theme="1"/>
      <name val="Arial Rounded MT Bold"/>
      <family val="2"/>
    </font>
    <font>
      <sz val="1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b/>
      <sz val="12"/>
      <color theme="0"/>
      <name val="Calibri"/>
      <family val="2"/>
      <scheme val="minor"/>
    </font>
    <font>
      <b/>
      <i/>
      <sz val="12"/>
      <color theme="1"/>
      <name val="Calibri"/>
      <family val="2"/>
      <scheme val="minor"/>
    </font>
    <font>
      <sz val="12"/>
      <color theme="0"/>
      <name val="Calibri"/>
      <family val="2"/>
      <scheme val="minor"/>
    </font>
    <font>
      <sz val="14"/>
      <name val="Calibri"/>
      <family val="2"/>
      <scheme val="minor"/>
    </font>
    <font>
      <b/>
      <sz val="14"/>
      <name val="Calibri"/>
      <family val="2"/>
      <scheme val="minor"/>
    </font>
    <font>
      <b/>
      <sz val="11"/>
      <name val="Arial"/>
      <family val="2"/>
    </font>
    <font>
      <b/>
      <sz val="12"/>
      <name val="Arial"/>
      <family val="2"/>
    </font>
    <font>
      <u/>
      <sz val="14"/>
      <name val="Calibri"/>
      <family val="2"/>
      <scheme val="minor"/>
    </font>
    <font>
      <sz val="12"/>
      <color theme="1"/>
      <name val="Calibri"/>
      <family val="2"/>
    </font>
    <font>
      <sz val="13"/>
      <color rgb="FF000000"/>
      <name val="Calibri"/>
      <family val="2"/>
      <scheme val="minor"/>
    </font>
    <font>
      <sz val="13"/>
      <color theme="1"/>
      <name val="Calibri"/>
      <family val="2"/>
      <scheme val="minor"/>
    </font>
    <font>
      <sz val="12"/>
      <color rgb="FF000000"/>
      <name val="Calibri"/>
      <family val="2"/>
      <scheme val="minor"/>
    </font>
    <font>
      <sz val="14"/>
      <color theme="0"/>
      <name val="Calibri"/>
      <family val="2"/>
      <scheme val="minor"/>
    </font>
    <font>
      <b/>
      <sz val="13"/>
      <color rgb="FF000000"/>
      <name val="Calibri"/>
      <family val="2"/>
      <scheme val="minor"/>
    </font>
    <font>
      <b/>
      <sz val="14"/>
      <color theme="1"/>
      <name val="Calibri"/>
      <family val="2"/>
      <scheme val="minor"/>
    </font>
    <font>
      <b/>
      <sz val="11"/>
      <color theme="1"/>
      <name val="Calibri"/>
      <family val="2"/>
      <scheme val="minor"/>
    </font>
    <font>
      <sz val="20"/>
      <color theme="1"/>
      <name val="Calibri"/>
      <family val="2"/>
      <scheme val="minor"/>
    </font>
    <font>
      <u/>
      <sz val="13"/>
      <color theme="1"/>
      <name val="Calibri"/>
      <family val="2"/>
      <scheme val="minor"/>
    </font>
    <font>
      <sz val="9"/>
      <name val="Segoe UI Historic"/>
      <family val="2"/>
    </font>
  </fonts>
  <fills count="11">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9" tint="0.39991454817346722"/>
        <bgColor indexed="64"/>
      </patternFill>
    </fill>
    <fill>
      <patternFill patternType="solid">
        <fgColor theme="9" tint="0.39994506668294322"/>
        <bgColor indexed="64"/>
      </patternFill>
    </fill>
    <fill>
      <patternFill patternType="solid">
        <fgColor theme="1"/>
        <bgColor indexed="64"/>
      </patternFill>
    </fill>
    <fill>
      <patternFill patternType="solid">
        <fgColor theme="0" tint="-0.49998474074526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499984740745262"/>
        <bgColor indexed="64"/>
      </patternFill>
    </fill>
  </fills>
  <borders count="4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top/>
      <bottom style="thin">
        <color auto="1"/>
      </bottom>
      <diagonal/>
    </border>
    <border>
      <left/>
      <right style="medium">
        <color auto="1"/>
      </right>
      <top/>
      <bottom/>
      <diagonal/>
    </border>
    <border>
      <left/>
      <right/>
      <top/>
      <bottom style="double">
        <color auto="1"/>
      </bottom>
      <diagonal/>
    </border>
    <border>
      <left/>
      <right style="medium">
        <color auto="1"/>
      </right>
      <top style="medium">
        <color auto="1"/>
      </top>
      <bottom/>
      <diagonal/>
    </border>
    <border>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right/>
      <top style="medium">
        <color auto="1"/>
      </top>
      <bottom style="medium">
        <color auto="1"/>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indexed="64"/>
      </left>
      <right style="thin">
        <color auto="1"/>
      </right>
      <top style="medium">
        <color auto="1"/>
      </top>
      <bottom style="medium">
        <color indexed="64"/>
      </bottom>
      <diagonal/>
    </border>
    <border>
      <left style="thin">
        <color auto="1"/>
      </left>
      <right style="thin">
        <color auto="1"/>
      </right>
      <top style="medium">
        <color auto="1"/>
      </top>
      <bottom style="medium">
        <color indexed="64"/>
      </bottom>
      <diagonal/>
    </border>
    <border>
      <left style="thin">
        <color auto="1"/>
      </left>
      <right style="medium">
        <color indexed="64"/>
      </right>
      <top style="medium">
        <color auto="1"/>
      </top>
      <bottom style="medium">
        <color indexed="64"/>
      </bottom>
      <diagonal/>
    </border>
  </borders>
  <cellStyleXfs count="4">
    <xf numFmtId="0" fontId="0" fillId="0" borderId="0"/>
    <xf numFmtId="164" fontId="31" fillId="0" borderId="0" applyFont="0" applyFill="0" applyBorder="0" applyAlignment="0" applyProtection="0"/>
    <xf numFmtId="9" fontId="31" fillId="0" borderId="0" applyFont="0" applyFill="0" applyBorder="0" applyAlignment="0" applyProtection="0"/>
    <xf numFmtId="0" fontId="37" fillId="0" borderId="0" applyNumberFormat="0" applyFill="0" applyBorder="0" applyAlignment="0" applyProtection="0"/>
  </cellStyleXfs>
  <cellXfs count="539">
    <xf numFmtId="0" fontId="0" fillId="0" borderId="0" xfId="0"/>
    <xf numFmtId="164" fontId="0" fillId="0" borderId="0" xfId="0" applyNumberFormat="1"/>
    <xf numFmtId="0" fontId="0" fillId="0" borderId="1" xfId="0" applyBorder="1"/>
    <xf numFmtId="0" fontId="0" fillId="2" borderId="0" xfId="0" applyFill="1" applyAlignment="1">
      <alignment horizontal="center"/>
    </xf>
    <xf numFmtId="164" fontId="0" fillId="0" borderId="0" xfId="1" applyFont="1"/>
    <xf numFmtId="0" fontId="12" fillId="2" borderId="0" xfId="0" applyFont="1" applyFill="1"/>
    <xf numFmtId="164" fontId="0" fillId="0" borderId="2" xfId="1" applyFont="1" applyBorder="1"/>
    <xf numFmtId="10" fontId="0" fillId="0" borderId="0" xfId="2" applyNumberFormat="1" applyFont="1"/>
    <xf numFmtId="164" fontId="13" fillId="0" borderId="0" xfId="2" applyNumberFormat="1" applyFont="1" applyFill="1"/>
    <xf numFmtId="10" fontId="0" fillId="0" borderId="0" xfId="2" applyNumberFormat="1" applyFont="1" applyFill="1"/>
    <xf numFmtId="164" fontId="0" fillId="0" borderId="0" xfId="1" applyFont="1" applyFill="1"/>
    <xf numFmtId="0" fontId="0" fillId="0" borderId="9" xfId="0" applyBorder="1"/>
    <xf numFmtId="0" fontId="0" fillId="0" borderId="10" xfId="0" applyBorder="1"/>
    <xf numFmtId="0" fontId="0" fillId="0" borderId="2" xfId="0" applyBorder="1"/>
    <xf numFmtId="0" fontId="0" fillId="0" borderId="11" xfId="0" applyBorder="1"/>
    <xf numFmtId="0" fontId="0" fillId="0" borderId="12" xfId="0" applyBorder="1"/>
    <xf numFmtId="0" fontId="0" fillId="0" borderId="13" xfId="0" applyBorder="1"/>
    <xf numFmtId="14" fontId="0" fillId="0" borderId="2" xfId="0" applyNumberFormat="1" applyBorder="1"/>
    <xf numFmtId="14" fontId="0" fillId="0" borderId="11" xfId="0" applyNumberFormat="1" applyBorder="1"/>
    <xf numFmtId="164" fontId="0" fillId="0" borderId="12" xfId="0" applyNumberFormat="1" applyBorder="1"/>
    <xf numFmtId="14" fontId="0" fillId="0" borderId="1" xfId="0" applyNumberFormat="1" applyBorder="1"/>
    <xf numFmtId="165" fontId="0" fillId="0" borderId="12" xfId="0" applyNumberFormat="1" applyBorder="1"/>
    <xf numFmtId="14" fontId="0" fillId="0" borderId="0" xfId="0" applyNumberFormat="1"/>
    <xf numFmtId="14" fontId="0" fillId="0" borderId="9" xfId="0" applyNumberFormat="1" applyBorder="1" applyAlignment="1">
      <alignment horizontal="right" vertical="center"/>
    </xf>
    <xf numFmtId="0" fontId="13" fillId="0" borderId="0" xfId="0" applyFont="1"/>
    <xf numFmtId="10" fontId="0" fillId="0" borderId="0" xfId="2" applyNumberFormat="1" applyFont="1" applyFill="1" applyBorder="1"/>
    <xf numFmtId="0" fontId="16" fillId="0" borderId="15" xfId="0" applyFont="1" applyBorder="1"/>
    <xf numFmtId="0" fontId="16" fillId="0" borderId="16" xfId="0" applyFont="1" applyBorder="1"/>
    <xf numFmtId="0" fontId="17" fillId="0" borderId="16" xfId="0" applyFont="1" applyBorder="1"/>
    <xf numFmtId="0" fontId="16" fillId="0" borderId="13" xfId="0" applyFont="1" applyBorder="1"/>
    <xf numFmtId="0" fontId="16" fillId="0" borderId="0" xfId="0" applyFont="1"/>
    <xf numFmtId="0" fontId="17" fillId="0" borderId="0" xfId="0" applyFont="1" applyAlignment="1">
      <alignment vertical="center"/>
    </xf>
    <xf numFmtId="0" fontId="17" fillId="0" borderId="0" xfId="0" applyFont="1"/>
    <xf numFmtId="0" fontId="16" fillId="0" borderId="0" xfId="0" applyFont="1" applyAlignment="1">
      <alignment vertical="center"/>
    </xf>
    <xf numFmtId="0" fontId="21" fillId="0" borderId="13" xfId="0" applyFont="1" applyBorder="1"/>
    <xf numFmtId="0" fontId="21" fillId="0" borderId="0" xfId="0" applyFont="1" applyAlignment="1">
      <alignment vertical="center"/>
    </xf>
    <xf numFmtId="0" fontId="22" fillId="0" borderId="0" xfId="0" applyFont="1"/>
    <xf numFmtId="0" fontId="22" fillId="0" borderId="18" xfId="0" applyFont="1" applyBorder="1"/>
    <xf numFmtId="0" fontId="21" fillId="0" borderId="0" xfId="0" applyFont="1"/>
    <xf numFmtId="0" fontId="22" fillId="0" borderId="13" xfId="0" applyFont="1" applyBorder="1"/>
    <xf numFmtId="0" fontId="22" fillId="0" borderId="0" xfId="0" applyFont="1" applyAlignment="1">
      <alignment vertical="center"/>
    </xf>
    <xf numFmtId="0" fontId="22" fillId="0" borderId="0" xfId="0" applyFont="1" applyAlignment="1">
      <alignment horizontal="right" vertical="center"/>
    </xf>
    <xf numFmtId="0" fontId="23" fillId="0" borderId="0" xfId="0" applyFont="1" applyAlignment="1">
      <alignment vertical="center"/>
    </xf>
    <xf numFmtId="0" fontId="16" fillId="0" borderId="19" xfId="0" applyFont="1" applyBorder="1"/>
    <xf numFmtId="0" fontId="17" fillId="0" borderId="19" xfId="0" applyFont="1" applyBorder="1"/>
    <xf numFmtId="0" fontId="16" fillId="0" borderId="20" xfId="0" applyFont="1" applyBorder="1"/>
    <xf numFmtId="0" fontId="16" fillId="0" borderId="18" xfId="0" applyFont="1" applyBorder="1"/>
    <xf numFmtId="49" fontId="16" fillId="0" borderId="0" xfId="0" applyNumberFormat="1" applyFont="1" applyAlignment="1">
      <alignment horizontal="right" vertical="center"/>
    </xf>
    <xf numFmtId="0" fontId="21" fillId="0" borderId="18" xfId="0" applyFont="1" applyBorder="1"/>
    <xf numFmtId="0" fontId="16" fillId="0" borderId="0" xfId="0" applyFont="1" applyAlignment="1">
      <alignment horizontal="right" vertical="center"/>
    </xf>
    <xf numFmtId="0" fontId="16" fillId="0" borderId="22" xfId="0" applyFont="1" applyBorder="1"/>
    <xf numFmtId="0" fontId="16" fillId="0" borderId="23" xfId="0" applyFont="1" applyBorder="1"/>
    <xf numFmtId="0" fontId="17" fillId="0" borderId="23" xfId="0" applyFont="1" applyBorder="1"/>
    <xf numFmtId="0" fontId="16" fillId="0" borderId="24" xfId="0" applyFont="1" applyBorder="1"/>
    <xf numFmtId="0" fontId="0" fillId="2" borderId="0" xfId="0" applyFill="1"/>
    <xf numFmtId="0" fontId="0" fillId="4" borderId="0" xfId="0" applyFill="1"/>
    <xf numFmtId="0" fontId="27" fillId="0" borderId="0" xfId="0" applyFont="1"/>
    <xf numFmtId="164" fontId="0" fillId="2" borderId="0" xfId="1" applyFont="1" applyFill="1"/>
    <xf numFmtId="167" fontId="0" fillId="4" borderId="0" xfId="1" applyNumberFormat="1" applyFont="1" applyFill="1"/>
    <xf numFmtId="168" fontId="0" fillId="0" borderId="1" xfId="2" applyNumberFormat="1" applyFont="1" applyBorder="1"/>
    <xf numFmtId="165" fontId="0" fillId="0" borderId="0" xfId="1" applyNumberFormat="1" applyFont="1"/>
    <xf numFmtId="10" fontId="0" fillId="2" borderId="0" xfId="2" applyNumberFormat="1" applyFont="1" applyFill="1"/>
    <xf numFmtId="10" fontId="0" fillId="0" borderId="0" xfId="1" applyNumberFormat="1" applyFont="1"/>
    <xf numFmtId="169" fontId="0" fillId="0" borderId="0" xfId="1" applyNumberFormat="1" applyFont="1"/>
    <xf numFmtId="170" fontId="0" fillId="0" borderId="0" xfId="1" applyNumberFormat="1" applyFont="1"/>
    <xf numFmtId="0" fontId="0" fillId="5" borderId="0" xfId="0" applyFill="1"/>
    <xf numFmtId="167" fontId="0" fillId="5" borderId="0" xfId="1" applyNumberFormat="1" applyFont="1" applyFill="1"/>
    <xf numFmtId="164" fontId="0" fillId="0" borderId="0" xfId="1" applyFont="1" applyFill="1" applyBorder="1"/>
    <xf numFmtId="167" fontId="0" fillId="0" borderId="0" xfId="1" applyNumberFormat="1" applyFont="1" applyFill="1" applyBorder="1"/>
    <xf numFmtId="168" fontId="0" fillId="0" borderId="10" xfId="2" applyNumberFormat="1" applyFont="1" applyBorder="1"/>
    <xf numFmtId="168" fontId="0" fillId="0" borderId="0" xfId="2" applyNumberFormat="1" applyFont="1" applyFill="1" applyBorder="1"/>
    <xf numFmtId="165" fontId="0" fillId="0" borderId="0" xfId="1" applyNumberFormat="1" applyFont="1" applyFill="1" applyBorder="1"/>
    <xf numFmtId="10" fontId="0" fillId="0" borderId="0" xfId="1" applyNumberFormat="1" applyFont="1" applyFill="1" applyBorder="1"/>
    <xf numFmtId="169" fontId="0" fillId="0" borderId="0" xfId="1" applyNumberFormat="1" applyFont="1" applyFill="1" applyBorder="1"/>
    <xf numFmtId="170" fontId="0" fillId="0" borderId="0" xfId="1" applyNumberFormat="1" applyFont="1" applyFill="1" applyBorder="1"/>
    <xf numFmtId="0" fontId="0" fillId="0" borderId="0" xfId="0" applyAlignment="1">
      <alignment vertical="center"/>
    </xf>
    <xf numFmtId="167" fontId="0" fillId="0" borderId="0" xfId="1" applyNumberFormat="1" applyFont="1" applyFill="1"/>
    <xf numFmtId="165" fontId="0" fillId="0" borderId="0" xfId="1" applyNumberFormat="1" applyFont="1" applyFill="1"/>
    <xf numFmtId="10" fontId="0" fillId="0" borderId="0" xfId="1" applyNumberFormat="1" applyFont="1" applyFill="1"/>
    <xf numFmtId="169" fontId="0" fillId="0" borderId="0" xfId="1" applyNumberFormat="1" applyFont="1" applyFill="1"/>
    <xf numFmtId="170" fontId="0" fillId="0" borderId="0" xfId="1" applyNumberFormat="1" applyFont="1" applyFill="1"/>
    <xf numFmtId="164" fontId="0" fillId="0" borderId="0" xfId="1" applyFont="1" applyFill="1" applyAlignment="1">
      <alignment vertical="center"/>
    </xf>
    <xf numFmtId="0" fontId="29" fillId="0" borderId="0" xfId="0" applyFont="1" applyAlignment="1">
      <alignment horizontal="center" wrapText="1"/>
    </xf>
    <xf numFmtId="4" fontId="30" fillId="0" borderId="9" xfId="0" applyNumberFormat="1" applyFont="1" applyBorder="1"/>
    <xf numFmtId="164" fontId="30" fillId="0" borderId="1" xfId="1" applyFont="1" applyBorder="1"/>
    <xf numFmtId="4" fontId="30" fillId="0" borderId="1" xfId="0" applyNumberFormat="1" applyFont="1" applyBorder="1"/>
    <xf numFmtId="4" fontId="30" fillId="0" borderId="0" xfId="0" applyNumberFormat="1" applyFont="1"/>
    <xf numFmtId="4" fontId="30" fillId="0" borderId="25" xfId="0" applyNumberFormat="1" applyFont="1" applyBorder="1"/>
    <xf numFmtId="164" fontId="30" fillId="0" borderId="14" xfId="1" applyFont="1" applyBorder="1"/>
    <xf numFmtId="4" fontId="30" fillId="0" borderId="14" xfId="0" applyNumberFormat="1" applyFont="1" applyBorder="1"/>
    <xf numFmtId="4" fontId="0" fillId="0" borderId="0" xfId="0" applyNumberFormat="1"/>
    <xf numFmtId="0" fontId="0" fillId="2" borderId="1" xfId="0" applyFill="1" applyBorder="1"/>
    <xf numFmtId="0" fontId="0" fillId="0" borderId="1" xfId="0" applyBorder="1" applyAlignment="1">
      <alignment horizontal="center"/>
    </xf>
    <xf numFmtId="164" fontId="0" fillId="0" borderId="1" xfId="0" applyNumberFormat="1" applyBorder="1"/>
    <xf numFmtId="164" fontId="0" fillId="2" borderId="1" xfId="1" applyFont="1" applyFill="1" applyBorder="1"/>
    <xf numFmtId="164" fontId="0" fillId="0" borderId="1" xfId="1" applyFont="1" applyBorder="1"/>
    <xf numFmtId="10" fontId="0" fillId="0" borderId="1" xfId="2" applyNumberFormat="1" applyFont="1" applyBorder="1"/>
    <xf numFmtId="164" fontId="0" fillId="0" borderId="1" xfId="1" applyFont="1" applyFill="1" applyBorder="1"/>
    <xf numFmtId="164" fontId="11" fillId="2" borderId="1" xfId="1" applyFont="1" applyFill="1" applyBorder="1"/>
    <xf numFmtId="0" fontId="29" fillId="0" borderId="3" xfId="0" applyFont="1" applyBorder="1" applyAlignment="1">
      <alignment horizontal="center"/>
    </xf>
    <xf numFmtId="0" fontId="29" fillId="0" borderId="4" xfId="0" applyFont="1" applyBorder="1" applyAlignment="1">
      <alignment horizontal="center" wrapText="1"/>
    </xf>
    <xf numFmtId="0" fontId="35" fillId="0" borderId="0" xfId="0" applyFont="1" applyAlignment="1">
      <alignment vertical="center"/>
    </xf>
    <xf numFmtId="0" fontId="33" fillId="0" borderId="0" xfId="0" applyFont="1" applyAlignment="1">
      <alignment vertical="top"/>
    </xf>
    <xf numFmtId="164" fontId="9" fillId="0" borderId="0" xfId="1" applyFont="1"/>
    <xf numFmtId="165" fontId="0" fillId="0" borderId="1" xfId="0" applyNumberFormat="1" applyBorder="1"/>
    <xf numFmtId="165" fontId="0" fillId="0" borderId="1" xfId="1" applyNumberFormat="1" applyFont="1" applyFill="1" applyBorder="1" applyProtection="1"/>
    <xf numFmtId="0" fontId="16" fillId="0" borderId="0" xfId="0" applyFont="1" applyAlignment="1">
      <alignment horizontal="center" vertical="center"/>
    </xf>
    <xf numFmtId="0" fontId="0" fillId="0" borderId="12" xfId="0" applyBorder="1" applyAlignment="1">
      <alignment horizontal="center"/>
    </xf>
    <xf numFmtId="0" fontId="15" fillId="0" borderId="1" xfId="0" applyFont="1" applyBorder="1"/>
    <xf numFmtId="164" fontId="0" fillId="0" borderId="22" xfId="1" applyFont="1" applyFill="1" applyBorder="1" applyProtection="1"/>
    <xf numFmtId="164" fontId="0" fillId="0" borderId="23" xfId="1" applyFont="1" applyFill="1" applyBorder="1" applyProtection="1"/>
    <xf numFmtId="10" fontId="0" fillId="0" borderId="24" xfId="2" applyNumberFormat="1" applyFont="1" applyFill="1" applyBorder="1" applyProtection="1"/>
    <xf numFmtId="164" fontId="26" fillId="0" borderId="0" xfId="1" applyFont="1" applyBorder="1" applyAlignment="1">
      <alignment horizontal="center" vertical="center"/>
    </xf>
    <xf numFmtId="10" fontId="26" fillId="0" borderId="0" xfId="1" applyNumberFormat="1" applyFont="1" applyBorder="1" applyAlignment="1">
      <alignment horizontal="right" vertical="center"/>
    </xf>
    <xf numFmtId="164" fontId="26" fillId="0" borderId="0" xfId="1" applyFont="1" applyBorder="1" applyAlignment="1">
      <alignment horizontal="right" vertical="center"/>
    </xf>
    <xf numFmtId="10" fontId="0" fillId="0" borderId="0" xfId="0" applyNumberFormat="1"/>
    <xf numFmtId="0" fontId="36" fillId="0" borderId="1" xfId="0" applyFont="1" applyBorder="1"/>
    <xf numFmtId="14" fontId="0" fillId="0" borderId="12" xfId="0" applyNumberFormat="1" applyBorder="1"/>
    <xf numFmtId="164" fontId="0" fillId="0" borderId="22" xfId="1" applyFont="1" applyBorder="1" applyProtection="1"/>
    <xf numFmtId="14" fontId="16" fillId="0" borderId="0" xfId="0" applyNumberFormat="1" applyFont="1" applyAlignment="1">
      <alignment horizontal="center" vertical="center"/>
    </xf>
    <xf numFmtId="0" fontId="38" fillId="0" borderId="0" xfId="0" applyFont="1"/>
    <xf numFmtId="0" fontId="39" fillId="0" borderId="0" xfId="0" applyFont="1" applyAlignment="1">
      <alignment vertical="center" wrapText="1"/>
    </xf>
    <xf numFmtId="0" fontId="38" fillId="0" borderId="0" xfId="0" applyFont="1" applyAlignment="1">
      <alignment horizontal="left"/>
    </xf>
    <xf numFmtId="0" fontId="39" fillId="0" borderId="0" xfId="0" applyFont="1"/>
    <xf numFmtId="0" fontId="39" fillId="0" borderId="10" xfId="1" applyNumberFormat="1" applyFont="1" applyBorder="1" applyAlignment="1">
      <alignment vertical="center"/>
    </xf>
    <xf numFmtId="0" fontId="39" fillId="0" borderId="2" xfId="1" applyNumberFormat="1" applyFont="1" applyBorder="1" applyAlignment="1">
      <alignment vertical="center"/>
    </xf>
    <xf numFmtId="0" fontId="39" fillId="0" borderId="11" xfId="1" applyNumberFormat="1" applyFont="1" applyBorder="1" applyAlignment="1">
      <alignment vertical="center"/>
    </xf>
    <xf numFmtId="0" fontId="39" fillId="0" borderId="0" xfId="0" applyFont="1" applyAlignment="1">
      <alignment horizontal="center" vertical="top"/>
    </xf>
    <xf numFmtId="0" fontId="39" fillId="0" borderId="0" xfId="0" applyFont="1" applyAlignment="1">
      <alignment horizontal="left"/>
    </xf>
    <xf numFmtId="0" fontId="38" fillId="0" borderId="1" xfId="0" applyFont="1" applyBorder="1"/>
    <xf numFmtId="0" fontId="38" fillId="0" borderId="0" xfId="0" applyFont="1" applyAlignment="1">
      <alignment horizontal="center"/>
    </xf>
    <xf numFmtId="0" fontId="38" fillId="0" borderId="7" xfId="0" applyFont="1" applyBorder="1"/>
    <xf numFmtId="0" fontId="39" fillId="0" borderId="29" xfId="0" applyFont="1" applyBorder="1" applyAlignment="1">
      <alignment vertical="top"/>
    </xf>
    <xf numFmtId="0" fontId="39" fillId="0" borderId="21" xfId="0" applyFont="1" applyBorder="1" applyAlignment="1">
      <alignment vertical="top"/>
    </xf>
    <xf numFmtId="0" fontId="39" fillId="0" borderId="0" xfId="0" applyFont="1" applyAlignment="1">
      <alignment vertical="top"/>
    </xf>
    <xf numFmtId="0" fontId="39" fillId="0" borderId="31" xfId="0" applyFont="1" applyBorder="1" applyAlignment="1">
      <alignment vertical="top"/>
    </xf>
    <xf numFmtId="0" fontId="39" fillId="0" borderId="17" xfId="0" applyFont="1" applyBorder="1" applyAlignment="1">
      <alignment vertical="top"/>
    </xf>
    <xf numFmtId="0" fontId="39" fillId="0" borderId="31" xfId="0" applyFont="1" applyBorder="1" applyAlignment="1">
      <alignment horizontal="left" vertical="center"/>
    </xf>
    <xf numFmtId="0" fontId="39" fillId="0" borderId="31" xfId="0" applyFont="1" applyBorder="1" applyAlignment="1">
      <alignment vertical="center"/>
    </xf>
    <xf numFmtId="0" fontId="39" fillId="0" borderId="10" xfId="0" applyFont="1" applyBorder="1" applyAlignment="1">
      <alignment vertical="center"/>
    </xf>
    <xf numFmtId="0" fontId="39" fillId="0" borderId="2" xfId="0" applyFont="1" applyBorder="1" applyAlignment="1">
      <alignment vertical="top"/>
    </xf>
    <xf numFmtId="0" fontId="39" fillId="0" borderId="29" xfId="0" applyFont="1" applyBorder="1" applyAlignment="1">
      <alignment horizontal="left" vertical="center"/>
    </xf>
    <xf numFmtId="0" fontId="39" fillId="0" borderId="1" xfId="0" applyFont="1" applyBorder="1"/>
    <xf numFmtId="0" fontId="38" fillId="0" borderId="21" xfId="0" applyFont="1" applyBorder="1"/>
    <xf numFmtId="0" fontId="38" fillId="0" borderId="30" xfId="0" applyFont="1" applyBorder="1"/>
    <xf numFmtId="0" fontId="38" fillId="0" borderId="33" xfId="0" applyFont="1" applyBorder="1"/>
    <xf numFmtId="0" fontId="38" fillId="0" borderId="17" xfId="0" applyFont="1" applyBorder="1"/>
    <xf numFmtId="0" fontId="38" fillId="0" borderId="32" xfId="0" applyFont="1" applyBorder="1"/>
    <xf numFmtId="164" fontId="39" fillId="0" borderId="0" xfId="1" quotePrefix="1" applyFont="1" applyBorder="1" applyAlignment="1">
      <alignment vertical="center"/>
    </xf>
    <xf numFmtId="164" fontId="39" fillId="0" borderId="0" xfId="1" applyFont="1" applyBorder="1" applyAlignment="1">
      <alignment vertical="center"/>
    </xf>
    <xf numFmtId="0" fontId="41" fillId="0" borderId="0" xfId="0" applyFont="1" applyAlignment="1">
      <alignment horizontal="center" vertical="top"/>
    </xf>
    <xf numFmtId="0" fontId="39" fillId="0" borderId="0" xfId="0" applyFont="1" applyAlignment="1">
      <alignment vertical="center"/>
    </xf>
    <xf numFmtId="0" fontId="39" fillId="0" borderId="1" xfId="0" applyFont="1" applyBorder="1" applyAlignment="1">
      <alignment horizontal="center" vertical="center"/>
    </xf>
    <xf numFmtId="49" fontId="39" fillId="0" borderId="1" xfId="1" applyNumberFormat="1" applyFont="1" applyBorder="1" applyAlignment="1">
      <alignment horizontal="center" vertical="center"/>
    </xf>
    <xf numFmtId="49" fontId="39" fillId="0" borderId="7" xfId="1" applyNumberFormat="1" applyFont="1" applyBorder="1" applyAlignment="1">
      <alignment horizontal="center" vertical="center"/>
    </xf>
    <xf numFmtId="49" fontId="39" fillId="0" borderId="0" xfId="1" applyNumberFormat="1" applyFont="1" applyAlignment="1">
      <alignment horizontal="center" vertical="center"/>
    </xf>
    <xf numFmtId="0" fontId="39" fillId="0" borderId="0" xfId="0" applyFont="1" applyAlignment="1">
      <alignment horizontal="left" vertical="center"/>
    </xf>
    <xf numFmtId="0" fontId="39" fillId="0" borderId="0" xfId="0" applyFont="1" applyAlignment="1">
      <alignment horizontal="center"/>
    </xf>
    <xf numFmtId="0" fontId="39" fillId="0" borderId="35" xfId="0" applyFont="1" applyBorder="1" applyAlignment="1">
      <alignment horizontal="center"/>
    </xf>
    <xf numFmtId="0" fontId="39" fillId="0" borderId="36" xfId="0" applyFont="1" applyBorder="1" applyAlignment="1">
      <alignment horizontal="center"/>
    </xf>
    <xf numFmtId="0" fontId="38" fillId="0" borderId="35" xfId="0" applyFont="1" applyBorder="1"/>
    <xf numFmtId="0" fontId="38" fillId="0" borderId="0" xfId="0" applyFont="1" applyAlignment="1">
      <alignment wrapText="1"/>
    </xf>
    <xf numFmtId="0" fontId="38" fillId="0" borderId="36" xfId="0" applyFont="1" applyBorder="1" applyAlignment="1">
      <alignment horizontal="center"/>
    </xf>
    <xf numFmtId="0" fontId="38" fillId="0" borderId="36" xfId="0" applyFont="1" applyBorder="1"/>
    <xf numFmtId="0" fontId="39" fillId="0" borderId="17" xfId="0" applyFont="1" applyBorder="1" applyAlignment="1">
      <alignment horizontal="center"/>
    </xf>
    <xf numFmtId="0" fontId="43" fillId="0" borderId="0" xfId="0" applyFont="1" applyAlignment="1">
      <alignment vertical="top" wrapText="1"/>
    </xf>
    <xf numFmtId="0" fontId="43" fillId="0" borderId="0" xfId="0" applyFont="1" applyAlignment="1">
      <alignment wrapText="1"/>
    </xf>
    <xf numFmtId="165" fontId="46" fillId="0" borderId="0" xfId="0" applyNumberFormat="1" applyFont="1" applyAlignment="1">
      <alignment wrapText="1"/>
    </xf>
    <xf numFmtId="0" fontId="38" fillId="0" borderId="0" xfId="0" applyFont="1" applyAlignment="1">
      <alignment vertical="top"/>
    </xf>
    <xf numFmtId="0" fontId="48" fillId="0" borderId="0" xfId="0" applyFont="1"/>
    <xf numFmtId="0" fontId="38" fillId="0" borderId="21" xfId="0" applyFont="1" applyBorder="1" applyAlignment="1">
      <alignment vertical="top"/>
    </xf>
    <xf numFmtId="0" fontId="38" fillId="0" borderId="17" xfId="0" applyFont="1" applyBorder="1" applyAlignment="1">
      <alignment vertical="top"/>
    </xf>
    <xf numFmtId="0" fontId="49" fillId="0" borderId="0" xfId="0" applyFont="1" applyAlignment="1">
      <alignment horizontal="left" vertical="center"/>
    </xf>
    <xf numFmtId="0" fontId="50" fillId="0" borderId="0" xfId="0" applyFont="1"/>
    <xf numFmtId="0" fontId="50" fillId="0" borderId="0" xfId="0" applyFont="1" applyAlignment="1">
      <alignment horizontal="left" vertical="center"/>
    </xf>
    <xf numFmtId="0" fontId="50" fillId="0" borderId="0" xfId="0" applyFont="1" applyAlignment="1">
      <alignment vertical="top" wrapText="1"/>
    </xf>
    <xf numFmtId="0" fontId="50" fillId="0" borderId="0" xfId="0" applyFont="1" applyAlignment="1">
      <alignment horizontal="left" vertical="top" wrapText="1"/>
    </xf>
    <xf numFmtId="0" fontId="50" fillId="0" borderId="0" xfId="0" applyFont="1" applyAlignment="1">
      <alignment vertical="center"/>
    </xf>
    <xf numFmtId="0" fontId="49" fillId="0" borderId="0" xfId="0" applyFont="1"/>
    <xf numFmtId="0" fontId="51" fillId="0" borderId="0" xfId="0" applyFont="1"/>
    <xf numFmtId="0" fontId="52" fillId="0" borderId="0" xfId="0" applyFont="1" applyAlignment="1">
      <alignment vertical="center"/>
    </xf>
    <xf numFmtId="0" fontId="40" fillId="0" borderId="0" xfId="0" applyFont="1" applyAlignment="1">
      <alignment horizontal="center"/>
    </xf>
    <xf numFmtId="0" fontId="42" fillId="0" borderId="0" xfId="0" applyFont="1" applyAlignment="1">
      <alignment horizontal="center"/>
    </xf>
    <xf numFmtId="0" fontId="49" fillId="0" borderId="0" xfId="0" applyFont="1" applyAlignment="1">
      <alignment vertical="center"/>
    </xf>
    <xf numFmtId="0" fontId="38" fillId="0" borderId="23" xfId="0" applyFont="1" applyBorder="1"/>
    <xf numFmtId="165" fontId="39" fillId="0" borderId="23" xfId="0" applyNumberFormat="1" applyFont="1" applyBorder="1" applyAlignment="1">
      <alignment vertical="center"/>
    </xf>
    <xf numFmtId="0" fontId="38" fillId="0" borderId="0" xfId="0" applyFont="1" applyAlignment="1">
      <alignment vertical="center"/>
    </xf>
    <xf numFmtId="0" fontId="54" fillId="0" borderId="0" xfId="0" applyFont="1" applyAlignment="1">
      <alignment vertical="center"/>
    </xf>
    <xf numFmtId="0" fontId="54" fillId="0" borderId="0" xfId="0" applyFont="1"/>
    <xf numFmtId="0" fontId="8" fillId="0" borderId="0" xfId="0" applyFont="1"/>
    <xf numFmtId="0" fontId="24" fillId="3" borderId="0" xfId="0" applyFont="1" applyFill="1" applyAlignment="1">
      <alignment horizontal="center" vertical="center"/>
    </xf>
    <xf numFmtId="0" fontId="0" fillId="0" borderId="0" xfId="0" applyAlignment="1">
      <alignment horizontal="center"/>
    </xf>
    <xf numFmtId="164" fontId="0" fillId="2" borderId="0" xfId="0" applyNumberFormat="1" applyFill="1"/>
    <xf numFmtId="1" fontId="0" fillId="0" borderId="10" xfId="0" applyNumberFormat="1" applyBorder="1"/>
    <xf numFmtId="0" fontId="39" fillId="0" borderId="13" xfId="0" applyFont="1" applyBorder="1" applyAlignment="1">
      <alignment vertical="center" wrapText="1"/>
    </xf>
    <xf numFmtId="0" fontId="39" fillId="0" borderId="18" xfId="0" applyFont="1" applyBorder="1" applyAlignment="1">
      <alignment vertical="center" wrapText="1"/>
    </xf>
    <xf numFmtId="172" fontId="0" fillId="0" borderId="1" xfId="0" applyNumberFormat="1" applyBorder="1"/>
    <xf numFmtId="0" fontId="0" fillId="0" borderId="33" xfId="0" applyBorder="1"/>
    <xf numFmtId="14" fontId="0" fillId="0" borderId="33" xfId="0" applyNumberFormat="1" applyBorder="1"/>
    <xf numFmtId="0" fontId="0" fillId="0" borderId="37" xfId="0" applyBorder="1"/>
    <xf numFmtId="0" fontId="0" fillId="2" borderId="1" xfId="0" applyFill="1" applyBorder="1" applyAlignment="1">
      <alignment horizontal="center"/>
    </xf>
    <xf numFmtId="0" fontId="0" fillId="2" borderId="12" xfId="0" applyFill="1" applyBorder="1" applyAlignment="1">
      <alignment horizontal="center"/>
    </xf>
    <xf numFmtId="0" fontId="0" fillId="0" borderId="7" xfId="0" applyBorder="1"/>
    <xf numFmtId="165" fontId="0" fillId="0" borderId="8" xfId="0" applyNumberFormat="1" applyBorder="1"/>
    <xf numFmtId="14" fontId="0" fillId="0" borderId="3" xfId="0" applyNumberFormat="1" applyBorder="1" applyAlignment="1">
      <alignment horizontal="right" vertical="center"/>
    </xf>
    <xf numFmtId="0" fontId="0" fillId="0" borderId="4" xfId="0" applyBorder="1"/>
    <xf numFmtId="164" fontId="0" fillId="0" borderId="4" xfId="0" applyNumberFormat="1" applyBorder="1"/>
    <xf numFmtId="165" fontId="0" fillId="0" borderId="4" xfId="0" applyNumberFormat="1" applyBorder="1"/>
    <xf numFmtId="165" fontId="0" fillId="0" borderId="4" xfId="1" applyNumberFormat="1" applyFont="1" applyFill="1" applyBorder="1" applyProtection="1"/>
    <xf numFmtId="165" fontId="0" fillId="0" borderId="5" xfId="0" applyNumberFormat="1" applyBorder="1"/>
    <xf numFmtId="14" fontId="0" fillId="0" borderId="25" xfId="0" applyNumberFormat="1" applyBorder="1" applyAlignment="1">
      <alignment horizontal="right" vertical="center"/>
    </xf>
    <xf numFmtId="0" fontId="0" fillId="0" borderId="14" xfId="0" applyBorder="1"/>
    <xf numFmtId="164" fontId="0" fillId="0" borderId="14" xfId="0" applyNumberFormat="1" applyBorder="1"/>
    <xf numFmtId="165" fontId="0" fillId="0" borderId="14" xfId="0" applyNumberFormat="1" applyBorder="1"/>
    <xf numFmtId="165" fontId="0" fillId="0" borderId="14" xfId="1" applyNumberFormat="1" applyFont="1" applyFill="1" applyBorder="1" applyProtection="1"/>
    <xf numFmtId="165" fontId="0" fillId="0" borderId="26" xfId="0" applyNumberFormat="1" applyBorder="1"/>
    <xf numFmtId="0" fontId="0" fillId="0" borderId="18" xfId="0" applyBorder="1"/>
    <xf numFmtId="165" fontId="26" fillId="0" borderId="17" xfId="1" applyNumberFormat="1" applyFont="1" applyBorder="1" applyAlignment="1">
      <alignment vertical="center"/>
    </xf>
    <xf numFmtId="164" fontId="0" fillId="0" borderId="7" xfId="0" applyNumberFormat="1" applyBorder="1"/>
    <xf numFmtId="165" fontId="0" fillId="0" borderId="7" xfId="0" applyNumberFormat="1" applyBorder="1"/>
    <xf numFmtId="165" fontId="0" fillId="0" borderId="7" xfId="1" applyNumberFormat="1" applyFont="1" applyFill="1" applyBorder="1" applyProtection="1"/>
    <xf numFmtId="14" fontId="0" fillId="0" borderId="0" xfId="0" applyNumberFormat="1" applyAlignment="1">
      <alignment horizontal="right" vertical="center"/>
    </xf>
    <xf numFmtId="165" fontId="0" fillId="0" borderId="0" xfId="0" applyNumberFormat="1"/>
    <xf numFmtId="165" fontId="0" fillId="0" borderId="0" xfId="1" applyNumberFormat="1" applyFont="1" applyFill="1" applyBorder="1" applyProtection="1"/>
    <xf numFmtId="164" fontId="0" fillId="0" borderId="0" xfId="1" applyFont="1" applyFill="1" applyBorder="1" applyProtection="1"/>
    <xf numFmtId="0" fontId="55" fillId="0" borderId="18" xfId="0" applyFont="1" applyBorder="1"/>
    <xf numFmtId="0" fontId="16" fillId="0" borderId="21" xfId="0" applyFont="1" applyBorder="1" applyAlignment="1">
      <alignment vertical="center"/>
    </xf>
    <xf numFmtId="0" fontId="0" fillId="0" borderId="15" xfId="0" applyBorder="1"/>
    <xf numFmtId="0" fontId="0" fillId="0" borderId="16" xfId="0" applyBorder="1"/>
    <xf numFmtId="0" fontId="0" fillId="0" borderId="20" xfId="0" applyBorder="1"/>
    <xf numFmtId="0" fontId="7" fillId="0" borderId="0" xfId="0" applyFont="1"/>
    <xf numFmtId="0" fontId="0" fillId="0" borderId="23" xfId="0" applyBorder="1"/>
    <xf numFmtId="0" fontId="7" fillId="0" borderId="23" xfId="0" applyFont="1" applyBorder="1"/>
    <xf numFmtId="0" fontId="0" fillId="0" borderId="22" xfId="0" applyBorder="1"/>
    <xf numFmtId="0" fontId="0" fillId="0" borderId="24" xfId="0" applyBorder="1"/>
    <xf numFmtId="0" fontId="39" fillId="0" borderId="23" xfId="0" applyFont="1" applyBorder="1"/>
    <xf numFmtId="43" fontId="0" fillId="0" borderId="0" xfId="0" applyNumberFormat="1"/>
    <xf numFmtId="164" fontId="0" fillId="0" borderId="0" xfId="1" applyFont="1" applyAlignment="1">
      <alignment horizontal="center"/>
    </xf>
    <xf numFmtId="9" fontId="0" fillId="0" borderId="0" xfId="0" applyNumberFormat="1"/>
    <xf numFmtId="168" fontId="0" fillId="0" borderId="0" xfId="2" applyNumberFormat="1" applyFont="1"/>
    <xf numFmtId="0" fontId="29" fillId="0" borderId="39" xfId="0" applyFont="1" applyBorder="1" applyAlignment="1">
      <alignment horizontal="center" vertical="center"/>
    </xf>
    <xf numFmtId="0" fontId="29" fillId="0" borderId="40" xfId="0" applyFont="1" applyBorder="1" applyAlignment="1">
      <alignment horizontal="center" vertical="center" wrapText="1"/>
    </xf>
    <xf numFmtId="0" fontId="29" fillId="0" borderId="41" xfId="0" applyFont="1" applyBorder="1" applyAlignment="1">
      <alignment horizontal="center" vertical="center" wrapText="1"/>
    </xf>
    <xf numFmtId="4" fontId="30" fillId="0" borderId="38" xfId="0" applyNumberFormat="1" applyFont="1" applyBorder="1"/>
    <xf numFmtId="164" fontId="30" fillId="0" borderId="33" xfId="1" applyFont="1" applyFill="1" applyBorder="1"/>
    <xf numFmtId="4" fontId="30" fillId="0" borderId="33" xfId="0" applyNumberFormat="1" applyFont="1" applyBorder="1"/>
    <xf numFmtId="164" fontId="30" fillId="0" borderId="1" xfId="1" applyFont="1" applyFill="1" applyBorder="1"/>
    <xf numFmtId="164" fontId="30" fillId="0" borderId="14" xfId="1" applyFont="1" applyFill="1" applyBorder="1"/>
    <xf numFmtId="1" fontId="0" fillId="0" borderId="1" xfId="0" applyNumberFormat="1" applyBorder="1"/>
    <xf numFmtId="0" fontId="0" fillId="0" borderId="25" xfId="0" applyBorder="1"/>
    <xf numFmtId="0" fontId="0" fillId="0" borderId="26" xfId="0" applyBorder="1"/>
    <xf numFmtId="49" fontId="0" fillId="0" borderId="18" xfId="0" applyNumberFormat="1" applyBorder="1"/>
    <xf numFmtId="164" fontId="30" fillId="0" borderId="37" xfId="1" applyFont="1" applyBorder="1"/>
    <xf numFmtId="164" fontId="30" fillId="0" borderId="12" xfId="1" applyFont="1" applyBorder="1"/>
    <xf numFmtId="4" fontId="30" fillId="10" borderId="0" xfId="0" applyNumberFormat="1" applyFont="1" applyFill="1"/>
    <xf numFmtId="0" fontId="4" fillId="0" borderId="0" xfId="0" applyFont="1"/>
    <xf numFmtId="174" fontId="0" fillId="0" borderId="1" xfId="0" applyNumberFormat="1" applyBorder="1"/>
    <xf numFmtId="174" fontId="0" fillId="0" borderId="33" xfId="0" applyNumberFormat="1" applyBorder="1"/>
    <xf numFmtId="0" fontId="29" fillId="0" borderId="3" xfId="0" applyFont="1" applyBorder="1" applyAlignment="1">
      <alignment horizontal="center" vertical="center"/>
    </xf>
    <xf numFmtId="0" fontId="29" fillId="0" borderId="4" xfId="0" applyFont="1" applyBorder="1" applyAlignment="1">
      <alignment horizontal="center" vertical="center" wrapText="1"/>
    </xf>
    <xf numFmtId="0" fontId="29" fillId="0" borderId="5" xfId="0" applyFont="1" applyBorder="1" applyAlignment="1">
      <alignment horizontal="center" vertical="center" wrapText="1"/>
    </xf>
    <xf numFmtId="4" fontId="30" fillId="0" borderId="12" xfId="0" applyNumberFormat="1" applyFont="1" applyBorder="1"/>
    <xf numFmtId="4" fontId="30" fillId="0" borderId="26" xfId="0" applyNumberFormat="1" applyFont="1" applyBorder="1"/>
    <xf numFmtId="164" fontId="10" fillId="0" borderId="1" xfId="1" applyFont="1" applyFill="1" applyBorder="1"/>
    <xf numFmtId="164" fontId="7" fillId="0" borderId="1" xfId="1" applyFont="1" applyFill="1" applyBorder="1"/>
    <xf numFmtId="164" fontId="0" fillId="0" borderId="9" xfId="1" applyFont="1" applyFill="1" applyBorder="1"/>
    <xf numFmtId="164" fontId="6" fillId="0" borderId="12" xfId="1" applyFont="1" applyFill="1" applyBorder="1"/>
    <xf numFmtId="164" fontId="0" fillId="0" borderId="25" xfId="1" applyFont="1" applyFill="1" applyBorder="1"/>
    <xf numFmtId="164" fontId="0" fillId="0" borderId="14" xfId="1" applyFont="1" applyFill="1" applyBorder="1"/>
    <xf numFmtId="164" fontId="10" fillId="0" borderId="14" xfId="1" applyFont="1" applyFill="1" applyBorder="1"/>
    <xf numFmtId="164" fontId="7" fillId="0" borderId="14" xfId="1" applyFont="1" applyFill="1" applyBorder="1"/>
    <xf numFmtId="164" fontId="6" fillId="0" borderId="26" xfId="1" applyFont="1" applyFill="1" applyBorder="1"/>
    <xf numFmtId="164" fontId="0" fillId="0" borderId="38" xfId="1" applyFont="1" applyFill="1" applyBorder="1"/>
    <xf numFmtId="164" fontId="0" fillId="0" borderId="33" xfId="1" applyFont="1" applyFill="1" applyBorder="1"/>
    <xf numFmtId="164" fontId="10" fillId="0" borderId="33" xfId="1" applyFont="1" applyFill="1" applyBorder="1"/>
    <xf numFmtId="164" fontId="7" fillId="0" borderId="33" xfId="1" applyFont="1" applyFill="1" applyBorder="1"/>
    <xf numFmtId="164" fontId="6" fillId="0" borderId="37" xfId="1" applyFont="1" applyFill="1" applyBorder="1"/>
    <xf numFmtId="0" fontId="0" fillId="0" borderId="9" xfId="0" applyBorder="1" applyAlignment="1">
      <alignment horizontal="center"/>
    </xf>
    <xf numFmtId="0" fontId="0" fillId="0" borderId="25"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3" fontId="0" fillId="0" borderId="0" xfId="0" applyNumberFormat="1"/>
    <xf numFmtId="0" fontId="2" fillId="0" borderId="12" xfId="0" applyFont="1" applyBorder="1"/>
    <xf numFmtId="0" fontId="1" fillId="0" borderId="10" xfId="0" applyFont="1" applyBorder="1" applyAlignment="1">
      <alignment horizontal="center"/>
    </xf>
    <xf numFmtId="0" fontId="1" fillId="0" borderId="12" xfId="0" applyFont="1" applyBorder="1"/>
    <xf numFmtId="4" fontId="58" fillId="0" borderId="0" xfId="0" applyNumberFormat="1" applyFont="1"/>
    <xf numFmtId="0" fontId="0" fillId="0" borderId="10" xfId="0" applyBorder="1" applyAlignment="1">
      <alignment horizontal="center"/>
    </xf>
    <xf numFmtId="0" fontId="0" fillId="0" borderId="2" xfId="0" applyBorder="1" applyAlignment="1">
      <alignment horizontal="center"/>
    </xf>
    <xf numFmtId="0" fontId="0" fillId="0" borderId="11" xfId="0" applyBorder="1" applyAlignment="1">
      <alignment horizontal="center"/>
    </xf>
    <xf numFmtId="0" fontId="0" fillId="0" borderId="40" xfId="0" applyBorder="1" applyAlignment="1">
      <alignment horizontal="center"/>
    </xf>
    <xf numFmtId="164" fontId="0" fillId="0" borderId="33" xfId="1" applyFont="1" applyBorder="1" applyAlignment="1">
      <alignment horizontal="center" vertical="center"/>
    </xf>
    <xf numFmtId="164" fontId="0" fillId="0" borderId="1" xfId="1" applyFont="1" applyBorder="1" applyAlignment="1">
      <alignment horizontal="center" vertical="center"/>
    </xf>
    <xf numFmtId="164" fontId="0" fillId="0" borderId="14" xfId="1" applyFont="1" applyBorder="1" applyAlignment="1">
      <alignment horizontal="center" vertical="center"/>
    </xf>
    <xf numFmtId="0" fontId="0" fillId="0" borderId="41" xfId="0" applyBorder="1" applyAlignment="1">
      <alignment horizontal="center"/>
    </xf>
    <xf numFmtId="0" fontId="0" fillId="0" borderId="33" xfId="0" applyBorder="1" applyAlignment="1">
      <alignment horizontal="center"/>
    </xf>
    <xf numFmtId="0" fontId="0" fillId="0" borderId="37" xfId="0" applyBorder="1" applyAlignment="1">
      <alignment horizontal="center"/>
    </xf>
    <xf numFmtId="0" fontId="0" fillId="0" borderId="1"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0" fillId="0" borderId="26" xfId="0" applyBorder="1" applyAlignment="1">
      <alignment horizontal="center"/>
    </xf>
    <xf numFmtId="0" fontId="27" fillId="0" borderId="0" xfId="0" applyFont="1" applyAlignment="1">
      <alignment horizontal="center" vertical="center" wrapText="1"/>
    </xf>
    <xf numFmtId="0" fontId="28" fillId="6" borderId="0" xfId="0" applyFont="1" applyFill="1" applyAlignment="1">
      <alignment horizontal="center"/>
    </xf>
    <xf numFmtId="4" fontId="30" fillId="7" borderId="16" xfId="0" applyNumberFormat="1" applyFont="1" applyFill="1" applyBorder="1" applyAlignment="1">
      <alignment horizontal="center"/>
    </xf>
    <xf numFmtId="0" fontId="56" fillId="9" borderId="0" xfId="0" applyFont="1" applyFill="1" applyAlignment="1">
      <alignment horizontal="center" vertical="center" textRotation="180" wrapText="1"/>
    </xf>
    <xf numFmtId="0" fontId="56" fillId="8" borderId="0" xfId="0" applyFont="1" applyFill="1" applyAlignment="1">
      <alignment horizontal="center" vertical="center" textRotation="180" wrapText="1"/>
    </xf>
    <xf numFmtId="9" fontId="34" fillId="0" borderId="15" xfId="0" applyNumberFormat="1" applyFont="1" applyBorder="1" applyAlignment="1">
      <alignment horizontal="center" vertical="center"/>
    </xf>
    <xf numFmtId="9" fontId="35" fillId="0" borderId="16" xfId="0" applyNumberFormat="1" applyFont="1" applyBorder="1" applyAlignment="1">
      <alignment horizontal="center" vertical="center"/>
    </xf>
    <xf numFmtId="9" fontId="35" fillId="0" borderId="20" xfId="0" applyNumberFormat="1" applyFont="1" applyBorder="1" applyAlignment="1">
      <alignment horizontal="center" vertical="center"/>
    </xf>
    <xf numFmtId="9" fontId="35" fillId="0" borderId="22" xfId="0" applyNumberFormat="1" applyFont="1" applyBorder="1" applyAlignment="1">
      <alignment horizontal="center" vertical="center"/>
    </xf>
    <xf numFmtId="9" fontId="35" fillId="0" borderId="23" xfId="0" applyNumberFormat="1" applyFont="1" applyBorder="1" applyAlignment="1">
      <alignment horizontal="center" vertical="center"/>
    </xf>
    <xf numFmtId="9" fontId="35" fillId="0" borderId="24" xfId="0" applyNumberFormat="1" applyFont="1" applyBorder="1" applyAlignment="1">
      <alignment horizontal="center" vertical="center"/>
    </xf>
    <xf numFmtId="0" fontId="32" fillId="6" borderId="15" xfId="0" applyFont="1" applyFill="1" applyBorder="1" applyAlignment="1">
      <alignment horizontal="center"/>
    </xf>
    <xf numFmtId="0" fontId="32" fillId="6" borderId="16" xfId="0" applyFont="1" applyFill="1" applyBorder="1" applyAlignment="1">
      <alignment horizontal="center"/>
    </xf>
    <xf numFmtId="0" fontId="32" fillId="6" borderId="20" xfId="0" applyFont="1" applyFill="1" applyBorder="1" applyAlignment="1">
      <alignment horizontal="center"/>
    </xf>
    <xf numFmtId="0" fontId="27" fillId="0" borderId="15" xfId="0" applyFont="1" applyBorder="1" applyAlignment="1">
      <alignment horizontal="center" vertical="center" wrapText="1"/>
    </xf>
    <xf numFmtId="0" fontId="27" fillId="0" borderId="16"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18"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23" xfId="0" applyFont="1" applyBorder="1" applyAlignment="1">
      <alignment horizontal="center" vertical="center" wrapText="1"/>
    </xf>
    <xf numFmtId="0" fontId="27" fillId="0" borderId="24" xfId="0" applyFont="1" applyBorder="1" applyAlignment="1">
      <alignment horizontal="center" vertical="center" wrapText="1"/>
    </xf>
    <xf numFmtId="0" fontId="0" fillId="0" borderId="9" xfId="0" applyBorder="1" applyAlignment="1">
      <alignment horizontal="center" vertical="center" wrapText="1"/>
    </xf>
    <xf numFmtId="10" fontId="14" fillId="0" borderId="3" xfId="2" applyNumberFormat="1" applyFont="1" applyBorder="1" applyAlignment="1" applyProtection="1">
      <alignment horizontal="center" vertical="center"/>
    </xf>
    <xf numFmtId="10" fontId="0" fillId="0" borderId="4" xfId="2" applyNumberFormat="1" applyFont="1" applyBorder="1" applyAlignment="1" applyProtection="1">
      <alignment horizontal="center" vertical="center"/>
    </xf>
    <xf numFmtId="10" fontId="0" fillId="0" borderId="5" xfId="2" applyNumberFormat="1" applyFont="1" applyBorder="1" applyAlignment="1" applyProtection="1">
      <alignment horizontal="center" vertical="center"/>
    </xf>
    <xf numFmtId="10" fontId="0" fillId="0" borderId="6" xfId="2" applyNumberFormat="1" applyFont="1" applyBorder="1" applyAlignment="1" applyProtection="1">
      <alignment horizontal="center" vertical="center"/>
    </xf>
    <xf numFmtId="10" fontId="0" fillId="0" borderId="7" xfId="2" applyNumberFormat="1" applyFont="1" applyBorder="1" applyAlignment="1" applyProtection="1">
      <alignment horizontal="center" vertical="center"/>
    </xf>
    <xf numFmtId="10" fontId="0" fillId="0" borderId="8" xfId="2" applyNumberFormat="1" applyFont="1" applyBorder="1" applyAlignment="1" applyProtection="1">
      <alignment horizontal="center" vertical="center"/>
    </xf>
    <xf numFmtId="10" fontId="26" fillId="0" borderId="2" xfId="1" applyNumberFormat="1" applyFont="1" applyBorder="1" applyAlignment="1">
      <alignment horizontal="right" vertical="center"/>
    </xf>
    <xf numFmtId="164" fontId="26" fillId="0" borderId="2" xfId="1" applyFont="1" applyBorder="1" applyAlignment="1">
      <alignment horizontal="right" vertical="center"/>
    </xf>
    <xf numFmtId="164" fontId="26" fillId="0" borderId="17" xfId="1" applyFont="1" applyBorder="1" applyAlignment="1">
      <alignment horizontal="center" vertical="center"/>
    </xf>
    <xf numFmtId="164" fontId="26" fillId="0" borderId="2" xfId="1" applyFont="1" applyBorder="1" applyAlignment="1">
      <alignment horizontal="center" vertical="center"/>
    </xf>
    <xf numFmtId="164" fontId="26" fillId="0" borderId="21" xfId="1" applyFont="1"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xf>
    <xf numFmtId="0" fontId="20" fillId="3" borderId="0" xfId="0" applyFont="1" applyFill="1" applyAlignment="1">
      <alignment horizontal="center" vertical="center"/>
    </xf>
    <xf numFmtId="166" fontId="16" fillId="0" borderId="17" xfId="0" applyNumberFormat="1" applyFont="1" applyBorder="1" applyAlignment="1">
      <alignment horizontal="center" vertical="center"/>
    </xf>
    <xf numFmtId="0" fontId="16" fillId="0" borderId="2" xfId="0" applyFont="1" applyBorder="1" applyAlignment="1">
      <alignment horizontal="center" vertical="center"/>
    </xf>
    <xf numFmtId="0" fontId="22" fillId="0" borderId="23" xfId="0" applyFont="1" applyBorder="1" applyAlignment="1">
      <alignment horizontal="left"/>
    </xf>
    <xf numFmtId="0" fontId="22" fillId="0" borderId="27" xfId="0" applyFont="1" applyBorder="1" applyAlignment="1">
      <alignment horizontal="left"/>
    </xf>
    <xf numFmtId="0" fontId="24" fillId="3" borderId="0" xfId="0" applyFont="1" applyFill="1" applyAlignment="1">
      <alignment horizontal="center" vertical="center"/>
    </xf>
    <xf numFmtId="0" fontId="16" fillId="3" borderId="0" xfId="0" applyFont="1" applyFill="1" applyAlignment="1">
      <alignment horizontal="center" vertical="center"/>
    </xf>
    <xf numFmtId="165" fontId="26" fillId="0" borderId="17" xfId="1" applyNumberFormat="1" applyFont="1" applyBorder="1" applyAlignment="1">
      <alignment horizontal="right" vertical="center"/>
    </xf>
    <xf numFmtId="14" fontId="26" fillId="0" borderId="2" xfId="1" applyNumberFormat="1" applyFont="1" applyBorder="1" applyAlignment="1">
      <alignment horizontal="right" vertical="center"/>
    </xf>
    <xf numFmtId="0" fontId="26" fillId="0" borderId="2" xfId="1" applyNumberFormat="1" applyFont="1" applyBorder="1" applyAlignment="1">
      <alignment horizontal="right" vertical="center"/>
    </xf>
    <xf numFmtId="0" fontId="25" fillId="0" borderId="23" xfId="0" applyFont="1" applyBorder="1" applyAlignment="1">
      <alignment horizontal="center" vertical="center"/>
    </xf>
    <xf numFmtId="0" fontId="16" fillId="0" borderId="0" xfId="0" applyFont="1" applyAlignment="1">
      <alignment horizontal="center" vertical="center"/>
    </xf>
    <xf numFmtId="0" fontId="16" fillId="0" borderId="23" xfId="0" applyFont="1" applyBorder="1" applyAlignment="1">
      <alignment horizontal="center"/>
    </xf>
    <xf numFmtId="0" fontId="16" fillId="0" borderId="16" xfId="0" applyFont="1" applyBorder="1" applyAlignment="1">
      <alignment horizontal="center" vertical="center"/>
    </xf>
    <xf numFmtId="10" fontId="14" fillId="0" borderId="3" xfId="2" applyNumberFormat="1" applyFont="1" applyFill="1" applyBorder="1" applyAlignment="1" applyProtection="1">
      <alignment horizontal="center" vertical="center"/>
    </xf>
    <xf numFmtId="10" fontId="0" fillId="0" borderId="4" xfId="2" applyNumberFormat="1" applyFont="1" applyFill="1" applyBorder="1" applyAlignment="1" applyProtection="1">
      <alignment horizontal="center" vertical="center"/>
    </xf>
    <xf numFmtId="10" fontId="0" fillId="0" borderId="5" xfId="2" applyNumberFormat="1" applyFont="1" applyFill="1" applyBorder="1" applyAlignment="1" applyProtection="1">
      <alignment horizontal="center" vertical="center"/>
    </xf>
    <xf numFmtId="10" fontId="0" fillId="0" borderId="9" xfId="2" applyNumberFormat="1" applyFont="1" applyFill="1" applyBorder="1" applyAlignment="1" applyProtection="1">
      <alignment horizontal="center" vertical="center"/>
    </xf>
    <xf numFmtId="10" fontId="0" fillId="0" borderId="1" xfId="2" applyNumberFormat="1" applyFont="1" applyFill="1" applyBorder="1" applyAlignment="1" applyProtection="1">
      <alignment horizontal="center" vertical="center"/>
    </xf>
    <xf numFmtId="10" fontId="0" fillId="0" borderId="12" xfId="2" applyNumberFormat="1" applyFont="1" applyFill="1" applyBorder="1" applyAlignment="1" applyProtection="1">
      <alignment horizontal="center" vertical="center"/>
    </xf>
    <xf numFmtId="14" fontId="22" fillId="0" borderId="17" xfId="0" applyNumberFormat="1" applyFont="1" applyBorder="1" applyAlignment="1">
      <alignment vertical="center"/>
    </xf>
    <xf numFmtId="0" fontId="22" fillId="0" borderId="17" xfId="0" applyFont="1" applyBorder="1" applyAlignment="1">
      <alignment vertical="center"/>
    </xf>
    <xf numFmtId="0" fontId="22" fillId="0" borderId="2" xfId="0" applyFont="1" applyBorder="1" applyAlignment="1">
      <alignment vertical="center"/>
    </xf>
    <xf numFmtId="14" fontId="16" fillId="0" borderId="0" xfId="0" applyNumberFormat="1" applyFont="1" applyAlignment="1">
      <alignment horizontal="left"/>
    </xf>
    <xf numFmtId="0" fontId="16" fillId="0" borderId="0" xfId="0" applyFont="1" applyAlignment="1">
      <alignment horizontal="left"/>
    </xf>
    <xf numFmtId="14" fontId="0" fillId="0" borderId="1" xfId="0" applyNumberFormat="1" applyBorder="1" applyAlignment="1">
      <alignment horizontal="left"/>
    </xf>
    <xf numFmtId="14" fontId="16" fillId="0" borderId="2" xfId="0" applyNumberFormat="1" applyFont="1" applyBorder="1" applyAlignment="1">
      <alignment horizontal="center" vertical="center"/>
    </xf>
    <xf numFmtId="0" fontId="39" fillId="0" borderId="0" xfId="0" applyFont="1" applyAlignment="1">
      <alignment horizontal="center"/>
    </xf>
    <xf numFmtId="164" fontId="39" fillId="0" borderId="23" xfId="1" applyFont="1" applyBorder="1" applyAlignment="1">
      <alignment horizontal="center" vertical="center"/>
    </xf>
    <xf numFmtId="0" fontId="38" fillId="0" borderId="0" xfId="0" applyFont="1" applyAlignment="1">
      <alignment horizontal="left" vertical="center"/>
    </xf>
    <xf numFmtId="4" fontId="54" fillId="0" borderId="17" xfId="0" applyNumberFormat="1" applyFont="1" applyBorder="1" applyAlignment="1">
      <alignment horizontal="center" vertical="center"/>
    </xf>
    <xf numFmtId="0" fontId="54" fillId="0" borderId="23" xfId="0" applyFont="1" applyBorder="1" applyAlignment="1">
      <alignment horizontal="center"/>
    </xf>
    <xf numFmtId="0" fontId="32" fillId="3" borderId="10" xfId="0" applyFont="1" applyFill="1" applyBorder="1" applyAlignment="1">
      <alignment horizontal="center" vertical="center"/>
    </xf>
    <xf numFmtId="0" fontId="32" fillId="3" borderId="2" xfId="0" applyFont="1" applyFill="1" applyBorder="1" applyAlignment="1">
      <alignment horizontal="center" vertical="center"/>
    </xf>
    <xf numFmtId="0" fontId="50" fillId="0" borderId="0" xfId="0" applyFont="1" applyAlignment="1">
      <alignment horizontal="left" vertical="top" wrapText="1"/>
    </xf>
    <xf numFmtId="0" fontId="50" fillId="0" borderId="23" xfId="0" applyFont="1" applyBorder="1" applyAlignment="1">
      <alignment horizontal="left" vertical="center"/>
    </xf>
    <xf numFmtId="0" fontId="50" fillId="0" borderId="27" xfId="0" applyFont="1" applyBorder="1" applyAlignment="1">
      <alignment horizontal="left" vertical="center"/>
    </xf>
    <xf numFmtId="0" fontId="38" fillId="0" borderId="23" xfId="0" applyFont="1" applyBorder="1" applyAlignment="1">
      <alignment horizontal="center"/>
    </xf>
    <xf numFmtId="0" fontId="38" fillId="0" borderId="27" xfId="0" applyFont="1" applyBorder="1" applyAlignment="1">
      <alignment horizontal="center"/>
    </xf>
    <xf numFmtId="0" fontId="39" fillId="0" borderId="16" xfId="0" applyFont="1" applyBorder="1" applyAlignment="1">
      <alignment horizontal="center" vertical="top"/>
    </xf>
    <xf numFmtId="0" fontId="50" fillId="0" borderId="0" xfId="0" applyFont="1" applyAlignment="1">
      <alignment horizontal="center" vertical="top" wrapText="1"/>
    </xf>
    <xf numFmtId="0" fontId="43" fillId="0" borderId="0" xfId="0" applyFont="1" applyAlignment="1">
      <alignment horizontal="left" vertical="top" wrapText="1"/>
    </xf>
    <xf numFmtId="0" fontId="38" fillId="0" borderId="3" xfId="0" applyFont="1" applyBorder="1" applyAlignment="1">
      <alignment horizontal="center" vertical="top"/>
    </xf>
    <xf numFmtId="0" fontId="38" fillId="0" borderId="4" xfId="0" applyFont="1" applyBorder="1" applyAlignment="1">
      <alignment horizontal="center" vertical="top"/>
    </xf>
    <xf numFmtId="0" fontId="38" fillId="0" borderId="5" xfId="0" applyFont="1" applyBorder="1" applyAlignment="1">
      <alignment horizontal="center" vertical="top"/>
    </xf>
    <xf numFmtId="0" fontId="38" fillId="0" borderId="9" xfId="0" applyFont="1" applyBorder="1" applyAlignment="1">
      <alignment horizontal="center" vertical="top"/>
    </xf>
    <xf numFmtId="0" fontId="38" fillId="0" borderId="1" xfId="0" applyFont="1" applyBorder="1" applyAlignment="1">
      <alignment horizontal="center" vertical="top"/>
    </xf>
    <xf numFmtId="0" fontId="38" fillId="0" borderId="12" xfId="0" applyFont="1" applyBorder="1" applyAlignment="1">
      <alignment horizontal="center" vertical="top"/>
    </xf>
    <xf numFmtId="0" fontId="38" fillId="0" borderId="25" xfId="0" applyFont="1" applyBorder="1" applyAlignment="1">
      <alignment horizontal="center" vertical="top"/>
    </xf>
    <xf numFmtId="0" fontId="38" fillId="0" borderId="14" xfId="0" applyFont="1" applyBorder="1" applyAlignment="1">
      <alignment horizontal="center" vertical="top"/>
    </xf>
    <xf numFmtId="0" fontId="38" fillId="0" borderId="26" xfId="0" applyFont="1" applyBorder="1" applyAlignment="1">
      <alignment horizontal="center" vertical="top"/>
    </xf>
    <xf numFmtId="0" fontId="38" fillId="0" borderId="15" xfId="0" applyFont="1" applyBorder="1" applyAlignment="1">
      <alignment horizontal="center" vertical="top"/>
    </xf>
    <xf numFmtId="0" fontId="38" fillId="0" borderId="16" xfId="0" applyFont="1" applyBorder="1" applyAlignment="1">
      <alignment horizontal="center" vertical="top"/>
    </xf>
    <xf numFmtId="0" fontId="38" fillId="0" borderId="20" xfId="0" applyFont="1" applyBorder="1" applyAlignment="1">
      <alignment horizontal="center" vertical="top"/>
    </xf>
    <xf numFmtId="0" fontId="38" fillId="0" borderId="13" xfId="0" applyFont="1" applyBorder="1" applyAlignment="1">
      <alignment horizontal="center" vertical="top"/>
    </xf>
    <xf numFmtId="0" fontId="38" fillId="0" borderId="0" xfId="0" applyFont="1" applyAlignment="1">
      <alignment horizontal="center" vertical="top"/>
    </xf>
    <xf numFmtId="0" fontId="38" fillId="0" borderId="18" xfId="0" applyFont="1" applyBorder="1" applyAlignment="1">
      <alignment horizontal="center" vertical="top"/>
    </xf>
    <xf numFmtId="0" fontId="38" fillId="0" borderId="22" xfId="0" applyFont="1" applyBorder="1" applyAlignment="1">
      <alignment horizontal="center" vertical="top"/>
    </xf>
    <xf numFmtId="0" fontId="38" fillId="0" borderId="23" xfId="0" applyFont="1" applyBorder="1" applyAlignment="1">
      <alignment horizontal="center" vertical="top"/>
    </xf>
    <xf numFmtId="0" fontId="38" fillId="0" borderId="24" xfId="0" applyFont="1" applyBorder="1" applyAlignment="1">
      <alignment horizontal="center" vertical="top"/>
    </xf>
    <xf numFmtId="0" fontId="21" fillId="0" borderId="23" xfId="0" applyFont="1" applyBorder="1" applyAlignment="1">
      <alignment horizontal="center"/>
    </xf>
    <xf numFmtId="0" fontId="39" fillId="0" borderId="0" xfId="0" applyFont="1" applyAlignment="1">
      <alignment horizontal="center" vertical="top"/>
    </xf>
    <xf numFmtId="171" fontId="45" fillId="0" borderId="0" xfId="1" applyNumberFormat="1" applyFont="1" applyAlignment="1">
      <alignment horizontal="center" wrapText="1"/>
    </xf>
    <xf numFmtId="164" fontId="45" fillId="0" borderId="0" xfId="1" applyFont="1" applyAlignment="1">
      <alignment horizontal="center" wrapText="1"/>
    </xf>
    <xf numFmtId="0" fontId="43" fillId="0" borderId="0" xfId="0" applyFont="1" applyAlignment="1">
      <alignment horizontal="center" vertical="top" wrapText="1"/>
    </xf>
    <xf numFmtId="17" fontId="46" fillId="0" borderId="0" xfId="0" applyNumberFormat="1" applyFont="1" applyAlignment="1">
      <alignment horizontal="center" wrapText="1"/>
    </xf>
    <xf numFmtId="0" fontId="7" fillId="0" borderId="27" xfId="0" applyFont="1" applyBorder="1" applyAlignment="1">
      <alignment horizontal="center"/>
    </xf>
    <xf numFmtId="0" fontId="0" fillId="0" borderId="27" xfId="0" applyBorder="1" applyAlignment="1">
      <alignment horizontal="center"/>
    </xf>
    <xf numFmtId="0" fontId="39" fillId="0" borderId="31" xfId="0" applyFont="1" applyBorder="1" applyAlignment="1">
      <alignment horizontal="center"/>
    </xf>
    <xf numFmtId="0" fontId="39" fillId="0" borderId="17" xfId="0" applyFont="1" applyBorder="1" applyAlignment="1">
      <alignment horizontal="center"/>
    </xf>
    <xf numFmtId="0" fontId="39" fillId="0" borderId="32" xfId="0" applyFont="1" applyBorder="1" applyAlignment="1">
      <alignment horizontal="center"/>
    </xf>
    <xf numFmtId="171" fontId="44" fillId="0" borderId="0" xfId="0" applyNumberFormat="1" applyFont="1" applyAlignment="1">
      <alignment horizontal="center" vertical="top" wrapText="1"/>
    </xf>
    <xf numFmtId="0" fontId="44" fillId="0" borderId="0" xfId="0" applyFont="1" applyAlignment="1">
      <alignment horizontal="center" vertical="top" wrapText="1"/>
    </xf>
    <xf numFmtId="49" fontId="38" fillId="0" borderId="0" xfId="0" applyNumberFormat="1" applyFont="1" applyAlignment="1">
      <alignment horizontal="center"/>
    </xf>
    <xf numFmtId="0" fontId="38" fillId="0" borderId="0" xfId="0" applyFont="1" applyAlignment="1">
      <alignment horizontal="center"/>
    </xf>
    <xf numFmtId="0" fontId="7" fillId="0" borderId="0" xfId="0" applyFont="1" applyAlignment="1">
      <alignment horizontal="left"/>
    </xf>
    <xf numFmtId="0" fontId="0" fillId="0" borderId="0" xfId="0" applyAlignment="1">
      <alignment horizontal="left"/>
    </xf>
    <xf numFmtId="0" fontId="39" fillId="0" borderId="29" xfId="0" applyFont="1" applyBorder="1" applyAlignment="1">
      <alignment horizontal="center"/>
    </xf>
    <xf numFmtId="0" fontId="39" fillId="0" borderId="21" xfId="0" applyFont="1" applyBorder="1" applyAlignment="1">
      <alignment horizontal="center"/>
    </xf>
    <xf numFmtId="0" fontId="39" fillId="0" borderId="30" xfId="0" applyFont="1" applyBorder="1" applyAlignment="1">
      <alignment horizontal="center"/>
    </xf>
    <xf numFmtId="0" fontId="7" fillId="0" borderId="23" xfId="0" applyFont="1" applyBorder="1" applyAlignment="1">
      <alignment horizontal="center"/>
    </xf>
    <xf numFmtId="0" fontId="38" fillId="0" borderId="23" xfId="0" applyFont="1" applyBorder="1" applyAlignment="1">
      <alignment horizontal="center" wrapText="1"/>
    </xf>
    <xf numFmtId="171" fontId="39" fillId="0" borderId="31" xfId="0" applyNumberFormat="1" applyFont="1" applyBorder="1" applyAlignment="1">
      <alignment horizontal="center" vertical="center"/>
    </xf>
    <xf numFmtId="171" fontId="39" fillId="0" borderId="17" xfId="0" applyNumberFormat="1" applyFont="1" applyBorder="1" applyAlignment="1">
      <alignment horizontal="center" vertical="center"/>
    </xf>
    <xf numFmtId="171" fontId="39" fillId="0" borderId="32" xfId="0" applyNumberFormat="1" applyFont="1" applyBorder="1" applyAlignment="1">
      <alignment horizontal="center" vertical="center"/>
    </xf>
    <xf numFmtId="166" fontId="0" fillId="0" borderId="23" xfId="0" applyNumberFormat="1" applyBorder="1" applyAlignment="1">
      <alignment horizontal="center"/>
    </xf>
    <xf numFmtId="0" fontId="0" fillId="0" borderId="23" xfId="0" applyBorder="1" applyAlignment="1">
      <alignment horizontal="center"/>
    </xf>
    <xf numFmtId="0" fontId="7" fillId="0" borderId="0" xfId="0" applyFont="1" applyAlignment="1">
      <alignment horizontal="center"/>
    </xf>
    <xf numFmtId="0" fontId="0" fillId="0" borderId="0" xfId="0" applyAlignment="1">
      <alignment horizontal="center"/>
    </xf>
    <xf numFmtId="0" fontId="39" fillId="0" borderId="23" xfId="0" applyFont="1" applyBorder="1" applyAlignment="1">
      <alignment horizontal="center"/>
    </xf>
    <xf numFmtId="0" fontId="55" fillId="0" borderId="0" xfId="0" applyFont="1" applyAlignment="1">
      <alignment horizontal="center"/>
    </xf>
    <xf numFmtId="165" fontId="39" fillId="0" borderId="31" xfId="0" applyNumberFormat="1" applyFont="1" applyBorder="1" applyAlignment="1">
      <alignment horizontal="center" vertical="center"/>
    </xf>
    <xf numFmtId="0" fontId="39" fillId="0" borderId="17" xfId="0" applyFont="1" applyBorder="1" applyAlignment="1">
      <alignment horizontal="center" vertical="center"/>
    </xf>
    <xf numFmtId="0" fontId="39" fillId="0" borderId="32" xfId="0" applyFont="1" applyBorder="1" applyAlignment="1">
      <alignment horizontal="center" vertical="center"/>
    </xf>
    <xf numFmtId="4" fontId="39" fillId="0" borderId="31" xfId="0" applyNumberFormat="1" applyFont="1" applyBorder="1" applyAlignment="1">
      <alignment horizontal="center" vertical="center"/>
    </xf>
    <xf numFmtId="0" fontId="40" fillId="3" borderId="10" xfId="0" applyFont="1" applyFill="1" applyBorder="1" applyAlignment="1">
      <alignment horizontal="center"/>
    </xf>
    <xf numFmtId="0" fontId="42" fillId="3" borderId="2" xfId="0" applyFont="1" applyFill="1" applyBorder="1" applyAlignment="1">
      <alignment horizontal="center"/>
    </xf>
    <xf numFmtId="0" fontId="42" fillId="3" borderId="11" xfId="0" applyFont="1" applyFill="1" applyBorder="1" applyAlignment="1">
      <alignment horizontal="center"/>
    </xf>
    <xf numFmtId="0" fontId="39" fillId="0" borderId="29" xfId="0" applyFont="1" applyBorder="1" applyAlignment="1">
      <alignment horizontal="left" vertical="top"/>
    </xf>
    <xf numFmtId="0" fontId="39" fillId="0" borderId="21" xfId="0" applyFont="1" applyBorder="1" applyAlignment="1">
      <alignment horizontal="left" vertical="top"/>
    </xf>
    <xf numFmtId="0" fontId="39" fillId="0" borderId="30" xfId="0" applyFont="1" applyBorder="1" applyAlignment="1">
      <alignment horizontal="left" vertical="top"/>
    </xf>
    <xf numFmtId="0" fontId="39" fillId="0" borderId="1" xfId="0" applyFont="1" applyBorder="1" applyAlignment="1">
      <alignment horizontal="left" vertical="center"/>
    </xf>
    <xf numFmtId="0" fontId="39" fillId="0" borderId="1" xfId="0" applyFont="1" applyBorder="1" applyAlignment="1">
      <alignment horizontal="right" vertical="center"/>
    </xf>
    <xf numFmtId="171" fontId="39" fillId="0" borderId="1" xfId="1" applyNumberFormat="1" applyFont="1" applyBorder="1" applyAlignment="1">
      <alignment horizontal="right" vertical="center"/>
    </xf>
    <xf numFmtId="49" fontId="39" fillId="0" borderId="1" xfId="0" applyNumberFormat="1" applyFont="1" applyBorder="1" applyAlignment="1">
      <alignment horizontal="right" vertical="center"/>
    </xf>
    <xf numFmtId="14" fontId="39" fillId="0" borderId="1" xfId="0" applyNumberFormat="1" applyFont="1" applyBorder="1" applyAlignment="1">
      <alignment horizontal="right" vertical="center"/>
    </xf>
    <xf numFmtId="165" fontId="39" fillId="0" borderId="1" xfId="0" applyNumberFormat="1" applyFont="1" applyBorder="1" applyAlignment="1">
      <alignment horizontal="right" vertical="center"/>
    </xf>
    <xf numFmtId="14" fontId="39" fillId="0" borderId="10" xfId="0" applyNumberFormat="1" applyFont="1" applyBorder="1" applyAlignment="1">
      <alignment horizontal="right" vertical="center"/>
    </xf>
    <xf numFmtId="14" fontId="39" fillId="0" borderId="2" xfId="0" applyNumberFormat="1" applyFont="1" applyBorder="1" applyAlignment="1">
      <alignment horizontal="right" vertical="center"/>
    </xf>
    <xf numFmtId="14" fontId="39" fillId="0" borderId="11" xfId="0" applyNumberFormat="1" applyFont="1" applyBorder="1" applyAlignment="1">
      <alignment horizontal="right" vertical="center"/>
    </xf>
    <xf numFmtId="171" fontId="39" fillId="0" borderId="1" xfId="0" applyNumberFormat="1" applyFont="1" applyBorder="1" applyAlignment="1">
      <alignment horizontal="right" vertical="center"/>
    </xf>
    <xf numFmtId="0" fontId="40" fillId="3" borderId="2" xfId="0" applyFont="1" applyFill="1" applyBorder="1" applyAlignment="1">
      <alignment horizontal="center"/>
    </xf>
    <xf numFmtId="0" fontId="40" fillId="3" borderId="11" xfId="0" applyFont="1" applyFill="1" applyBorder="1" applyAlignment="1">
      <alignment horizontal="center"/>
    </xf>
    <xf numFmtId="0" fontId="39" fillId="0" borderId="1" xfId="0" applyFont="1" applyBorder="1" applyAlignment="1">
      <alignment horizontal="center"/>
    </xf>
    <xf numFmtId="49" fontId="38" fillId="0" borderId="23" xfId="0" applyNumberFormat="1" applyFont="1" applyBorder="1" applyAlignment="1">
      <alignment horizontal="center"/>
    </xf>
    <xf numFmtId="0" fontId="16" fillId="0" borderId="21" xfId="0" applyFont="1" applyBorder="1" applyAlignment="1">
      <alignment horizontal="center" vertical="center"/>
    </xf>
    <xf numFmtId="0" fontId="55" fillId="0" borderId="23" xfId="0" applyFont="1" applyBorder="1" applyAlignment="1">
      <alignment horizontal="center"/>
    </xf>
    <xf numFmtId="0" fontId="55" fillId="0" borderId="17" xfId="0" applyFont="1" applyBorder="1" applyAlignment="1">
      <alignment horizontal="center"/>
    </xf>
    <xf numFmtId="0" fontId="39" fillId="0" borderId="0" xfId="0" applyFont="1" applyAlignment="1">
      <alignment horizontal="left"/>
    </xf>
    <xf numFmtId="0" fontId="39" fillId="0" borderId="10" xfId="0" applyFont="1" applyBorder="1" applyAlignment="1">
      <alignment horizontal="left" vertical="center"/>
    </xf>
    <xf numFmtId="0" fontId="39" fillId="0" borderId="2" xfId="0" applyFont="1" applyBorder="1" applyAlignment="1">
      <alignment horizontal="left" vertical="center"/>
    </xf>
    <xf numFmtId="0" fontId="39" fillId="0" borderId="11" xfId="0" applyFont="1" applyBorder="1" applyAlignment="1">
      <alignment horizontal="left" vertical="center"/>
    </xf>
    <xf numFmtId="164" fontId="37" fillId="0" borderId="10" xfId="3" applyNumberFormat="1" applyBorder="1" applyAlignment="1">
      <alignment horizontal="left" vertical="center"/>
    </xf>
    <xf numFmtId="164" fontId="39" fillId="0" borderId="2" xfId="1" applyFont="1" applyBorder="1" applyAlignment="1">
      <alignment horizontal="left" vertical="center"/>
    </xf>
    <xf numFmtId="164" fontId="39" fillId="0" borderId="11" xfId="1" applyFont="1" applyBorder="1" applyAlignment="1">
      <alignment horizontal="left" vertical="center"/>
    </xf>
    <xf numFmtId="0" fontId="39" fillId="0" borderId="10" xfId="0" applyFont="1" applyBorder="1" applyAlignment="1">
      <alignment horizontal="left" vertical="center" wrapText="1"/>
    </xf>
    <xf numFmtId="0" fontId="39" fillId="0" borderId="2" xfId="0" applyFont="1" applyBorder="1" applyAlignment="1">
      <alignment horizontal="left" vertical="center" wrapText="1"/>
    </xf>
    <xf numFmtId="0" fontId="39" fillId="0" borderId="11" xfId="0" applyFont="1" applyBorder="1" applyAlignment="1">
      <alignment horizontal="left" vertical="center" wrapText="1"/>
    </xf>
    <xf numFmtId="0" fontId="39" fillId="0" borderId="0" xfId="0" applyFont="1" applyAlignment="1">
      <alignment horizontal="left" vertical="top"/>
    </xf>
    <xf numFmtId="164" fontId="39" fillId="0" borderId="10" xfId="1" applyFont="1" applyBorder="1" applyAlignment="1">
      <alignment horizontal="left" vertical="center"/>
    </xf>
    <xf numFmtId="49" fontId="39" fillId="0" borderId="10" xfId="1" applyNumberFormat="1" applyFont="1" applyBorder="1" applyAlignment="1">
      <alignment horizontal="center" vertical="center"/>
    </xf>
    <xf numFmtId="49" fontId="39" fillId="0" borderId="2" xfId="1" applyNumberFormat="1" applyFont="1" applyBorder="1" applyAlignment="1">
      <alignment horizontal="center" vertical="center"/>
    </xf>
    <xf numFmtId="49" fontId="39" fillId="0" borderId="11" xfId="1" applyNumberFormat="1" applyFont="1" applyBorder="1" applyAlignment="1">
      <alignment horizontal="center" vertical="center"/>
    </xf>
    <xf numFmtId="0" fontId="39" fillId="0" borderId="10" xfId="0" applyFont="1" applyBorder="1" applyAlignment="1">
      <alignment horizontal="center" vertical="center"/>
    </xf>
    <xf numFmtId="0" fontId="39" fillId="0" borderId="2" xfId="0" applyFont="1" applyBorder="1" applyAlignment="1">
      <alignment horizontal="center" vertical="center"/>
    </xf>
    <xf numFmtId="0" fontId="39" fillId="0" borderId="11" xfId="0" applyFont="1" applyBorder="1" applyAlignment="1">
      <alignment horizontal="center" vertical="center"/>
    </xf>
    <xf numFmtId="0" fontId="39" fillId="0" borderId="0" xfId="0" applyFont="1" applyAlignment="1">
      <alignment horizontal="right" vertical="center"/>
    </xf>
    <xf numFmtId="0" fontId="39" fillId="0" borderId="29" xfId="0" applyFont="1" applyBorder="1" applyAlignment="1">
      <alignment horizontal="center" vertical="top"/>
    </xf>
    <xf numFmtId="0" fontId="39" fillId="0" borderId="21" xfId="0" applyFont="1" applyBorder="1" applyAlignment="1">
      <alignment horizontal="center" vertical="top"/>
    </xf>
    <xf numFmtId="0" fontId="39" fillId="0" borderId="30" xfId="0" applyFont="1" applyBorder="1" applyAlignment="1">
      <alignment horizontal="center" vertical="top"/>
    </xf>
    <xf numFmtId="0" fontId="39" fillId="0" borderId="10" xfId="0" applyFont="1" applyBorder="1" applyAlignment="1">
      <alignment horizontal="left"/>
    </xf>
    <xf numFmtId="0" fontId="39" fillId="0" borderId="2" xfId="0" applyFont="1" applyBorder="1" applyAlignment="1">
      <alignment horizontal="left"/>
    </xf>
    <xf numFmtId="0" fontId="39" fillId="0" borderId="11" xfId="0" applyFont="1" applyBorder="1" applyAlignment="1">
      <alignment horizontal="left"/>
    </xf>
    <xf numFmtId="165" fontId="26" fillId="0" borderId="17" xfId="1" applyNumberFormat="1" applyFont="1" applyBorder="1" applyAlignment="1">
      <alignment horizontal="center" vertical="center"/>
    </xf>
    <xf numFmtId="164" fontId="39" fillId="0" borderId="31" xfId="1" applyFont="1" applyBorder="1" applyAlignment="1">
      <alignment horizontal="center" vertical="center"/>
    </xf>
    <xf numFmtId="164" fontId="39" fillId="0" borderId="17" xfId="1" applyFont="1" applyBorder="1" applyAlignment="1">
      <alignment horizontal="center" vertical="center"/>
    </xf>
    <xf numFmtId="164" fontId="39" fillId="0" borderId="32" xfId="1" applyFont="1" applyBorder="1" applyAlignment="1">
      <alignment horizontal="center" vertical="center"/>
    </xf>
    <xf numFmtId="0" fontId="39" fillId="0" borderId="31" xfId="1" applyNumberFormat="1" applyFont="1" applyBorder="1" applyAlignment="1">
      <alignment horizontal="center" vertical="center"/>
    </xf>
    <xf numFmtId="0" fontId="39" fillId="0" borderId="17" xfId="1" applyNumberFormat="1" applyFont="1" applyBorder="1" applyAlignment="1">
      <alignment horizontal="center" vertical="center"/>
    </xf>
    <xf numFmtId="0" fontId="39" fillId="0" borderId="32" xfId="1" applyNumberFormat="1" applyFont="1" applyBorder="1" applyAlignment="1">
      <alignment horizontal="center" vertical="center"/>
    </xf>
    <xf numFmtId="0" fontId="40" fillId="3" borderId="10" xfId="0" applyFont="1" applyFill="1" applyBorder="1" applyAlignment="1">
      <alignment horizontal="center" vertical="center"/>
    </xf>
    <xf numFmtId="0" fontId="40" fillId="3" borderId="2" xfId="0" applyFont="1" applyFill="1" applyBorder="1" applyAlignment="1">
      <alignment horizontal="center" vertical="center"/>
    </xf>
    <xf numFmtId="0" fontId="40" fillId="3" borderId="11" xfId="0" applyFont="1" applyFill="1" applyBorder="1" applyAlignment="1">
      <alignment horizontal="center" vertical="center"/>
    </xf>
    <xf numFmtId="0" fontId="39" fillId="0" borderId="34" xfId="0" applyFont="1" applyBorder="1" applyAlignment="1">
      <alignment horizontal="left" vertical="center"/>
    </xf>
    <xf numFmtId="0" fontId="39" fillId="0" borderId="34" xfId="0" applyFont="1" applyBorder="1" applyAlignment="1">
      <alignment horizontal="center" vertical="center"/>
    </xf>
    <xf numFmtId="0" fontId="39" fillId="0" borderId="29" xfId="0" applyFont="1" applyBorder="1" applyAlignment="1">
      <alignment horizontal="left" vertical="center"/>
    </xf>
    <xf numFmtId="0" fontId="39" fillId="0" borderId="30" xfId="0" applyFont="1" applyBorder="1" applyAlignment="1">
      <alignment horizontal="left" vertical="center"/>
    </xf>
    <xf numFmtId="0" fontId="39" fillId="0" borderId="31" xfId="0" applyFont="1" applyBorder="1" applyAlignment="1">
      <alignment horizontal="left" vertical="center"/>
    </xf>
    <xf numFmtId="0" fontId="39" fillId="0" borderId="32" xfId="0" applyFont="1" applyBorder="1" applyAlignment="1">
      <alignment horizontal="left" vertical="center"/>
    </xf>
    <xf numFmtId="0" fontId="38" fillId="0" borderId="29" xfId="0" applyFont="1" applyBorder="1" applyAlignment="1">
      <alignment horizontal="center" vertical="center"/>
    </xf>
    <xf numFmtId="0" fontId="38" fillId="0" borderId="21" xfId="0" applyFont="1" applyBorder="1" applyAlignment="1">
      <alignment horizontal="center" vertical="center"/>
    </xf>
    <xf numFmtId="0" fontId="38" fillId="0" borderId="30" xfId="0" applyFont="1" applyBorder="1" applyAlignment="1">
      <alignment horizontal="center" vertical="center"/>
    </xf>
    <xf numFmtId="0" fontId="38" fillId="0" borderId="31" xfId="0" applyFont="1" applyBorder="1" applyAlignment="1">
      <alignment horizontal="center" vertical="center"/>
    </xf>
    <xf numFmtId="0" fontId="38" fillId="0" borderId="17" xfId="0" applyFont="1" applyBorder="1" applyAlignment="1">
      <alignment horizontal="center" vertical="center"/>
    </xf>
    <xf numFmtId="0" fontId="38" fillId="0" borderId="32" xfId="0" applyFont="1" applyBorder="1" applyAlignment="1">
      <alignment horizontal="center" vertical="center"/>
    </xf>
    <xf numFmtId="0" fontId="39" fillId="0" borderId="21" xfId="0" applyFont="1" applyBorder="1" applyAlignment="1">
      <alignment horizontal="left" vertical="center"/>
    </xf>
    <xf numFmtId="0" fontId="39" fillId="0" borderId="17" xfId="0" applyFont="1" applyBorder="1" applyAlignment="1">
      <alignment horizontal="left" vertical="center"/>
    </xf>
    <xf numFmtId="171" fontId="39" fillId="0" borderId="21" xfId="0" applyNumberFormat="1" applyFont="1" applyBorder="1" applyAlignment="1">
      <alignment horizontal="center" vertical="center"/>
    </xf>
    <xf numFmtId="171" fontId="39" fillId="0" borderId="0" xfId="0" applyNumberFormat="1" applyFont="1" applyAlignment="1">
      <alignment horizontal="center" vertical="center"/>
    </xf>
    <xf numFmtId="171" fontId="39" fillId="0" borderId="30" xfId="0" applyNumberFormat="1" applyFont="1" applyBorder="1" applyAlignment="1">
      <alignment horizontal="center" vertical="center"/>
    </xf>
    <xf numFmtId="0" fontId="39" fillId="0" borderId="28" xfId="0" applyFont="1" applyBorder="1" applyAlignment="1">
      <alignment horizontal="center"/>
    </xf>
    <xf numFmtId="0" fontId="39" fillId="0" borderId="23" xfId="0" applyFont="1" applyBorder="1" applyAlignment="1">
      <alignment horizontal="left"/>
    </xf>
    <xf numFmtId="0" fontId="38" fillId="0" borderId="23" xfId="0" applyFont="1" applyBorder="1" applyAlignment="1">
      <alignment horizontal="left"/>
    </xf>
    <xf numFmtId="0" fontId="22" fillId="0" borderId="2" xfId="0" applyFont="1" applyBorder="1" applyAlignment="1">
      <alignment horizontal="left" vertical="center"/>
    </xf>
    <xf numFmtId="14" fontId="22" fillId="0" borderId="2" xfId="0" applyNumberFormat="1" applyFont="1" applyBorder="1" applyAlignment="1">
      <alignment horizontal="left"/>
    </xf>
    <xf numFmtId="0" fontId="22" fillId="0" borderId="2" xfId="0" applyFont="1" applyBorder="1" applyAlignment="1">
      <alignment horizontal="left"/>
    </xf>
    <xf numFmtId="44" fontId="16" fillId="0" borderId="2" xfId="0" applyNumberFormat="1" applyFont="1" applyBorder="1" applyAlignment="1">
      <alignment horizontal="center" vertical="center"/>
    </xf>
    <xf numFmtId="0" fontId="38" fillId="0" borderId="0" xfId="0" applyFont="1" applyAlignment="1">
      <alignment horizontal="right" vertical="center"/>
    </xf>
    <xf numFmtId="0" fontId="21" fillId="0" borderId="0" xfId="0" applyFont="1" applyAlignment="1">
      <alignment horizontal="center" vertical="center"/>
    </xf>
    <xf numFmtId="10" fontId="0" fillId="0" borderId="9" xfId="2" applyNumberFormat="1" applyFont="1" applyBorder="1" applyAlignment="1" applyProtection="1">
      <alignment horizontal="center" vertical="center"/>
    </xf>
    <xf numFmtId="10" fontId="0" fillId="0" borderId="1" xfId="2" applyNumberFormat="1" applyFont="1" applyBorder="1" applyAlignment="1" applyProtection="1">
      <alignment horizontal="center" vertical="center"/>
    </xf>
    <xf numFmtId="10" fontId="0" fillId="0" borderId="12" xfId="2" applyNumberFormat="1" applyFont="1" applyBorder="1" applyAlignment="1" applyProtection="1">
      <alignment horizontal="center" vertical="center"/>
    </xf>
    <xf numFmtId="0" fontId="5" fillId="0" borderId="1" xfId="0" applyFont="1" applyBorder="1" applyAlignment="1">
      <alignment horizontal="center"/>
    </xf>
    <xf numFmtId="0" fontId="38" fillId="0" borderId="1" xfId="0" applyFont="1" applyBorder="1" applyAlignment="1">
      <alignment horizontal="center" vertical="center" wrapText="1"/>
    </xf>
    <xf numFmtId="0" fontId="38" fillId="0" borderId="12" xfId="0" applyFont="1" applyBorder="1" applyAlignment="1">
      <alignment horizontal="center" vertical="center" wrapText="1"/>
    </xf>
    <xf numFmtId="0" fontId="0" fillId="2" borderId="9" xfId="0" applyFill="1" applyBorder="1" applyAlignment="1">
      <alignment horizontal="center" vertical="center" wrapText="1"/>
    </xf>
    <xf numFmtId="172" fontId="26" fillId="0" borderId="2" xfId="1" applyNumberFormat="1" applyFont="1" applyBorder="1" applyAlignment="1">
      <alignment horizontal="right" vertical="center"/>
    </xf>
    <xf numFmtId="49" fontId="39" fillId="0" borderId="31" xfId="1" applyNumberFormat="1" applyFont="1" applyBorder="1" applyAlignment="1">
      <alignment horizontal="center" vertical="center"/>
    </xf>
    <xf numFmtId="44" fontId="22" fillId="0" borderId="2" xfId="0" applyNumberFormat="1" applyFont="1" applyBorder="1" applyAlignment="1">
      <alignment horizontal="left" vertical="center"/>
    </xf>
    <xf numFmtId="0" fontId="7" fillId="0" borderId="10" xfId="0" applyFont="1" applyBorder="1" applyAlignment="1">
      <alignment horizontal="center"/>
    </xf>
    <xf numFmtId="0" fontId="0" fillId="2" borderId="6" xfId="0" applyFill="1" applyBorder="1" applyAlignment="1">
      <alignment horizontal="center" vertical="center" wrapText="1"/>
    </xf>
    <xf numFmtId="1" fontId="38" fillId="0" borderId="23" xfId="0" applyNumberFormat="1" applyFont="1" applyBorder="1" applyAlignment="1">
      <alignment horizontal="center"/>
    </xf>
    <xf numFmtId="44" fontId="38" fillId="0" borderId="23" xfId="0" applyNumberFormat="1" applyFont="1" applyBorder="1" applyAlignment="1">
      <alignment horizontal="center"/>
    </xf>
    <xf numFmtId="0" fontId="39" fillId="0" borderId="23" xfId="0" applyFont="1" applyBorder="1" applyAlignment="1">
      <alignment horizontal="center" wrapText="1"/>
    </xf>
    <xf numFmtId="14" fontId="39" fillId="0" borderId="10" xfId="0" applyNumberFormat="1" applyFont="1" applyBorder="1" applyAlignment="1">
      <alignment horizontal="left" vertical="center" wrapText="1"/>
    </xf>
    <xf numFmtId="15" fontId="39" fillId="0" borderId="10" xfId="0" applyNumberFormat="1" applyFont="1" applyBorder="1" applyAlignment="1">
      <alignment horizontal="center" vertical="center"/>
    </xf>
    <xf numFmtId="1" fontId="39" fillId="0" borderId="31" xfId="1" applyNumberFormat="1" applyFont="1" applyBorder="1" applyAlignment="1">
      <alignment horizontal="center" vertical="center"/>
    </xf>
    <xf numFmtId="1" fontId="22" fillId="0" borderId="2" xfId="0" applyNumberFormat="1" applyFont="1" applyBorder="1" applyAlignment="1">
      <alignment horizontal="left" vertical="center"/>
    </xf>
    <xf numFmtId="173" fontId="16" fillId="0" borderId="17" xfId="0" applyNumberFormat="1" applyFont="1" applyBorder="1" applyAlignment="1">
      <alignment horizontal="center" vertical="center"/>
    </xf>
    <xf numFmtId="0" fontId="1" fillId="0" borderId="10" xfId="0" applyFont="1" applyBorder="1" applyAlignment="1">
      <alignment horizontal="center"/>
    </xf>
    <xf numFmtId="15" fontId="38" fillId="0" borderId="27" xfId="0" applyNumberFormat="1" applyFont="1" applyBorder="1" applyAlignment="1">
      <alignment horizontal="center"/>
    </xf>
    <xf numFmtId="0" fontId="3" fillId="0" borderId="0" xfId="0" applyFont="1" applyAlignment="1">
      <alignment horizontal="center"/>
    </xf>
    <xf numFmtId="166" fontId="0" fillId="0" borderId="0" xfId="0" applyNumberFormat="1" applyAlignment="1">
      <alignment horizontal="center"/>
    </xf>
  </cellXfs>
  <cellStyles count="4">
    <cellStyle name="Comma" xfId="1" builtinId="3"/>
    <cellStyle name="Hyperlink" xfId="3" builtinId="8"/>
    <cellStyle name="Normal" xfId="0" builtinId="0"/>
    <cellStyle name="Percent" xfId="2"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514798</xdr:colOff>
      <xdr:row>78</xdr:row>
      <xdr:rowOff>114302</xdr:rowOff>
    </xdr:from>
    <xdr:to>
      <xdr:col>15</xdr:col>
      <xdr:colOff>177613</xdr:colOff>
      <xdr:row>81</xdr:row>
      <xdr:rowOff>74932</xdr:rowOff>
    </xdr:to>
    <xdr:pic>
      <xdr:nvPicPr>
        <xdr:cNvPr id="4" name="Picture 3">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cstate="print"/>
        <a:srcRect b="17620"/>
        <a:stretch>
          <a:fillRect/>
        </a:stretch>
      </xdr:blipFill>
      <xdr:spPr>
        <a:xfrm>
          <a:off x="12538710" y="16602075"/>
          <a:ext cx="1141095" cy="50927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514798</xdr:colOff>
      <xdr:row>90</xdr:row>
      <xdr:rowOff>114302</xdr:rowOff>
    </xdr:from>
    <xdr:to>
      <xdr:col>15</xdr:col>
      <xdr:colOff>177613</xdr:colOff>
      <xdr:row>93</xdr:row>
      <xdr:rowOff>74932</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b="17620"/>
        <a:stretch>
          <a:fillRect/>
        </a:stretch>
      </xdr:blipFill>
      <xdr:spPr>
        <a:xfrm>
          <a:off x="12957810" y="16602075"/>
          <a:ext cx="1141095" cy="50927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215441</xdr:colOff>
      <xdr:row>19</xdr:row>
      <xdr:rowOff>100695</xdr:rowOff>
    </xdr:from>
    <xdr:to>
      <xdr:col>15</xdr:col>
      <xdr:colOff>523234</xdr:colOff>
      <xdr:row>22</xdr:row>
      <xdr:rowOff>164195</xdr:rowOff>
    </xdr:to>
    <xdr:pic>
      <xdr:nvPicPr>
        <xdr:cNvPr id="2" name="Picture 1">
          <a:extLst>
            <a:ext uri="{FF2B5EF4-FFF2-40B4-BE49-F238E27FC236}">
              <a16:creationId xmlns:a16="http://schemas.microsoft.com/office/drawing/2014/main" id="{00D1A16C-6CAF-4A9D-ABEC-EB35B9901E9A}"/>
            </a:ext>
          </a:extLst>
        </xdr:cNvPr>
        <xdr:cNvPicPr/>
      </xdr:nvPicPr>
      <xdr:blipFill>
        <a:blip xmlns:r="http://schemas.openxmlformats.org/officeDocument/2006/relationships" r:embed="rId1" cstate="print"/>
        <a:srcRect b="17620"/>
        <a:stretch>
          <a:fillRect/>
        </a:stretch>
      </xdr:blipFill>
      <xdr:spPr>
        <a:xfrm>
          <a:off x="12569366" y="3729720"/>
          <a:ext cx="1060268" cy="635000"/>
        </a:xfrm>
        <a:prstGeom prst="rect">
          <a:avLst/>
        </a:prstGeom>
        <a:noFill/>
        <a:ln w="9525">
          <a:noFill/>
          <a:miter lim="800000"/>
          <a:headEnd/>
          <a:tailEnd/>
        </a:ln>
      </xdr:spPr>
    </xdr:pic>
    <xdr:clientData/>
  </xdr:twoCellAnchor>
  <xdr:oneCellAnchor>
    <xdr:from>
      <xdr:col>45</xdr:col>
      <xdr:colOff>278130</xdr:colOff>
      <xdr:row>62</xdr:row>
      <xdr:rowOff>182880</xdr:rowOff>
    </xdr:from>
    <xdr:ext cx="219075" cy="247650"/>
    <xdr:pic>
      <xdr:nvPicPr>
        <xdr:cNvPr id="3" name="Picture 2" descr="https://tse1.mm.bing.net/th?id=OIP.11IPUqok7qInEpcWmz9WawHaIZ&amp;pid=Api&amp;P=0">
          <a:extLst>
            <a:ext uri="{FF2B5EF4-FFF2-40B4-BE49-F238E27FC236}">
              <a16:creationId xmlns:a16="http://schemas.microsoft.com/office/drawing/2014/main" id="{8690F9F5-FEAF-4F52-8C0E-EAF50E71971C}"/>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28930"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4" name="Straight Connector 3">
          <a:extLst>
            <a:ext uri="{FF2B5EF4-FFF2-40B4-BE49-F238E27FC236}">
              <a16:creationId xmlns:a16="http://schemas.microsoft.com/office/drawing/2014/main" id="{DB408A13-3631-461E-9B50-D70B60E27816}"/>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5" name="Straight Connector 4">
          <a:extLst>
            <a:ext uri="{FF2B5EF4-FFF2-40B4-BE49-F238E27FC236}">
              <a16:creationId xmlns:a16="http://schemas.microsoft.com/office/drawing/2014/main" id="{72ABAFB0-771E-4C66-8B0C-9537C0EBE883}"/>
            </a:ext>
          </a:extLst>
        </xdr:cNvPr>
        <xdr:cNvCxnSpPr/>
      </xdr:nvCxnSpPr>
      <xdr:spPr>
        <a:xfrm>
          <a:off x="18022981" y="3629026"/>
          <a:ext cx="7844" cy="1564005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6" name="Straight Connector 5">
          <a:extLst>
            <a:ext uri="{FF2B5EF4-FFF2-40B4-BE49-F238E27FC236}">
              <a16:creationId xmlns:a16="http://schemas.microsoft.com/office/drawing/2014/main" id="{AE575CE2-B278-41DE-A480-A17CA53F9753}"/>
            </a:ext>
          </a:extLst>
        </xdr:cNvPr>
        <xdr:cNvCxnSpPr/>
      </xdr:nvCxnSpPr>
      <xdr:spPr>
        <a:xfrm>
          <a:off x="29310108" y="3667125"/>
          <a:ext cx="36417" cy="1559242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7" name="Picture 6">
          <a:extLst>
            <a:ext uri="{FF2B5EF4-FFF2-40B4-BE49-F238E27FC236}">
              <a16:creationId xmlns:a16="http://schemas.microsoft.com/office/drawing/2014/main" id="{81C2C2B7-BA4C-47C5-BCC5-04EAE404A65B}"/>
            </a:ext>
          </a:extLst>
        </xdr:cNvPr>
        <xdr:cNvPicPr/>
      </xdr:nvPicPr>
      <xdr:blipFill>
        <a:blip xmlns:r="http://schemas.openxmlformats.org/officeDocument/2006/relationships" r:embed="rId4" cstate="print"/>
        <a:srcRect/>
        <a:stretch>
          <a:fillRect/>
        </a:stretch>
      </xdr:blipFill>
      <xdr:spPr bwMode="auto">
        <a:xfrm>
          <a:off x="22840950"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8" name="Straight Connector 7">
          <a:extLst>
            <a:ext uri="{FF2B5EF4-FFF2-40B4-BE49-F238E27FC236}">
              <a16:creationId xmlns:a16="http://schemas.microsoft.com/office/drawing/2014/main" id="{37E7CFE5-B1B7-436F-AAFE-1F2172B7D6F6}"/>
            </a:ext>
          </a:extLst>
        </xdr:cNvPr>
        <xdr:cNvCxnSpPr/>
      </xdr:nvCxnSpPr>
      <xdr:spPr>
        <a:xfrm flipV="1">
          <a:off x="18002250"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9" name="Straight Connector 8">
          <a:extLst>
            <a:ext uri="{FF2B5EF4-FFF2-40B4-BE49-F238E27FC236}">
              <a16:creationId xmlns:a16="http://schemas.microsoft.com/office/drawing/2014/main" id="{3B4179E5-0E79-4188-9EDB-21B99943482C}"/>
            </a:ext>
          </a:extLst>
        </xdr:cNvPr>
        <xdr:cNvCxnSpPr/>
      </xdr:nvCxnSpPr>
      <xdr:spPr>
        <a:xfrm>
          <a:off x="18025110" y="17803906"/>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10" name="Straight Connector 9">
          <a:extLst>
            <a:ext uri="{FF2B5EF4-FFF2-40B4-BE49-F238E27FC236}">
              <a16:creationId xmlns:a16="http://schemas.microsoft.com/office/drawing/2014/main" id="{9353A066-BC1C-4E1B-9E28-9E952EE3A7BB}"/>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85725</xdr:colOff>
      <xdr:row>31</xdr:row>
      <xdr:rowOff>167640</xdr:rowOff>
    </xdr:from>
    <xdr:ext cx="219075" cy="247650"/>
    <xdr:pic>
      <xdr:nvPicPr>
        <xdr:cNvPr id="13" name="Picture 12" descr="https://tse1.mm.bing.net/th?id=OIP.11IPUqok7qInEpcWmz9WawHaIZ&amp;pid=Api&amp;P=0">
          <a:extLst>
            <a:ext uri="{FF2B5EF4-FFF2-40B4-BE49-F238E27FC236}">
              <a16:creationId xmlns:a16="http://schemas.microsoft.com/office/drawing/2014/main" id="{E6325046-0D73-4579-826E-D223B4E2C0DF}"/>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536525" y="6301740"/>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14" name="Picture 13" descr="https://tse1.mm.bing.net/th?id=OIP.11IPUqok7qInEpcWmz9WawHaIZ&amp;pid=Api&amp;P=0">
          <a:extLst>
            <a:ext uri="{FF2B5EF4-FFF2-40B4-BE49-F238E27FC236}">
              <a16:creationId xmlns:a16="http://schemas.microsoft.com/office/drawing/2014/main" id="{DEE5DBB4-D101-4D66-B6ED-FD5125F19D8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002625" y="8336280"/>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15" name="Picture 14" descr="https://tse1.mm.bing.net/th?id=OIP.11IPUqok7qInEpcWmz9WawHaIZ&amp;pid=Api&amp;P=0">
          <a:extLst>
            <a:ext uri="{FF2B5EF4-FFF2-40B4-BE49-F238E27FC236}">
              <a16:creationId xmlns:a16="http://schemas.microsoft.com/office/drawing/2014/main" id="{735F162E-7677-4609-840A-B15E205D1373}"/>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898350" y="8351520"/>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16" name="Straight Connector 15">
          <a:extLst>
            <a:ext uri="{FF2B5EF4-FFF2-40B4-BE49-F238E27FC236}">
              <a16:creationId xmlns:a16="http://schemas.microsoft.com/office/drawing/2014/main" id="{074790B5-6D5E-4775-9B6F-1E46BD115DBC}"/>
            </a:ext>
          </a:extLst>
        </xdr:cNvPr>
        <xdr:cNvCxnSpPr/>
      </xdr:nvCxnSpPr>
      <xdr:spPr>
        <a:xfrm>
          <a:off x="18002250" y="19280505"/>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17" name="Straight Connector 16">
          <a:extLst>
            <a:ext uri="{FF2B5EF4-FFF2-40B4-BE49-F238E27FC236}">
              <a16:creationId xmlns:a16="http://schemas.microsoft.com/office/drawing/2014/main" id="{962C54B7-F3BB-4DE4-B693-9A436087CC98}"/>
            </a:ext>
          </a:extLst>
        </xdr:cNvPr>
        <xdr:cNvCxnSpPr/>
      </xdr:nvCxnSpPr>
      <xdr:spPr>
        <a:xfrm>
          <a:off x="18002250" y="198404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18" name="Straight Connector 17">
          <a:extLst>
            <a:ext uri="{FF2B5EF4-FFF2-40B4-BE49-F238E27FC236}">
              <a16:creationId xmlns:a16="http://schemas.microsoft.com/office/drawing/2014/main" id="{0F159671-89F9-4C0A-9B9C-B9F26E39A16C}"/>
            </a:ext>
          </a:extLst>
        </xdr:cNvPr>
        <xdr:cNvCxnSpPr/>
      </xdr:nvCxnSpPr>
      <xdr:spPr>
        <a:xfrm flipH="1">
          <a:off x="18009870" y="19869147"/>
          <a:ext cx="1773" cy="158381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19" name="Straight Connector 18">
          <a:extLst>
            <a:ext uri="{FF2B5EF4-FFF2-40B4-BE49-F238E27FC236}">
              <a16:creationId xmlns:a16="http://schemas.microsoft.com/office/drawing/2014/main" id="{D0806C72-0704-4649-8BF2-63452543F22D}"/>
            </a:ext>
          </a:extLst>
        </xdr:cNvPr>
        <xdr:cNvCxnSpPr/>
      </xdr:nvCxnSpPr>
      <xdr:spPr>
        <a:xfrm>
          <a:off x="18002250" y="26593800"/>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103206</xdr:colOff>
      <xdr:row>125</xdr:row>
      <xdr:rowOff>147917</xdr:rowOff>
    </xdr:from>
    <xdr:ext cx="219075" cy="247650"/>
    <xdr:pic>
      <xdr:nvPicPr>
        <xdr:cNvPr id="20" name="Picture 19" descr="https://tse1.mm.bing.net/th?id=OIP.11IPUqok7qInEpcWmz9WawHaIZ&amp;pid=Api&amp;P=0">
          <a:extLst>
            <a:ext uri="{FF2B5EF4-FFF2-40B4-BE49-F238E27FC236}">
              <a16:creationId xmlns:a16="http://schemas.microsoft.com/office/drawing/2014/main" id="{8C776216-B309-4AA0-93D1-9927EC265F7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230156" y="26122592"/>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21" name="Picture 20" descr="https://tse1.mm.bing.net/th?id=OIP.11IPUqok7qInEpcWmz9WawHaIZ&amp;pid=Api&amp;P=0">
          <a:extLst>
            <a:ext uri="{FF2B5EF4-FFF2-40B4-BE49-F238E27FC236}">
              <a16:creationId xmlns:a16="http://schemas.microsoft.com/office/drawing/2014/main" id="{1058A846-734D-4BB6-B649-0191B51433A5}"/>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04028" y="26175036"/>
          <a:ext cx="219075" cy="247650"/>
        </a:xfrm>
        <a:prstGeom prst="rect">
          <a:avLst/>
        </a:prstGeom>
        <a:noFill/>
        <a:ln w="9525">
          <a:noFill/>
          <a:miter lim="800000"/>
          <a:headEnd/>
          <a:tailEnd/>
        </a:ln>
      </xdr:spPr>
    </xdr:pic>
    <xdr:clientData/>
  </xdr:oneCellAnchor>
  <xdr:twoCellAnchor>
    <xdr:from>
      <xdr:col>22</xdr:col>
      <xdr:colOff>9525</xdr:colOff>
      <xdr:row>169</xdr:row>
      <xdr:rowOff>175260</xdr:rowOff>
    </xdr:from>
    <xdr:to>
      <xdr:col>57</xdr:col>
      <xdr:colOff>17145</xdr:colOff>
      <xdr:row>170</xdr:row>
      <xdr:rowOff>11563</xdr:rowOff>
    </xdr:to>
    <xdr:cxnSp macro="">
      <xdr:nvCxnSpPr>
        <xdr:cNvPr id="22" name="Straight Connector 21">
          <a:extLst>
            <a:ext uri="{FF2B5EF4-FFF2-40B4-BE49-F238E27FC236}">
              <a16:creationId xmlns:a16="http://schemas.microsoft.com/office/drawing/2014/main" id="{AA50ACF5-5CD3-4D27-B1D1-96A06C9DDA5E}"/>
            </a:ext>
          </a:extLst>
        </xdr:cNvPr>
        <xdr:cNvCxnSpPr/>
      </xdr:nvCxnSpPr>
      <xdr:spPr>
        <a:xfrm>
          <a:off x="18011775" y="35646360"/>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56</xdr:col>
      <xdr:colOff>327660</xdr:colOff>
      <xdr:row>170</xdr:row>
      <xdr:rowOff>121920</xdr:rowOff>
    </xdr:to>
    <xdr:cxnSp macro="">
      <xdr:nvCxnSpPr>
        <xdr:cNvPr id="23" name="Straight Connector 22">
          <a:extLst>
            <a:ext uri="{FF2B5EF4-FFF2-40B4-BE49-F238E27FC236}">
              <a16:creationId xmlns:a16="http://schemas.microsoft.com/office/drawing/2014/main" id="{A8CD0463-7775-4880-A827-C93F185DA81A}"/>
            </a:ext>
          </a:extLst>
        </xdr:cNvPr>
        <xdr:cNvCxnSpPr/>
      </xdr:nvCxnSpPr>
      <xdr:spPr>
        <a:xfrm>
          <a:off x="29327343" y="19831047"/>
          <a:ext cx="13467" cy="159524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278130</xdr:colOff>
      <xdr:row>62</xdr:row>
      <xdr:rowOff>182880</xdr:rowOff>
    </xdr:from>
    <xdr:ext cx="219075" cy="247650"/>
    <xdr:pic>
      <xdr:nvPicPr>
        <xdr:cNvPr id="24" name="Picture 23" descr="https://tse1.mm.bing.net/th?id=OIP.11IPUqok7qInEpcWmz9WawHaIZ&amp;pid=Api&amp;P=0">
          <a:extLst>
            <a:ext uri="{FF2B5EF4-FFF2-40B4-BE49-F238E27FC236}">
              <a16:creationId xmlns:a16="http://schemas.microsoft.com/office/drawing/2014/main" id="{0ADD0552-DF5D-4D97-AE9C-026204C45A8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28930"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25" name="Straight Connector 24">
          <a:extLst>
            <a:ext uri="{FF2B5EF4-FFF2-40B4-BE49-F238E27FC236}">
              <a16:creationId xmlns:a16="http://schemas.microsoft.com/office/drawing/2014/main" id="{E26526FB-F819-4533-8009-5E7BC2C46FB2}"/>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1027659</xdr:colOff>
      <xdr:row>18</xdr:row>
      <xdr:rowOff>190501</xdr:rowOff>
    </xdr:from>
    <xdr:to>
      <xdr:col>21</xdr:col>
      <xdr:colOff>1035503</xdr:colOff>
      <xdr:row>95</xdr:row>
      <xdr:rowOff>5446</xdr:rowOff>
    </xdr:to>
    <xdr:cxnSp macro="">
      <xdr:nvCxnSpPr>
        <xdr:cNvPr id="26" name="Straight Connector 25">
          <a:extLst>
            <a:ext uri="{FF2B5EF4-FFF2-40B4-BE49-F238E27FC236}">
              <a16:creationId xmlns:a16="http://schemas.microsoft.com/office/drawing/2014/main" id="{BD90D6D3-4DA5-44A3-9EDE-7B6EC3DAFB11}"/>
            </a:ext>
          </a:extLst>
        </xdr:cNvPr>
        <xdr:cNvCxnSpPr/>
      </xdr:nvCxnSpPr>
      <xdr:spPr>
        <a:xfrm>
          <a:off x="17982159" y="3619501"/>
          <a:ext cx="7844" cy="1563597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27" name="Straight Connector 26">
          <a:extLst>
            <a:ext uri="{FF2B5EF4-FFF2-40B4-BE49-F238E27FC236}">
              <a16:creationId xmlns:a16="http://schemas.microsoft.com/office/drawing/2014/main" id="{659C9632-7EA4-4FA9-A3A0-60C9A144C100}"/>
            </a:ext>
          </a:extLst>
        </xdr:cNvPr>
        <xdr:cNvCxnSpPr/>
      </xdr:nvCxnSpPr>
      <xdr:spPr>
        <a:xfrm>
          <a:off x="29310108" y="3667125"/>
          <a:ext cx="36417" cy="1559242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28" name="Picture 27">
          <a:extLst>
            <a:ext uri="{FF2B5EF4-FFF2-40B4-BE49-F238E27FC236}">
              <a16:creationId xmlns:a16="http://schemas.microsoft.com/office/drawing/2014/main" id="{A4388967-57E0-4D94-9E90-15E7783B4B3B}"/>
            </a:ext>
          </a:extLst>
        </xdr:cNvPr>
        <xdr:cNvPicPr/>
      </xdr:nvPicPr>
      <xdr:blipFill>
        <a:blip xmlns:r="http://schemas.openxmlformats.org/officeDocument/2006/relationships" r:embed="rId4" cstate="print"/>
        <a:srcRect/>
        <a:stretch>
          <a:fillRect/>
        </a:stretch>
      </xdr:blipFill>
      <xdr:spPr bwMode="auto">
        <a:xfrm>
          <a:off x="22840950"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29" name="Straight Connector 28">
          <a:extLst>
            <a:ext uri="{FF2B5EF4-FFF2-40B4-BE49-F238E27FC236}">
              <a16:creationId xmlns:a16="http://schemas.microsoft.com/office/drawing/2014/main" id="{B5934FF7-7768-4143-84B9-BAFEB34BD669}"/>
            </a:ext>
          </a:extLst>
        </xdr:cNvPr>
        <xdr:cNvCxnSpPr/>
      </xdr:nvCxnSpPr>
      <xdr:spPr>
        <a:xfrm flipV="1">
          <a:off x="18002250"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30" name="Straight Connector 29">
          <a:extLst>
            <a:ext uri="{FF2B5EF4-FFF2-40B4-BE49-F238E27FC236}">
              <a16:creationId xmlns:a16="http://schemas.microsoft.com/office/drawing/2014/main" id="{BB28BE72-A935-430B-B891-434882102CE3}"/>
            </a:ext>
          </a:extLst>
        </xdr:cNvPr>
        <xdr:cNvCxnSpPr/>
      </xdr:nvCxnSpPr>
      <xdr:spPr>
        <a:xfrm>
          <a:off x="18025110" y="17803906"/>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31" name="Straight Connector 30">
          <a:extLst>
            <a:ext uri="{FF2B5EF4-FFF2-40B4-BE49-F238E27FC236}">
              <a16:creationId xmlns:a16="http://schemas.microsoft.com/office/drawing/2014/main" id="{E857D8A4-172A-43C6-A462-BA11E553153D}"/>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99332</xdr:colOff>
      <xdr:row>33</xdr:row>
      <xdr:rowOff>169546</xdr:rowOff>
    </xdr:from>
    <xdr:ext cx="219075" cy="247650"/>
    <xdr:pic>
      <xdr:nvPicPr>
        <xdr:cNvPr id="32" name="Picture 31" descr="https://tse1.mm.bing.net/th?id=OIP.11IPUqok7qInEpcWmz9WawHaIZ&amp;pid=Api&amp;P=0">
          <a:extLst>
            <a:ext uri="{FF2B5EF4-FFF2-40B4-BE49-F238E27FC236}">
              <a16:creationId xmlns:a16="http://schemas.microsoft.com/office/drawing/2014/main" id="{6851CB4F-A0D1-457B-8F6F-A26BEDABA161}"/>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496189" y="6755403"/>
          <a:ext cx="219075" cy="247650"/>
        </a:xfrm>
        <a:prstGeom prst="rect">
          <a:avLst/>
        </a:prstGeom>
        <a:noFill/>
        <a:ln w="9525">
          <a:noFill/>
          <a:miter lim="800000"/>
          <a:headEnd/>
          <a:tailEnd/>
        </a:ln>
      </xdr:spPr>
    </xdr:pic>
    <xdr:clientData/>
  </xdr:oneCellAnchor>
  <xdr:oneCellAnchor>
    <xdr:from>
      <xdr:col>38</xdr:col>
      <xdr:colOff>75928</xdr:colOff>
      <xdr:row>31</xdr:row>
      <xdr:rowOff>165735</xdr:rowOff>
    </xdr:from>
    <xdr:ext cx="219075" cy="247650"/>
    <xdr:pic>
      <xdr:nvPicPr>
        <xdr:cNvPr id="34" name="Picture 33" descr="https://tse1.mm.bing.net/th?id=OIP.11IPUqok7qInEpcWmz9WawHaIZ&amp;pid=Api&amp;P=0">
          <a:extLst>
            <a:ext uri="{FF2B5EF4-FFF2-40B4-BE49-F238E27FC236}">
              <a16:creationId xmlns:a16="http://schemas.microsoft.com/office/drawing/2014/main" id="{83C7763F-3D16-49F5-BBFE-0B73AE504EE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3371357" y="6343378"/>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35" name="Picture 34" descr="https://tse1.mm.bing.net/th?id=OIP.11IPUqok7qInEpcWmz9WawHaIZ&amp;pid=Api&amp;P=0">
          <a:extLst>
            <a:ext uri="{FF2B5EF4-FFF2-40B4-BE49-F238E27FC236}">
              <a16:creationId xmlns:a16="http://schemas.microsoft.com/office/drawing/2014/main" id="{DD683B49-CE6C-47CA-941E-9A2EA7356B7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002625" y="8336280"/>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36" name="Picture 35" descr="https://tse1.mm.bing.net/th?id=OIP.11IPUqok7qInEpcWmz9WawHaIZ&amp;pid=Api&amp;P=0">
          <a:extLst>
            <a:ext uri="{FF2B5EF4-FFF2-40B4-BE49-F238E27FC236}">
              <a16:creationId xmlns:a16="http://schemas.microsoft.com/office/drawing/2014/main" id="{9909525E-17AF-4679-98DA-E063CC0BA59D}"/>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898350" y="8351520"/>
          <a:ext cx="219075" cy="247650"/>
        </a:xfrm>
        <a:prstGeom prst="rect">
          <a:avLst/>
        </a:prstGeom>
        <a:noFill/>
        <a:ln w="9525">
          <a:noFill/>
          <a:miter lim="800000"/>
          <a:headEnd/>
          <a:tailEnd/>
        </a:ln>
      </xdr:spPr>
    </xdr:pic>
    <xdr:clientData/>
  </xdr:oneCellAnchor>
  <xdr:oneCellAnchor>
    <xdr:from>
      <xdr:col>42</xdr:col>
      <xdr:colOff>51435</xdr:colOff>
      <xdr:row>50</xdr:row>
      <xdr:rowOff>200025</xdr:rowOff>
    </xdr:from>
    <xdr:ext cx="219075" cy="247650"/>
    <xdr:pic>
      <xdr:nvPicPr>
        <xdr:cNvPr id="37" name="Picture 36" descr="https://tse1.mm.bing.net/th?id=OIP.11IPUqok7qInEpcWmz9WawHaIZ&amp;pid=Api&amp;P=0">
          <a:extLst>
            <a:ext uri="{FF2B5EF4-FFF2-40B4-BE49-F238E27FC236}">
              <a16:creationId xmlns:a16="http://schemas.microsoft.com/office/drawing/2014/main" id="{5706F86D-63EC-42B8-AB26-0F9618FC5D07}"/>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530685" y="10267950"/>
          <a:ext cx="219075" cy="247650"/>
        </a:xfrm>
        <a:prstGeom prst="rect">
          <a:avLst/>
        </a:prstGeom>
        <a:noFill/>
        <a:ln w="9525">
          <a:noFill/>
          <a:miter lim="800000"/>
          <a:headEnd/>
          <a:tailEnd/>
        </a:ln>
      </xdr:spPr>
    </xdr:pic>
    <xdr:clientData/>
  </xdr:oneCellAnchor>
  <xdr:twoCellAnchor>
    <xdr:from>
      <xdr:col>22</xdr:col>
      <xdr:colOff>0</xdr:colOff>
      <xdr:row>94</xdr:row>
      <xdr:rowOff>180159</xdr:rowOff>
    </xdr:from>
    <xdr:to>
      <xdr:col>56</xdr:col>
      <xdr:colOff>321945</xdr:colOff>
      <xdr:row>94</xdr:row>
      <xdr:rowOff>188003</xdr:rowOff>
    </xdr:to>
    <xdr:cxnSp macro="">
      <xdr:nvCxnSpPr>
        <xdr:cNvPr id="38" name="Straight Connector 37">
          <a:extLst>
            <a:ext uri="{FF2B5EF4-FFF2-40B4-BE49-F238E27FC236}">
              <a16:creationId xmlns:a16="http://schemas.microsoft.com/office/drawing/2014/main" id="{A4F3AF85-75BB-45A7-895E-CFB19001296A}"/>
            </a:ext>
          </a:extLst>
        </xdr:cNvPr>
        <xdr:cNvCxnSpPr/>
      </xdr:nvCxnSpPr>
      <xdr:spPr>
        <a:xfrm>
          <a:off x="18070286" y="19202945"/>
          <a:ext cx="11425373"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39" name="Straight Connector 38">
          <a:extLst>
            <a:ext uri="{FF2B5EF4-FFF2-40B4-BE49-F238E27FC236}">
              <a16:creationId xmlns:a16="http://schemas.microsoft.com/office/drawing/2014/main" id="{61CFA2A3-215C-48DD-9CFE-9BC3F1B784F6}"/>
            </a:ext>
          </a:extLst>
        </xdr:cNvPr>
        <xdr:cNvCxnSpPr/>
      </xdr:nvCxnSpPr>
      <xdr:spPr>
        <a:xfrm>
          <a:off x="18002250" y="198404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40" name="Straight Connector 39">
          <a:extLst>
            <a:ext uri="{FF2B5EF4-FFF2-40B4-BE49-F238E27FC236}">
              <a16:creationId xmlns:a16="http://schemas.microsoft.com/office/drawing/2014/main" id="{4C624EC2-DDC0-4779-B598-A94DC19036FC}"/>
            </a:ext>
          </a:extLst>
        </xdr:cNvPr>
        <xdr:cNvCxnSpPr/>
      </xdr:nvCxnSpPr>
      <xdr:spPr>
        <a:xfrm flipH="1">
          <a:off x="18009870" y="19869147"/>
          <a:ext cx="1773" cy="158381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41" name="Straight Connector 40">
          <a:extLst>
            <a:ext uri="{FF2B5EF4-FFF2-40B4-BE49-F238E27FC236}">
              <a16:creationId xmlns:a16="http://schemas.microsoft.com/office/drawing/2014/main" id="{4EAA3B73-3660-417F-A5D9-4D88B3C58CA0}"/>
            </a:ext>
          </a:extLst>
        </xdr:cNvPr>
        <xdr:cNvCxnSpPr/>
      </xdr:nvCxnSpPr>
      <xdr:spPr>
        <a:xfrm>
          <a:off x="18002250" y="26593800"/>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103206</xdr:colOff>
      <xdr:row>125</xdr:row>
      <xdr:rowOff>147917</xdr:rowOff>
    </xdr:from>
    <xdr:ext cx="219075" cy="247650"/>
    <xdr:pic>
      <xdr:nvPicPr>
        <xdr:cNvPr id="42" name="Picture 41" descr="https://tse1.mm.bing.net/th?id=OIP.11IPUqok7qInEpcWmz9WawHaIZ&amp;pid=Api&amp;P=0">
          <a:extLst>
            <a:ext uri="{FF2B5EF4-FFF2-40B4-BE49-F238E27FC236}">
              <a16:creationId xmlns:a16="http://schemas.microsoft.com/office/drawing/2014/main" id="{40C0EEF8-C887-4665-8671-21E8AF0185D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230156" y="26122592"/>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43" name="Picture 42" descr="https://tse1.mm.bing.net/th?id=OIP.11IPUqok7qInEpcWmz9WawHaIZ&amp;pid=Api&amp;P=0">
          <a:extLst>
            <a:ext uri="{FF2B5EF4-FFF2-40B4-BE49-F238E27FC236}">
              <a16:creationId xmlns:a16="http://schemas.microsoft.com/office/drawing/2014/main" id="{1A2DB595-0811-4DDA-A55D-69AB701E7A9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04028" y="26175036"/>
          <a:ext cx="219075" cy="247650"/>
        </a:xfrm>
        <a:prstGeom prst="rect">
          <a:avLst/>
        </a:prstGeom>
        <a:noFill/>
        <a:ln w="9525">
          <a:noFill/>
          <a:miter lim="800000"/>
          <a:headEnd/>
          <a:tailEnd/>
        </a:ln>
      </xdr:spPr>
    </xdr:pic>
    <xdr:clientData/>
  </xdr:oneCellAnchor>
  <xdr:twoCellAnchor>
    <xdr:from>
      <xdr:col>22</xdr:col>
      <xdr:colOff>50346</xdr:colOff>
      <xdr:row>169</xdr:row>
      <xdr:rowOff>175260</xdr:rowOff>
    </xdr:from>
    <xdr:to>
      <xdr:col>57</xdr:col>
      <xdr:colOff>57966</xdr:colOff>
      <xdr:row>170</xdr:row>
      <xdr:rowOff>11563</xdr:rowOff>
    </xdr:to>
    <xdr:cxnSp macro="">
      <xdr:nvCxnSpPr>
        <xdr:cNvPr id="44" name="Straight Connector 43">
          <a:extLst>
            <a:ext uri="{FF2B5EF4-FFF2-40B4-BE49-F238E27FC236}">
              <a16:creationId xmlns:a16="http://schemas.microsoft.com/office/drawing/2014/main" id="{AAB0BECF-DDFD-4BF9-BA51-96AD97D86892}"/>
            </a:ext>
          </a:extLst>
        </xdr:cNvPr>
        <xdr:cNvCxnSpPr/>
      </xdr:nvCxnSpPr>
      <xdr:spPr>
        <a:xfrm>
          <a:off x="18052596" y="35646360"/>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57</xdr:col>
      <xdr:colOff>1088</xdr:colOff>
      <xdr:row>170</xdr:row>
      <xdr:rowOff>121920</xdr:rowOff>
    </xdr:to>
    <xdr:cxnSp macro="">
      <xdr:nvCxnSpPr>
        <xdr:cNvPr id="45" name="Straight Connector 44">
          <a:extLst>
            <a:ext uri="{FF2B5EF4-FFF2-40B4-BE49-F238E27FC236}">
              <a16:creationId xmlns:a16="http://schemas.microsoft.com/office/drawing/2014/main" id="{8BC49F36-158B-4A74-9E8C-DB7C45DD3E05}"/>
            </a:ext>
          </a:extLst>
        </xdr:cNvPr>
        <xdr:cNvCxnSpPr/>
      </xdr:nvCxnSpPr>
      <xdr:spPr>
        <a:xfrm>
          <a:off x="29327343" y="19831047"/>
          <a:ext cx="10745" cy="159524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37</xdr:col>
      <xdr:colOff>93681</xdr:colOff>
      <xdr:row>121</xdr:row>
      <xdr:rowOff>176492</xdr:rowOff>
    </xdr:from>
    <xdr:ext cx="219075" cy="247650"/>
    <xdr:pic>
      <xdr:nvPicPr>
        <xdr:cNvPr id="46" name="Picture 45" descr="https://tse1.mm.bing.net/th?id=OIP.11IPUqok7qInEpcWmz9WawHaIZ&amp;pid=Api&amp;P=0">
          <a:extLst>
            <a:ext uri="{FF2B5EF4-FFF2-40B4-BE49-F238E27FC236}">
              <a16:creationId xmlns:a16="http://schemas.microsoft.com/office/drawing/2014/main" id="{E688F90A-7694-468E-9C8A-B1B0317CCAC3}"/>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2953681" y="25341542"/>
          <a:ext cx="219075" cy="247650"/>
        </a:xfrm>
        <a:prstGeom prst="rect">
          <a:avLst/>
        </a:prstGeom>
        <a:noFill/>
        <a:ln w="9525">
          <a:noFill/>
          <a:miter lim="800000"/>
          <a:headEnd/>
          <a:tailEnd/>
        </a:ln>
      </xdr:spPr>
    </xdr:pic>
    <xdr:clientData/>
  </xdr:oneCellAnchor>
  <xdr:twoCellAnchor editAs="oneCell">
    <xdr:from>
      <xdr:col>14</xdr:col>
      <xdr:colOff>108857</xdr:colOff>
      <xdr:row>74</xdr:row>
      <xdr:rowOff>81642</xdr:rowOff>
    </xdr:from>
    <xdr:to>
      <xdr:col>15</xdr:col>
      <xdr:colOff>529408</xdr:colOff>
      <xdr:row>78</xdr:row>
      <xdr:rowOff>40822</xdr:rowOff>
    </xdr:to>
    <xdr:pic>
      <xdr:nvPicPr>
        <xdr:cNvPr id="47" name="Picture 46">
          <a:extLst>
            <a:ext uri="{FF2B5EF4-FFF2-40B4-BE49-F238E27FC236}">
              <a16:creationId xmlns:a16="http://schemas.microsoft.com/office/drawing/2014/main" id="{EFB7480A-C98B-4F8D-881C-12EC91BE3960}"/>
            </a:ext>
          </a:extLst>
        </xdr:cNvPr>
        <xdr:cNvPicPr/>
      </xdr:nvPicPr>
      <xdr:blipFill>
        <a:blip xmlns:r="http://schemas.openxmlformats.org/officeDocument/2006/relationships" r:embed="rId5" cstate="print"/>
        <a:srcRect/>
        <a:stretch>
          <a:fillRect/>
        </a:stretch>
      </xdr:blipFill>
      <xdr:spPr bwMode="auto">
        <a:xfrm>
          <a:off x="12462782" y="15093042"/>
          <a:ext cx="1173026" cy="721179"/>
        </a:xfrm>
        <a:prstGeom prst="rect">
          <a:avLst/>
        </a:prstGeom>
        <a:noFill/>
        <a:ln w="9525">
          <a:noFill/>
          <a:miter lim="800000"/>
          <a:headEnd/>
          <a:tailEnd/>
        </a:ln>
      </xdr:spPr>
    </xdr:pic>
    <xdr:clientData/>
  </xdr:twoCellAnchor>
  <xdr:twoCellAnchor editAs="oneCell">
    <xdr:from>
      <xdr:col>14</xdr:col>
      <xdr:colOff>215441</xdr:colOff>
      <xdr:row>19</xdr:row>
      <xdr:rowOff>100695</xdr:rowOff>
    </xdr:from>
    <xdr:to>
      <xdr:col>15</xdr:col>
      <xdr:colOff>523234</xdr:colOff>
      <xdr:row>22</xdr:row>
      <xdr:rowOff>164195</xdr:rowOff>
    </xdr:to>
    <xdr:pic>
      <xdr:nvPicPr>
        <xdr:cNvPr id="48" name="Picture 47">
          <a:extLst>
            <a:ext uri="{FF2B5EF4-FFF2-40B4-BE49-F238E27FC236}">
              <a16:creationId xmlns:a16="http://schemas.microsoft.com/office/drawing/2014/main" id="{B5A30A74-54C1-477A-9D12-4782F92D3CA1}"/>
            </a:ext>
          </a:extLst>
        </xdr:cNvPr>
        <xdr:cNvPicPr/>
      </xdr:nvPicPr>
      <xdr:blipFill>
        <a:blip xmlns:r="http://schemas.openxmlformats.org/officeDocument/2006/relationships" r:embed="rId1" cstate="print"/>
        <a:srcRect b="17620"/>
        <a:stretch>
          <a:fillRect/>
        </a:stretch>
      </xdr:blipFill>
      <xdr:spPr>
        <a:xfrm>
          <a:off x="12569366" y="3729720"/>
          <a:ext cx="1022168" cy="663575"/>
        </a:xfrm>
        <a:prstGeom prst="rect">
          <a:avLst/>
        </a:prstGeom>
        <a:noFill/>
        <a:ln w="9525">
          <a:noFill/>
          <a:miter lim="800000"/>
          <a:headEnd/>
          <a:tailEnd/>
        </a:ln>
      </xdr:spPr>
    </xdr:pic>
    <xdr:clientData/>
  </xdr:twoCellAnchor>
  <xdr:oneCellAnchor>
    <xdr:from>
      <xdr:col>45</xdr:col>
      <xdr:colOff>278130</xdr:colOff>
      <xdr:row>62</xdr:row>
      <xdr:rowOff>182880</xdr:rowOff>
    </xdr:from>
    <xdr:ext cx="219075" cy="247650"/>
    <xdr:pic>
      <xdr:nvPicPr>
        <xdr:cNvPr id="49" name="Picture 48" descr="https://tse1.mm.bing.net/th?id=OIP.11IPUqok7qInEpcWmz9WawHaIZ&amp;pid=Api&amp;P=0">
          <a:extLst>
            <a:ext uri="{FF2B5EF4-FFF2-40B4-BE49-F238E27FC236}">
              <a16:creationId xmlns:a16="http://schemas.microsoft.com/office/drawing/2014/main" id="{CD7F0228-5216-4FB6-A4A1-309458E85995}"/>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28930"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50" name="Straight Connector 49">
          <a:extLst>
            <a:ext uri="{FF2B5EF4-FFF2-40B4-BE49-F238E27FC236}">
              <a16:creationId xmlns:a16="http://schemas.microsoft.com/office/drawing/2014/main" id="{A920DFE5-E999-411C-AB9D-72798D0E26A0}"/>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51" name="Straight Connector 50">
          <a:extLst>
            <a:ext uri="{FF2B5EF4-FFF2-40B4-BE49-F238E27FC236}">
              <a16:creationId xmlns:a16="http://schemas.microsoft.com/office/drawing/2014/main" id="{3121DF77-F867-466C-9D9D-E2431CD95A62}"/>
            </a:ext>
          </a:extLst>
        </xdr:cNvPr>
        <xdr:cNvCxnSpPr/>
      </xdr:nvCxnSpPr>
      <xdr:spPr>
        <a:xfrm>
          <a:off x="18022981" y="3629026"/>
          <a:ext cx="7844" cy="1581150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52" name="Straight Connector 51">
          <a:extLst>
            <a:ext uri="{FF2B5EF4-FFF2-40B4-BE49-F238E27FC236}">
              <a16:creationId xmlns:a16="http://schemas.microsoft.com/office/drawing/2014/main" id="{267522A8-2656-455D-9234-821C1C42475B}"/>
            </a:ext>
          </a:extLst>
        </xdr:cNvPr>
        <xdr:cNvCxnSpPr/>
      </xdr:nvCxnSpPr>
      <xdr:spPr>
        <a:xfrm>
          <a:off x="29310108" y="3667125"/>
          <a:ext cx="36417" cy="1576387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53" name="Picture 52">
          <a:extLst>
            <a:ext uri="{FF2B5EF4-FFF2-40B4-BE49-F238E27FC236}">
              <a16:creationId xmlns:a16="http://schemas.microsoft.com/office/drawing/2014/main" id="{A7597F5F-720C-4B83-B624-134A719C6C34}"/>
            </a:ext>
          </a:extLst>
        </xdr:cNvPr>
        <xdr:cNvPicPr/>
      </xdr:nvPicPr>
      <xdr:blipFill>
        <a:blip xmlns:r="http://schemas.openxmlformats.org/officeDocument/2006/relationships" r:embed="rId4" cstate="print"/>
        <a:srcRect/>
        <a:stretch>
          <a:fillRect/>
        </a:stretch>
      </xdr:blipFill>
      <xdr:spPr bwMode="auto">
        <a:xfrm>
          <a:off x="22840950"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54" name="Straight Connector 53">
          <a:extLst>
            <a:ext uri="{FF2B5EF4-FFF2-40B4-BE49-F238E27FC236}">
              <a16:creationId xmlns:a16="http://schemas.microsoft.com/office/drawing/2014/main" id="{7625A2C6-0B22-45EA-A624-633BECEDE7F7}"/>
            </a:ext>
          </a:extLst>
        </xdr:cNvPr>
        <xdr:cNvCxnSpPr/>
      </xdr:nvCxnSpPr>
      <xdr:spPr>
        <a:xfrm flipV="1">
          <a:off x="18002250"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55" name="Straight Connector 54">
          <a:extLst>
            <a:ext uri="{FF2B5EF4-FFF2-40B4-BE49-F238E27FC236}">
              <a16:creationId xmlns:a16="http://schemas.microsoft.com/office/drawing/2014/main" id="{6B0EFF6F-776C-49FF-8A94-098907F2D452}"/>
            </a:ext>
          </a:extLst>
        </xdr:cNvPr>
        <xdr:cNvCxnSpPr/>
      </xdr:nvCxnSpPr>
      <xdr:spPr>
        <a:xfrm>
          <a:off x="18025110" y="17975356"/>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56" name="Straight Connector 55">
          <a:extLst>
            <a:ext uri="{FF2B5EF4-FFF2-40B4-BE49-F238E27FC236}">
              <a16:creationId xmlns:a16="http://schemas.microsoft.com/office/drawing/2014/main" id="{AB81C547-47A4-42F6-A48B-38536DE02922}"/>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85725</xdr:colOff>
      <xdr:row>31</xdr:row>
      <xdr:rowOff>167640</xdr:rowOff>
    </xdr:from>
    <xdr:ext cx="219075" cy="247650"/>
    <xdr:pic>
      <xdr:nvPicPr>
        <xdr:cNvPr id="58" name="Picture 57" descr="https://tse1.mm.bing.net/th?id=OIP.11IPUqok7qInEpcWmz9WawHaIZ&amp;pid=Api&amp;P=0">
          <a:extLst>
            <a:ext uri="{FF2B5EF4-FFF2-40B4-BE49-F238E27FC236}">
              <a16:creationId xmlns:a16="http://schemas.microsoft.com/office/drawing/2014/main" id="{E7A97CD2-5434-445B-B25A-A33B56DCA517}"/>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536525" y="6301740"/>
          <a:ext cx="219075" cy="247650"/>
        </a:xfrm>
        <a:prstGeom prst="rect">
          <a:avLst/>
        </a:prstGeom>
        <a:noFill/>
        <a:ln w="9525">
          <a:noFill/>
          <a:miter lim="800000"/>
          <a:headEnd/>
          <a:tailEnd/>
        </a:ln>
      </xdr:spPr>
    </xdr:pic>
    <xdr:clientData/>
  </xdr:oneCellAnchor>
  <xdr:oneCellAnchor>
    <xdr:from>
      <xdr:col>45</xdr:col>
      <xdr:colOff>278130</xdr:colOff>
      <xdr:row>62</xdr:row>
      <xdr:rowOff>182880</xdr:rowOff>
    </xdr:from>
    <xdr:ext cx="219075" cy="247650"/>
    <xdr:pic>
      <xdr:nvPicPr>
        <xdr:cNvPr id="61" name="Picture 60" descr="https://tse1.mm.bing.net/th?id=OIP.11IPUqok7qInEpcWmz9WawHaIZ&amp;pid=Api&amp;P=0">
          <a:extLst>
            <a:ext uri="{FF2B5EF4-FFF2-40B4-BE49-F238E27FC236}">
              <a16:creationId xmlns:a16="http://schemas.microsoft.com/office/drawing/2014/main" id="{7A93E579-C4E6-47BF-BDC8-44E198ECD82F}"/>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28930"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62" name="Straight Connector 61">
          <a:extLst>
            <a:ext uri="{FF2B5EF4-FFF2-40B4-BE49-F238E27FC236}">
              <a16:creationId xmlns:a16="http://schemas.microsoft.com/office/drawing/2014/main" id="{AB59013A-DB73-4075-99C3-EBB769FB9924}"/>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63" name="Straight Connector 62">
          <a:extLst>
            <a:ext uri="{FF2B5EF4-FFF2-40B4-BE49-F238E27FC236}">
              <a16:creationId xmlns:a16="http://schemas.microsoft.com/office/drawing/2014/main" id="{0BC823B6-4BD9-4DE9-96C6-AA36FF2F33BE}"/>
            </a:ext>
          </a:extLst>
        </xdr:cNvPr>
        <xdr:cNvCxnSpPr/>
      </xdr:nvCxnSpPr>
      <xdr:spPr>
        <a:xfrm>
          <a:off x="29310108" y="3667125"/>
          <a:ext cx="36417" cy="1576387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64" name="Picture 63">
          <a:extLst>
            <a:ext uri="{FF2B5EF4-FFF2-40B4-BE49-F238E27FC236}">
              <a16:creationId xmlns:a16="http://schemas.microsoft.com/office/drawing/2014/main" id="{253B2E3D-7BFE-43A6-AD5E-D17DE8C03D07}"/>
            </a:ext>
          </a:extLst>
        </xdr:cNvPr>
        <xdr:cNvPicPr/>
      </xdr:nvPicPr>
      <xdr:blipFill>
        <a:blip xmlns:r="http://schemas.openxmlformats.org/officeDocument/2006/relationships" r:embed="rId4" cstate="print"/>
        <a:srcRect/>
        <a:stretch>
          <a:fillRect/>
        </a:stretch>
      </xdr:blipFill>
      <xdr:spPr bwMode="auto">
        <a:xfrm>
          <a:off x="22840950"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65" name="Straight Connector 64">
          <a:extLst>
            <a:ext uri="{FF2B5EF4-FFF2-40B4-BE49-F238E27FC236}">
              <a16:creationId xmlns:a16="http://schemas.microsoft.com/office/drawing/2014/main" id="{A9FA6DC1-5A27-463B-AE5F-2ABD111A6D24}"/>
            </a:ext>
          </a:extLst>
        </xdr:cNvPr>
        <xdr:cNvCxnSpPr/>
      </xdr:nvCxnSpPr>
      <xdr:spPr>
        <a:xfrm flipV="1">
          <a:off x="18002250"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66" name="Straight Connector 65">
          <a:extLst>
            <a:ext uri="{FF2B5EF4-FFF2-40B4-BE49-F238E27FC236}">
              <a16:creationId xmlns:a16="http://schemas.microsoft.com/office/drawing/2014/main" id="{498DCD24-EB42-4F60-9E35-48012DC786F6}"/>
            </a:ext>
          </a:extLst>
        </xdr:cNvPr>
        <xdr:cNvCxnSpPr/>
      </xdr:nvCxnSpPr>
      <xdr:spPr>
        <a:xfrm>
          <a:off x="18025110" y="17975356"/>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67" name="Straight Connector 66">
          <a:extLst>
            <a:ext uri="{FF2B5EF4-FFF2-40B4-BE49-F238E27FC236}">
              <a16:creationId xmlns:a16="http://schemas.microsoft.com/office/drawing/2014/main" id="{ED91AC9B-E1B9-4233-9F85-8F8CA1258C47}"/>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30</xdr:col>
      <xdr:colOff>36195</xdr:colOff>
      <xdr:row>32</xdr:row>
      <xdr:rowOff>148590</xdr:rowOff>
    </xdr:from>
    <xdr:ext cx="219075" cy="247650"/>
    <xdr:pic>
      <xdr:nvPicPr>
        <xdr:cNvPr id="68" name="Picture 67" descr="https://tse1.mm.bing.net/th?id=OIP.11IPUqok7qInEpcWmz9WawHaIZ&amp;pid=Api&amp;P=0">
          <a:extLst>
            <a:ext uri="{FF2B5EF4-FFF2-40B4-BE49-F238E27FC236}">
              <a16:creationId xmlns:a16="http://schemas.microsoft.com/office/drawing/2014/main" id="{6A11CD98-AF88-4C95-BBA0-51B9D712B8BC}"/>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629245" y="6482715"/>
          <a:ext cx="219075" cy="247650"/>
        </a:xfrm>
        <a:prstGeom prst="rect">
          <a:avLst/>
        </a:prstGeom>
        <a:noFill/>
        <a:ln w="9525">
          <a:noFill/>
          <a:miter lim="800000"/>
          <a:headEnd/>
          <a:tailEnd/>
        </a:ln>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14</xdr:col>
      <xdr:colOff>215441</xdr:colOff>
      <xdr:row>19</xdr:row>
      <xdr:rowOff>100695</xdr:rowOff>
    </xdr:from>
    <xdr:to>
      <xdr:col>15</xdr:col>
      <xdr:colOff>523234</xdr:colOff>
      <xdr:row>22</xdr:row>
      <xdr:rowOff>164195</xdr:rowOff>
    </xdr:to>
    <xdr:pic>
      <xdr:nvPicPr>
        <xdr:cNvPr id="2" name="Picture 1">
          <a:extLst>
            <a:ext uri="{FF2B5EF4-FFF2-40B4-BE49-F238E27FC236}">
              <a16:creationId xmlns:a16="http://schemas.microsoft.com/office/drawing/2014/main" id="{1AC1BD1B-A5A9-47CA-8C58-62976C7B2ADF}"/>
            </a:ext>
          </a:extLst>
        </xdr:cNvPr>
        <xdr:cNvPicPr/>
      </xdr:nvPicPr>
      <xdr:blipFill>
        <a:blip xmlns:r="http://schemas.openxmlformats.org/officeDocument/2006/relationships" r:embed="rId1" cstate="print"/>
        <a:srcRect b="17620"/>
        <a:stretch>
          <a:fillRect/>
        </a:stretch>
      </xdr:blipFill>
      <xdr:spPr>
        <a:xfrm>
          <a:off x="12569366" y="3729720"/>
          <a:ext cx="1022168" cy="663575"/>
        </a:xfrm>
        <a:prstGeom prst="rect">
          <a:avLst/>
        </a:prstGeom>
        <a:noFill/>
        <a:ln w="9525">
          <a:noFill/>
          <a:miter lim="800000"/>
          <a:headEnd/>
          <a:tailEnd/>
        </a:ln>
      </xdr:spPr>
    </xdr:pic>
    <xdr:clientData/>
  </xdr:twoCellAnchor>
  <xdr:oneCellAnchor>
    <xdr:from>
      <xdr:col>45</xdr:col>
      <xdr:colOff>278130</xdr:colOff>
      <xdr:row>62</xdr:row>
      <xdr:rowOff>182880</xdr:rowOff>
    </xdr:from>
    <xdr:ext cx="219075" cy="247650"/>
    <xdr:pic>
      <xdr:nvPicPr>
        <xdr:cNvPr id="3" name="Picture 2" descr="https://tse1.mm.bing.net/th?id=OIP.11IPUqok7qInEpcWmz9WawHaIZ&amp;pid=Api&amp;P=0">
          <a:extLst>
            <a:ext uri="{FF2B5EF4-FFF2-40B4-BE49-F238E27FC236}">
              <a16:creationId xmlns:a16="http://schemas.microsoft.com/office/drawing/2014/main" id="{4DB34DF0-0485-4E93-87FF-73227984FEFF}"/>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28930"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4" name="Straight Connector 3">
          <a:extLst>
            <a:ext uri="{FF2B5EF4-FFF2-40B4-BE49-F238E27FC236}">
              <a16:creationId xmlns:a16="http://schemas.microsoft.com/office/drawing/2014/main" id="{8AC11670-0F1C-462E-ADEC-5E54734EB565}"/>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5" name="Straight Connector 4">
          <a:extLst>
            <a:ext uri="{FF2B5EF4-FFF2-40B4-BE49-F238E27FC236}">
              <a16:creationId xmlns:a16="http://schemas.microsoft.com/office/drawing/2014/main" id="{10541F72-CB3C-4E41-ABB2-E9EE40E2BE73}"/>
            </a:ext>
          </a:extLst>
        </xdr:cNvPr>
        <xdr:cNvCxnSpPr/>
      </xdr:nvCxnSpPr>
      <xdr:spPr>
        <a:xfrm>
          <a:off x="18022981" y="3629026"/>
          <a:ext cx="7844" cy="1564005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6" name="Straight Connector 5">
          <a:extLst>
            <a:ext uri="{FF2B5EF4-FFF2-40B4-BE49-F238E27FC236}">
              <a16:creationId xmlns:a16="http://schemas.microsoft.com/office/drawing/2014/main" id="{BF8E2D5F-726D-4046-AFF7-E97C3DD12862}"/>
            </a:ext>
          </a:extLst>
        </xdr:cNvPr>
        <xdr:cNvCxnSpPr/>
      </xdr:nvCxnSpPr>
      <xdr:spPr>
        <a:xfrm>
          <a:off x="29310108" y="3667125"/>
          <a:ext cx="36417" cy="1559242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7" name="Picture 6">
          <a:extLst>
            <a:ext uri="{FF2B5EF4-FFF2-40B4-BE49-F238E27FC236}">
              <a16:creationId xmlns:a16="http://schemas.microsoft.com/office/drawing/2014/main" id="{5D81720B-3583-4551-9675-57ED8BBEBC46}"/>
            </a:ext>
          </a:extLst>
        </xdr:cNvPr>
        <xdr:cNvPicPr/>
      </xdr:nvPicPr>
      <xdr:blipFill>
        <a:blip xmlns:r="http://schemas.openxmlformats.org/officeDocument/2006/relationships" r:embed="rId4" cstate="print"/>
        <a:srcRect/>
        <a:stretch>
          <a:fillRect/>
        </a:stretch>
      </xdr:blipFill>
      <xdr:spPr bwMode="auto">
        <a:xfrm>
          <a:off x="22840950"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8" name="Straight Connector 7">
          <a:extLst>
            <a:ext uri="{FF2B5EF4-FFF2-40B4-BE49-F238E27FC236}">
              <a16:creationId xmlns:a16="http://schemas.microsoft.com/office/drawing/2014/main" id="{EA6388C5-F6E7-4584-BE54-47FED2A8F291}"/>
            </a:ext>
          </a:extLst>
        </xdr:cNvPr>
        <xdr:cNvCxnSpPr/>
      </xdr:nvCxnSpPr>
      <xdr:spPr>
        <a:xfrm flipV="1">
          <a:off x="18002250"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9" name="Straight Connector 8">
          <a:extLst>
            <a:ext uri="{FF2B5EF4-FFF2-40B4-BE49-F238E27FC236}">
              <a16:creationId xmlns:a16="http://schemas.microsoft.com/office/drawing/2014/main" id="{95096BFE-101E-4151-9819-24E69FBCBCCD}"/>
            </a:ext>
          </a:extLst>
        </xdr:cNvPr>
        <xdr:cNvCxnSpPr/>
      </xdr:nvCxnSpPr>
      <xdr:spPr>
        <a:xfrm>
          <a:off x="18025110" y="17803906"/>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10" name="Straight Connector 9">
          <a:extLst>
            <a:ext uri="{FF2B5EF4-FFF2-40B4-BE49-F238E27FC236}">
              <a16:creationId xmlns:a16="http://schemas.microsoft.com/office/drawing/2014/main" id="{4AAA89DC-061C-4928-AA37-BFC5CAA7B62B}"/>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85725</xdr:colOff>
      <xdr:row>31</xdr:row>
      <xdr:rowOff>169545</xdr:rowOff>
    </xdr:from>
    <xdr:ext cx="219075" cy="247650"/>
    <xdr:pic>
      <xdr:nvPicPr>
        <xdr:cNvPr id="11" name="Picture 10" descr="https://tse1.mm.bing.net/th?id=OIP.11IPUqok7qInEpcWmz9WawHaIZ&amp;pid=Api&amp;P=0">
          <a:extLst>
            <a:ext uri="{FF2B5EF4-FFF2-40B4-BE49-F238E27FC236}">
              <a16:creationId xmlns:a16="http://schemas.microsoft.com/office/drawing/2014/main" id="{D6B02121-3021-4D99-A5A6-7A2B5FC0141F}"/>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411825" y="6303645"/>
          <a:ext cx="219075" cy="247650"/>
        </a:xfrm>
        <a:prstGeom prst="rect">
          <a:avLst/>
        </a:prstGeom>
        <a:noFill/>
        <a:ln w="9525">
          <a:noFill/>
          <a:miter lim="800000"/>
          <a:headEnd/>
          <a:tailEnd/>
        </a:ln>
      </xdr:spPr>
    </xdr:pic>
    <xdr:clientData/>
  </xdr:oneCellAnchor>
  <xdr:oneCellAnchor>
    <xdr:from>
      <xdr:col>30</xdr:col>
      <xdr:colOff>93345</xdr:colOff>
      <xdr:row>31</xdr:row>
      <xdr:rowOff>158115</xdr:rowOff>
    </xdr:from>
    <xdr:ext cx="219075" cy="247650"/>
    <xdr:pic>
      <xdr:nvPicPr>
        <xdr:cNvPr id="12" name="Picture 11" descr="https://tse1.mm.bing.net/th?id=OIP.11IPUqok7qInEpcWmz9WawHaIZ&amp;pid=Api&amp;P=0">
          <a:extLst>
            <a:ext uri="{FF2B5EF4-FFF2-40B4-BE49-F238E27FC236}">
              <a16:creationId xmlns:a16="http://schemas.microsoft.com/office/drawing/2014/main" id="{BB3CA5A3-7E6D-489B-86FD-E048D780BCAF}"/>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686395" y="6292215"/>
          <a:ext cx="219075" cy="247650"/>
        </a:xfrm>
        <a:prstGeom prst="rect">
          <a:avLst/>
        </a:prstGeom>
        <a:noFill/>
        <a:ln w="9525">
          <a:noFill/>
          <a:miter lim="800000"/>
          <a:headEnd/>
          <a:tailEnd/>
        </a:ln>
      </xdr:spPr>
    </xdr:pic>
    <xdr:clientData/>
  </xdr:oneCellAnchor>
  <xdr:oneCellAnchor>
    <xdr:from>
      <xdr:col>45</xdr:col>
      <xdr:colOff>85725</xdr:colOff>
      <xdr:row>31</xdr:row>
      <xdr:rowOff>167640</xdr:rowOff>
    </xdr:from>
    <xdr:ext cx="219075" cy="247650"/>
    <xdr:pic>
      <xdr:nvPicPr>
        <xdr:cNvPr id="13" name="Picture 12" descr="https://tse1.mm.bing.net/th?id=OIP.11IPUqok7qInEpcWmz9WawHaIZ&amp;pid=Api&amp;P=0">
          <a:extLst>
            <a:ext uri="{FF2B5EF4-FFF2-40B4-BE49-F238E27FC236}">
              <a16:creationId xmlns:a16="http://schemas.microsoft.com/office/drawing/2014/main" id="{E3AA3F95-28F7-42B0-87F5-9145A0CA6782}"/>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536525" y="6301740"/>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14" name="Picture 13" descr="https://tse1.mm.bing.net/th?id=OIP.11IPUqok7qInEpcWmz9WawHaIZ&amp;pid=Api&amp;P=0">
          <a:extLst>
            <a:ext uri="{FF2B5EF4-FFF2-40B4-BE49-F238E27FC236}">
              <a16:creationId xmlns:a16="http://schemas.microsoft.com/office/drawing/2014/main" id="{10142022-107B-41B3-938D-78C184FC5363}"/>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002625" y="8336280"/>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15" name="Picture 14" descr="https://tse1.mm.bing.net/th?id=OIP.11IPUqok7qInEpcWmz9WawHaIZ&amp;pid=Api&amp;P=0">
          <a:extLst>
            <a:ext uri="{FF2B5EF4-FFF2-40B4-BE49-F238E27FC236}">
              <a16:creationId xmlns:a16="http://schemas.microsoft.com/office/drawing/2014/main" id="{FF96535D-C880-455E-A3A1-82D781780E4C}"/>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898350" y="8351520"/>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16" name="Straight Connector 15">
          <a:extLst>
            <a:ext uri="{FF2B5EF4-FFF2-40B4-BE49-F238E27FC236}">
              <a16:creationId xmlns:a16="http://schemas.microsoft.com/office/drawing/2014/main" id="{10834780-AE7E-4C98-AC89-1796BFB04855}"/>
            </a:ext>
          </a:extLst>
        </xdr:cNvPr>
        <xdr:cNvCxnSpPr/>
      </xdr:nvCxnSpPr>
      <xdr:spPr>
        <a:xfrm>
          <a:off x="18002250" y="19280505"/>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17" name="Straight Connector 16">
          <a:extLst>
            <a:ext uri="{FF2B5EF4-FFF2-40B4-BE49-F238E27FC236}">
              <a16:creationId xmlns:a16="http://schemas.microsoft.com/office/drawing/2014/main" id="{0386CB1F-82C7-462E-87D7-AD623CAE62E0}"/>
            </a:ext>
          </a:extLst>
        </xdr:cNvPr>
        <xdr:cNvCxnSpPr/>
      </xdr:nvCxnSpPr>
      <xdr:spPr>
        <a:xfrm>
          <a:off x="18002250" y="198404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18" name="Straight Connector 17">
          <a:extLst>
            <a:ext uri="{FF2B5EF4-FFF2-40B4-BE49-F238E27FC236}">
              <a16:creationId xmlns:a16="http://schemas.microsoft.com/office/drawing/2014/main" id="{BB2A2545-8525-436E-AE3E-3B746494036F}"/>
            </a:ext>
          </a:extLst>
        </xdr:cNvPr>
        <xdr:cNvCxnSpPr/>
      </xdr:nvCxnSpPr>
      <xdr:spPr>
        <a:xfrm flipH="1">
          <a:off x="18009870" y="19869147"/>
          <a:ext cx="1773" cy="158381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19" name="Straight Connector 18">
          <a:extLst>
            <a:ext uri="{FF2B5EF4-FFF2-40B4-BE49-F238E27FC236}">
              <a16:creationId xmlns:a16="http://schemas.microsoft.com/office/drawing/2014/main" id="{47594221-24CF-46E2-97F7-BE6D1E136D3C}"/>
            </a:ext>
          </a:extLst>
        </xdr:cNvPr>
        <xdr:cNvCxnSpPr/>
      </xdr:nvCxnSpPr>
      <xdr:spPr>
        <a:xfrm>
          <a:off x="18002250" y="26593800"/>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103206</xdr:colOff>
      <xdr:row>125</xdr:row>
      <xdr:rowOff>147917</xdr:rowOff>
    </xdr:from>
    <xdr:ext cx="219075" cy="247650"/>
    <xdr:pic>
      <xdr:nvPicPr>
        <xdr:cNvPr id="20" name="Picture 19" descr="https://tse1.mm.bing.net/th?id=OIP.11IPUqok7qInEpcWmz9WawHaIZ&amp;pid=Api&amp;P=0">
          <a:extLst>
            <a:ext uri="{FF2B5EF4-FFF2-40B4-BE49-F238E27FC236}">
              <a16:creationId xmlns:a16="http://schemas.microsoft.com/office/drawing/2014/main" id="{B8C724F5-5DA1-458B-AD62-3AF94F52469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230156" y="26122592"/>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21" name="Picture 20" descr="https://tse1.mm.bing.net/th?id=OIP.11IPUqok7qInEpcWmz9WawHaIZ&amp;pid=Api&amp;P=0">
          <a:extLst>
            <a:ext uri="{FF2B5EF4-FFF2-40B4-BE49-F238E27FC236}">
              <a16:creationId xmlns:a16="http://schemas.microsoft.com/office/drawing/2014/main" id="{E50B81A7-1A6C-4BB5-BFB6-8E9A98A51A50}"/>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04028" y="26175036"/>
          <a:ext cx="219075" cy="247650"/>
        </a:xfrm>
        <a:prstGeom prst="rect">
          <a:avLst/>
        </a:prstGeom>
        <a:noFill/>
        <a:ln w="9525">
          <a:noFill/>
          <a:miter lim="800000"/>
          <a:headEnd/>
          <a:tailEnd/>
        </a:ln>
      </xdr:spPr>
    </xdr:pic>
    <xdr:clientData/>
  </xdr:oneCellAnchor>
  <xdr:twoCellAnchor>
    <xdr:from>
      <xdr:col>22</xdr:col>
      <xdr:colOff>9525</xdr:colOff>
      <xdr:row>169</xdr:row>
      <xdr:rowOff>175260</xdr:rowOff>
    </xdr:from>
    <xdr:to>
      <xdr:col>57</xdr:col>
      <xdr:colOff>17145</xdr:colOff>
      <xdr:row>170</xdr:row>
      <xdr:rowOff>11563</xdr:rowOff>
    </xdr:to>
    <xdr:cxnSp macro="">
      <xdr:nvCxnSpPr>
        <xdr:cNvPr id="22" name="Straight Connector 21">
          <a:extLst>
            <a:ext uri="{FF2B5EF4-FFF2-40B4-BE49-F238E27FC236}">
              <a16:creationId xmlns:a16="http://schemas.microsoft.com/office/drawing/2014/main" id="{F7789803-D4D9-4B0B-BEBD-DD86DFDD9B22}"/>
            </a:ext>
          </a:extLst>
        </xdr:cNvPr>
        <xdr:cNvCxnSpPr/>
      </xdr:nvCxnSpPr>
      <xdr:spPr>
        <a:xfrm>
          <a:off x="18011775" y="35646360"/>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56</xdr:col>
      <xdr:colOff>327660</xdr:colOff>
      <xdr:row>170</xdr:row>
      <xdr:rowOff>121920</xdr:rowOff>
    </xdr:to>
    <xdr:cxnSp macro="">
      <xdr:nvCxnSpPr>
        <xdr:cNvPr id="23" name="Straight Connector 22">
          <a:extLst>
            <a:ext uri="{FF2B5EF4-FFF2-40B4-BE49-F238E27FC236}">
              <a16:creationId xmlns:a16="http://schemas.microsoft.com/office/drawing/2014/main" id="{291FCF96-B70C-4EBC-A763-9A321D3BD368}"/>
            </a:ext>
          </a:extLst>
        </xdr:cNvPr>
        <xdr:cNvCxnSpPr/>
      </xdr:nvCxnSpPr>
      <xdr:spPr>
        <a:xfrm>
          <a:off x="29327343" y="19831047"/>
          <a:ext cx="13467" cy="159524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278130</xdr:colOff>
      <xdr:row>62</xdr:row>
      <xdr:rowOff>182880</xdr:rowOff>
    </xdr:from>
    <xdr:ext cx="219075" cy="247650"/>
    <xdr:pic>
      <xdr:nvPicPr>
        <xdr:cNvPr id="24" name="Picture 23" descr="https://tse1.mm.bing.net/th?id=OIP.11IPUqok7qInEpcWmz9WawHaIZ&amp;pid=Api&amp;P=0">
          <a:extLst>
            <a:ext uri="{FF2B5EF4-FFF2-40B4-BE49-F238E27FC236}">
              <a16:creationId xmlns:a16="http://schemas.microsoft.com/office/drawing/2014/main" id="{31F0E7C2-29B4-4DF5-84E2-BD74C2C22625}"/>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28930"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25" name="Straight Connector 24">
          <a:extLst>
            <a:ext uri="{FF2B5EF4-FFF2-40B4-BE49-F238E27FC236}">
              <a16:creationId xmlns:a16="http://schemas.microsoft.com/office/drawing/2014/main" id="{2C2C0EB0-DE01-4D72-AA23-282F7F2A7FAD}"/>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1027659</xdr:colOff>
      <xdr:row>18</xdr:row>
      <xdr:rowOff>190501</xdr:rowOff>
    </xdr:from>
    <xdr:to>
      <xdr:col>21</xdr:col>
      <xdr:colOff>1035503</xdr:colOff>
      <xdr:row>95</xdr:row>
      <xdr:rowOff>5446</xdr:rowOff>
    </xdr:to>
    <xdr:cxnSp macro="">
      <xdr:nvCxnSpPr>
        <xdr:cNvPr id="26" name="Straight Connector 25">
          <a:extLst>
            <a:ext uri="{FF2B5EF4-FFF2-40B4-BE49-F238E27FC236}">
              <a16:creationId xmlns:a16="http://schemas.microsoft.com/office/drawing/2014/main" id="{FB8CC2F3-2952-4AA1-974C-AE2769E70FFD}"/>
            </a:ext>
          </a:extLst>
        </xdr:cNvPr>
        <xdr:cNvCxnSpPr/>
      </xdr:nvCxnSpPr>
      <xdr:spPr>
        <a:xfrm>
          <a:off x="17982159" y="3619501"/>
          <a:ext cx="7844" cy="1563597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27" name="Straight Connector 26">
          <a:extLst>
            <a:ext uri="{FF2B5EF4-FFF2-40B4-BE49-F238E27FC236}">
              <a16:creationId xmlns:a16="http://schemas.microsoft.com/office/drawing/2014/main" id="{D680DC1D-BA5B-414A-BB91-B3C0EE5CCD53}"/>
            </a:ext>
          </a:extLst>
        </xdr:cNvPr>
        <xdr:cNvCxnSpPr/>
      </xdr:nvCxnSpPr>
      <xdr:spPr>
        <a:xfrm>
          <a:off x="29310108" y="3667125"/>
          <a:ext cx="36417" cy="1559242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28" name="Picture 27">
          <a:extLst>
            <a:ext uri="{FF2B5EF4-FFF2-40B4-BE49-F238E27FC236}">
              <a16:creationId xmlns:a16="http://schemas.microsoft.com/office/drawing/2014/main" id="{C0D0FB7F-BEA1-49BD-955C-9B17A3695538}"/>
            </a:ext>
          </a:extLst>
        </xdr:cNvPr>
        <xdr:cNvPicPr/>
      </xdr:nvPicPr>
      <xdr:blipFill>
        <a:blip xmlns:r="http://schemas.openxmlformats.org/officeDocument/2006/relationships" r:embed="rId4" cstate="print"/>
        <a:srcRect/>
        <a:stretch>
          <a:fillRect/>
        </a:stretch>
      </xdr:blipFill>
      <xdr:spPr bwMode="auto">
        <a:xfrm>
          <a:off x="22840950"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29" name="Straight Connector 28">
          <a:extLst>
            <a:ext uri="{FF2B5EF4-FFF2-40B4-BE49-F238E27FC236}">
              <a16:creationId xmlns:a16="http://schemas.microsoft.com/office/drawing/2014/main" id="{DE64979E-844C-4DB1-AC40-EE74FB61DF00}"/>
            </a:ext>
          </a:extLst>
        </xdr:cNvPr>
        <xdr:cNvCxnSpPr/>
      </xdr:nvCxnSpPr>
      <xdr:spPr>
        <a:xfrm flipV="1">
          <a:off x="18002250"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30" name="Straight Connector 29">
          <a:extLst>
            <a:ext uri="{FF2B5EF4-FFF2-40B4-BE49-F238E27FC236}">
              <a16:creationId xmlns:a16="http://schemas.microsoft.com/office/drawing/2014/main" id="{BD189B3B-2F95-4DD2-9EFB-169F5C00BB15}"/>
            </a:ext>
          </a:extLst>
        </xdr:cNvPr>
        <xdr:cNvCxnSpPr/>
      </xdr:nvCxnSpPr>
      <xdr:spPr>
        <a:xfrm>
          <a:off x="18025110" y="17803906"/>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31" name="Straight Connector 30">
          <a:extLst>
            <a:ext uri="{FF2B5EF4-FFF2-40B4-BE49-F238E27FC236}">
              <a16:creationId xmlns:a16="http://schemas.microsoft.com/office/drawing/2014/main" id="{E140DF46-9F84-4CBD-8CDC-F0FF0218776D}"/>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85725</xdr:colOff>
      <xdr:row>31</xdr:row>
      <xdr:rowOff>169545</xdr:rowOff>
    </xdr:from>
    <xdr:ext cx="219075" cy="247650"/>
    <xdr:pic>
      <xdr:nvPicPr>
        <xdr:cNvPr id="32" name="Picture 31" descr="https://tse1.mm.bing.net/th?id=OIP.11IPUqok7qInEpcWmz9WawHaIZ&amp;pid=Api&amp;P=0">
          <a:extLst>
            <a:ext uri="{FF2B5EF4-FFF2-40B4-BE49-F238E27FC236}">
              <a16:creationId xmlns:a16="http://schemas.microsoft.com/office/drawing/2014/main" id="{5A12313E-1465-4B27-975C-A576F1097A74}"/>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411825" y="6303645"/>
          <a:ext cx="219075" cy="247650"/>
        </a:xfrm>
        <a:prstGeom prst="rect">
          <a:avLst/>
        </a:prstGeom>
        <a:noFill/>
        <a:ln w="9525">
          <a:noFill/>
          <a:miter lim="800000"/>
          <a:headEnd/>
          <a:tailEnd/>
        </a:ln>
      </xdr:spPr>
    </xdr:pic>
    <xdr:clientData/>
  </xdr:oneCellAnchor>
  <xdr:oneCellAnchor>
    <xdr:from>
      <xdr:col>30</xdr:col>
      <xdr:colOff>93345</xdr:colOff>
      <xdr:row>31</xdr:row>
      <xdr:rowOff>158115</xdr:rowOff>
    </xdr:from>
    <xdr:ext cx="219075" cy="247650"/>
    <xdr:pic>
      <xdr:nvPicPr>
        <xdr:cNvPr id="33" name="Picture 32" descr="https://tse1.mm.bing.net/th?id=OIP.11IPUqok7qInEpcWmz9WawHaIZ&amp;pid=Api&amp;P=0">
          <a:extLst>
            <a:ext uri="{FF2B5EF4-FFF2-40B4-BE49-F238E27FC236}">
              <a16:creationId xmlns:a16="http://schemas.microsoft.com/office/drawing/2014/main" id="{D3B72A33-7FF1-4616-AFEC-88FFDE77CEC5}"/>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686395" y="6292215"/>
          <a:ext cx="219075" cy="247650"/>
        </a:xfrm>
        <a:prstGeom prst="rect">
          <a:avLst/>
        </a:prstGeom>
        <a:noFill/>
        <a:ln w="9525">
          <a:noFill/>
          <a:miter lim="800000"/>
          <a:headEnd/>
          <a:tailEnd/>
        </a:ln>
      </xdr:spPr>
    </xdr:pic>
    <xdr:clientData/>
  </xdr:oneCellAnchor>
  <xdr:oneCellAnchor>
    <xdr:from>
      <xdr:col>38</xdr:col>
      <xdr:colOff>89535</xdr:colOff>
      <xdr:row>34</xdr:row>
      <xdr:rowOff>152128</xdr:rowOff>
    </xdr:from>
    <xdr:ext cx="219075" cy="247650"/>
    <xdr:pic>
      <xdr:nvPicPr>
        <xdr:cNvPr id="34" name="Picture 33" descr="https://tse1.mm.bing.net/th?id=OIP.11IPUqok7qInEpcWmz9WawHaIZ&amp;pid=Api&amp;P=0">
          <a:extLst>
            <a:ext uri="{FF2B5EF4-FFF2-40B4-BE49-F238E27FC236}">
              <a16:creationId xmlns:a16="http://schemas.microsoft.com/office/drawing/2014/main" id="{6807478D-43D3-49A3-BA58-5B2CE8DE5F22}"/>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3273385" y="6886303"/>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35" name="Picture 34" descr="https://tse1.mm.bing.net/th?id=OIP.11IPUqok7qInEpcWmz9WawHaIZ&amp;pid=Api&amp;P=0">
          <a:extLst>
            <a:ext uri="{FF2B5EF4-FFF2-40B4-BE49-F238E27FC236}">
              <a16:creationId xmlns:a16="http://schemas.microsoft.com/office/drawing/2014/main" id="{EB5DCBA6-BEB9-4ECE-B1ED-B5B46E117D27}"/>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002625" y="8336280"/>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36" name="Picture 35" descr="https://tse1.mm.bing.net/th?id=OIP.11IPUqok7qInEpcWmz9WawHaIZ&amp;pid=Api&amp;P=0">
          <a:extLst>
            <a:ext uri="{FF2B5EF4-FFF2-40B4-BE49-F238E27FC236}">
              <a16:creationId xmlns:a16="http://schemas.microsoft.com/office/drawing/2014/main" id="{911BBFED-3D0C-4C86-B2AC-D730393C27ED}"/>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898350" y="8351520"/>
          <a:ext cx="219075" cy="247650"/>
        </a:xfrm>
        <a:prstGeom prst="rect">
          <a:avLst/>
        </a:prstGeom>
        <a:noFill/>
        <a:ln w="9525">
          <a:noFill/>
          <a:miter lim="800000"/>
          <a:headEnd/>
          <a:tailEnd/>
        </a:ln>
      </xdr:spPr>
    </xdr:pic>
    <xdr:clientData/>
  </xdr:oneCellAnchor>
  <xdr:oneCellAnchor>
    <xdr:from>
      <xdr:col>42</xdr:col>
      <xdr:colOff>51435</xdr:colOff>
      <xdr:row>50</xdr:row>
      <xdr:rowOff>200025</xdr:rowOff>
    </xdr:from>
    <xdr:ext cx="219075" cy="247650"/>
    <xdr:pic>
      <xdr:nvPicPr>
        <xdr:cNvPr id="37" name="Picture 36" descr="https://tse1.mm.bing.net/th?id=OIP.11IPUqok7qInEpcWmz9WawHaIZ&amp;pid=Api&amp;P=0">
          <a:extLst>
            <a:ext uri="{FF2B5EF4-FFF2-40B4-BE49-F238E27FC236}">
              <a16:creationId xmlns:a16="http://schemas.microsoft.com/office/drawing/2014/main" id="{7BC8AB3A-9049-4485-8CF9-289A3E6735C6}"/>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530685" y="10267950"/>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38" name="Straight Connector 37">
          <a:extLst>
            <a:ext uri="{FF2B5EF4-FFF2-40B4-BE49-F238E27FC236}">
              <a16:creationId xmlns:a16="http://schemas.microsoft.com/office/drawing/2014/main" id="{7C94256F-B2F3-4B1E-BC84-E6618729405F}"/>
            </a:ext>
          </a:extLst>
        </xdr:cNvPr>
        <xdr:cNvCxnSpPr/>
      </xdr:nvCxnSpPr>
      <xdr:spPr>
        <a:xfrm>
          <a:off x="18002250" y="19280505"/>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39" name="Straight Connector 38">
          <a:extLst>
            <a:ext uri="{FF2B5EF4-FFF2-40B4-BE49-F238E27FC236}">
              <a16:creationId xmlns:a16="http://schemas.microsoft.com/office/drawing/2014/main" id="{5D19C1E7-A3A5-4C4D-A0C2-1C843B42B628}"/>
            </a:ext>
          </a:extLst>
        </xdr:cNvPr>
        <xdr:cNvCxnSpPr/>
      </xdr:nvCxnSpPr>
      <xdr:spPr>
        <a:xfrm>
          <a:off x="18002250" y="198404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40" name="Straight Connector 39">
          <a:extLst>
            <a:ext uri="{FF2B5EF4-FFF2-40B4-BE49-F238E27FC236}">
              <a16:creationId xmlns:a16="http://schemas.microsoft.com/office/drawing/2014/main" id="{C04DC7B0-424E-466F-968E-A7AFE7DC498A}"/>
            </a:ext>
          </a:extLst>
        </xdr:cNvPr>
        <xdr:cNvCxnSpPr/>
      </xdr:nvCxnSpPr>
      <xdr:spPr>
        <a:xfrm flipH="1">
          <a:off x="18009870" y="19869147"/>
          <a:ext cx="1773" cy="158381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41" name="Straight Connector 40">
          <a:extLst>
            <a:ext uri="{FF2B5EF4-FFF2-40B4-BE49-F238E27FC236}">
              <a16:creationId xmlns:a16="http://schemas.microsoft.com/office/drawing/2014/main" id="{243F2618-1962-4820-94D3-141280526CA3}"/>
            </a:ext>
          </a:extLst>
        </xdr:cNvPr>
        <xdr:cNvCxnSpPr/>
      </xdr:nvCxnSpPr>
      <xdr:spPr>
        <a:xfrm>
          <a:off x="18002250" y="26593800"/>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103206</xdr:colOff>
      <xdr:row>125</xdr:row>
      <xdr:rowOff>147917</xdr:rowOff>
    </xdr:from>
    <xdr:ext cx="219075" cy="247650"/>
    <xdr:pic>
      <xdr:nvPicPr>
        <xdr:cNvPr id="42" name="Picture 41" descr="https://tse1.mm.bing.net/th?id=OIP.11IPUqok7qInEpcWmz9WawHaIZ&amp;pid=Api&amp;P=0">
          <a:extLst>
            <a:ext uri="{FF2B5EF4-FFF2-40B4-BE49-F238E27FC236}">
              <a16:creationId xmlns:a16="http://schemas.microsoft.com/office/drawing/2014/main" id="{F2C79288-F880-4F99-9F82-2781A973108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230156" y="26122592"/>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43" name="Picture 42" descr="https://tse1.mm.bing.net/th?id=OIP.11IPUqok7qInEpcWmz9WawHaIZ&amp;pid=Api&amp;P=0">
          <a:extLst>
            <a:ext uri="{FF2B5EF4-FFF2-40B4-BE49-F238E27FC236}">
              <a16:creationId xmlns:a16="http://schemas.microsoft.com/office/drawing/2014/main" id="{F32AFAAC-3919-4A3E-98A9-E1A108F63677}"/>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04028" y="26175036"/>
          <a:ext cx="219075" cy="247650"/>
        </a:xfrm>
        <a:prstGeom prst="rect">
          <a:avLst/>
        </a:prstGeom>
        <a:noFill/>
        <a:ln w="9525">
          <a:noFill/>
          <a:miter lim="800000"/>
          <a:headEnd/>
          <a:tailEnd/>
        </a:ln>
      </xdr:spPr>
    </xdr:pic>
    <xdr:clientData/>
  </xdr:oneCellAnchor>
  <xdr:twoCellAnchor>
    <xdr:from>
      <xdr:col>22</xdr:col>
      <xdr:colOff>50346</xdr:colOff>
      <xdr:row>169</xdr:row>
      <xdr:rowOff>175260</xdr:rowOff>
    </xdr:from>
    <xdr:to>
      <xdr:col>57</xdr:col>
      <xdr:colOff>57966</xdr:colOff>
      <xdr:row>170</xdr:row>
      <xdr:rowOff>11563</xdr:rowOff>
    </xdr:to>
    <xdr:cxnSp macro="">
      <xdr:nvCxnSpPr>
        <xdr:cNvPr id="44" name="Straight Connector 43">
          <a:extLst>
            <a:ext uri="{FF2B5EF4-FFF2-40B4-BE49-F238E27FC236}">
              <a16:creationId xmlns:a16="http://schemas.microsoft.com/office/drawing/2014/main" id="{A318BFE7-1514-4253-8997-DA2866BFDA6F}"/>
            </a:ext>
          </a:extLst>
        </xdr:cNvPr>
        <xdr:cNvCxnSpPr/>
      </xdr:nvCxnSpPr>
      <xdr:spPr>
        <a:xfrm>
          <a:off x="18052596" y="35646360"/>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57</xdr:col>
      <xdr:colOff>1088</xdr:colOff>
      <xdr:row>170</xdr:row>
      <xdr:rowOff>121920</xdr:rowOff>
    </xdr:to>
    <xdr:cxnSp macro="">
      <xdr:nvCxnSpPr>
        <xdr:cNvPr id="45" name="Straight Connector 44">
          <a:extLst>
            <a:ext uri="{FF2B5EF4-FFF2-40B4-BE49-F238E27FC236}">
              <a16:creationId xmlns:a16="http://schemas.microsoft.com/office/drawing/2014/main" id="{C6A5DE9D-B1C7-40D8-8D83-1A5FFBE84ECF}"/>
            </a:ext>
          </a:extLst>
        </xdr:cNvPr>
        <xdr:cNvCxnSpPr/>
      </xdr:nvCxnSpPr>
      <xdr:spPr>
        <a:xfrm>
          <a:off x="29327343" y="19831047"/>
          <a:ext cx="10745" cy="159524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37</xdr:col>
      <xdr:colOff>93681</xdr:colOff>
      <xdr:row>121</xdr:row>
      <xdr:rowOff>176492</xdr:rowOff>
    </xdr:from>
    <xdr:ext cx="219075" cy="247650"/>
    <xdr:pic>
      <xdr:nvPicPr>
        <xdr:cNvPr id="46" name="Picture 45" descr="https://tse1.mm.bing.net/th?id=OIP.11IPUqok7qInEpcWmz9WawHaIZ&amp;pid=Api&amp;P=0">
          <a:extLst>
            <a:ext uri="{FF2B5EF4-FFF2-40B4-BE49-F238E27FC236}">
              <a16:creationId xmlns:a16="http://schemas.microsoft.com/office/drawing/2014/main" id="{8C9D8677-950C-4498-827A-787BCAEFA9B5}"/>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2953681" y="25341542"/>
          <a:ext cx="219075" cy="247650"/>
        </a:xfrm>
        <a:prstGeom prst="rect">
          <a:avLst/>
        </a:prstGeom>
        <a:noFill/>
        <a:ln w="9525">
          <a:noFill/>
          <a:miter lim="800000"/>
          <a:headEnd/>
          <a:tailEnd/>
        </a:ln>
      </xdr:spPr>
    </xdr:pic>
    <xdr:clientData/>
  </xdr:oneCellAnchor>
  <xdr:twoCellAnchor editAs="oneCell">
    <xdr:from>
      <xdr:col>14</xdr:col>
      <xdr:colOff>108857</xdr:colOff>
      <xdr:row>74</xdr:row>
      <xdr:rowOff>81642</xdr:rowOff>
    </xdr:from>
    <xdr:to>
      <xdr:col>15</xdr:col>
      <xdr:colOff>529408</xdr:colOff>
      <xdr:row>78</xdr:row>
      <xdr:rowOff>40821</xdr:rowOff>
    </xdr:to>
    <xdr:pic>
      <xdr:nvPicPr>
        <xdr:cNvPr id="47" name="Picture 46">
          <a:extLst>
            <a:ext uri="{FF2B5EF4-FFF2-40B4-BE49-F238E27FC236}">
              <a16:creationId xmlns:a16="http://schemas.microsoft.com/office/drawing/2014/main" id="{C27145D8-4671-468D-8FC1-3593976F0BAB}"/>
            </a:ext>
          </a:extLst>
        </xdr:cNvPr>
        <xdr:cNvPicPr/>
      </xdr:nvPicPr>
      <xdr:blipFill>
        <a:blip xmlns:r="http://schemas.openxmlformats.org/officeDocument/2006/relationships" r:embed="rId5" cstate="print"/>
        <a:srcRect/>
        <a:stretch>
          <a:fillRect/>
        </a:stretch>
      </xdr:blipFill>
      <xdr:spPr bwMode="auto">
        <a:xfrm>
          <a:off x="12462782" y="15093042"/>
          <a:ext cx="1134926" cy="75927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215441</xdr:colOff>
      <xdr:row>19</xdr:row>
      <xdr:rowOff>100695</xdr:rowOff>
    </xdr:from>
    <xdr:to>
      <xdr:col>15</xdr:col>
      <xdr:colOff>513709</xdr:colOff>
      <xdr:row>22</xdr:row>
      <xdr:rowOff>168005</xdr:rowOff>
    </xdr:to>
    <xdr:pic>
      <xdr:nvPicPr>
        <xdr:cNvPr id="2" name="Picture 1">
          <a:extLst>
            <a:ext uri="{FF2B5EF4-FFF2-40B4-BE49-F238E27FC236}">
              <a16:creationId xmlns:a16="http://schemas.microsoft.com/office/drawing/2014/main" id="{AE6A6BCA-C30F-4DB3-9140-618CFEA67132}"/>
            </a:ext>
          </a:extLst>
        </xdr:cNvPr>
        <xdr:cNvPicPr/>
      </xdr:nvPicPr>
      <xdr:blipFill>
        <a:blip xmlns:r="http://schemas.openxmlformats.org/officeDocument/2006/relationships" r:embed="rId1" cstate="print"/>
        <a:srcRect b="17620"/>
        <a:stretch>
          <a:fillRect/>
        </a:stretch>
      </xdr:blipFill>
      <xdr:spPr>
        <a:xfrm>
          <a:off x="12569366" y="3729720"/>
          <a:ext cx="1022168" cy="663575"/>
        </a:xfrm>
        <a:prstGeom prst="rect">
          <a:avLst/>
        </a:prstGeom>
        <a:noFill/>
        <a:ln w="9525">
          <a:noFill/>
          <a:miter lim="800000"/>
          <a:headEnd/>
          <a:tailEnd/>
        </a:ln>
      </xdr:spPr>
    </xdr:pic>
    <xdr:clientData/>
  </xdr:twoCellAnchor>
  <xdr:oneCellAnchor>
    <xdr:from>
      <xdr:col>45</xdr:col>
      <xdr:colOff>278130</xdr:colOff>
      <xdr:row>62</xdr:row>
      <xdr:rowOff>182880</xdr:rowOff>
    </xdr:from>
    <xdr:ext cx="219075" cy="247650"/>
    <xdr:pic>
      <xdr:nvPicPr>
        <xdr:cNvPr id="3" name="Picture 2" descr="https://tse1.mm.bing.net/th?id=OIP.11IPUqok7qInEpcWmz9WawHaIZ&amp;pid=Api&amp;P=0">
          <a:extLst>
            <a:ext uri="{FF2B5EF4-FFF2-40B4-BE49-F238E27FC236}">
              <a16:creationId xmlns:a16="http://schemas.microsoft.com/office/drawing/2014/main" id="{403EE731-B60F-40DF-9C05-117F3439AE4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28930"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4" name="Straight Connector 3">
          <a:extLst>
            <a:ext uri="{FF2B5EF4-FFF2-40B4-BE49-F238E27FC236}">
              <a16:creationId xmlns:a16="http://schemas.microsoft.com/office/drawing/2014/main" id="{E7444F65-155E-41E4-BBA1-488999BD45F6}"/>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5" name="Straight Connector 4">
          <a:extLst>
            <a:ext uri="{FF2B5EF4-FFF2-40B4-BE49-F238E27FC236}">
              <a16:creationId xmlns:a16="http://schemas.microsoft.com/office/drawing/2014/main" id="{850FC18C-B6D6-49C0-8F0F-54EC4F3C1B93}"/>
            </a:ext>
          </a:extLst>
        </xdr:cNvPr>
        <xdr:cNvCxnSpPr/>
      </xdr:nvCxnSpPr>
      <xdr:spPr>
        <a:xfrm>
          <a:off x="18022981" y="3629026"/>
          <a:ext cx="7844" cy="1564005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274546</xdr:colOff>
      <xdr:row>19</xdr:row>
      <xdr:rowOff>15689</xdr:rowOff>
    </xdr:from>
    <xdr:to>
      <xdr:col>56</xdr:col>
      <xdr:colOff>312084</xdr:colOff>
      <xdr:row>94</xdr:row>
      <xdr:rowOff>188820</xdr:rowOff>
    </xdr:to>
    <xdr:cxnSp macro="">
      <xdr:nvCxnSpPr>
        <xdr:cNvPr id="6" name="Straight Connector 5">
          <a:extLst>
            <a:ext uri="{FF2B5EF4-FFF2-40B4-BE49-F238E27FC236}">
              <a16:creationId xmlns:a16="http://schemas.microsoft.com/office/drawing/2014/main" id="{93278440-D9E8-49B9-A1F8-020DB0090109}"/>
            </a:ext>
          </a:extLst>
        </xdr:cNvPr>
        <xdr:cNvCxnSpPr/>
      </xdr:nvCxnSpPr>
      <xdr:spPr>
        <a:xfrm>
          <a:off x="29387428" y="3646395"/>
          <a:ext cx="37538" cy="15771719"/>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7" name="Picture 6">
          <a:extLst>
            <a:ext uri="{FF2B5EF4-FFF2-40B4-BE49-F238E27FC236}">
              <a16:creationId xmlns:a16="http://schemas.microsoft.com/office/drawing/2014/main" id="{61899324-8507-4B15-B430-0B80DE1CAEA5}"/>
            </a:ext>
          </a:extLst>
        </xdr:cNvPr>
        <xdr:cNvPicPr/>
      </xdr:nvPicPr>
      <xdr:blipFill>
        <a:blip xmlns:r="http://schemas.openxmlformats.org/officeDocument/2006/relationships" r:embed="rId4" cstate="print"/>
        <a:srcRect/>
        <a:stretch>
          <a:fillRect/>
        </a:stretch>
      </xdr:blipFill>
      <xdr:spPr bwMode="auto">
        <a:xfrm>
          <a:off x="22840950"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8" name="Straight Connector 7">
          <a:extLst>
            <a:ext uri="{FF2B5EF4-FFF2-40B4-BE49-F238E27FC236}">
              <a16:creationId xmlns:a16="http://schemas.microsoft.com/office/drawing/2014/main" id="{97A7ACCC-DAB9-465C-B109-4F58F9D23D26}"/>
            </a:ext>
          </a:extLst>
        </xdr:cNvPr>
        <xdr:cNvCxnSpPr/>
      </xdr:nvCxnSpPr>
      <xdr:spPr>
        <a:xfrm flipV="1">
          <a:off x="18002250"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9" name="Straight Connector 8">
          <a:extLst>
            <a:ext uri="{FF2B5EF4-FFF2-40B4-BE49-F238E27FC236}">
              <a16:creationId xmlns:a16="http://schemas.microsoft.com/office/drawing/2014/main" id="{F0876E6F-32E9-4A00-9D8A-200DD14B3748}"/>
            </a:ext>
          </a:extLst>
        </xdr:cNvPr>
        <xdr:cNvCxnSpPr/>
      </xdr:nvCxnSpPr>
      <xdr:spPr>
        <a:xfrm>
          <a:off x="18025110" y="17803906"/>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10" name="Straight Connector 9">
          <a:extLst>
            <a:ext uri="{FF2B5EF4-FFF2-40B4-BE49-F238E27FC236}">
              <a16:creationId xmlns:a16="http://schemas.microsoft.com/office/drawing/2014/main" id="{15F8273E-6604-4D20-8D2C-A9C4CD29723A}"/>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30</xdr:col>
      <xdr:colOff>85949</xdr:colOff>
      <xdr:row>32</xdr:row>
      <xdr:rowOff>160020</xdr:rowOff>
    </xdr:from>
    <xdr:ext cx="219075" cy="247650"/>
    <xdr:pic>
      <xdr:nvPicPr>
        <xdr:cNvPr id="12" name="Picture 11" descr="https://tse1.mm.bing.net/th?id=OIP.11IPUqok7qInEpcWmz9WawHaIZ&amp;pid=Api&amp;P=0">
          <a:extLst>
            <a:ext uri="{FF2B5EF4-FFF2-40B4-BE49-F238E27FC236}">
              <a16:creationId xmlns:a16="http://schemas.microsoft.com/office/drawing/2014/main" id="{D2FC49B2-1B7D-4C0A-BAAF-746D8748AC26}"/>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220243" y="6289638"/>
          <a:ext cx="219075" cy="247650"/>
        </a:xfrm>
        <a:prstGeom prst="rect">
          <a:avLst/>
        </a:prstGeom>
        <a:noFill/>
        <a:ln w="9525">
          <a:noFill/>
          <a:miter lim="800000"/>
          <a:headEnd/>
          <a:tailEnd/>
        </a:ln>
      </xdr:spPr>
    </xdr:pic>
    <xdr:clientData/>
  </xdr:oneCellAnchor>
  <xdr:oneCellAnchor>
    <xdr:from>
      <xdr:col>45</xdr:col>
      <xdr:colOff>85725</xdr:colOff>
      <xdr:row>31</xdr:row>
      <xdr:rowOff>167640</xdr:rowOff>
    </xdr:from>
    <xdr:ext cx="219075" cy="247650"/>
    <xdr:pic>
      <xdr:nvPicPr>
        <xdr:cNvPr id="13" name="Picture 12" descr="https://tse1.mm.bing.net/th?id=OIP.11IPUqok7qInEpcWmz9WawHaIZ&amp;pid=Api&amp;P=0">
          <a:extLst>
            <a:ext uri="{FF2B5EF4-FFF2-40B4-BE49-F238E27FC236}">
              <a16:creationId xmlns:a16="http://schemas.microsoft.com/office/drawing/2014/main" id="{D08C182C-7BCF-49CD-BF55-53D27F783402}"/>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536525" y="6301740"/>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16" name="Straight Connector 15">
          <a:extLst>
            <a:ext uri="{FF2B5EF4-FFF2-40B4-BE49-F238E27FC236}">
              <a16:creationId xmlns:a16="http://schemas.microsoft.com/office/drawing/2014/main" id="{40AC29F5-F3D7-4298-9C67-4B47CDA372D1}"/>
            </a:ext>
          </a:extLst>
        </xdr:cNvPr>
        <xdr:cNvCxnSpPr/>
      </xdr:nvCxnSpPr>
      <xdr:spPr>
        <a:xfrm>
          <a:off x="18002250" y="19280505"/>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17" name="Straight Connector 16">
          <a:extLst>
            <a:ext uri="{FF2B5EF4-FFF2-40B4-BE49-F238E27FC236}">
              <a16:creationId xmlns:a16="http://schemas.microsoft.com/office/drawing/2014/main" id="{05E4DDC2-DE02-4496-9F05-FFAC91FC10BA}"/>
            </a:ext>
          </a:extLst>
        </xdr:cNvPr>
        <xdr:cNvCxnSpPr/>
      </xdr:nvCxnSpPr>
      <xdr:spPr>
        <a:xfrm>
          <a:off x="18002250" y="198404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18" name="Straight Connector 17">
          <a:extLst>
            <a:ext uri="{FF2B5EF4-FFF2-40B4-BE49-F238E27FC236}">
              <a16:creationId xmlns:a16="http://schemas.microsoft.com/office/drawing/2014/main" id="{D858CB62-BBBA-48AA-90F0-E58B00BB3633}"/>
            </a:ext>
          </a:extLst>
        </xdr:cNvPr>
        <xdr:cNvCxnSpPr/>
      </xdr:nvCxnSpPr>
      <xdr:spPr>
        <a:xfrm flipH="1">
          <a:off x="18009870" y="19869147"/>
          <a:ext cx="1773" cy="158381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19" name="Straight Connector 18">
          <a:extLst>
            <a:ext uri="{FF2B5EF4-FFF2-40B4-BE49-F238E27FC236}">
              <a16:creationId xmlns:a16="http://schemas.microsoft.com/office/drawing/2014/main" id="{8D67A644-0754-4AF7-9AD2-771FDABF8636}"/>
            </a:ext>
          </a:extLst>
        </xdr:cNvPr>
        <xdr:cNvCxnSpPr/>
      </xdr:nvCxnSpPr>
      <xdr:spPr>
        <a:xfrm>
          <a:off x="18002250" y="26593800"/>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325419</xdr:colOff>
      <xdr:row>125</xdr:row>
      <xdr:rowOff>202041</xdr:rowOff>
    </xdr:from>
    <xdr:ext cx="219075" cy="247650"/>
    <xdr:pic>
      <xdr:nvPicPr>
        <xdr:cNvPr id="20" name="Picture 19" descr="https://tse1.mm.bing.net/th?id=OIP.11IPUqok7qInEpcWmz9WawHaIZ&amp;pid=Api&amp;P=0">
          <a:extLst>
            <a:ext uri="{FF2B5EF4-FFF2-40B4-BE49-F238E27FC236}">
              <a16:creationId xmlns:a16="http://schemas.microsoft.com/office/drawing/2014/main" id="{937C87EE-95E5-45DA-9957-D652F708A1DC}"/>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6166184" y="25706629"/>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21" name="Picture 20" descr="https://tse1.mm.bing.net/th?id=OIP.11IPUqok7qInEpcWmz9WawHaIZ&amp;pid=Api&amp;P=0">
          <a:extLst>
            <a:ext uri="{FF2B5EF4-FFF2-40B4-BE49-F238E27FC236}">
              <a16:creationId xmlns:a16="http://schemas.microsoft.com/office/drawing/2014/main" id="{D6BBF284-2C66-4C4D-B815-B8DE04ABF751}"/>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04028" y="26175036"/>
          <a:ext cx="219075" cy="247650"/>
        </a:xfrm>
        <a:prstGeom prst="rect">
          <a:avLst/>
        </a:prstGeom>
        <a:noFill/>
        <a:ln w="9525">
          <a:noFill/>
          <a:miter lim="800000"/>
          <a:headEnd/>
          <a:tailEnd/>
        </a:ln>
      </xdr:spPr>
    </xdr:pic>
    <xdr:clientData/>
  </xdr:oneCellAnchor>
  <xdr:twoCellAnchor>
    <xdr:from>
      <xdr:col>22</xdr:col>
      <xdr:colOff>9525</xdr:colOff>
      <xdr:row>169</xdr:row>
      <xdr:rowOff>175260</xdr:rowOff>
    </xdr:from>
    <xdr:to>
      <xdr:col>57</xdr:col>
      <xdr:colOff>17145</xdr:colOff>
      <xdr:row>170</xdr:row>
      <xdr:rowOff>11563</xdr:rowOff>
    </xdr:to>
    <xdr:cxnSp macro="">
      <xdr:nvCxnSpPr>
        <xdr:cNvPr id="22" name="Straight Connector 21">
          <a:extLst>
            <a:ext uri="{FF2B5EF4-FFF2-40B4-BE49-F238E27FC236}">
              <a16:creationId xmlns:a16="http://schemas.microsoft.com/office/drawing/2014/main" id="{31096662-F139-4701-83A3-1C8D63F5230F}"/>
            </a:ext>
          </a:extLst>
        </xdr:cNvPr>
        <xdr:cNvCxnSpPr/>
      </xdr:nvCxnSpPr>
      <xdr:spPr>
        <a:xfrm>
          <a:off x="18011775" y="35646360"/>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56</xdr:col>
      <xdr:colOff>327660</xdr:colOff>
      <xdr:row>170</xdr:row>
      <xdr:rowOff>121920</xdr:rowOff>
    </xdr:to>
    <xdr:cxnSp macro="">
      <xdr:nvCxnSpPr>
        <xdr:cNvPr id="23" name="Straight Connector 22">
          <a:extLst>
            <a:ext uri="{FF2B5EF4-FFF2-40B4-BE49-F238E27FC236}">
              <a16:creationId xmlns:a16="http://schemas.microsoft.com/office/drawing/2014/main" id="{510225C1-A716-4759-87A9-EA85FB0DF4AC}"/>
            </a:ext>
          </a:extLst>
        </xdr:cNvPr>
        <xdr:cNvCxnSpPr/>
      </xdr:nvCxnSpPr>
      <xdr:spPr>
        <a:xfrm>
          <a:off x="29327343" y="19831047"/>
          <a:ext cx="13467" cy="159524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278130</xdr:colOff>
      <xdr:row>62</xdr:row>
      <xdr:rowOff>182880</xdr:rowOff>
    </xdr:from>
    <xdr:ext cx="219075" cy="247650"/>
    <xdr:pic>
      <xdr:nvPicPr>
        <xdr:cNvPr id="24" name="Picture 23" descr="https://tse1.mm.bing.net/th?id=OIP.11IPUqok7qInEpcWmz9WawHaIZ&amp;pid=Api&amp;P=0">
          <a:extLst>
            <a:ext uri="{FF2B5EF4-FFF2-40B4-BE49-F238E27FC236}">
              <a16:creationId xmlns:a16="http://schemas.microsoft.com/office/drawing/2014/main" id="{76AFB4C6-D2FE-4F6E-949F-7B09C190558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28930"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25" name="Straight Connector 24">
          <a:extLst>
            <a:ext uri="{FF2B5EF4-FFF2-40B4-BE49-F238E27FC236}">
              <a16:creationId xmlns:a16="http://schemas.microsoft.com/office/drawing/2014/main" id="{119A9A29-894A-41C4-A6A4-68917AAC5060}"/>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7924</xdr:colOff>
      <xdr:row>18</xdr:row>
      <xdr:rowOff>179295</xdr:rowOff>
    </xdr:from>
    <xdr:to>
      <xdr:col>22</xdr:col>
      <xdr:colOff>15768</xdr:colOff>
      <xdr:row>94</xdr:row>
      <xdr:rowOff>195946</xdr:rowOff>
    </xdr:to>
    <xdr:cxnSp macro="">
      <xdr:nvCxnSpPr>
        <xdr:cNvPr id="26" name="Straight Connector 25">
          <a:extLst>
            <a:ext uri="{FF2B5EF4-FFF2-40B4-BE49-F238E27FC236}">
              <a16:creationId xmlns:a16="http://schemas.microsoft.com/office/drawing/2014/main" id="{6F075659-C028-4E72-9336-4839F23104BF}"/>
            </a:ext>
          </a:extLst>
        </xdr:cNvPr>
        <xdr:cNvCxnSpPr/>
      </xdr:nvCxnSpPr>
      <xdr:spPr>
        <a:xfrm>
          <a:off x="18071806" y="3608295"/>
          <a:ext cx="7844" cy="1581694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1025340</xdr:colOff>
      <xdr:row>19</xdr:row>
      <xdr:rowOff>49306</xdr:rowOff>
    </xdr:from>
    <xdr:to>
      <xdr:col>59</xdr:col>
      <xdr:colOff>9525</xdr:colOff>
      <xdr:row>95</xdr:row>
      <xdr:rowOff>20731</xdr:rowOff>
    </xdr:to>
    <xdr:cxnSp macro="">
      <xdr:nvCxnSpPr>
        <xdr:cNvPr id="27" name="Straight Connector 26">
          <a:extLst>
            <a:ext uri="{FF2B5EF4-FFF2-40B4-BE49-F238E27FC236}">
              <a16:creationId xmlns:a16="http://schemas.microsoft.com/office/drawing/2014/main" id="{6C700161-99DF-4DEB-B4F4-F886A7D98084}"/>
            </a:ext>
          </a:extLst>
        </xdr:cNvPr>
        <xdr:cNvCxnSpPr/>
      </xdr:nvCxnSpPr>
      <xdr:spPr>
        <a:xfrm>
          <a:off x="31516546" y="3680012"/>
          <a:ext cx="37538" cy="15771719"/>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28" name="Picture 27">
          <a:extLst>
            <a:ext uri="{FF2B5EF4-FFF2-40B4-BE49-F238E27FC236}">
              <a16:creationId xmlns:a16="http://schemas.microsoft.com/office/drawing/2014/main" id="{7188617C-0B77-423F-9F3C-85AA71312B26}"/>
            </a:ext>
          </a:extLst>
        </xdr:cNvPr>
        <xdr:cNvPicPr/>
      </xdr:nvPicPr>
      <xdr:blipFill>
        <a:blip xmlns:r="http://schemas.openxmlformats.org/officeDocument/2006/relationships" r:embed="rId4" cstate="print"/>
        <a:srcRect/>
        <a:stretch>
          <a:fillRect/>
        </a:stretch>
      </xdr:blipFill>
      <xdr:spPr bwMode="auto">
        <a:xfrm>
          <a:off x="22840950"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29" name="Straight Connector 28">
          <a:extLst>
            <a:ext uri="{FF2B5EF4-FFF2-40B4-BE49-F238E27FC236}">
              <a16:creationId xmlns:a16="http://schemas.microsoft.com/office/drawing/2014/main" id="{6EBD55E2-427A-4B81-A8C3-B681727569B2}"/>
            </a:ext>
          </a:extLst>
        </xdr:cNvPr>
        <xdr:cNvCxnSpPr/>
      </xdr:nvCxnSpPr>
      <xdr:spPr>
        <a:xfrm flipV="1">
          <a:off x="18002250"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30" name="Straight Connector 29">
          <a:extLst>
            <a:ext uri="{FF2B5EF4-FFF2-40B4-BE49-F238E27FC236}">
              <a16:creationId xmlns:a16="http://schemas.microsoft.com/office/drawing/2014/main" id="{B0979109-B50A-4F3C-B92F-55D1DB215FC9}"/>
            </a:ext>
          </a:extLst>
        </xdr:cNvPr>
        <xdr:cNvCxnSpPr/>
      </xdr:nvCxnSpPr>
      <xdr:spPr>
        <a:xfrm>
          <a:off x="18025110" y="17803906"/>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31" name="Straight Connector 30">
          <a:extLst>
            <a:ext uri="{FF2B5EF4-FFF2-40B4-BE49-F238E27FC236}">
              <a16:creationId xmlns:a16="http://schemas.microsoft.com/office/drawing/2014/main" id="{461E5807-CE9C-476D-AA32-CB44788A09F6}"/>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81242</xdr:colOff>
      <xdr:row>31</xdr:row>
      <xdr:rowOff>166184</xdr:rowOff>
    </xdr:from>
    <xdr:ext cx="219075" cy="247650"/>
    <xdr:pic>
      <xdr:nvPicPr>
        <xdr:cNvPr id="32" name="Picture 31" descr="https://tse1.mm.bing.net/th?id=OIP.11IPUqok7qInEpcWmz9WawHaIZ&amp;pid=Api&amp;P=0">
          <a:extLst>
            <a:ext uri="{FF2B5EF4-FFF2-40B4-BE49-F238E27FC236}">
              <a16:creationId xmlns:a16="http://schemas.microsoft.com/office/drawing/2014/main" id="{8A7A68B4-4298-4E1F-9E96-CB0EA034D7E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470095" y="6318213"/>
          <a:ext cx="219075" cy="247650"/>
        </a:xfrm>
        <a:prstGeom prst="rect">
          <a:avLst/>
        </a:prstGeom>
        <a:noFill/>
        <a:ln w="9525">
          <a:noFill/>
          <a:miter lim="800000"/>
          <a:headEnd/>
          <a:tailEnd/>
        </a:ln>
      </xdr:spPr>
    </xdr:pic>
    <xdr:clientData/>
  </xdr:oneCellAnchor>
  <xdr:oneCellAnchor>
    <xdr:from>
      <xdr:col>38</xdr:col>
      <xdr:colOff>108585</xdr:colOff>
      <xdr:row>33</xdr:row>
      <xdr:rowOff>152128</xdr:rowOff>
    </xdr:from>
    <xdr:ext cx="219075" cy="247650"/>
    <xdr:pic>
      <xdr:nvPicPr>
        <xdr:cNvPr id="34" name="Picture 33" descr="https://tse1.mm.bing.net/th?id=OIP.11IPUqok7qInEpcWmz9WawHaIZ&amp;pid=Api&amp;P=0">
          <a:extLst>
            <a:ext uri="{FF2B5EF4-FFF2-40B4-BE49-F238E27FC236}">
              <a16:creationId xmlns:a16="http://schemas.microsoft.com/office/drawing/2014/main" id="{71AEDF96-7865-4387-9145-F603709FF3D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3292435" y="6686278"/>
          <a:ext cx="219075" cy="247650"/>
        </a:xfrm>
        <a:prstGeom prst="rect">
          <a:avLst/>
        </a:prstGeom>
        <a:noFill/>
        <a:ln w="9525">
          <a:noFill/>
          <a:miter lim="800000"/>
          <a:headEnd/>
          <a:tailEnd/>
        </a:ln>
      </xdr:spPr>
    </xdr:pic>
    <xdr:clientData/>
  </xdr:oneCellAnchor>
  <xdr:oneCellAnchor>
    <xdr:from>
      <xdr:col>31</xdr:col>
      <xdr:colOff>80234</xdr:colOff>
      <xdr:row>40</xdr:row>
      <xdr:rowOff>165511</xdr:rowOff>
    </xdr:from>
    <xdr:ext cx="219075" cy="247650"/>
    <xdr:pic>
      <xdr:nvPicPr>
        <xdr:cNvPr id="35" name="Picture 34" descr="https://tse1.mm.bing.net/th?id=OIP.11IPUqok7qInEpcWmz9WawHaIZ&amp;pid=Api&amp;P=0">
          <a:extLst>
            <a:ext uri="{FF2B5EF4-FFF2-40B4-BE49-F238E27FC236}">
              <a16:creationId xmlns:a16="http://schemas.microsoft.com/office/drawing/2014/main" id="{03B82915-9482-4774-9EE4-B7A1555F6339}"/>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550705" y="7931187"/>
          <a:ext cx="219075" cy="247650"/>
        </a:xfrm>
        <a:prstGeom prst="rect">
          <a:avLst/>
        </a:prstGeom>
        <a:noFill/>
        <a:ln w="9525">
          <a:noFill/>
          <a:miter lim="800000"/>
          <a:headEnd/>
          <a:tailEnd/>
        </a:ln>
      </xdr:spPr>
    </xdr:pic>
    <xdr:clientData/>
  </xdr:oneCellAnchor>
  <xdr:oneCellAnchor>
    <xdr:from>
      <xdr:col>43</xdr:col>
      <xdr:colOff>69028</xdr:colOff>
      <xdr:row>40</xdr:row>
      <xdr:rowOff>173355</xdr:rowOff>
    </xdr:from>
    <xdr:ext cx="219075" cy="247650"/>
    <xdr:pic>
      <xdr:nvPicPr>
        <xdr:cNvPr id="36" name="Picture 35" descr="https://tse1.mm.bing.net/th?id=OIP.11IPUqok7qInEpcWmz9WawHaIZ&amp;pid=Api&amp;P=0">
          <a:extLst>
            <a:ext uri="{FF2B5EF4-FFF2-40B4-BE49-F238E27FC236}">
              <a16:creationId xmlns:a16="http://schemas.microsoft.com/office/drawing/2014/main" id="{816858BB-9643-4B0B-8F84-89077FE2CEA6}"/>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573616" y="7939031"/>
          <a:ext cx="219075" cy="247650"/>
        </a:xfrm>
        <a:prstGeom prst="rect">
          <a:avLst/>
        </a:prstGeom>
        <a:noFill/>
        <a:ln w="9525">
          <a:noFill/>
          <a:miter lim="800000"/>
          <a:headEnd/>
          <a:tailEnd/>
        </a:ln>
      </xdr:spPr>
    </xdr:pic>
    <xdr:clientData/>
  </xdr:oneCellAnchor>
  <xdr:oneCellAnchor>
    <xdr:from>
      <xdr:col>42</xdr:col>
      <xdr:colOff>100069</xdr:colOff>
      <xdr:row>50</xdr:row>
      <xdr:rowOff>157107</xdr:rowOff>
    </xdr:from>
    <xdr:ext cx="219075" cy="247650"/>
    <xdr:pic>
      <xdr:nvPicPr>
        <xdr:cNvPr id="37" name="Picture 36" descr="https://tse1.mm.bing.net/th?id=OIP.11IPUqok7qInEpcWmz9WawHaIZ&amp;pid=Api&amp;P=0">
          <a:extLst>
            <a:ext uri="{FF2B5EF4-FFF2-40B4-BE49-F238E27FC236}">
              <a16:creationId xmlns:a16="http://schemas.microsoft.com/office/drawing/2014/main" id="{163416CE-85CD-4690-9523-8B99AC79EEA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268481" y="9951048"/>
          <a:ext cx="219075" cy="247650"/>
        </a:xfrm>
        <a:prstGeom prst="rect">
          <a:avLst/>
        </a:prstGeom>
        <a:noFill/>
        <a:ln w="9525">
          <a:noFill/>
          <a:miter lim="800000"/>
          <a:headEnd/>
          <a:tailEnd/>
        </a:ln>
      </xdr:spPr>
    </xdr:pic>
    <xdr:clientData/>
  </xdr:oneCellAnchor>
  <xdr:twoCellAnchor>
    <xdr:from>
      <xdr:col>22</xdr:col>
      <xdr:colOff>74630</xdr:colOff>
      <xdr:row>94</xdr:row>
      <xdr:rowOff>172347</xdr:rowOff>
    </xdr:from>
    <xdr:to>
      <xdr:col>57</xdr:col>
      <xdr:colOff>71604</xdr:colOff>
      <xdr:row>94</xdr:row>
      <xdr:rowOff>182096</xdr:rowOff>
    </xdr:to>
    <xdr:cxnSp macro="">
      <xdr:nvCxnSpPr>
        <xdr:cNvPr id="38" name="Straight Connector 37">
          <a:extLst>
            <a:ext uri="{FF2B5EF4-FFF2-40B4-BE49-F238E27FC236}">
              <a16:creationId xmlns:a16="http://schemas.microsoft.com/office/drawing/2014/main" id="{03547AAE-CC20-4AAE-B70C-7393EEA6A958}"/>
            </a:ext>
          </a:extLst>
        </xdr:cNvPr>
        <xdr:cNvCxnSpPr/>
      </xdr:nvCxnSpPr>
      <xdr:spPr>
        <a:xfrm>
          <a:off x="18519512" y="18975818"/>
          <a:ext cx="11763151" cy="9749"/>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39" name="Straight Connector 38">
          <a:extLst>
            <a:ext uri="{FF2B5EF4-FFF2-40B4-BE49-F238E27FC236}">
              <a16:creationId xmlns:a16="http://schemas.microsoft.com/office/drawing/2014/main" id="{67B5680E-672C-41A3-B147-D533658A27A0}"/>
            </a:ext>
          </a:extLst>
        </xdr:cNvPr>
        <xdr:cNvCxnSpPr/>
      </xdr:nvCxnSpPr>
      <xdr:spPr>
        <a:xfrm>
          <a:off x="18002250" y="198404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41237</xdr:colOff>
      <xdr:row>98</xdr:row>
      <xdr:rowOff>47622</xdr:rowOff>
    </xdr:from>
    <xdr:to>
      <xdr:col>22</xdr:col>
      <xdr:colOff>43010</xdr:colOff>
      <xdr:row>170</xdr:row>
      <xdr:rowOff>45720</xdr:rowOff>
    </xdr:to>
    <xdr:cxnSp macro="">
      <xdr:nvCxnSpPr>
        <xdr:cNvPr id="40" name="Straight Connector 39">
          <a:extLst>
            <a:ext uri="{FF2B5EF4-FFF2-40B4-BE49-F238E27FC236}">
              <a16:creationId xmlns:a16="http://schemas.microsoft.com/office/drawing/2014/main" id="{68168D06-692E-464B-89C3-EAE89F2ABF78}"/>
            </a:ext>
          </a:extLst>
        </xdr:cNvPr>
        <xdr:cNvCxnSpPr/>
      </xdr:nvCxnSpPr>
      <xdr:spPr>
        <a:xfrm flipH="1">
          <a:off x="18105119" y="20050122"/>
          <a:ext cx="1773" cy="15888039"/>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41" name="Straight Connector 40">
          <a:extLst>
            <a:ext uri="{FF2B5EF4-FFF2-40B4-BE49-F238E27FC236}">
              <a16:creationId xmlns:a16="http://schemas.microsoft.com/office/drawing/2014/main" id="{2B029A90-FE3C-49B5-BE74-D9D57CBC63E1}"/>
            </a:ext>
          </a:extLst>
        </xdr:cNvPr>
        <xdr:cNvCxnSpPr/>
      </xdr:nvCxnSpPr>
      <xdr:spPr>
        <a:xfrm>
          <a:off x="18002250" y="26593800"/>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50</xdr:col>
      <xdr:colOff>233978</xdr:colOff>
      <xdr:row>125</xdr:row>
      <xdr:rowOff>200361</xdr:rowOff>
    </xdr:from>
    <xdr:ext cx="219075" cy="247650"/>
    <xdr:pic>
      <xdr:nvPicPr>
        <xdr:cNvPr id="43" name="Picture 42" descr="https://tse1.mm.bing.net/th?id=OIP.11IPUqok7qInEpcWmz9WawHaIZ&amp;pid=Api&amp;P=0">
          <a:extLst>
            <a:ext uri="{FF2B5EF4-FFF2-40B4-BE49-F238E27FC236}">
              <a16:creationId xmlns:a16="http://schemas.microsoft.com/office/drawing/2014/main" id="{4698AA8F-1A37-4DC4-99D7-695526660BF2}"/>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04028" y="26175036"/>
          <a:ext cx="219075" cy="247650"/>
        </a:xfrm>
        <a:prstGeom prst="rect">
          <a:avLst/>
        </a:prstGeom>
        <a:noFill/>
        <a:ln w="9525">
          <a:noFill/>
          <a:miter lim="800000"/>
          <a:headEnd/>
          <a:tailEnd/>
        </a:ln>
      </xdr:spPr>
    </xdr:pic>
    <xdr:clientData/>
  </xdr:oneCellAnchor>
  <xdr:twoCellAnchor>
    <xdr:from>
      <xdr:col>22</xdr:col>
      <xdr:colOff>50346</xdr:colOff>
      <xdr:row>169</xdr:row>
      <xdr:rowOff>175260</xdr:rowOff>
    </xdr:from>
    <xdr:to>
      <xdr:col>57</xdr:col>
      <xdr:colOff>57966</xdr:colOff>
      <xdr:row>170</xdr:row>
      <xdr:rowOff>11563</xdr:rowOff>
    </xdr:to>
    <xdr:cxnSp macro="">
      <xdr:nvCxnSpPr>
        <xdr:cNvPr id="44" name="Straight Connector 43">
          <a:extLst>
            <a:ext uri="{FF2B5EF4-FFF2-40B4-BE49-F238E27FC236}">
              <a16:creationId xmlns:a16="http://schemas.microsoft.com/office/drawing/2014/main" id="{BBD8359B-AAD2-4ACB-8B75-8474995BD7FA}"/>
            </a:ext>
          </a:extLst>
        </xdr:cNvPr>
        <xdr:cNvCxnSpPr/>
      </xdr:nvCxnSpPr>
      <xdr:spPr>
        <a:xfrm>
          <a:off x="18052596" y="35646360"/>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57</xdr:col>
      <xdr:colOff>1088</xdr:colOff>
      <xdr:row>170</xdr:row>
      <xdr:rowOff>121920</xdr:rowOff>
    </xdr:to>
    <xdr:cxnSp macro="">
      <xdr:nvCxnSpPr>
        <xdr:cNvPr id="45" name="Straight Connector 44">
          <a:extLst>
            <a:ext uri="{FF2B5EF4-FFF2-40B4-BE49-F238E27FC236}">
              <a16:creationId xmlns:a16="http://schemas.microsoft.com/office/drawing/2014/main" id="{F9E54F6C-94CE-4002-8810-28D25BE51451}"/>
            </a:ext>
          </a:extLst>
        </xdr:cNvPr>
        <xdr:cNvCxnSpPr/>
      </xdr:nvCxnSpPr>
      <xdr:spPr>
        <a:xfrm>
          <a:off x="29327343" y="19831047"/>
          <a:ext cx="10745" cy="159524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37</xdr:col>
      <xdr:colOff>102982</xdr:colOff>
      <xdr:row>118</xdr:row>
      <xdr:rowOff>172683</xdr:rowOff>
    </xdr:from>
    <xdr:ext cx="219075" cy="247650"/>
    <xdr:pic>
      <xdr:nvPicPr>
        <xdr:cNvPr id="46" name="Picture 45" descr="https://tse1.mm.bing.net/th?id=OIP.11IPUqok7qInEpcWmz9WawHaIZ&amp;pid=Api&amp;P=0">
          <a:extLst>
            <a:ext uri="{FF2B5EF4-FFF2-40B4-BE49-F238E27FC236}">
              <a16:creationId xmlns:a16="http://schemas.microsoft.com/office/drawing/2014/main" id="{897B0E6F-CE43-4B53-B2CD-51E5A5627E3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3590511" y="24220507"/>
          <a:ext cx="219075" cy="247650"/>
        </a:xfrm>
        <a:prstGeom prst="rect">
          <a:avLst/>
        </a:prstGeom>
        <a:noFill/>
        <a:ln w="9525">
          <a:noFill/>
          <a:miter lim="800000"/>
          <a:headEnd/>
          <a:tailEnd/>
        </a:ln>
      </xdr:spPr>
    </xdr:pic>
    <xdr:clientData/>
  </xdr:oneCellAnchor>
  <xdr:twoCellAnchor editAs="oneCell">
    <xdr:from>
      <xdr:col>14</xdr:col>
      <xdr:colOff>108857</xdr:colOff>
      <xdr:row>74</xdr:row>
      <xdr:rowOff>81642</xdr:rowOff>
    </xdr:from>
    <xdr:to>
      <xdr:col>15</xdr:col>
      <xdr:colOff>517978</xdr:colOff>
      <xdr:row>78</xdr:row>
      <xdr:rowOff>40820</xdr:rowOff>
    </xdr:to>
    <xdr:pic>
      <xdr:nvPicPr>
        <xdr:cNvPr id="47" name="Picture 46">
          <a:extLst>
            <a:ext uri="{FF2B5EF4-FFF2-40B4-BE49-F238E27FC236}">
              <a16:creationId xmlns:a16="http://schemas.microsoft.com/office/drawing/2014/main" id="{C79D20D7-5B86-4AAA-8A71-72F47A57869B}"/>
            </a:ext>
          </a:extLst>
        </xdr:cNvPr>
        <xdr:cNvPicPr/>
      </xdr:nvPicPr>
      <xdr:blipFill>
        <a:blip xmlns:r="http://schemas.openxmlformats.org/officeDocument/2006/relationships" r:embed="rId5" cstate="print"/>
        <a:srcRect/>
        <a:stretch>
          <a:fillRect/>
        </a:stretch>
      </xdr:blipFill>
      <xdr:spPr bwMode="auto">
        <a:xfrm>
          <a:off x="12462782" y="15093042"/>
          <a:ext cx="1134926" cy="75927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215441</xdr:colOff>
      <xdr:row>19</xdr:row>
      <xdr:rowOff>100695</xdr:rowOff>
    </xdr:from>
    <xdr:to>
      <xdr:col>15</xdr:col>
      <xdr:colOff>523234</xdr:colOff>
      <xdr:row>22</xdr:row>
      <xdr:rowOff>164195</xdr:rowOff>
    </xdr:to>
    <xdr:pic>
      <xdr:nvPicPr>
        <xdr:cNvPr id="2" name="Picture 1">
          <a:extLst>
            <a:ext uri="{FF2B5EF4-FFF2-40B4-BE49-F238E27FC236}">
              <a16:creationId xmlns:a16="http://schemas.microsoft.com/office/drawing/2014/main" id="{3EDD1ABB-6704-4542-8060-9A0C3AF0148F}"/>
            </a:ext>
          </a:extLst>
        </xdr:cNvPr>
        <xdr:cNvPicPr/>
      </xdr:nvPicPr>
      <xdr:blipFill>
        <a:blip xmlns:r="http://schemas.openxmlformats.org/officeDocument/2006/relationships" r:embed="rId1" cstate="print"/>
        <a:srcRect b="17620"/>
        <a:stretch>
          <a:fillRect/>
        </a:stretch>
      </xdr:blipFill>
      <xdr:spPr>
        <a:xfrm>
          <a:off x="12569366" y="3729720"/>
          <a:ext cx="1022168" cy="663575"/>
        </a:xfrm>
        <a:prstGeom prst="rect">
          <a:avLst/>
        </a:prstGeom>
        <a:noFill/>
        <a:ln w="9525">
          <a:noFill/>
          <a:miter lim="800000"/>
          <a:headEnd/>
          <a:tailEnd/>
        </a:ln>
      </xdr:spPr>
    </xdr:pic>
    <xdr:clientData/>
  </xdr:twoCellAnchor>
  <xdr:oneCellAnchor>
    <xdr:from>
      <xdr:col>45</xdr:col>
      <xdr:colOff>278130</xdr:colOff>
      <xdr:row>62</xdr:row>
      <xdr:rowOff>182880</xdr:rowOff>
    </xdr:from>
    <xdr:ext cx="219075" cy="247650"/>
    <xdr:pic>
      <xdr:nvPicPr>
        <xdr:cNvPr id="3" name="Picture 2" descr="https://tse1.mm.bing.net/th?id=OIP.11IPUqok7qInEpcWmz9WawHaIZ&amp;pid=Api&amp;P=0">
          <a:extLst>
            <a:ext uri="{FF2B5EF4-FFF2-40B4-BE49-F238E27FC236}">
              <a16:creationId xmlns:a16="http://schemas.microsoft.com/office/drawing/2014/main" id="{203E224F-A075-4949-A32C-41DE83B64279}"/>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28930"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4" name="Straight Connector 3">
          <a:extLst>
            <a:ext uri="{FF2B5EF4-FFF2-40B4-BE49-F238E27FC236}">
              <a16:creationId xmlns:a16="http://schemas.microsoft.com/office/drawing/2014/main" id="{4AB31031-6BEB-49BC-BC5D-56D30F06DD70}"/>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5" name="Straight Connector 4">
          <a:extLst>
            <a:ext uri="{FF2B5EF4-FFF2-40B4-BE49-F238E27FC236}">
              <a16:creationId xmlns:a16="http://schemas.microsoft.com/office/drawing/2014/main" id="{B8CBFAD3-B4BD-4A63-9EFF-22976DE7CA67}"/>
            </a:ext>
          </a:extLst>
        </xdr:cNvPr>
        <xdr:cNvCxnSpPr/>
      </xdr:nvCxnSpPr>
      <xdr:spPr>
        <a:xfrm>
          <a:off x="18022981" y="3629026"/>
          <a:ext cx="7844" cy="1564005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6" name="Straight Connector 5">
          <a:extLst>
            <a:ext uri="{FF2B5EF4-FFF2-40B4-BE49-F238E27FC236}">
              <a16:creationId xmlns:a16="http://schemas.microsoft.com/office/drawing/2014/main" id="{F7DEA82F-BF7A-4225-8EE1-6BA2E9A1EAF6}"/>
            </a:ext>
          </a:extLst>
        </xdr:cNvPr>
        <xdr:cNvCxnSpPr/>
      </xdr:nvCxnSpPr>
      <xdr:spPr>
        <a:xfrm>
          <a:off x="29310108" y="3667125"/>
          <a:ext cx="36417" cy="1559242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7" name="Picture 6">
          <a:extLst>
            <a:ext uri="{FF2B5EF4-FFF2-40B4-BE49-F238E27FC236}">
              <a16:creationId xmlns:a16="http://schemas.microsoft.com/office/drawing/2014/main" id="{9C2377B9-7957-4249-A1FE-7B9E4CAB46D7}"/>
            </a:ext>
          </a:extLst>
        </xdr:cNvPr>
        <xdr:cNvPicPr/>
      </xdr:nvPicPr>
      <xdr:blipFill>
        <a:blip xmlns:r="http://schemas.openxmlformats.org/officeDocument/2006/relationships" r:embed="rId4" cstate="print"/>
        <a:srcRect/>
        <a:stretch>
          <a:fillRect/>
        </a:stretch>
      </xdr:blipFill>
      <xdr:spPr bwMode="auto">
        <a:xfrm>
          <a:off x="22840950"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8" name="Straight Connector 7">
          <a:extLst>
            <a:ext uri="{FF2B5EF4-FFF2-40B4-BE49-F238E27FC236}">
              <a16:creationId xmlns:a16="http://schemas.microsoft.com/office/drawing/2014/main" id="{12FCCB62-8CDD-4844-A375-39789F1D9C9A}"/>
            </a:ext>
          </a:extLst>
        </xdr:cNvPr>
        <xdr:cNvCxnSpPr/>
      </xdr:nvCxnSpPr>
      <xdr:spPr>
        <a:xfrm flipV="1">
          <a:off x="18002250"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9" name="Straight Connector 8">
          <a:extLst>
            <a:ext uri="{FF2B5EF4-FFF2-40B4-BE49-F238E27FC236}">
              <a16:creationId xmlns:a16="http://schemas.microsoft.com/office/drawing/2014/main" id="{B32AC6E2-7D57-493F-B90A-FDF5B0481BB1}"/>
            </a:ext>
          </a:extLst>
        </xdr:cNvPr>
        <xdr:cNvCxnSpPr/>
      </xdr:nvCxnSpPr>
      <xdr:spPr>
        <a:xfrm>
          <a:off x="18025110" y="17803906"/>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10" name="Straight Connector 9">
          <a:extLst>
            <a:ext uri="{FF2B5EF4-FFF2-40B4-BE49-F238E27FC236}">
              <a16:creationId xmlns:a16="http://schemas.microsoft.com/office/drawing/2014/main" id="{B80BF3A1-B70C-4F37-BEB5-7A1F36036E0F}"/>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85725</xdr:colOff>
      <xdr:row>31</xdr:row>
      <xdr:rowOff>169545</xdr:rowOff>
    </xdr:from>
    <xdr:ext cx="219075" cy="247650"/>
    <xdr:pic>
      <xdr:nvPicPr>
        <xdr:cNvPr id="11" name="Picture 10" descr="https://tse1.mm.bing.net/th?id=OIP.11IPUqok7qInEpcWmz9WawHaIZ&amp;pid=Api&amp;P=0">
          <a:extLst>
            <a:ext uri="{FF2B5EF4-FFF2-40B4-BE49-F238E27FC236}">
              <a16:creationId xmlns:a16="http://schemas.microsoft.com/office/drawing/2014/main" id="{07FF774E-C3FB-4585-BFDF-8877C88D22B2}"/>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411825" y="6303645"/>
          <a:ext cx="219075" cy="247650"/>
        </a:xfrm>
        <a:prstGeom prst="rect">
          <a:avLst/>
        </a:prstGeom>
        <a:noFill/>
        <a:ln w="9525">
          <a:noFill/>
          <a:miter lim="800000"/>
          <a:headEnd/>
          <a:tailEnd/>
        </a:ln>
      </xdr:spPr>
    </xdr:pic>
    <xdr:clientData/>
  </xdr:oneCellAnchor>
  <xdr:oneCellAnchor>
    <xdr:from>
      <xdr:col>30</xdr:col>
      <xdr:colOff>93345</xdr:colOff>
      <xdr:row>31</xdr:row>
      <xdr:rowOff>158115</xdr:rowOff>
    </xdr:from>
    <xdr:ext cx="219075" cy="247650"/>
    <xdr:pic>
      <xdr:nvPicPr>
        <xdr:cNvPr id="12" name="Picture 11" descr="https://tse1.mm.bing.net/th?id=OIP.11IPUqok7qInEpcWmz9WawHaIZ&amp;pid=Api&amp;P=0">
          <a:extLst>
            <a:ext uri="{FF2B5EF4-FFF2-40B4-BE49-F238E27FC236}">
              <a16:creationId xmlns:a16="http://schemas.microsoft.com/office/drawing/2014/main" id="{0DBFAD87-50F6-4C71-B563-95447AA54CFD}"/>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686395" y="6292215"/>
          <a:ext cx="219075" cy="247650"/>
        </a:xfrm>
        <a:prstGeom prst="rect">
          <a:avLst/>
        </a:prstGeom>
        <a:noFill/>
        <a:ln w="9525">
          <a:noFill/>
          <a:miter lim="800000"/>
          <a:headEnd/>
          <a:tailEnd/>
        </a:ln>
      </xdr:spPr>
    </xdr:pic>
    <xdr:clientData/>
  </xdr:oneCellAnchor>
  <xdr:oneCellAnchor>
    <xdr:from>
      <xdr:col>45</xdr:col>
      <xdr:colOff>85725</xdr:colOff>
      <xdr:row>31</xdr:row>
      <xdr:rowOff>167640</xdr:rowOff>
    </xdr:from>
    <xdr:ext cx="219075" cy="247650"/>
    <xdr:pic>
      <xdr:nvPicPr>
        <xdr:cNvPr id="13" name="Picture 12" descr="https://tse1.mm.bing.net/th?id=OIP.11IPUqok7qInEpcWmz9WawHaIZ&amp;pid=Api&amp;P=0">
          <a:extLst>
            <a:ext uri="{FF2B5EF4-FFF2-40B4-BE49-F238E27FC236}">
              <a16:creationId xmlns:a16="http://schemas.microsoft.com/office/drawing/2014/main" id="{1C5B057E-6C26-4E05-A25D-DEC16EA0FB8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536525" y="6301740"/>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14" name="Picture 13" descr="https://tse1.mm.bing.net/th?id=OIP.11IPUqok7qInEpcWmz9WawHaIZ&amp;pid=Api&amp;P=0">
          <a:extLst>
            <a:ext uri="{FF2B5EF4-FFF2-40B4-BE49-F238E27FC236}">
              <a16:creationId xmlns:a16="http://schemas.microsoft.com/office/drawing/2014/main" id="{18EB6551-223A-40D5-955D-FA1C0D968F77}"/>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002625" y="8336280"/>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15" name="Picture 14" descr="https://tse1.mm.bing.net/th?id=OIP.11IPUqok7qInEpcWmz9WawHaIZ&amp;pid=Api&amp;P=0">
          <a:extLst>
            <a:ext uri="{FF2B5EF4-FFF2-40B4-BE49-F238E27FC236}">
              <a16:creationId xmlns:a16="http://schemas.microsoft.com/office/drawing/2014/main" id="{AC4715F9-08E5-4136-8E2E-704A904E64B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898350" y="8351520"/>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16" name="Straight Connector 15">
          <a:extLst>
            <a:ext uri="{FF2B5EF4-FFF2-40B4-BE49-F238E27FC236}">
              <a16:creationId xmlns:a16="http://schemas.microsoft.com/office/drawing/2014/main" id="{960F3CA8-0057-45A7-B715-D7B8D5A7B3D5}"/>
            </a:ext>
          </a:extLst>
        </xdr:cNvPr>
        <xdr:cNvCxnSpPr/>
      </xdr:nvCxnSpPr>
      <xdr:spPr>
        <a:xfrm>
          <a:off x="18002250" y="19280505"/>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17" name="Straight Connector 16">
          <a:extLst>
            <a:ext uri="{FF2B5EF4-FFF2-40B4-BE49-F238E27FC236}">
              <a16:creationId xmlns:a16="http://schemas.microsoft.com/office/drawing/2014/main" id="{49DDC2A4-595C-4283-8261-61D81EBD651F}"/>
            </a:ext>
          </a:extLst>
        </xdr:cNvPr>
        <xdr:cNvCxnSpPr/>
      </xdr:nvCxnSpPr>
      <xdr:spPr>
        <a:xfrm>
          <a:off x="18002250" y="198404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18" name="Straight Connector 17">
          <a:extLst>
            <a:ext uri="{FF2B5EF4-FFF2-40B4-BE49-F238E27FC236}">
              <a16:creationId xmlns:a16="http://schemas.microsoft.com/office/drawing/2014/main" id="{E9D76BC6-FFF5-43C7-8968-C56B0E043438}"/>
            </a:ext>
          </a:extLst>
        </xdr:cNvPr>
        <xdr:cNvCxnSpPr/>
      </xdr:nvCxnSpPr>
      <xdr:spPr>
        <a:xfrm flipH="1">
          <a:off x="18009870" y="19869147"/>
          <a:ext cx="1773" cy="158381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19" name="Straight Connector 18">
          <a:extLst>
            <a:ext uri="{FF2B5EF4-FFF2-40B4-BE49-F238E27FC236}">
              <a16:creationId xmlns:a16="http://schemas.microsoft.com/office/drawing/2014/main" id="{1F06B18A-AF7B-4858-9B10-30E4D3266C86}"/>
            </a:ext>
          </a:extLst>
        </xdr:cNvPr>
        <xdr:cNvCxnSpPr/>
      </xdr:nvCxnSpPr>
      <xdr:spPr>
        <a:xfrm>
          <a:off x="18002250" y="26593800"/>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103206</xdr:colOff>
      <xdr:row>125</xdr:row>
      <xdr:rowOff>147917</xdr:rowOff>
    </xdr:from>
    <xdr:ext cx="219075" cy="247650"/>
    <xdr:pic>
      <xdr:nvPicPr>
        <xdr:cNvPr id="20" name="Picture 19" descr="https://tse1.mm.bing.net/th?id=OIP.11IPUqok7qInEpcWmz9WawHaIZ&amp;pid=Api&amp;P=0">
          <a:extLst>
            <a:ext uri="{FF2B5EF4-FFF2-40B4-BE49-F238E27FC236}">
              <a16:creationId xmlns:a16="http://schemas.microsoft.com/office/drawing/2014/main" id="{10E5266B-F424-4DC5-94EC-3F4D67147BA5}"/>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230156" y="26122592"/>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21" name="Picture 20" descr="https://tse1.mm.bing.net/th?id=OIP.11IPUqok7qInEpcWmz9WawHaIZ&amp;pid=Api&amp;P=0">
          <a:extLst>
            <a:ext uri="{FF2B5EF4-FFF2-40B4-BE49-F238E27FC236}">
              <a16:creationId xmlns:a16="http://schemas.microsoft.com/office/drawing/2014/main" id="{D2999AB5-29FE-45D2-A2F2-915EBFC3C279}"/>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04028" y="26175036"/>
          <a:ext cx="219075" cy="247650"/>
        </a:xfrm>
        <a:prstGeom prst="rect">
          <a:avLst/>
        </a:prstGeom>
        <a:noFill/>
        <a:ln w="9525">
          <a:noFill/>
          <a:miter lim="800000"/>
          <a:headEnd/>
          <a:tailEnd/>
        </a:ln>
      </xdr:spPr>
    </xdr:pic>
    <xdr:clientData/>
  </xdr:oneCellAnchor>
  <xdr:twoCellAnchor>
    <xdr:from>
      <xdr:col>22</xdr:col>
      <xdr:colOff>9525</xdr:colOff>
      <xdr:row>169</xdr:row>
      <xdr:rowOff>175260</xdr:rowOff>
    </xdr:from>
    <xdr:to>
      <xdr:col>57</xdr:col>
      <xdr:colOff>17145</xdr:colOff>
      <xdr:row>170</xdr:row>
      <xdr:rowOff>11563</xdr:rowOff>
    </xdr:to>
    <xdr:cxnSp macro="">
      <xdr:nvCxnSpPr>
        <xdr:cNvPr id="22" name="Straight Connector 21">
          <a:extLst>
            <a:ext uri="{FF2B5EF4-FFF2-40B4-BE49-F238E27FC236}">
              <a16:creationId xmlns:a16="http://schemas.microsoft.com/office/drawing/2014/main" id="{D1421AEC-146E-4FC8-8149-B13C7E079D69}"/>
            </a:ext>
          </a:extLst>
        </xdr:cNvPr>
        <xdr:cNvCxnSpPr/>
      </xdr:nvCxnSpPr>
      <xdr:spPr>
        <a:xfrm>
          <a:off x="18011775" y="35646360"/>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56</xdr:col>
      <xdr:colOff>327660</xdr:colOff>
      <xdr:row>170</xdr:row>
      <xdr:rowOff>121920</xdr:rowOff>
    </xdr:to>
    <xdr:cxnSp macro="">
      <xdr:nvCxnSpPr>
        <xdr:cNvPr id="23" name="Straight Connector 22">
          <a:extLst>
            <a:ext uri="{FF2B5EF4-FFF2-40B4-BE49-F238E27FC236}">
              <a16:creationId xmlns:a16="http://schemas.microsoft.com/office/drawing/2014/main" id="{B6153664-AABD-4D2C-8427-0D060BB92AFC}"/>
            </a:ext>
          </a:extLst>
        </xdr:cNvPr>
        <xdr:cNvCxnSpPr/>
      </xdr:nvCxnSpPr>
      <xdr:spPr>
        <a:xfrm>
          <a:off x="29327343" y="19831047"/>
          <a:ext cx="13467" cy="159524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278130</xdr:colOff>
      <xdr:row>62</xdr:row>
      <xdr:rowOff>182880</xdr:rowOff>
    </xdr:from>
    <xdr:ext cx="219075" cy="247650"/>
    <xdr:pic>
      <xdr:nvPicPr>
        <xdr:cNvPr id="24" name="Picture 23" descr="https://tse1.mm.bing.net/th?id=OIP.11IPUqok7qInEpcWmz9WawHaIZ&amp;pid=Api&amp;P=0">
          <a:extLst>
            <a:ext uri="{FF2B5EF4-FFF2-40B4-BE49-F238E27FC236}">
              <a16:creationId xmlns:a16="http://schemas.microsoft.com/office/drawing/2014/main" id="{9FFF9836-0676-46DA-A564-9EBDDF438E39}"/>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28930"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25" name="Straight Connector 24">
          <a:extLst>
            <a:ext uri="{FF2B5EF4-FFF2-40B4-BE49-F238E27FC236}">
              <a16:creationId xmlns:a16="http://schemas.microsoft.com/office/drawing/2014/main" id="{FF5CD7CF-6FEB-445F-B815-DEA2FC8DAA7D}"/>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1027659</xdr:colOff>
      <xdr:row>18</xdr:row>
      <xdr:rowOff>190501</xdr:rowOff>
    </xdr:from>
    <xdr:to>
      <xdr:col>21</xdr:col>
      <xdr:colOff>1035503</xdr:colOff>
      <xdr:row>95</xdr:row>
      <xdr:rowOff>5446</xdr:rowOff>
    </xdr:to>
    <xdr:cxnSp macro="">
      <xdr:nvCxnSpPr>
        <xdr:cNvPr id="26" name="Straight Connector 25">
          <a:extLst>
            <a:ext uri="{FF2B5EF4-FFF2-40B4-BE49-F238E27FC236}">
              <a16:creationId xmlns:a16="http://schemas.microsoft.com/office/drawing/2014/main" id="{D18B4FAD-F012-4E31-85E5-3FD39AE34E24}"/>
            </a:ext>
          </a:extLst>
        </xdr:cNvPr>
        <xdr:cNvCxnSpPr/>
      </xdr:nvCxnSpPr>
      <xdr:spPr>
        <a:xfrm>
          <a:off x="17982159" y="3619501"/>
          <a:ext cx="7844" cy="1563597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27" name="Straight Connector 26">
          <a:extLst>
            <a:ext uri="{FF2B5EF4-FFF2-40B4-BE49-F238E27FC236}">
              <a16:creationId xmlns:a16="http://schemas.microsoft.com/office/drawing/2014/main" id="{5D35D67D-0BF8-4991-9933-4E5B240CD4D0}"/>
            </a:ext>
          </a:extLst>
        </xdr:cNvPr>
        <xdr:cNvCxnSpPr/>
      </xdr:nvCxnSpPr>
      <xdr:spPr>
        <a:xfrm>
          <a:off x="29310108" y="3667125"/>
          <a:ext cx="36417" cy="1559242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28" name="Picture 27">
          <a:extLst>
            <a:ext uri="{FF2B5EF4-FFF2-40B4-BE49-F238E27FC236}">
              <a16:creationId xmlns:a16="http://schemas.microsoft.com/office/drawing/2014/main" id="{7A9DCB47-8B0D-4CC1-89FF-B1A438A15708}"/>
            </a:ext>
          </a:extLst>
        </xdr:cNvPr>
        <xdr:cNvPicPr/>
      </xdr:nvPicPr>
      <xdr:blipFill>
        <a:blip xmlns:r="http://schemas.openxmlformats.org/officeDocument/2006/relationships" r:embed="rId4" cstate="print"/>
        <a:srcRect/>
        <a:stretch>
          <a:fillRect/>
        </a:stretch>
      </xdr:blipFill>
      <xdr:spPr bwMode="auto">
        <a:xfrm>
          <a:off x="22840950"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29" name="Straight Connector 28">
          <a:extLst>
            <a:ext uri="{FF2B5EF4-FFF2-40B4-BE49-F238E27FC236}">
              <a16:creationId xmlns:a16="http://schemas.microsoft.com/office/drawing/2014/main" id="{A8FDE3C1-036E-41EF-97C6-94B0A8E93A02}"/>
            </a:ext>
          </a:extLst>
        </xdr:cNvPr>
        <xdr:cNvCxnSpPr/>
      </xdr:nvCxnSpPr>
      <xdr:spPr>
        <a:xfrm flipV="1">
          <a:off x="18002250"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30" name="Straight Connector 29">
          <a:extLst>
            <a:ext uri="{FF2B5EF4-FFF2-40B4-BE49-F238E27FC236}">
              <a16:creationId xmlns:a16="http://schemas.microsoft.com/office/drawing/2014/main" id="{3D201BC7-94E5-4E18-8E4C-1C4E3B854F4A}"/>
            </a:ext>
          </a:extLst>
        </xdr:cNvPr>
        <xdr:cNvCxnSpPr/>
      </xdr:nvCxnSpPr>
      <xdr:spPr>
        <a:xfrm>
          <a:off x="18025110" y="17803906"/>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31" name="Straight Connector 30">
          <a:extLst>
            <a:ext uri="{FF2B5EF4-FFF2-40B4-BE49-F238E27FC236}">
              <a16:creationId xmlns:a16="http://schemas.microsoft.com/office/drawing/2014/main" id="{23C829F2-A18A-40F5-83B3-D8BD6AAA721E}"/>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85725</xdr:colOff>
      <xdr:row>31</xdr:row>
      <xdr:rowOff>169545</xdr:rowOff>
    </xdr:from>
    <xdr:ext cx="219075" cy="247650"/>
    <xdr:pic>
      <xdr:nvPicPr>
        <xdr:cNvPr id="32" name="Picture 31" descr="https://tse1.mm.bing.net/th?id=OIP.11IPUqok7qInEpcWmz9WawHaIZ&amp;pid=Api&amp;P=0">
          <a:extLst>
            <a:ext uri="{FF2B5EF4-FFF2-40B4-BE49-F238E27FC236}">
              <a16:creationId xmlns:a16="http://schemas.microsoft.com/office/drawing/2014/main" id="{45540EB6-D96B-4434-9780-2B9E25A80D83}"/>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411825" y="6303645"/>
          <a:ext cx="219075" cy="247650"/>
        </a:xfrm>
        <a:prstGeom prst="rect">
          <a:avLst/>
        </a:prstGeom>
        <a:noFill/>
        <a:ln w="9525">
          <a:noFill/>
          <a:miter lim="800000"/>
          <a:headEnd/>
          <a:tailEnd/>
        </a:ln>
      </xdr:spPr>
    </xdr:pic>
    <xdr:clientData/>
  </xdr:oneCellAnchor>
  <xdr:oneCellAnchor>
    <xdr:from>
      <xdr:col>30</xdr:col>
      <xdr:colOff>93345</xdr:colOff>
      <xdr:row>31</xdr:row>
      <xdr:rowOff>158115</xdr:rowOff>
    </xdr:from>
    <xdr:ext cx="219075" cy="247650"/>
    <xdr:pic>
      <xdr:nvPicPr>
        <xdr:cNvPr id="33" name="Picture 32" descr="https://tse1.mm.bing.net/th?id=OIP.11IPUqok7qInEpcWmz9WawHaIZ&amp;pid=Api&amp;P=0">
          <a:extLst>
            <a:ext uri="{FF2B5EF4-FFF2-40B4-BE49-F238E27FC236}">
              <a16:creationId xmlns:a16="http://schemas.microsoft.com/office/drawing/2014/main" id="{44ABD587-1334-42AE-9202-88489C16A7C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686395" y="6292215"/>
          <a:ext cx="219075" cy="247650"/>
        </a:xfrm>
        <a:prstGeom prst="rect">
          <a:avLst/>
        </a:prstGeom>
        <a:noFill/>
        <a:ln w="9525">
          <a:noFill/>
          <a:miter lim="800000"/>
          <a:headEnd/>
          <a:tailEnd/>
        </a:ln>
      </xdr:spPr>
    </xdr:pic>
    <xdr:clientData/>
  </xdr:oneCellAnchor>
  <xdr:oneCellAnchor>
    <xdr:from>
      <xdr:col>38</xdr:col>
      <xdr:colOff>89535</xdr:colOff>
      <xdr:row>34</xdr:row>
      <xdr:rowOff>152128</xdr:rowOff>
    </xdr:from>
    <xdr:ext cx="219075" cy="247650"/>
    <xdr:pic>
      <xdr:nvPicPr>
        <xdr:cNvPr id="34" name="Picture 33" descr="https://tse1.mm.bing.net/th?id=OIP.11IPUqok7qInEpcWmz9WawHaIZ&amp;pid=Api&amp;P=0">
          <a:extLst>
            <a:ext uri="{FF2B5EF4-FFF2-40B4-BE49-F238E27FC236}">
              <a16:creationId xmlns:a16="http://schemas.microsoft.com/office/drawing/2014/main" id="{DC10B322-451A-416D-9CCB-E9E1A733C6F1}"/>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3273385" y="6886303"/>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35" name="Picture 34" descr="https://tse1.mm.bing.net/th?id=OIP.11IPUqok7qInEpcWmz9WawHaIZ&amp;pid=Api&amp;P=0">
          <a:extLst>
            <a:ext uri="{FF2B5EF4-FFF2-40B4-BE49-F238E27FC236}">
              <a16:creationId xmlns:a16="http://schemas.microsoft.com/office/drawing/2014/main" id="{C729937D-9472-4B0A-9D66-22242820ADA5}"/>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002625" y="8336280"/>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36" name="Picture 35" descr="https://tse1.mm.bing.net/th?id=OIP.11IPUqok7qInEpcWmz9WawHaIZ&amp;pid=Api&amp;P=0">
          <a:extLst>
            <a:ext uri="{FF2B5EF4-FFF2-40B4-BE49-F238E27FC236}">
              <a16:creationId xmlns:a16="http://schemas.microsoft.com/office/drawing/2014/main" id="{D43AA658-664B-4331-8FCB-38B33AEC8FC1}"/>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898350" y="8351520"/>
          <a:ext cx="219075" cy="247650"/>
        </a:xfrm>
        <a:prstGeom prst="rect">
          <a:avLst/>
        </a:prstGeom>
        <a:noFill/>
        <a:ln w="9525">
          <a:noFill/>
          <a:miter lim="800000"/>
          <a:headEnd/>
          <a:tailEnd/>
        </a:ln>
      </xdr:spPr>
    </xdr:pic>
    <xdr:clientData/>
  </xdr:oneCellAnchor>
  <xdr:oneCellAnchor>
    <xdr:from>
      <xdr:col>42</xdr:col>
      <xdr:colOff>51435</xdr:colOff>
      <xdr:row>50</xdr:row>
      <xdr:rowOff>200025</xdr:rowOff>
    </xdr:from>
    <xdr:ext cx="219075" cy="247650"/>
    <xdr:pic>
      <xdr:nvPicPr>
        <xdr:cNvPr id="37" name="Picture 36" descr="https://tse1.mm.bing.net/th?id=OIP.11IPUqok7qInEpcWmz9WawHaIZ&amp;pid=Api&amp;P=0">
          <a:extLst>
            <a:ext uri="{FF2B5EF4-FFF2-40B4-BE49-F238E27FC236}">
              <a16:creationId xmlns:a16="http://schemas.microsoft.com/office/drawing/2014/main" id="{0B4A9915-C6AD-48B7-9F90-E43F231D4507}"/>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530685" y="10267950"/>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38" name="Straight Connector 37">
          <a:extLst>
            <a:ext uri="{FF2B5EF4-FFF2-40B4-BE49-F238E27FC236}">
              <a16:creationId xmlns:a16="http://schemas.microsoft.com/office/drawing/2014/main" id="{317FCE95-A06B-4AFD-8FB8-5DBEF9DE02A3}"/>
            </a:ext>
          </a:extLst>
        </xdr:cNvPr>
        <xdr:cNvCxnSpPr/>
      </xdr:nvCxnSpPr>
      <xdr:spPr>
        <a:xfrm>
          <a:off x="18002250" y="19280505"/>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39" name="Straight Connector 38">
          <a:extLst>
            <a:ext uri="{FF2B5EF4-FFF2-40B4-BE49-F238E27FC236}">
              <a16:creationId xmlns:a16="http://schemas.microsoft.com/office/drawing/2014/main" id="{EF6BB1DD-AD67-4531-A1D4-33FE0DE52487}"/>
            </a:ext>
          </a:extLst>
        </xdr:cNvPr>
        <xdr:cNvCxnSpPr/>
      </xdr:nvCxnSpPr>
      <xdr:spPr>
        <a:xfrm>
          <a:off x="18002250" y="198404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40" name="Straight Connector 39">
          <a:extLst>
            <a:ext uri="{FF2B5EF4-FFF2-40B4-BE49-F238E27FC236}">
              <a16:creationId xmlns:a16="http://schemas.microsoft.com/office/drawing/2014/main" id="{FF2DA0BD-C723-4C00-A7B6-6CE88B18371D}"/>
            </a:ext>
          </a:extLst>
        </xdr:cNvPr>
        <xdr:cNvCxnSpPr/>
      </xdr:nvCxnSpPr>
      <xdr:spPr>
        <a:xfrm flipH="1">
          <a:off x="18009870" y="19869147"/>
          <a:ext cx="1773" cy="158381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41" name="Straight Connector 40">
          <a:extLst>
            <a:ext uri="{FF2B5EF4-FFF2-40B4-BE49-F238E27FC236}">
              <a16:creationId xmlns:a16="http://schemas.microsoft.com/office/drawing/2014/main" id="{62318BF5-8DB6-4827-930E-487F41DA5A8C}"/>
            </a:ext>
          </a:extLst>
        </xdr:cNvPr>
        <xdr:cNvCxnSpPr/>
      </xdr:nvCxnSpPr>
      <xdr:spPr>
        <a:xfrm>
          <a:off x="18002250" y="26593800"/>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103206</xdr:colOff>
      <xdr:row>125</xdr:row>
      <xdr:rowOff>147917</xdr:rowOff>
    </xdr:from>
    <xdr:ext cx="219075" cy="247650"/>
    <xdr:pic>
      <xdr:nvPicPr>
        <xdr:cNvPr id="42" name="Picture 41" descr="https://tse1.mm.bing.net/th?id=OIP.11IPUqok7qInEpcWmz9WawHaIZ&amp;pid=Api&amp;P=0">
          <a:extLst>
            <a:ext uri="{FF2B5EF4-FFF2-40B4-BE49-F238E27FC236}">
              <a16:creationId xmlns:a16="http://schemas.microsoft.com/office/drawing/2014/main" id="{BA880C0A-0068-4124-876F-488C1E75744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230156" y="26122592"/>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43" name="Picture 42" descr="https://tse1.mm.bing.net/th?id=OIP.11IPUqok7qInEpcWmz9WawHaIZ&amp;pid=Api&amp;P=0">
          <a:extLst>
            <a:ext uri="{FF2B5EF4-FFF2-40B4-BE49-F238E27FC236}">
              <a16:creationId xmlns:a16="http://schemas.microsoft.com/office/drawing/2014/main" id="{B3A3D10E-BB71-48C3-B2D9-F668619CC71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04028" y="26175036"/>
          <a:ext cx="219075" cy="247650"/>
        </a:xfrm>
        <a:prstGeom prst="rect">
          <a:avLst/>
        </a:prstGeom>
        <a:noFill/>
        <a:ln w="9525">
          <a:noFill/>
          <a:miter lim="800000"/>
          <a:headEnd/>
          <a:tailEnd/>
        </a:ln>
      </xdr:spPr>
    </xdr:pic>
    <xdr:clientData/>
  </xdr:oneCellAnchor>
  <xdr:twoCellAnchor>
    <xdr:from>
      <xdr:col>22</xdr:col>
      <xdr:colOff>50346</xdr:colOff>
      <xdr:row>169</xdr:row>
      <xdr:rowOff>175260</xdr:rowOff>
    </xdr:from>
    <xdr:to>
      <xdr:col>57</xdr:col>
      <xdr:colOff>57966</xdr:colOff>
      <xdr:row>170</xdr:row>
      <xdr:rowOff>11563</xdr:rowOff>
    </xdr:to>
    <xdr:cxnSp macro="">
      <xdr:nvCxnSpPr>
        <xdr:cNvPr id="44" name="Straight Connector 43">
          <a:extLst>
            <a:ext uri="{FF2B5EF4-FFF2-40B4-BE49-F238E27FC236}">
              <a16:creationId xmlns:a16="http://schemas.microsoft.com/office/drawing/2014/main" id="{22AD6E62-79F7-4984-ADCA-40630B83A8ED}"/>
            </a:ext>
          </a:extLst>
        </xdr:cNvPr>
        <xdr:cNvCxnSpPr/>
      </xdr:nvCxnSpPr>
      <xdr:spPr>
        <a:xfrm>
          <a:off x="18052596" y="35646360"/>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57</xdr:col>
      <xdr:colOff>1088</xdr:colOff>
      <xdr:row>170</xdr:row>
      <xdr:rowOff>121920</xdr:rowOff>
    </xdr:to>
    <xdr:cxnSp macro="">
      <xdr:nvCxnSpPr>
        <xdr:cNvPr id="45" name="Straight Connector 44">
          <a:extLst>
            <a:ext uri="{FF2B5EF4-FFF2-40B4-BE49-F238E27FC236}">
              <a16:creationId xmlns:a16="http://schemas.microsoft.com/office/drawing/2014/main" id="{B66067A8-5FBC-46B8-AEEC-DE0CBAA3BFC8}"/>
            </a:ext>
          </a:extLst>
        </xdr:cNvPr>
        <xdr:cNvCxnSpPr/>
      </xdr:nvCxnSpPr>
      <xdr:spPr>
        <a:xfrm>
          <a:off x="29327343" y="19831047"/>
          <a:ext cx="10745" cy="159524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37</xdr:col>
      <xdr:colOff>93681</xdr:colOff>
      <xdr:row>121</xdr:row>
      <xdr:rowOff>176492</xdr:rowOff>
    </xdr:from>
    <xdr:ext cx="219075" cy="247650"/>
    <xdr:pic>
      <xdr:nvPicPr>
        <xdr:cNvPr id="46" name="Picture 45" descr="https://tse1.mm.bing.net/th?id=OIP.11IPUqok7qInEpcWmz9WawHaIZ&amp;pid=Api&amp;P=0">
          <a:extLst>
            <a:ext uri="{FF2B5EF4-FFF2-40B4-BE49-F238E27FC236}">
              <a16:creationId xmlns:a16="http://schemas.microsoft.com/office/drawing/2014/main" id="{D2DDE8C4-3E4C-43E2-AD9E-439A0EE61397}"/>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2953681" y="25341542"/>
          <a:ext cx="219075" cy="247650"/>
        </a:xfrm>
        <a:prstGeom prst="rect">
          <a:avLst/>
        </a:prstGeom>
        <a:noFill/>
        <a:ln w="9525">
          <a:noFill/>
          <a:miter lim="800000"/>
          <a:headEnd/>
          <a:tailEnd/>
        </a:ln>
      </xdr:spPr>
    </xdr:pic>
    <xdr:clientData/>
  </xdr:oneCellAnchor>
  <xdr:twoCellAnchor editAs="oneCell">
    <xdr:from>
      <xdr:col>14</xdr:col>
      <xdr:colOff>108857</xdr:colOff>
      <xdr:row>74</xdr:row>
      <xdr:rowOff>81642</xdr:rowOff>
    </xdr:from>
    <xdr:to>
      <xdr:col>15</xdr:col>
      <xdr:colOff>529408</xdr:colOff>
      <xdr:row>78</xdr:row>
      <xdr:rowOff>40821</xdr:rowOff>
    </xdr:to>
    <xdr:pic>
      <xdr:nvPicPr>
        <xdr:cNvPr id="47" name="Picture 46">
          <a:extLst>
            <a:ext uri="{FF2B5EF4-FFF2-40B4-BE49-F238E27FC236}">
              <a16:creationId xmlns:a16="http://schemas.microsoft.com/office/drawing/2014/main" id="{FFA80BFF-9C1C-47D7-A7D1-8FB1B9D6BB92}"/>
            </a:ext>
          </a:extLst>
        </xdr:cNvPr>
        <xdr:cNvPicPr/>
      </xdr:nvPicPr>
      <xdr:blipFill>
        <a:blip xmlns:r="http://schemas.openxmlformats.org/officeDocument/2006/relationships" r:embed="rId5" cstate="print"/>
        <a:srcRect/>
        <a:stretch>
          <a:fillRect/>
        </a:stretch>
      </xdr:blipFill>
      <xdr:spPr bwMode="auto">
        <a:xfrm>
          <a:off x="12462782" y="15093042"/>
          <a:ext cx="1134926" cy="75927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215441</xdr:colOff>
      <xdr:row>19</xdr:row>
      <xdr:rowOff>100695</xdr:rowOff>
    </xdr:from>
    <xdr:to>
      <xdr:col>15</xdr:col>
      <xdr:colOff>513709</xdr:colOff>
      <xdr:row>22</xdr:row>
      <xdr:rowOff>168005</xdr:rowOff>
    </xdr:to>
    <xdr:pic>
      <xdr:nvPicPr>
        <xdr:cNvPr id="2" name="Picture 1">
          <a:extLst>
            <a:ext uri="{FF2B5EF4-FFF2-40B4-BE49-F238E27FC236}">
              <a16:creationId xmlns:a16="http://schemas.microsoft.com/office/drawing/2014/main" id="{0A4DCC2F-F555-4904-9EB7-D68324636FC3}"/>
            </a:ext>
          </a:extLst>
        </xdr:cNvPr>
        <xdr:cNvPicPr/>
      </xdr:nvPicPr>
      <xdr:blipFill>
        <a:blip xmlns:r="http://schemas.openxmlformats.org/officeDocument/2006/relationships" r:embed="rId1" cstate="print"/>
        <a:srcRect b="17620"/>
        <a:stretch>
          <a:fillRect/>
        </a:stretch>
      </xdr:blipFill>
      <xdr:spPr>
        <a:xfrm>
          <a:off x="12569366" y="3729720"/>
          <a:ext cx="1022168" cy="663575"/>
        </a:xfrm>
        <a:prstGeom prst="rect">
          <a:avLst/>
        </a:prstGeom>
        <a:noFill/>
        <a:ln w="9525">
          <a:noFill/>
          <a:miter lim="800000"/>
          <a:headEnd/>
          <a:tailEnd/>
        </a:ln>
      </xdr:spPr>
    </xdr:pic>
    <xdr:clientData/>
  </xdr:twoCellAnchor>
  <xdr:oneCellAnchor>
    <xdr:from>
      <xdr:col>45</xdr:col>
      <xdr:colOff>278130</xdr:colOff>
      <xdr:row>62</xdr:row>
      <xdr:rowOff>182880</xdr:rowOff>
    </xdr:from>
    <xdr:ext cx="219075" cy="247650"/>
    <xdr:pic>
      <xdr:nvPicPr>
        <xdr:cNvPr id="3" name="Picture 2" descr="https://tse1.mm.bing.net/th?id=OIP.11IPUqok7qInEpcWmz9WawHaIZ&amp;pid=Api&amp;P=0">
          <a:extLst>
            <a:ext uri="{FF2B5EF4-FFF2-40B4-BE49-F238E27FC236}">
              <a16:creationId xmlns:a16="http://schemas.microsoft.com/office/drawing/2014/main" id="{71C6EB6D-4FCE-4617-9F87-69D0F79CD817}"/>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28930"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4" name="Straight Connector 3">
          <a:extLst>
            <a:ext uri="{FF2B5EF4-FFF2-40B4-BE49-F238E27FC236}">
              <a16:creationId xmlns:a16="http://schemas.microsoft.com/office/drawing/2014/main" id="{323AB492-BB07-46AC-B528-B28408FA2A51}"/>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5" name="Straight Connector 4">
          <a:extLst>
            <a:ext uri="{FF2B5EF4-FFF2-40B4-BE49-F238E27FC236}">
              <a16:creationId xmlns:a16="http://schemas.microsoft.com/office/drawing/2014/main" id="{0DDFE014-B0E4-4FC2-95EB-679988CAC333}"/>
            </a:ext>
          </a:extLst>
        </xdr:cNvPr>
        <xdr:cNvCxnSpPr/>
      </xdr:nvCxnSpPr>
      <xdr:spPr>
        <a:xfrm>
          <a:off x="18022981" y="3629026"/>
          <a:ext cx="7844" cy="1564005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6" name="Straight Connector 5">
          <a:extLst>
            <a:ext uri="{FF2B5EF4-FFF2-40B4-BE49-F238E27FC236}">
              <a16:creationId xmlns:a16="http://schemas.microsoft.com/office/drawing/2014/main" id="{2B1D3082-CD29-4EE6-BDF9-10D8B805D2B1}"/>
            </a:ext>
          </a:extLst>
        </xdr:cNvPr>
        <xdr:cNvCxnSpPr/>
      </xdr:nvCxnSpPr>
      <xdr:spPr>
        <a:xfrm>
          <a:off x="29310108" y="3667125"/>
          <a:ext cx="36417" cy="1559242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7" name="Picture 6">
          <a:extLst>
            <a:ext uri="{FF2B5EF4-FFF2-40B4-BE49-F238E27FC236}">
              <a16:creationId xmlns:a16="http://schemas.microsoft.com/office/drawing/2014/main" id="{D9A97DCB-04F0-438E-A2CF-80E543ED5DAA}"/>
            </a:ext>
          </a:extLst>
        </xdr:cNvPr>
        <xdr:cNvPicPr/>
      </xdr:nvPicPr>
      <xdr:blipFill>
        <a:blip xmlns:r="http://schemas.openxmlformats.org/officeDocument/2006/relationships" r:embed="rId4" cstate="print"/>
        <a:srcRect/>
        <a:stretch>
          <a:fillRect/>
        </a:stretch>
      </xdr:blipFill>
      <xdr:spPr bwMode="auto">
        <a:xfrm>
          <a:off x="22840950"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8" name="Straight Connector 7">
          <a:extLst>
            <a:ext uri="{FF2B5EF4-FFF2-40B4-BE49-F238E27FC236}">
              <a16:creationId xmlns:a16="http://schemas.microsoft.com/office/drawing/2014/main" id="{13075E60-3755-4A82-B883-D1BB259BF903}"/>
            </a:ext>
          </a:extLst>
        </xdr:cNvPr>
        <xdr:cNvCxnSpPr/>
      </xdr:nvCxnSpPr>
      <xdr:spPr>
        <a:xfrm flipV="1">
          <a:off x="18002250"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9" name="Straight Connector 8">
          <a:extLst>
            <a:ext uri="{FF2B5EF4-FFF2-40B4-BE49-F238E27FC236}">
              <a16:creationId xmlns:a16="http://schemas.microsoft.com/office/drawing/2014/main" id="{1E511616-A5E1-4670-995D-410A2662E878}"/>
            </a:ext>
          </a:extLst>
        </xdr:cNvPr>
        <xdr:cNvCxnSpPr/>
      </xdr:nvCxnSpPr>
      <xdr:spPr>
        <a:xfrm>
          <a:off x="18025110" y="17803906"/>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10" name="Straight Connector 9">
          <a:extLst>
            <a:ext uri="{FF2B5EF4-FFF2-40B4-BE49-F238E27FC236}">
              <a16:creationId xmlns:a16="http://schemas.microsoft.com/office/drawing/2014/main" id="{985669F0-1E43-4F09-891C-61E54D03FBED}"/>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93665</xdr:colOff>
      <xdr:row>31</xdr:row>
      <xdr:rowOff>168870</xdr:rowOff>
    </xdr:from>
    <xdr:ext cx="219075" cy="247650"/>
    <xdr:pic>
      <xdr:nvPicPr>
        <xdr:cNvPr id="11" name="Picture 10" descr="https://tse1.mm.bing.net/th?id=OIP.11IPUqok7qInEpcWmz9WawHaIZ&amp;pid=Api&amp;P=0">
          <a:extLst>
            <a:ext uri="{FF2B5EF4-FFF2-40B4-BE49-F238E27FC236}">
              <a16:creationId xmlns:a16="http://schemas.microsoft.com/office/drawing/2014/main" id="{7C6CF6ED-AF1C-4A4B-800C-96D0EAB000A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9075629" y="6087977"/>
          <a:ext cx="219075" cy="247650"/>
        </a:xfrm>
        <a:prstGeom prst="rect">
          <a:avLst/>
        </a:prstGeom>
        <a:noFill/>
        <a:ln w="9525">
          <a:noFill/>
          <a:miter lim="800000"/>
          <a:headEnd/>
          <a:tailEnd/>
        </a:ln>
      </xdr:spPr>
    </xdr:pic>
    <xdr:clientData/>
  </xdr:oneCellAnchor>
  <xdr:oneCellAnchor>
    <xdr:from>
      <xdr:col>45</xdr:col>
      <xdr:colOff>85725</xdr:colOff>
      <xdr:row>31</xdr:row>
      <xdr:rowOff>167640</xdr:rowOff>
    </xdr:from>
    <xdr:ext cx="219075" cy="247650"/>
    <xdr:pic>
      <xdr:nvPicPr>
        <xdr:cNvPr id="13" name="Picture 12" descr="https://tse1.mm.bing.net/th?id=OIP.11IPUqok7qInEpcWmz9WawHaIZ&amp;pid=Api&amp;P=0">
          <a:extLst>
            <a:ext uri="{FF2B5EF4-FFF2-40B4-BE49-F238E27FC236}">
              <a16:creationId xmlns:a16="http://schemas.microsoft.com/office/drawing/2014/main" id="{F3C9DCAE-F65C-4726-8504-2B113E416F9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536525" y="6301740"/>
          <a:ext cx="219075" cy="247650"/>
        </a:xfrm>
        <a:prstGeom prst="rect">
          <a:avLst/>
        </a:prstGeom>
        <a:noFill/>
        <a:ln w="9525">
          <a:noFill/>
          <a:miter lim="800000"/>
          <a:headEnd/>
          <a:tailEnd/>
        </a:ln>
      </xdr:spPr>
    </xdr:pic>
    <xdr:clientData/>
  </xdr:oneCellAnchor>
  <xdr:oneCellAnchor>
    <xdr:from>
      <xdr:col>31</xdr:col>
      <xdr:colOff>113932</xdr:colOff>
      <xdr:row>40</xdr:row>
      <xdr:rowOff>149312</xdr:rowOff>
    </xdr:from>
    <xdr:ext cx="219075" cy="247650"/>
    <xdr:pic>
      <xdr:nvPicPr>
        <xdr:cNvPr id="14" name="Picture 13" descr="https://tse1.mm.bing.net/th?id=OIP.11IPUqok7qInEpcWmz9WawHaIZ&amp;pid=Api&amp;P=0">
          <a:extLst>
            <a:ext uri="{FF2B5EF4-FFF2-40B4-BE49-F238E27FC236}">
              <a16:creationId xmlns:a16="http://schemas.microsoft.com/office/drawing/2014/main" id="{C707E1FB-09BD-4AA7-81C2-945DDB41EC5D}"/>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817325" y="7905383"/>
          <a:ext cx="219075" cy="247650"/>
        </a:xfrm>
        <a:prstGeom prst="rect">
          <a:avLst/>
        </a:prstGeom>
        <a:noFill/>
        <a:ln w="9525">
          <a:noFill/>
          <a:miter lim="800000"/>
          <a:headEnd/>
          <a:tailEnd/>
        </a:ln>
      </xdr:spPr>
    </xdr:pic>
    <xdr:clientData/>
  </xdr:oneCellAnchor>
  <xdr:oneCellAnchor>
    <xdr:from>
      <xdr:col>43</xdr:col>
      <xdr:colOff>103094</xdr:colOff>
      <xdr:row>40</xdr:row>
      <xdr:rowOff>190276</xdr:rowOff>
    </xdr:from>
    <xdr:ext cx="219075" cy="247650"/>
    <xdr:pic>
      <xdr:nvPicPr>
        <xdr:cNvPr id="15" name="Picture 14" descr="https://tse1.mm.bing.net/th?id=OIP.11IPUqok7qInEpcWmz9WawHaIZ&amp;pid=Api&amp;P=0">
          <a:extLst>
            <a:ext uri="{FF2B5EF4-FFF2-40B4-BE49-F238E27FC236}">
              <a16:creationId xmlns:a16="http://schemas.microsoft.com/office/drawing/2014/main" id="{9741D523-D9D1-4562-9E87-5A6679036857}"/>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991359" y="8202482"/>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16" name="Straight Connector 15">
          <a:extLst>
            <a:ext uri="{FF2B5EF4-FFF2-40B4-BE49-F238E27FC236}">
              <a16:creationId xmlns:a16="http://schemas.microsoft.com/office/drawing/2014/main" id="{63804440-9538-4858-AF97-4EEB0BD68F4D}"/>
            </a:ext>
          </a:extLst>
        </xdr:cNvPr>
        <xdr:cNvCxnSpPr/>
      </xdr:nvCxnSpPr>
      <xdr:spPr>
        <a:xfrm>
          <a:off x="18002250" y="19280505"/>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17" name="Straight Connector 16">
          <a:extLst>
            <a:ext uri="{FF2B5EF4-FFF2-40B4-BE49-F238E27FC236}">
              <a16:creationId xmlns:a16="http://schemas.microsoft.com/office/drawing/2014/main" id="{A966F1D9-BE90-440D-8CD5-4E82404FDABB}"/>
            </a:ext>
          </a:extLst>
        </xdr:cNvPr>
        <xdr:cNvCxnSpPr/>
      </xdr:nvCxnSpPr>
      <xdr:spPr>
        <a:xfrm>
          <a:off x="18002250" y="198404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18" name="Straight Connector 17">
          <a:extLst>
            <a:ext uri="{FF2B5EF4-FFF2-40B4-BE49-F238E27FC236}">
              <a16:creationId xmlns:a16="http://schemas.microsoft.com/office/drawing/2014/main" id="{7F5BF0E2-66C7-400F-8E6E-BE0D160786A5}"/>
            </a:ext>
          </a:extLst>
        </xdr:cNvPr>
        <xdr:cNvCxnSpPr/>
      </xdr:nvCxnSpPr>
      <xdr:spPr>
        <a:xfrm flipH="1">
          <a:off x="18009870" y="19869147"/>
          <a:ext cx="1773" cy="158381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19" name="Straight Connector 18">
          <a:extLst>
            <a:ext uri="{FF2B5EF4-FFF2-40B4-BE49-F238E27FC236}">
              <a16:creationId xmlns:a16="http://schemas.microsoft.com/office/drawing/2014/main" id="{DDB8DE30-980C-4D44-B6D8-D821B480C2AA}"/>
            </a:ext>
          </a:extLst>
        </xdr:cNvPr>
        <xdr:cNvCxnSpPr/>
      </xdr:nvCxnSpPr>
      <xdr:spPr>
        <a:xfrm>
          <a:off x="18002250" y="26593800"/>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103206</xdr:colOff>
      <xdr:row>125</xdr:row>
      <xdr:rowOff>147917</xdr:rowOff>
    </xdr:from>
    <xdr:ext cx="219075" cy="247650"/>
    <xdr:pic>
      <xdr:nvPicPr>
        <xdr:cNvPr id="20" name="Picture 19" descr="https://tse1.mm.bing.net/th?id=OIP.11IPUqok7qInEpcWmz9WawHaIZ&amp;pid=Api&amp;P=0">
          <a:extLst>
            <a:ext uri="{FF2B5EF4-FFF2-40B4-BE49-F238E27FC236}">
              <a16:creationId xmlns:a16="http://schemas.microsoft.com/office/drawing/2014/main" id="{8A5FFD2D-2AED-4918-811C-C94C2063AE92}"/>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230156" y="26122592"/>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21" name="Picture 20" descr="https://tse1.mm.bing.net/th?id=OIP.11IPUqok7qInEpcWmz9WawHaIZ&amp;pid=Api&amp;P=0">
          <a:extLst>
            <a:ext uri="{FF2B5EF4-FFF2-40B4-BE49-F238E27FC236}">
              <a16:creationId xmlns:a16="http://schemas.microsoft.com/office/drawing/2014/main" id="{91941F39-0B77-4DD2-A77C-7BE69E705607}"/>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04028" y="26175036"/>
          <a:ext cx="219075" cy="247650"/>
        </a:xfrm>
        <a:prstGeom prst="rect">
          <a:avLst/>
        </a:prstGeom>
        <a:noFill/>
        <a:ln w="9525">
          <a:noFill/>
          <a:miter lim="800000"/>
          <a:headEnd/>
          <a:tailEnd/>
        </a:ln>
      </xdr:spPr>
    </xdr:pic>
    <xdr:clientData/>
  </xdr:oneCellAnchor>
  <xdr:twoCellAnchor>
    <xdr:from>
      <xdr:col>22</xdr:col>
      <xdr:colOff>9525</xdr:colOff>
      <xdr:row>169</xdr:row>
      <xdr:rowOff>175260</xdr:rowOff>
    </xdr:from>
    <xdr:to>
      <xdr:col>57</xdr:col>
      <xdr:colOff>17145</xdr:colOff>
      <xdr:row>170</xdr:row>
      <xdr:rowOff>11563</xdr:rowOff>
    </xdr:to>
    <xdr:cxnSp macro="">
      <xdr:nvCxnSpPr>
        <xdr:cNvPr id="22" name="Straight Connector 21">
          <a:extLst>
            <a:ext uri="{FF2B5EF4-FFF2-40B4-BE49-F238E27FC236}">
              <a16:creationId xmlns:a16="http://schemas.microsoft.com/office/drawing/2014/main" id="{E816D9E7-CAB4-472D-B1E4-E8C46A01FED8}"/>
            </a:ext>
          </a:extLst>
        </xdr:cNvPr>
        <xdr:cNvCxnSpPr/>
      </xdr:nvCxnSpPr>
      <xdr:spPr>
        <a:xfrm>
          <a:off x="18011775" y="35646360"/>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56</xdr:col>
      <xdr:colOff>327660</xdr:colOff>
      <xdr:row>170</xdr:row>
      <xdr:rowOff>121920</xdr:rowOff>
    </xdr:to>
    <xdr:cxnSp macro="">
      <xdr:nvCxnSpPr>
        <xdr:cNvPr id="23" name="Straight Connector 22">
          <a:extLst>
            <a:ext uri="{FF2B5EF4-FFF2-40B4-BE49-F238E27FC236}">
              <a16:creationId xmlns:a16="http://schemas.microsoft.com/office/drawing/2014/main" id="{B2A91F08-D10D-493B-BBDB-7DC5DD484871}"/>
            </a:ext>
          </a:extLst>
        </xdr:cNvPr>
        <xdr:cNvCxnSpPr/>
      </xdr:nvCxnSpPr>
      <xdr:spPr>
        <a:xfrm>
          <a:off x="29327343" y="19831047"/>
          <a:ext cx="13467" cy="159524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278130</xdr:colOff>
      <xdr:row>62</xdr:row>
      <xdr:rowOff>182880</xdr:rowOff>
    </xdr:from>
    <xdr:ext cx="219075" cy="247650"/>
    <xdr:pic>
      <xdr:nvPicPr>
        <xdr:cNvPr id="24" name="Picture 23" descr="https://tse1.mm.bing.net/th?id=OIP.11IPUqok7qInEpcWmz9WawHaIZ&amp;pid=Api&amp;P=0">
          <a:extLst>
            <a:ext uri="{FF2B5EF4-FFF2-40B4-BE49-F238E27FC236}">
              <a16:creationId xmlns:a16="http://schemas.microsoft.com/office/drawing/2014/main" id="{9590446D-C3C5-40DD-90C3-C2A97F7D7209}"/>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28930"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25" name="Straight Connector 24">
          <a:extLst>
            <a:ext uri="{FF2B5EF4-FFF2-40B4-BE49-F238E27FC236}">
              <a16:creationId xmlns:a16="http://schemas.microsoft.com/office/drawing/2014/main" id="{438983ED-6949-4CB0-8E09-8F5CA8B657CD}"/>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1060316</xdr:colOff>
      <xdr:row>19</xdr:row>
      <xdr:rowOff>5445</xdr:rowOff>
    </xdr:from>
    <xdr:to>
      <xdr:col>21</xdr:col>
      <xdr:colOff>1068160</xdr:colOff>
      <xdr:row>95</xdr:row>
      <xdr:rowOff>16332</xdr:rowOff>
    </xdr:to>
    <xdr:cxnSp macro="">
      <xdr:nvCxnSpPr>
        <xdr:cNvPr id="26" name="Straight Connector 25">
          <a:extLst>
            <a:ext uri="{FF2B5EF4-FFF2-40B4-BE49-F238E27FC236}">
              <a16:creationId xmlns:a16="http://schemas.microsoft.com/office/drawing/2014/main" id="{33A264B1-2362-4502-8723-59DC0DE79DB7}"/>
            </a:ext>
          </a:extLst>
        </xdr:cNvPr>
        <xdr:cNvCxnSpPr/>
      </xdr:nvCxnSpPr>
      <xdr:spPr>
        <a:xfrm>
          <a:off x="18575430" y="3532416"/>
          <a:ext cx="7844" cy="1558834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27" name="Straight Connector 26">
          <a:extLst>
            <a:ext uri="{FF2B5EF4-FFF2-40B4-BE49-F238E27FC236}">
              <a16:creationId xmlns:a16="http://schemas.microsoft.com/office/drawing/2014/main" id="{D583AE78-1BBD-495D-8F99-51FB04C47EB1}"/>
            </a:ext>
          </a:extLst>
        </xdr:cNvPr>
        <xdr:cNvCxnSpPr/>
      </xdr:nvCxnSpPr>
      <xdr:spPr>
        <a:xfrm>
          <a:off x="29310108" y="3667125"/>
          <a:ext cx="36417" cy="1559242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28" name="Picture 27">
          <a:extLst>
            <a:ext uri="{FF2B5EF4-FFF2-40B4-BE49-F238E27FC236}">
              <a16:creationId xmlns:a16="http://schemas.microsoft.com/office/drawing/2014/main" id="{3F777126-A135-4A1E-8435-25C1C6FDC9D9}"/>
            </a:ext>
          </a:extLst>
        </xdr:cNvPr>
        <xdr:cNvPicPr/>
      </xdr:nvPicPr>
      <xdr:blipFill>
        <a:blip xmlns:r="http://schemas.openxmlformats.org/officeDocument/2006/relationships" r:embed="rId4" cstate="print"/>
        <a:srcRect/>
        <a:stretch>
          <a:fillRect/>
        </a:stretch>
      </xdr:blipFill>
      <xdr:spPr bwMode="auto">
        <a:xfrm>
          <a:off x="22840950"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29" name="Straight Connector 28">
          <a:extLst>
            <a:ext uri="{FF2B5EF4-FFF2-40B4-BE49-F238E27FC236}">
              <a16:creationId xmlns:a16="http://schemas.microsoft.com/office/drawing/2014/main" id="{3107BC8E-E5AC-4669-A426-AAF9AB3AE27A}"/>
            </a:ext>
          </a:extLst>
        </xdr:cNvPr>
        <xdr:cNvCxnSpPr/>
      </xdr:nvCxnSpPr>
      <xdr:spPr>
        <a:xfrm flipV="1">
          <a:off x="18002250"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30" name="Straight Connector 29">
          <a:extLst>
            <a:ext uri="{FF2B5EF4-FFF2-40B4-BE49-F238E27FC236}">
              <a16:creationId xmlns:a16="http://schemas.microsoft.com/office/drawing/2014/main" id="{2F845133-CD5A-4BDB-B91D-FEAC116D7D22}"/>
            </a:ext>
          </a:extLst>
        </xdr:cNvPr>
        <xdr:cNvCxnSpPr/>
      </xdr:nvCxnSpPr>
      <xdr:spPr>
        <a:xfrm>
          <a:off x="18025110" y="17803906"/>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31" name="Straight Connector 30">
          <a:extLst>
            <a:ext uri="{FF2B5EF4-FFF2-40B4-BE49-F238E27FC236}">
              <a16:creationId xmlns:a16="http://schemas.microsoft.com/office/drawing/2014/main" id="{8D391E83-8856-4F7B-8935-2B010A1B32BE}"/>
            </a:ext>
          </a:extLst>
        </xdr:cNvPr>
        <xdr:cNvCxnSpPr/>
      </xdr:nvCxnSpPr>
      <xdr:spPr>
        <a:xfrm flipV="1">
          <a:off x="18002250"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30</xdr:col>
      <xdr:colOff>74294</xdr:colOff>
      <xdr:row>32</xdr:row>
      <xdr:rowOff>139625</xdr:rowOff>
    </xdr:from>
    <xdr:ext cx="219075" cy="247650"/>
    <xdr:pic>
      <xdr:nvPicPr>
        <xdr:cNvPr id="33" name="Picture 32" descr="https://tse1.mm.bing.net/th?id=OIP.11IPUqok7qInEpcWmz9WawHaIZ&amp;pid=Api&amp;P=0">
          <a:extLst>
            <a:ext uri="{FF2B5EF4-FFF2-40B4-BE49-F238E27FC236}">
              <a16:creationId xmlns:a16="http://schemas.microsoft.com/office/drawing/2014/main" id="{838799BF-FA41-478D-9F38-E39E8D799AB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374435" y="6226660"/>
          <a:ext cx="219075" cy="247650"/>
        </a:xfrm>
        <a:prstGeom prst="rect">
          <a:avLst/>
        </a:prstGeom>
        <a:noFill/>
        <a:ln w="9525">
          <a:noFill/>
          <a:miter lim="800000"/>
          <a:headEnd/>
          <a:tailEnd/>
        </a:ln>
      </xdr:spPr>
    </xdr:pic>
    <xdr:clientData/>
  </xdr:oneCellAnchor>
  <xdr:oneCellAnchor>
    <xdr:from>
      <xdr:col>38</xdr:col>
      <xdr:colOff>76546</xdr:colOff>
      <xdr:row>35</xdr:row>
      <xdr:rowOff>156610</xdr:rowOff>
    </xdr:from>
    <xdr:ext cx="219075" cy="247650"/>
    <xdr:pic>
      <xdr:nvPicPr>
        <xdr:cNvPr id="34" name="Picture 33" descr="https://tse1.mm.bing.net/th?id=OIP.11IPUqok7qInEpcWmz9WawHaIZ&amp;pid=Api&amp;P=0">
          <a:extLst>
            <a:ext uri="{FF2B5EF4-FFF2-40B4-BE49-F238E27FC236}">
              <a16:creationId xmlns:a16="http://schemas.microsoft.com/office/drawing/2014/main" id="{15679516-0492-416C-9861-67801AD0D4BF}"/>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3339958" y="7126669"/>
          <a:ext cx="219075" cy="247650"/>
        </a:xfrm>
        <a:prstGeom prst="rect">
          <a:avLst/>
        </a:prstGeom>
        <a:noFill/>
        <a:ln w="9525">
          <a:noFill/>
          <a:miter lim="800000"/>
          <a:headEnd/>
          <a:tailEnd/>
        </a:ln>
      </xdr:spPr>
    </xdr:pic>
    <xdr:clientData/>
  </xdr:oneCellAnchor>
  <xdr:oneCellAnchor>
    <xdr:from>
      <xdr:col>42</xdr:col>
      <xdr:colOff>70485</xdr:colOff>
      <xdr:row>50</xdr:row>
      <xdr:rowOff>181535</xdr:rowOff>
    </xdr:from>
    <xdr:ext cx="219075" cy="247650"/>
    <xdr:pic>
      <xdr:nvPicPr>
        <xdr:cNvPr id="37" name="Picture 36" descr="https://tse1.mm.bing.net/th?id=OIP.11IPUqok7qInEpcWmz9WawHaIZ&amp;pid=Api&amp;P=0">
          <a:extLst>
            <a:ext uri="{FF2B5EF4-FFF2-40B4-BE49-F238E27FC236}">
              <a16:creationId xmlns:a16="http://schemas.microsoft.com/office/drawing/2014/main" id="{E6388A37-BDA0-427A-8D66-8838241BC6A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350956" y="9944100"/>
          <a:ext cx="219075" cy="247650"/>
        </a:xfrm>
        <a:prstGeom prst="rect">
          <a:avLst/>
        </a:prstGeom>
        <a:noFill/>
        <a:ln w="9525">
          <a:noFill/>
          <a:miter lim="800000"/>
          <a:headEnd/>
          <a:tailEnd/>
        </a:ln>
      </xdr:spPr>
    </xdr:pic>
    <xdr:clientData/>
  </xdr:oneCellAnchor>
  <xdr:twoCellAnchor>
    <xdr:from>
      <xdr:col>22</xdr:col>
      <xdr:colOff>11206</xdr:colOff>
      <xdr:row>94</xdr:row>
      <xdr:rowOff>187362</xdr:rowOff>
    </xdr:from>
    <xdr:to>
      <xdr:col>57</xdr:col>
      <xdr:colOff>8180</xdr:colOff>
      <xdr:row>94</xdr:row>
      <xdr:rowOff>195206</xdr:rowOff>
    </xdr:to>
    <xdr:cxnSp macro="">
      <xdr:nvCxnSpPr>
        <xdr:cNvPr id="38" name="Straight Connector 37">
          <a:extLst>
            <a:ext uri="{FF2B5EF4-FFF2-40B4-BE49-F238E27FC236}">
              <a16:creationId xmlns:a16="http://schemas.microsoft.com/office/drawing/2014/main" id="{1F77E6BD-1432-456C-A98F-CA1565C73DC5}"/>
            </a:ext>
          </a:extLst>
        </xdr:cNvPr>
        <xdr:cNvCxnSpPr/>
      </xdr:nvCxnSpPr>
      <xdr:spPr>
        <a:xfrm>
          <a:off x="18198353" y="19618362"/>
          <a:ext cx="113709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39" name="Straight Connector 38">
          <a:extLst>
            <a:ext uri="{FF2B5EF4-FFF2-40B4-BE49-F238E27FC236}">
              <a16:creationId xmlns:a16="http://schemas.microsoft.com/office/drawing/2014/main" id="{24F2C64F-ED51-45AE-88B0-AE9A3B6330E2}"/>
            </a:ext>
          </a:extLst>
        </xdr:cNvPr>
        <xdr:cNvCxnSpPr/>
      </xdr:nvCxnSpPr>
      <xdr:spPr>
        <a:xfrm>
          <a:off x="18002250" y="198404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40" name="Straight Connector 39">
          <a:extLst>
            <a:ext uri="{FF2B5EF4-FFF2-40B4-BE49-F238E27FC236}">
              <a16:creationId xmlns:a16="http://schemas.microsoft.com/office/drawing/2014/main" id="{07AACBA1-0AD0-4665-8D77-880E51953A49}"/>
            </a:ext>
          </a:extLst>
        </xdr:cNvPr>
        <xdr:cNvCxnSpPr/>
      </xdr:nvCxnSpPr>
      <xdr:spPr>
        <a:xfrm flipH="1">
          <a:off x="18009870" y="19869147"/>
          <a:ext cx="1773" cy="158381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41" name="Straight Connector 40">
          <a:extLst>
            <a:ext uri="{FF2B5EF4-FFF2-40B4-BE49-F238E27FC236}">
              <a16:creationId xmlns:a16="http://schemas.microsoft.com/office/drawing/2014/main" id="{6F084E7C-3F66-4060-8A42-3C1E008CC451}"/>
            </a:ext>
          </a:extLst>
        </xdr:cNvPr>
        <xdr:cNvCxnSpPr/>
      </xdr:nvCxnSpPr>
      <xdr:spPr>
        <a:xfrm>
          <a:off x="18002250" y="26593800"/>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103206</xdr:colOff>
      <xdr:row>125</xdr:row>
      <xdr:rowOff>147917</xdr:rowOff>
    </xdr:from>
    <xdr:ext cx="219075" cy="247650"/>
    <xdr:pic>
      <xdr:nvPicPr>
        <xdr:cNvPr id="42" name="Picture 41" descr="https://tse1.mm.bing.net/th?id=OIP.11IPUqok7qInEpcWmz9WawHaIZ&amp;pid=Api&amp;P=0">
          <a:extLst>
            <a:ext uri="{FF2B5EF4-FFF2-40B4-BE49-F238E27FC236}">
              <a16:creationId xmlns:a16="http://schemas.microsoft.com/office/drawing/2014/main" id="{DEA3F0E1-04FB-40A4-AB29-7263B58CE78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230156" y="26122592"/>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43" name="Picture 42" descr="https://tse1.mm.bing.net/th?id=OIP.11IPUqok7qInEpcWmz9WawHaIZ&amp;pid=Api&amp;P=0">
          <a:extLst>
            <a:ext uri="{FF2B5EF4-FFF2-40B4-BE49-F238E27FC236}">
              <a16:creationId xmlns:a16="http://schemas.microsoft.com/office/drawing/2014/main" id="{098C77F1-7267-44B4-987A-8452DE0DCF02}"/>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04028" y="26175036"/>
          <a:ext cx="219075" cy="247650"/>
        </a:xfrm>
        <a:prstGeom prst="rect">
          <a:avLst/>
        </a:prstGeom>
        <a:noFill/>
        <a:ln w="9525">
          <a:noFill/>
          <a:miter lim="800000"/>
          <a:headEnd/>
          <a:tailEnd/>
        </a:ln>
      </xdr:spPr>
    </xdr:pic>
    <xdr:clientData/>
  </xdr:oneCellAnchor>
  <xdr:twoCellAnchor>
    <xdr:from>
      <xdr:col>22</xdr:col>
      <xdr:colOff>50346</xdr:colOff>
      <xdr:row>169</xdr:row>
      <xdr:rowOff>175260</xdr:rowOff>
    </xdr:from>
    <xdr:to>
      <xdr:col>57</xdr:col>
      <xdr:colOff>57966</xdr:colOff>
      <xdr:row>170</xdr:row>
      <xdr:rowOff>11563</xdr:rowOff>
    </xdr:to>
    <xdr:cxnSp macro="">
      <xdr:nvCxnSpPr>
        <xdr:cNvPr id="44" name="Straight Connector 43">
          <a:extLst>
            <a:ext uri="{FF2B5EF4-FFF2-40B4-BE49-F238E27FC236}">
              <a16:creationId xmlns:a16="http://schemas.microsoft.com/office/drawing/2014/main" id="{2946F432-E296-4579-A3F0-BD9F9140F051}"/>
            </a:ext>
          </a:extLst>
        </xdr:cNvPr>
        <xdr:cNvCxnSpPr/>
      </xdr:nvCxnSpPr>
      <xdr:spPr>
        <a:xfrm>
          <a:off x="18052596" y="35646360"/>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57</xdr:col>
      <xdr:colOff>1088</xdr:colOff>
      <xdr:row>170</xdr:row>
      <xdr:rowOff>121920</xdr:rowOff>
    </xdr:to>
    <xdr:cxnSp macro="">
      <xdr:nvCxnSpPr>
        <xdr:cNvPr id="45" name="Straight Connector 44">
          <a:extLst>
            <a:ext uri="{FF2B5EF4-FFF2-40B4-BE49-F238E27FC236}">
              <a16:creationId xmlns:a16="http://schemas.microsoft.com/office/drawing/2014/main" id="{6BD24A19-E9D0-4E47-B827-D3B26AB19DF9}"/>
            </a:ext>
          </a:extLst>
        </xdr:cNvPr>
        <xdr:cNvCxnSpPr/>
      </xdr:nvCxnSpPr>
      <xdr:spPr>
        <a:xfrm>
          <a:off x="29327343" y="19831047"/>
          <a:ext cx="10745" cy="159524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37</xdr:col>
      <xdr:colOff>57822</xdr:colOff>
      <xdr:row>118</xdr:row>
      <xdr:rowOff>176493</xdr:rowOff>
    </xdr:from>
    <xdr:ext cx="219075" cy="247650"/>
    <xdr:pic>
      <xdr:nvPicPr>
        <xdr:cNvPr id="46" name="Picture 45" descr="https://tse1.mm.bing.net/th?id=OIP.11IPUqok7qInEpcWmz9WawHaIZ&amp;pid=Api&amp;P=0">
          <a:extLst>
            <a:ext uri="{FF2B5EF4-FFF2-40B4-BE49-F238E27FC236}">
              <a16:creationId xmlns:a16="http://schemas.microsoft.com/office/drawing/2014/main" id="{7B90F745-71AE-40DE-A0CF-12B9DC22B4F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3679822" y="24363269"/>
          <a:ext cx="219075" cy="247650"/>
        </a:xfrm>
        <a:prstGeom prst="rect">
          <a:avLst/>
        </a:prstGeom>
        <a:noFill/>
        <a:ln w="9525">
          <a:noFill/>
          <a:miter lim="800000"/>
          <a:headEnd/>
          <a:tailEnd/>
        </a:ln>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LOAN%20PROCESSOR\2025\Buyout\Buyout(Sell\Collection%202025.xlsx" TargetMode="External"/><Relationship Id="rId1" Type="http://schemas.openxmlformats.org/officeDocument/2006/relationships/externalLinkPath" Target="file:///D:\LOAN%20PROCESSOR\2025\Buyout\Buyout(Sell\Collection%20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OPERATIONS\2024\Barangay\BRGY.xlsx" TargetMode="External"/><Relationship Id="rId1" Type="http://schemas.openxmlformats.org/officeDocument/2006/relationships/externalLinkPath" Target="file:///D:\OPERATIONS\2024\Barangay\BRGY.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F:\MARQUEZ.xlsx" TargetMode="External"/><Relationship Id="rId1" Type="http://schemas.openxmlformats.org/officeDocument/2006/relationships/externalLinkPath" Target="file:///F:\MARQUE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ANUARY 2025"/>
      <sheetName val="FEBRUARY 2025"/>
      <sheetName val="MARCH 2025"/>
      <sheetName val="APRIL 2025"/>
      <sheetName val="BEN"/>
      <sheetName val="ACTIVE CIV."/>
      <sheetName val="ACTIVE"/>
      <sheetName val="MANAGEMENT"/>
      <sheetName val="OTHERS"/>
      <sheetName val="PETTY CASH LOAN"/>
      <sheetName val="BRGY."/>
    </sheetNames>
    <sheetDataSet>
      <sheetData sheetId="0"/>
      <sheetData sheetId="1"/>
      <sheetData sheetId="2"/>
      <sheetData sheetId="3"/>
      <sheetData sheetId="4"/>
      <sheetData sheetId="5">
        <row r="41">
          <cell r="D41">
            <v>41723.979556463761</v>
          </cell>
        </row>
      </sheetData>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MORTIZATION "/>
      <sheetName val="RELOAN"/>
      <sheetName val="ALVARO"/>
      <sheetName val="BUMAGAT"/>
      <sheetName val="BALAS"/>
      <sheetName val="QUIZORA"/>
      <sheetName val="CAYETANO"/>
      <sheetName val="CORDERO"/>
      <sheetName val="YAPTANGCO"/>
      <sheetName val="FUENTES"/>
      <sheetName val="COLANTA"/>
      <sheetName val="ESCANDOR"/>
      <sheetName val="OVER ALL"/>
    </sheetNames>
    <sheetDataSet>
      <sheetData sheetId="0">
        <row r="26">
          <cell r="D26">
            <v>1.6E-2</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Entry"/>
      <sheetName val="Computation Table"/>
      <sheetName val="Amortization  Table"/>
      <sheetName val="1 Yr"/>
      <sheetName val="2 Yrs"/>
      <sheetName val="3 Yrs"/>
      <sheetName val="MARQUEZ"/>
    </sheetNames>
    <sheetDataSet>
      <sheetData sheetId="0" refreshError="1">
        <row r="3">
          <cell r="E3">
            <v>201960.56326226707</v>
          </cell>
        </row>
        <row r="4">
          <cell r="E4">
            <v>150000</v>
          </cell>
        </row>
        <row r="11">
          <cell r="E11">
            <v>178237.5</v>
          </cell>
        </row>
        <row r="12">
          <cell r="D12">
            <v>8.5000000000000006E-2</v>
          </cell>
          <cell r="E12">
            <v>8.3000000000000004E-2</v>
          </cell>
        </row>
        <row r="13">
          <cell r="D13">
            <v>8.855359027416676E-2</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madomarquez819@gmail.com"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mailto:ait38467704@gmail.com"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mailto:madomarquez819@gmail.com"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ait3846770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19"/>
  <sheetViews>
    <sheetView tabSelected="1" topLeftCell="B1" zoomScaleNormal="100" workbookViewId="0">
      <selection activeCell="J19" sqref="J19"/>
    </sheetView>
  </sheetViews>
  <sheetFormatPr defaultColWidth="8.88671875" defaultRowHeight="14.4"/>
  <cols>
    <col min="2" max="2" width="21.109375" customWidth="1"/>
    <col min="3" max="7" width="15.6640625" customWidth="1"/>
    <col min="11" max="11" width="11.5546875" bestFit="1" customWidth="1"/>
    <col min="13" max="13" width="11.5546875" bestFit="1" customWidth="1"/>
    <col min="14" max="14" width="10.33203125" bestFit="1" customWidth="1"/>
    <col min="15" max="15" width="9.5546875" bestFit="1" customWidth="1"/>
  </cols>
  <sheetData>
    <row r="1" spans="2:14">
      <c r="B1" t="s">
        <v>0</v>
      </c>
      <c r="C1" s="91"/>
    </row>
    <row r="3" spans="2:14">
      <c r="B3" s="2"/>
      <c r="C3" s="92" t="s">
        <v>1</v>
      </c>
      <c r="D3" s="92" t="s">
        <v>2</v>
      </c>
      <c r="E3" s="92" t="s">
        <v>3</v>
      </c>
      <c r="F3" s="92" t="s">
        <v>4</v>
      </c>
      <c r="G3" s="92" t="s">
        <v>5</v>
      </c>
    </row>
    <row r="4" spans="2:14">
      <c r="B4" s="2" t="s">
        <v>6</v>
      </c>
      <c r="C4" s="93">
        <f>'Computation Table'!C108</f>
        <v>112058.3956142808</v>
      </c>
      <c r="D4" s="93">
        <f>'Computation Table'!C82</f>
        <v>118481.5834413243</v>
      </c>
      <c r="E4" s="93">
        <f>'Computation Table'!C56</f>
        <v>53999.850128919286</v>
      </c>
      <c r="F4" s="93">
        <f>'Computation Table'!C29</f>
        <v>133026.28132566548</v>
      </c>
      <c r="G4" s="93">
        <f>'Computation Table'!C3</f>
        <v>900014.89019929199</v>
      </c>
    </row>
    <row r="5" spans="2:14" ht="15" thickBot="1">
      <c r="B5" s="2" t="s">
        <v>7</v>
      </c>
      <c r="C5" s="94">
        <v>93500</v>
      </c>
      <c r="D5" s="83">
        <v>93500</v>
      </c>
      <c r="E5" s="266">
        <v>37354.699999999997</v>
      </c>
      <c r="F5" s="266">
        <v>93500</v>
      </c>
      <c r="G5" s="87">
        <v>600010.5</v>
      </c>
    </row>
    <row r="6" spans="2:14">
      <c r="B6" s="2" t="s">
        <v>8</v>
      </c>
      <c r="C6" s="95"/>
      <c r="D6" s="95"/>
      <c r="E6" s="95"/>
      <c r="F6" s="95"/>
      <c r="G6" s="95"/>
      <c r="N6" s="4"/>
    </row>
    <row r="7" spans="2:14">
      <c r="B7" s="2" t="s">
        <v>9</v>
      </c>
      <c r="C7" s="95">
        <f>'Computation Table'!C110</f>
        <v>6545.0000000000009</v>
      </c>
      <c r="D7" s="95">
        <f>'Computation Table'!C84</f>
        <v>7012.5</v>
      </c>
      <c r="E7" s="95">
        <f>'Computation Table'!E58</f>
        <v>2988.3759999999997</v>
      </c>
      <c r="F7" s="95">
        <f>'Computation Table'!C31</f>
        <v>7480</v>
      </c>
      <c r="G7" s="95">
        <f>'Computation Table'!C5</f>
        <v>72601.270499999999</v>
      </c>
      <c r="N7" s="4"/>
    </row>
    <row r="8" spans="2:14">
      <c r="B8" s="2" t="s">
        <v>10</v>
      </c>
      <c r="C8" s="95">
        <f>'Computation Table'!C111</f>
        <v>1122</v>
      </c>
      <c r="D8" s="95">
        <f>'Computation Table'!C85</f>
        <v>2244</v>
      </c>
      <c r="E8" s="95">
        <f>'Computation Table'!C59</f>
        <v>1344.7691999999997</v>
      </c>
      <c r="F8" s="95">
        <f>'Computation Table'!C32</f>
        <v>4488</v>
      </c>
      <c r="G8" s="95">
        <f>'Computation Table'!C6</f>
        <v>36000.629999999997</v>
      </c>
      <c r="N8" s="4"/>
    </row>
    <row r="9" spans="2:14">
      <c r="B9" s="2" t="s">
        <v>11</v>
      </c>
      <c r="C9" s="94">
        <v>5000</v>
      </c>
      <c r="D9" s="94">
        <v>5000</v>
      </c>
      <c r="E9" s="94">
        <v>5000</v>
      </c>
      <c r="F9" s="94">
        <v>5000</v>
      </c>
      <c r="G9" s="94">
        <v>5000</v>
      </c>
      <c r="N9" s="4"/>
    </row>
    <row r="10" spans="2:14">
      <c r="B10" s="2" t="s">
        <v>12</v>
      </c>
      <c r="C10" s="94">
        <v>300</v>
      </c>
      <c r="D10" s="94"/>
      <c r="E10" s="94">
        <v>300</v>
      </c>
      <c r="F10" s="94">
        <v>0</v>
      </c>
      <c r="G10" s="94">
        <v>0</v>
      </c>
      <c r="N10" s="236"/>
    </row>
    <row r="11" spans="2:14">
      <c r="B11" s="2" t="s">
        <v>13</v>
      </c>
      <c r="C11" s="95">
        <f>'Computation Table'!C114</f>
        <v>1168.75</v>
      </c>
      <c r="D11" s="95">
        <f>'Computation Table'!C88</f>
        <v>1265.3666666666666</v>
      </c>
      <c r="E11" s="95">
        <f>'Computation Table'!C62</f>
        <v>529.19158333333337</v>
      </c>
      <c r="F11" s="95">
        <f>'Computation Table'!C35</f>
        <v>1368.2166666666667</v>
      </c>
      <c r="G11" s="95">
        <f>'Computation Table'!C9</f>
        <v>9000.1574999999993</v>
      </c>
    </row>
    <row r="12" spans="2:14">
      <c r="B12" s="2" t="s">
        <v>14</v>
      </c>
      <c r="C12" s="95">
        <f>SUM(C5:C11)</f>
        <v>107635.75</v>
      </c>
      <c r="D12" s="95">
        <f>SUM(D5:D11)</f>
        <v>109021.86666666667</v>
      </c>
      <c r="E12" s="95">
        <f>SUM(E5:E11)</f>
        <v>47517.036783333329</v>
      </c>
      <c r="F12" s="95">
        <f t="shared" ref="F12" si="0">SUM(F5:F11)</f>
        <v>111836.21666666666</v>
      </c>
      <c r="G12" s="95">
        <f>SUM(G5:G11)</f>
        <v>722612.55799999996</v>
      </c>
    </row>
    <row r="13" spans="2:14">
      <c r="B13" s="2" t="s">
        <v>15</v>
      </c>
      <c r="C13" s="96">
        <f>'Computation Table'!C116</f>
        <v>7.4999999999999997E-2</v>
      </c>
      <c r="D13" s="96">
        <f>'Computation Table'!C90</f>
        <v>8.1199999999999994E-2</v>
      </c>
      <c r="E13" s="96">
        <f>'Computation Table'!C64</f>
        <v>8.5000000000000006E-2</v>
      </c>
      <c r="F13" s="96">
        <f>'Computation Table'!C37</f>
        <v>8.7800000000000003E-2</v>
      </c>
      <c r="G13" s="96">
        <f>'Computation Table'!C11</f>
        <v>0.09</v>
      </c>
    </row>
    <row r="14" spans="2:14">
      <c r="B14" s="2" t="s">
        <v>16</v>
      </c>
      <c r="C14" s="96">
        <f>'Computation Table'!C117</f>
        <v>7.7632598856030688E-2</v>
      </c>
      <c r="D14" s="96">
        <f>'Computation Table'!F91</f>
        <v>8.4439155214514949E-2</v>
      </c>
      <c r="E14" s="96">
        <f>'Computation Table'!F65</f>
        <v>8.8607994092248621E-2</v>
      </c>
      <c r="F14" s="96">
        <f>'Computation Table'!C38</f>
        <v>9.1682186949581634E-2</v>
      </c>
      <c r="G14" s="96">
        <f>'Computation Table'!C12</f>
        <v>9.4100503202476204E-2</v>
      </c>
      <c r="I14" t="s">
        <v>341</v>
      </c>
      <c r="K14" s="236"/>
    </row>
    <row r="15" spans="2:14">
      <c r="B15" s="2" t="s">
        <v>17</v>
      </c>
      <c r="C15" s="97">
        <f>'Computation Table'!C126</f>
        <v>9338.1996345234002</v>
      </c>
      <c r="D15" s="97">
        <f>'Computation Table'!C100</f>
        <v>4936.7326433885128</v>
      </c>
      <c r="E15" s="97">
        <f>'Computation Table'!C74</f>
        <v>1499.9958369144247</v>
      </c>
      <c r="F15" s="97">
        <f>'Computation Table'!C47</f>
        <v>2771.380860951364</v>
      </c>
      <c r="G15" s="97">
        <f>'Computation Table'!C21</f>
        <v>15000.248169988199</v>
      </c>
      <c r="K15" s="236"/>
    </row>
    <row r="16" spans="2:14">
      <c r="B16" s="286"/>
      <c r="C16" s="287"/>
      <c r="D16" s="287"/>
      <c r="E16" s="287"/>
      <c r="F16" s="287"/>
      <c r="G16" s="288"/>
      <c r="K16" s="236"/>
    </row>
    <row r="17" spans="3:11">
      <c r="K17" s="281"/>
    </row>
    <row r="18" spans="3:11">
      <c r="C18" s="236"/>
      <c r="K18" s="281"/>
    </row>
    <row r="19" spans="3:11">
      <c r="C19" s="236"/>
      <c r="D19" s="236"/>
      <c r="E19" s="236"/>
      <c r="F19" s="236"/>
      <c r="G19" s="236"/>
    </row>
  </sheetData>
  <protectedRanges>
    <protectedRange sqref="C9:G9" name="Range3"/>
    <protectedRange sqref="C5" name="Range1_12" securityDescriptor="O:WDG:WDD:"/>
    <protectedRange sqref="E5:F5" name="Range1_1_1" securityDescriptor="O:WDG:WDD:"/>
  </protectedRanges>
  <mergeCells count="1">
    <mergeCell ref="B16:G16"/>
  </mergeCells>
  <pageMargins left="0.75" right="0.75" top="1" bottom="1" header="0.5" footer="0.5"/>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D6876-825C-439E-AED1-86593C39795D}">
  <dimension ref="A1:C3"/>
  <sheetViews>
    <sheetView workbookViewId="0">
      <selection activeCell="C9" sqref="C9"/>
    </sheetView>
  </sheetViews>
  <sheetFormatPr defaultRowHeight="14.4"/>
  <cols>
    <col min="1" max="1" width="32" customWidth="1"/>
    <col min="2" max="2" width="33.33203125" customWidth="1"/>
    <col min="3" max="3" width="30.5546875" customWidth="1"/>
  </cols>
  <sheetData>
    <row r="1" spans="1:3">
      <c r="A1" t="s">
        <v>252</v>
      </c>
      <c r="B1" t="s">
        <v>251</v>
      </c>
      <c r="C1" t="s">
        <v>250</v>
      </c>
    </row>
    <row r="2" spans="1:3">
      <c r="A2" s="98">
        <v>1224665.55</v>
      </c>
      <c r="B2" s="98">
        <v>141889.63</v>
      </c>
      <c r="C2" s="98">
        <v>325836.12</v>
      </c>
    </row>
    <row r="3" spans="1:3">
      <c r="A3" s="97">
        <v>31137.532793862345</v>
      </c>
      <c r="B3" s="4">
        <v>3632.7121123008624</v>
      </c>
      <c r="C3" s="4">
        <v>8303.3420805775168</v>
      </c>
    </row>
  </sheetData>
  <protectedRanges>
    <protectedRange sqref="A2" name="Range1" securityDescriptor="O:WDG:WDD:"/>
    <protectedRange sqref="B2" name="Range1_1" securityDescriptor="O:WDG:WDD:"/>
    <protectedRange sqref="C2" name="Range1_2" securityDescriptor="O:WDG:WDD:"/>
  </protectedRange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T62"/>
  <sheetViews>
    <sheetView topLeftCell="F1" zoomScaleNormal="100" workbookViewId="0">
      <selection activeCell="M28" sqref="M28"/>
    </sheetView>
  </sheetViews>
  <sheetFormatPr defaultColWidth="9" defaultRowHeight="14.4"/>
  <cols>
    <col min="1" max="1" width="3.33203125" customWidth="1"/>
    <col min="2" max="2" width="15.5546875" bestFit="1" customWidth="1"/>
    <col min="3" max="5" width="12.6640625" customWidth="1"/>
    <col min="6" max="6" width="6.33203125" customWidth="1"/>
    <col min="7" max="7" width="23.5546875" bestFit="1" customWidth="1"/>
    <col min="8" max="8" width="13.6640625" customWidth="1"/>
    <col min="9" max="9" width="14.33203125" bestFit="1" customWidth="1"/>
    <col min="10" max="10" width="15.109375" bestFit="1" customWidth="1"/>
    <col min="11" max="11" width="12" bestFit="1" customWidth="1"/>
    <col min="12" max="12" width="15.109375" customWidth="1"/>
    <col min="14" max="14" width="23.5546875" bestFit="1" customWidth="1"/>
    <col min="15" max="15" width="13.109375" bestFit="1" customWidth="1"/>
    <col min="16" max="16" width="11.88671875" customWidth="1"/>
    <col min="17" max="17" width="11.5546875" customWidth="1"/>
    <col min="18" max="18" width="11.88671875" customWidth="1"/>
    <col min="19" max="19" width="12.88671875" customWidth="1"/>
    <col min="20" max="20" width="11" bestFit="1" customWidth="1"/>
  </cols>
  <sheetData>
    <row r="1" spans="2:20" ht="15" thickBot="1"/>
    <row r="2" spans="2:20" ht="15" customHeight="1">
      <c r="B2" s="300" t="s">
        <v>82</v>
      </c>
      <c r="C2" s="300"/>
      <c r="D2" s="300"/>
      <c r="E2" s="300"/>
      <c r="G2" s="314" t="s">
        <v>82</v>
      </c>
      <c r="H2" s="315"/>
      <c r="I2" s="315"/>
      <c r="J2" s="315"/>
      <c r="K2" s="315"/>
      <c r="L2" s="316"/>
      <c r="N2" s="314" t="s">
        <v>82</v>
      </c>
      <c r="O2" s="315"/>
      <c r="P2" s="315"/>
      <c r="Q2" s="315"/>
      <c r="R2" s="315"/>
      <c r="S2" s="316"/>
    </row>
    <row r="3" spans="2:20" ht="15" customHeight="1">
      <c r="B3" s="300"/>
      <c r="C3" s="300"/>
      <c r="D3" s="300"/>
      <c r="E3" s="300"/>
      <c r="G3" s="317"/>
      <c r="H3" s="300"/>
      <c r="I3" s="300"/>
      <c r="J3" s="300"/>
      <c r="K3" s="300"/>
      <c r="L3" s="318"/>
      <c r="N3" s="317"/>
      <c r="O3" s="300"/>
      <c r="P3" s="300"/>
      <c r="Q3" s="300"/>
      <c r="R3" s="300"/>
      <c r="S3" s="318"/>
    </row>
    <row r="4" spans="2:20" ht="27" customHeight="1" thickBot="1">
      <c r="B4" s="300"/>
      <c r="C4" s="300"/>
      <c r="D4" s="300"/>
      <c r="E4" s="300"/>
      <c r="G4" s="317"/>
      <c r="H4" s="300"/>
      <c r="I4" s="300"/>
      <c r="J4" s="300"/>
      <c r="K4" s="300"/>
      <c r="L4" s="318"/>
      <c r="N4" s="319"/>
      <c r="O4" s="320"/>
      <c r="P4" s="320"/>
      <c r="Q4" s="320"/>
      <c r="R4" s="320"/>
      <c r="S4" s="321"/>
    </row>
    <row r="5" spans="2:20" ht="18.600000000000001" thickBot="1">
      <c r="B5" s="301" t="s">
        <v>81</v>
      </c>
      <c r="C5" s="301"/>
      <c r="D5" s="301"/>
      <c r="E5" s="301"/>
      <c r="G5" s="311" t="s">
        <v>331</v>
      </c>
      <c r="H5" s="312"/>
      <c r="I5" s="312"/>
      <c r="J5" s="312"/>
      <c r="K5" s="312"/>
      <c r="L5" s="313"/>
      <c r="N5" s="311" t="s">
        <v>332</v>
      </c>
      <c r="O5" s="312"/>
      <c r="P5" s="312"/>
      <c r="Q5" s="312"/>
      <c r="R5" s="312"/>
      <c r="S5" s="313"/>
    </row>
    <row r="6" spans="2:20" ht="32.25" customHeight="1" thickBot="1">
      <c r="B6" s="99" t="s">
        <v>18</v>
      </c>
      <c r="C6" s="100" t="s">
        <v>19</v>
      </c>
      <c r="D6" s="100" t="s">
        <v>20</v>
      </c>
      <c r="E6" s="100" t="s">
        <v>21</v>
      </c>
      <c r="F6" s="82"/>
      <c r="G6" s="258" t="s">
        <v>18</v>
      </c>
      <c r="H6" s="259" t="s">
        <v>83</v>
      </c>
      <c r="I6" s="259" t="s">
        <v>84</v>
      </c>
      <c r="J6" s="259" t="s">
        <v>85</v>
      </c>
      <c r="K6" s="259" t="s">
        <v>86</v>
      </c>
      <c r="L6" s="260" t="s">
        <v>87</v>
      </c>
      <c r="N6" s="240" t="s">
        <v>18</v>
      </c>
      <c r="O6" s="241" t="s">
        <v>83</v>
      </c>
      <c r="P6" s="241" t="s">
        <v>84</v>
      </c>
      <c r="Q6" s="241" t="s">
        <v>85</v>
      </c>
      <c r="R6" s="241" t="s">
        <v>86</v>
      </c>
      <c r="S6" s="242" t="s">
        <v>87</v>
      </c>
    </row>
    <row r="7" spans="2:20" ht="16.5" customHeight="1">
      <c r="B7" s="83">
        <v>25000</v>
      </c>
      <c r="C7" s="84">
        <f>'Computation Table'!E126</f>
        <v>2373.8998195269373</v>
      </c>
      <c r="D7" s="85">
        <f>'Computation Table'!C100</f>
        <v>4936.7326433885128</v>
      </c>
      <c r="E7" s="85">
        <f>'Computation Table'!E74</f>
        <v>923.11505998997177</v>
      </c>
      <c r="F7" s="82"/>
      <c r="G7" s="83">
        <v>25000</v>
      </c>
      <c r="H7" s="246">
        <v>2373.8998195269373</v>
      </c>
      <c r="I7" s="85">
        <v>1259.4445021559511</v>
      </c>
      <c r="J7" s="85">
        <v>891.91446362142585</v>
      </c>
      <c r="K7" s="85">
        <v>721.48004849866231</v>
      </c>
      <c r="L7" s="261">
        <v>620.67482126797915</v>
      </c>
      <c r="N7" s="243">
        <v>25000</v>
      </c>
      <c r="O7" s="244">
        <v>2833.7141290195923</v>
      </c>
      <c r="P7" s="245">
        <v>1499.4393198007215</v>
      </c>
      <c r="Q7" s="245">
        <v>1059.2224119662794</v>
      </c>
      <c r="R7" s="245">
        <v>852.81781188904495</v>
      </c>
      <c r="S7" s="252">
        <v>730.69410396765431</v>
      </c>
      <c r="T7" s="303">
        <v>5000</v>
      </c>
    </row>
    <row r="8" spans="2:20">
      <c r="B8" s="83">
        <v>50000</v>
      </c>
      <c r="C8" s="84">
        <f>'Computation Table'!F126</f>
        <v>5207.6139485465292</v>
      </c>
      <c r="D8" s="85">
        <f>'Computation Table'!F100</f>
        <v>2745.2992096371572</v>
      </c>
      <c r="E8" s="85">
        <f>'Computation Table'!F74</f>
        <v>1943.2449912318161</v>
      </c>
      <c r="F8" s="82"/>
      <c r="G8" s="83">
        <v>50000</v>
      </c>
      <c r="H8" s="246">
        <v>4747.7996390538747</v>
      </c>
      <c r="I8" s="85">
        <v>2518.8890043119022</v>
      </c>
      <c r="J8" s="85">
        <v>1783.8289272428517</v>
      </c>
      <c r="K8" s="85">
        <v>1442.9600969973246</v>
      </c>
      <c r="L8" s="261">
        <v>1241.3496425359583</v>
      </c>
      <c r="N8" s="83">
        <v>50000</v>
      </c>
      <c r="O8" s="246">
        <v>5207.6139485465292</v>
      </c>
      <c r="P8" s="85">
        <v>2758.8838219566728</v>
      </c>
      <c r="Q8" s="85">
        <v>1951.1368755877054</v>
      </c>
      <c r="R8" s="85">
        <v>1574.2978603877073</v>
      </c>
      <c r="S8" s="253">
        <v>1351.3689252356335</v>
      </c>
      <c r="T8" s="303"/>
    </row>
    <row r="9" spans="2:20">
      <c r="B9" s="83">
        <v>75000</v>
      </c>
      <c r="C9" s="84">
        <f>'Computation Table'!G126</f>
        <v>7121.6994585808116</v>
      </c>
      <c r="D9" s="85">
        <f>'Computation Table'!G100</f>
        <v>3778.333506467854</v>
      </c>
      <c r="E9" s="85">
        <f>'Computation Table'!G74</f>
        <v>2663.9055643304432</v>
      </c>
      <c r="F9" s="82"/>
      <c r="G9" s="83">
        <v>75000</v>
      </c>
      <c r="H9" s="246">
        <v>7121.6994585808116</v>
      </c>
      <c r="I9" s="85">
        <v>3778.333506467854</v>
      </c>
      <c r="J9" s="85">
        <v>2675.7433908642774</v>
      </c>
      <c r="K9" s="85">
        <v>2164.4401454959871</v>
      </c>
      <c r="L9" s="261">
        <v>1862.0244638039374</v>
      </c>
      <c r="N9" s="83">
        <v>75000</v>
      </c>
      <c r="O9" s="246">
        <v>7581.513768073467</v>
      </c>
      <c r="P9" s="85">
        <v>4018.3283241126242</v>
      </c>
      <c r="Q9" s="85">
        <v>2843.0513392091311</v>
      </c>
      <c r="R9" s="85">
        <v>2295.7779088863695</v>
      </c>
      <c r="S9" s="253">
        <v>1972.0437465036125</v>
      </c>
      <c r="T9" s="303"/>
    </row>
    <row r="10" spans="2:20">
      <c r="B10" s="83">
        <v>100000</v>
      </c>
      <c r="C10" s="84">
        <f>'Computation Table'!H126</f>
        <v>9955.4135876004038</v>
      </c>
      <c r="D10" s="85">
        <f>'Computation Table'!H100</f>
        <v>5264.1882139490599</v>
      </c>
      <c r="E10" s="85">
        <f>'Computation Table'!H74</f>
        <v>3719.1820341187786</v>
      </c>
      <c r="F10" s="86"/>
      <c r="G10" s="83">
        <v>100000</v>
      </c>
      <c r="H10" s="246">
        <v>9495.5992781077493</v>
      </c>
      <c r="I10" s="85">
        <v>5037.7780086238045</v>
      </c>
      <c r="J10" s="85">
        <v>3567.6578544857034</v>
      </c>
      <c r="K10" s="85">
        <v>2885.9201939946493</v>
      </c>
      <c r="L10" s="261">
        <v>2482.6992850719166</v>
      </c>
      <c r="N10" s="83">
        <v>100000</v>
      </c>
      <c r="O10" s="246">
        <v>9955.4135876004038</v>
      </c>
      <c r="P10" s="85">
        <v>5277.772826268575</v>
      </c>
      <c r="Q10" s="85">
        <v>3734.9658028305571</v>
      </c>
      <c r="R10" s="85">
        <v>3017.2579573850317</v>
      </c>
      <c r="S10" s="253">
        <v>2592.7185677715916</v>
      </c>
      <c r="T10" s="303"/>
    </row>
    <row r="11" spans="2:20">
      <c r="B11" s="83">
        <v>150000</v>
      </c>
      <c r="C11" s="84">
        <f>'Computation Table'!J126</f>
        <v>14703.213226654279</v>
      </c>
      <c r="D11" s="85">
        <f>'Computation Table'!J100</f>
        <v>7783.0772182609626</v>
      </c>
      <c r="E11" s="85">
        <f>'Computation Table'!J74</f>
        <v>5495.119077005741</v>
      </c>
      <c r="F11" s="86"/>
      <c r="G11" s="83">
        <v>150000</v>
      </c>
      <c r="H11" s="246">
        <v>14243.398917161623</v>
      </c>
      <c r="I11" s="85">
        <v>7556.667012935708</v>
      </c>
      <c r="J11" s="85">
        <v>5351.4867817285549</v>
      </c>
      <c r="K11" s="85">
        <v>4328.8802909919741</v>
      </c>
      <c r="L11" s="261">
        <v>3724.0489276078747</v>
      </c>
      <c r="N11" s="83">
        <v>150000</v>
      </c>
      <c r="O11" s="246">
        <v>14703.213226654279</v>
      </c>
      <c r="P11" s="85">
        <v>7796.6618305804777</v>
      </c>
      <c r="Q11" s="85">
        <v>5518.7947300734086</v>
      </c>
      <c r="R11" s="85">
        <v>4460.2180543823561</v>
      </c>
      <c r="S11" s="253">
        <v>3834.0682103075501</v>
      </c>
      <c r="T11" s="303"/>
    </row>
    <row r="12" spans="2:20">
      <c r="B12" s="83">
        <v>200000</v>
      </c>
      <c r="C12" s="84">
        <f>'Computation Table'!L126</f>
        <v>19451.012865708155</v>
      </c>
      <c r="D12" s="85">
        <f>'Computation Table'!L100</f>
        <v>10301.966222572864</v>
      </c>
      <c r="E12" s="85">
        <f>'Computation Table'!L74</f>
        <v>7271.0561198927035</v>
      </c>
      <c r="F12" s="86"/>
      <c r="G12" s="83">
        <v>200000</v>
      </c>
      <c r="H12" s="246">
        <v>18991.198556215499</v>
      </c>
      <c r="I12" s="85">
        <v>10075.556017247609</v>
      </c>
      <c r="J12" s="85">
        <v>7135.3157089714068</v>
      </c>
      <c r="K12" s="85">
        <v>5771.8403879892985</v>
      </c>
      <c r="L12" s="261">
        <v>4965.3985701438332</v>
      </c>
      <c r="N12" s="83">
        <v>200000</v>
      </c>
      <c r="O12" s="246">
        <v>19451.012865708155</v>
      </c>
      <c r="P12" s="85">
        <v>10315.550834892379</v>
      </c>
      <c r="Q12" s="85">
        <v>7302.6236573162605</v>
      </c>
      <c r="R12" s="85">
        <v>5903.1781513796805</v>
      </c>
      <c r="S12" s="253">
        <v>5075.4178528435086</v>
      </c>
      <c r="T12" s="303"/>
    </row>
    <row r="13" spans="2:20">
      <c r="B13" s="83">
        <v>250000</v>
      </c>
      <c r="C13" s="84">
        <f>'Computation Table'!N126</f>
        <v>24198.812504762027</v>
      </c>
      <c r="D13" s="85">
        <f>'Computation Table'!N100</f>
        <v>12820.855226884767</v>
      </c>
      <c r="E13" s="85">
        <f>'Computation Table'!N74</f>
        <v>9046.993162779665</v>
      </c>
      <c r="F13" s="86"/>
      <c r="G13" s="83">
        <v>250000</v>
      </c>
      <c r="H13" s="246">
        <v>23738.998195269374</v>
      </c>
      <c r="I13" s="85">
        <v>12594.445021559512</v>
      </c>
      <c r="J13" s="85">
        <v>8919.1446362142578</v>
      </c>
      <c r="K13" s="85">
        <v>7214.8004849866229</v>
      </c>
      <c r="L13" s="261">
        <v>6206.7482126797913</v>
      </c>
      <c r="N13" s="83">
        <v>250000</v>
      </c>
      <c r="O13" s="246">
        <v>24198.812504762027</v>
      </c>
      <c r="P13" s="85">
        <v>12834.439839204282</v>
      </c>
      <c r="Q13" s="85">
        <v>9086.4525845591124</v>
      </c>
      <c r="R13" s="85">
        <v>7346.1382483770049</v>
      </c>
      <c r="S13" s="253">
        <v>6316.7674953794667</v>
      </c>
      <c r="T13" s="303"/>
    </row>
    <row r="14" spans="2:20" ht="16.5" customHeight="1">
      <c r="B14" s="83">
        <v>300000</v>
      </c>
      <c r="C14" s="84">
        <f>'Computation Table'!P126</f>
        <v>28946.612143815903</v>
      </c>
      <c r="D14" s="85">
        <f>'Computation Table'!P100</f>
        <v>15339.74423119667</v>
      </c>
      <c r="E14" s="85">
        <f>'Computation Table'!P74</f>
        <v>10822.930205666627</v>
      </c>
      <c r="F14" s="86"/>
      <c r="G14" s="83">
        <v>300000</v>
      </c>
      <c r="H14" s="246">
        <v>28486.797834323246</v>
      </c>
      <c r="I14" s="85">
        <v>15113.334025871416</v>
      </c>
      <c r="J14" s="85">
        <v>10702.97356345711</v>
      </c>
      <c r="K14" s="85">
        <v>8657.7605819839482</v>
      </c>
      <c r="L14" s="261">
        <v>7448.0978552157494</v>
      </c>
      <c r="N14" s="83">
        <v>300000</v>
      </c>
      <c r="O14" s="246">
        <v>29380.399228242935</v>
      </c>
      <c r="P14" s="85">
        <v>15579.73904884144</v>
      </c>
      <c r="Q14" s="85">
        <v>11028.11919891975</v>
      </c>
      <c r="R14" s="85">
        <v>8913.0018957426164</v>
      </c>
      <c r="S14" s="253">
        <v>7661.9089140471942</v>
      </c>
      <c r="T14" s="304">
        <v>10000</v>
      </c>
    </row>
    <row r="15" spans="2:20">
      <c r="B15" s="83">
        <v>350000</v>
      </c>
      <c r="C15" s="84">
        <f>'Computation Table'!R126</f>
        <v>33694.411782869778</v>
      </c>
      <c r="D15" s="85">
        <f>'Computation Table'!R100</f>
        <v>17858.633235508572</v>
      </c>
      <c r="E15" s="85">
        <f>'Computation Table'!R74</f>
        <v>12598.86724855359</v>
      </c>
      <c r="F15" s="86"/>
      <c r="G15" s="83">
        <v>350000</v>
      </c>
      <c r="H15" s="246">
        <v>33234.597473377122</v>
      </c>
      <c r="I15" s="85">
        <v>17632.223030183319</v>
      </c>
      <c r="J15" s="85">
        <v>12486.80249069996</v>
      </c>
      <c r="K15" s="85">
        <v>10100.720678981274</v>
      </c>
      <c r="L15" s="261">
        <v>8689.4474977517075</v>
      </c>
      <c r="N15" s="83">
        <v>350000</v>
      </c>
      <c r="O15" s="246">
        <v>34128.198867296807</v>
      </c>
      <c r="P15" s="85">
        <v>18098.628053153345</v>
      </c>
      <c r="Q15" s="85">
        <v>12811.948126162601</v>
      </c>
      <c r="R15" s="85">
        <v>10355.961992739942</v>
      </c>
      <c r="S15" s="253">
        <v>8903.2585565831523</v>
      </c>
      <c r="T15" s="304"/>
    </row>
    <row r="16" spans="2:20">
      <c r="B16" s="83">
        <v>400000</v>
      </c>
      <c r="C16" s="84">
        <f>'Computation Table'!T126</f>
        <v>38442.211421923654</v>
      </c>
      <c r="D16" s="85">
        <f>'Computation Table'!T100</f>
        <v>20377.522239820475</v>
      </c>
      <c r="E16" s="85">
        <f>'Computation Table'!T74</f>
        <v>14374.804291440552</v>
      </c>
      <c r="F16" s="86"/>
      <c r="G16" s="83">
        <v>400000</v>
      </c>
      <c r="H16" s="246">
        <v>37982.397112430997</v>
      </c>
      <c r="I16" s="85">
        <v>20151.112034495218</v>
      </c>
      <c r="J16" s="85">
        <v>14270.631417942814</v>
      </c>
      <c r="K16" s="85">
        <v>11543.680775978597</v>
      </c>
      <c r="L16" s="261">
        <v>9930.7971402876665</v>
      </c>
      <c r="N16" s="83">
        <v>400000</v>
      </c>
      <c r="O16" s="246">
        <v>38875.998506350683</v>
      </c>
      <c r="P16" s="85">
        <v>20617.517057465244</v>
      </c>
      <c r="Q16" s="85">
        <v>14595.777053405454</v>
      </c>
      <c r="R16" s="85">
        <v>11798.922089737265</v>
      </c>
      <c r="S16" s="253">
        <v>10144.608199119109</v>
      </c>
      <c r="T16" s="304"/>
    </row>
    <row r="17" spans="2:20">
      <c r="B17" s="83">
        <v>450000</v>
      </c>
      <c r="C17" s="84">
        <f>'Computation Table'!V126</f>
        <v>43190.011060977529</v>
      </c>
      <c r="D17" s="85">
        <f>'Computation Table'!V100</f>
        <v>22896.411244132378</v>
      </c>
      <c r="E17" s="85">
        <f>'Computation Table'!V74</f>
        <v>16150.741334327515</v>
      </c>
      <c r="F17" s="86"/>
      <c r="G17" s="83">
        <v>450000</v>
      </c>
      <c r="H17" s="246">
        <v>42730.196751484873</v>
      </c>
      <c r="I17" s="85">
        <v>22670.001038807124</v>
      </c>
      <c r="J17" s="85">
        <v>16054.460345185664</v>
      </c>
      <c r="K17" s="85">
        <v>12986.640872975922</v>
      </c>
      <c r="L17" s="261">
        <v>11172.146782823624</v>
      </c>
      <c r="N17" s="83">
        <v>450000</v>
      </c>
      <c r="O17" s="246">
        <v>43623.798145404558</v>
      </c>
      <c r="P17" s="85">
        <v>23136.406061777147</v>
      </c>
      <c r="Q17" s="85">
        <v>16379.605980648304</v>
      </c>
      <c r="R17" s="85">
        <v>13241.882186734589</v>
      </c>
      <c r="S17" s="253">
        <v>11385.957841655068</v>
      </c>
      <c r="T17" s="304"/>
    </row>
    <row r="18" spans="2:20">
      <c r="B18" s="83">
        <v>500000</v>
      </c>
      <c r="C18" s="84">
        <f>'Computation Table'!X126</f>
        <v>47937.810700031398</v>
      </c>
      <c r="D18" s="85">
        <f>'Computation Table'!X100</f>
        <v>25415.300248444277</v>
      </c>
      <c r="E18" s="85">
        <f>'Computation Table'!X74</f>
        <v>17926.678377214477</v>
      </c>
      <c r="F18" s="86"/>
      <c r="G18" s="83">
        <v>500000</v>
      </c>
      <c r="H18" s="246">
        <v>47477.996390538749</v>
      </c>
      <c r="I18" s="85">
        <v>25188.890043119023</v>
      </c>
      <c r="J18" s="85">
        <v>17838.289272428516</v>
      </c>
      <c r="K18" s="85">
        <v>14429.600969973246</v>
      </c>
      <c r="L18" s="261">
        <v>12413.496425359583</v>
      </c>
      <c r="N18" s="83">
        <v>500000</v>
      </c>
      <c r="O18" s="246">
        <v>48371.597784458434</v>
      </c>
      <c r="P18" s="85">
        <v>25655.295066089049</v>
      </c>
      <c r="Q18" s="85">
        <v>18163.434907891158</v>
      </c>
      <c r="R18" s="85">
        <v>14684.842283731914</v>
      </c>
      <c r="S18" s="253">
        <v>12627.307484191027</v>
      </c>
      <c r="T18" s="304"/>
    </row>
    <row r="19" spans="2:20">
      <c r="B19" s="83">
        <v>550000</v>
      </c>
      <c r="C19" s="84">
        <f>'Computation Table'!Z126</f>
        <v>52685.610339085273</v>
      </c>
      <c r="D19" s="85">
        <f>'Computation Table'!Z100</f>
        <v>27934.189252756183</v>
      </c>
      <c r="E19" s="85">
        <f>'Computation Table'!Z74</f>
        <v>19702.615420101436</v>
      </c>
      <c r="F19" s="86"/>
      <c r="G19" s="83">
        <v>550000</v>
      </c>
      <c r="H19" s="246">
        <v>52225.796029592624</v>
      </c>
      <c r="I19" s="85">
        <v>27707.779047430929</v>
      </c>
      <c r="J19" s="85">
        <v>19622.118199671368</v>
      </c>
      <c r="K19" s="85">
        <v>15872.561066970571</v>
      </c>
      <c r="L19" s="261">
        <v>13654.84606789554</v>
      </c>
      <c r="N19" s="83">
        <v>550000</v>
      </c>
      <c r="O19" s="246">
        <v>53119.39742351231</v>
      </c>
      <c r="P19" s="85">
        <v>28174.184070400956</v>
      </c>
      <c r="Q19" s="85">
        <v>19947.263835134007</v>
      </c>
      <c r="R19" s="85">
        <v>16127.802380729239</v>
      </c>
      <c r="S19" s="253">
        <v>13868.657126726985</v>
      </c>
      <c r="T19" s="304"/>
    </row>
    <row r="20" spans="2:20">
      <c r="B20" s="83">
        <v>600000</v>
      </c>
      <c r="C20" s="84">
        <f>'Computation Table'!AB126</f>
        <v>57433.409978139149</v>
      </c>
      <c r="D20" s="85">
        <f>'Computation Table'!AB100</f>
        <v>30453.078257068086</v>
      </c>
      <c r="E20" s="85">
        <f>'Computation Table'!AB74</f>
        <v>21478.552462988402</v>
      </c>
      <c r="F20" s="86"/>
      <c r="G20" s="83">
        <v>600000</v>
      </c>
      <c r="H20" s="246">
        <v>56973.595668646492</v>
      </c>
      <c r="I20" s="85">
        <v>30226.668051742832</v>
      </c>
      <c r="J20" s="85">
        <v>21405.94712691422</v>
      </c>
      <c r="K20" s="85">
        <v>17315.521163967896</v>
      </c>
      <c r="L20" s="261">
        <v>14896.195710431499</v>
      </c>
      <c r="N20" s="83">
        <v>600000</v>
      </c>
      <c r="O20" s="246">
        <v>57867.197062566185</v>
      </c>
      <c r="P20" s="85">
        <v>30693.073074712855</v>
      </c>
      <c r="Q20" s="85">
        <v>21731.092762376858</v>
      </c>
      <c r="R20" s="85">
        <v>17570.762477726563</v>
      </c>
      <c r="S20" s="253">
        <v>15110.006769262944</v>
      </c>
      <c r="T20" s="304"/>
    </row>
    <row r="21" spans="2:20">
      <c r="B21" s="83">
        <v>650000</v>
      </c>
      <c r="C21" s="84">
        <f>'Computation Table'!AD126</f>
        <v>62181.209617193024</v>
      </c>
      <c r="D21" s="85">
        <f>'Computation Table'!AD100</f>
        <v>32971.967261379985</v>
      </c>
      <c r="E21" s="85">
        <f>'Computation Table'!AD74</f>
        <v>23254.489505875365</v>
      </c>
      <c r="F21" s="86"/>
      <c r="G21" s="83">
        <v>650000</v>
      </c>
      <c r="H21" s="246">
        <v>61721.395307700368</v>
      </c>
      <c r="I21" s="85">
        <v>32745.557056054731</v>
      </c>
      <c r="J21" s="85">
        <v>23189.776054157071</v>
      </c>
      <c r="K21" s="85">
        <v>18758.481260965218</v>
      </c>
      <c r="L21" s="261">
        <v>16137.545352967458</v>
      </c>
      <c r="N21" s="83">
        <v>650000</v>
      </c>
      <c r="O21" s="246">
        <v>62614.996701620061</v>
      </c>
      <c r="P21" s="85">
        <v>33211.962079024757</v>
      </c>
      <c r="Q21" s="85">
        <v>23514.921689619714</v>
      </c>
      <c r="R21" s="85">
        <v>19013.722574723888</v>
      </c>
      <c r="S21" s="253">
        <v>16351.356411798901</v>
      </c>
      <c r="T21" s="304"/>
    </row>
    <row r="22" spans="2:20">
      <c r="B22" s="83">
        <v>700000</v>
      </c>
      <c r="C22" s="84">
        <f>'Computation Table'!AF126</f>
        <v>66929.009256246893</v>
      </c>
      <c r="D22" s="85">
        <f>'Computation Table'!AF100</f>
        <v>35490.856265691895</v>
      </c>
      <c r="E22" s="85">
        <f>'Computation Table'!AF74</f>
        <v>25030.426548762323</v>
      </c>
      <c r="F22" s="86"/>
      <c r="G22" s="83">
        <v>700000</v>
      </c>
      <c r="H22" s="246">
        <v>66469.194946754244</v>
      </c>
      <c r="I22" s="85">
        <v>35264.446060366638</v>
      </c>
      <c r="J22" s="85">
        <v>24973.60498139992</v>
      </c>
      <c r="K22" s="85">
        <v>20201.441357962547</v>
      </c>
      <c r="L22" s="261">
        <v>17378.894995503415</v>
      </c>
      <c r="N22" s="83">
        <v>700000</v>
      </c>
      <c r="O22" s="246">
        <v>67362.796340673929</v>
      </c>
      <c r="P22" s="85">
        <v>35730.85108333666</v>
      </c>
      <c r="Q22" s="85">
        <v>25298.750616862562</v>
      </c>
      <c r="R22" s="85">
        <v>20456.682671721213</v>
      </c>
      <c r="S22" s="253">
        <v>17592.70605433486</v>
      </c>
      <c r="T22" s="304"/>
    </row>
    <row r="23" spans="2:20">
      <c r="B23" s="83">
        <v>750000</v>
      </c>
      <c r="C23" s="84">
        <f>'Computation Table'!AH126</f>
        <v>71676.808895300768</v>
      </c>
      <c r="D23" s="85">
        <f>'Computation Table'!AH100</f>
        <v>38009.74527000379</v>
      </c>
      <c r="E23" s="85">
        <f>'Computation Table'!AH74</f>
        <v>26806.363591649289</v>
      </c>
      <c r="F23" s="86"/>
      <c r="G23" s="83">
        <v>750000</v>
      </c>
      <c r="H23" s="246">
        <v>71216.994585808119</v>
      </c>
      <c r="I23" s="85">
        <v>37783.33506467854</v>
      </c>
      <c r="J23" s="85">
        <v>26757.433908642775</v>
      </c>
      <c r="K23" s="85">
        <v>21644.401454959869</v>
      </c>
      <c r="L23" s="261">
        <v>18620.244638039374</v>
      </c>
      <c r="N23" s="83">
        <v>750000</v>
      </c>
      <c r="O23" s="246">
        <v>72110.595979727805</v>
      </c>
      <c r="P23" s="85">
        <v>38249.740087648563</v>
      </c>
      <c r="Q23" s="85">
        <v>27082.579544105414</v>
      </c>
      <c r="R23" s="85">
        <v>21899.642768718539</v>
      </c>
      <c r="S23" s="253">
        <v>18834.055696870819</v>
      </c>
      <c r="T23" s="304"/>
    </row>
    <row r="24" spans="2:20" ht="16.5" customHeight="1">
      <c r="B24" s="83">
        <v>800000</v>
      </c>
      <c r="C24" s="84">
        <f>'Computation Table'!AJ126</f>
        <v>76424.608534354644</v>
      </c>
      <c r="D24" s="85">
        <f>'Computation Table'!AJ100</f>
        <v>40528.634274315693</v>
      </c>
      <c r="E24" s="85">
        <f>'Computation Table'!AJ74</f>
        <v>28582.300634536252</v>
      </c>
      <c r="F24" s="86"/>
      <c r="G24" s="83">
        <v>800000</v>
      </c>
      <c r="H24" s="246">
        <v>75964.794224861995</v>
      </c>
      <c r="I24" s="85">
        <v>40302.224068990436</v>
      </c>
      <c r="J24" s="85">
        <v>28541.262835885627</v>
      </c>
      <c r="K24" s="85">
        <v>23087.361551957194</v>
      </c>
      <c r="L24" s="261">
        <v>19861.594280575333</v>
      </c>
      <c r="N24" s="83">
        <v>800000</v>
      </c>
      <c r="O24" s="246">
        <v>76858.39561878168</v>
      </c>
      <c r="P24" s="85">
        <v>40768.629091960465</v>
      </c>
      <c r="Q24" s="85">
        <v>28866.408471348266</v>
      </c>
      <c r="R24" s="85">
        <v>23342.60286571586</v>
      </c>
      <c r="S24" s="253">
        <v>20075.405339406778</v>
      </c>
      <c r="T24" s="304"/>
    </row>
    <row r="25" spans="2:20">
      <c r="B25" s="83">
        <v>850000</v>
      </c>
      <c r="C25" s="84">
        <f>'Computation Table'!AL126</f>
        <v>81172.408173408519</v>
      </c>
      <c r="D25" s="85">
        <f>'Computation Table'!AL100</f>
        <v>43047.523278627603</v>
      </c>
      <c r="E25" s="85">
        <f>'Computation Table'!AL74</f>
        <v>30358.237677423211</v>
      </c>
      <c r="F25" s="86"/>
      <c r="G25" s="83">
        <v>850000</v>
      </c>
      <c r="H25" s="246">
        <v>80712.59386391587</v>
      </c>
      <c r="I25" s="85">
        <v>42821.113073302346</v>
      </c>
      <c r="J25" s="85">
        <v>30325.091763128476</v>
      </c>
      <c r="K25" s="85">
        <v>24530.321648954519</v>
      </c>
      <c r="L25" s="261">
        <v>21102.943923111292</v>
      </c>
      <c r="N25" s="83">
        <v>850000</v>
      </c>
      <c r="O25" s="246">
        <v>81606.195257835556</v>
      </c>
      <c r="P25" s="85">
        <v>43287.518096272368</v>
      </c>
      <c r="Q25" s="85">
        <v>30650.237398591118</v>
      </c>
      <c r="R25" s="85">
        <v>24785.562962713186</v>
      </c>
      <c r="S25" s="253">
        <v>21316.754981942733</v>
      </c>
      <c r="T25" s="304"/>
    </row>
    <row r="26" spans="2:20">
      <c r="B26" s="83">
        <v>900000</v>
      </c>
      <c r="C26" s="84">
        <f>'Computation Table'!AN126</f>
        <v>85920.207812462395</v>
      </c>
      <c r="D26" s="85">
        <f>'Computation Table'!AN100</f>
        <v>45566.412282939498</v>
      </c>
      <c r="E26" s="85">
        <f>'Computation Table'!AN74</f>
        <v>32134.174720310173</v>
      </c>
      <c r="F26" s="86"/>
      <c r="G26" s="83">
        <v>900000</v>
      </c>
      <c r="H26" s="246">
        <v>85460.393502969746</v>
      </c>
      <c r="I26" s="85">
        <v>45340.002077614248</v>
      </c>
      <c r="J26" s="85">
        <v>32108.920690371328</v>
      </c>
      <c r="K26" s="85">
        <v>25973.281745951845</v>
      </c>
      <c r="L26" s="261">
        <v>22344.293565647247</v>
      </c>
      <c r="N26" s="83">
        <v>900000</v>
      </c>
      <c r="O26" s="246">
        <v>86353.994896889431</v>
      </c>
      <c r="P26" s="85">
        <v>45806.407100584271</v>
      </c>
      <c r="Q26" s="85">
        <v>32434.06632583397</v>
      </c>
      <c r="R26" s="85">
        <v>26228.523059710511</v>
      </c>
      <c r="S26" s="253">
        <v>22558.104624478692</v>
      </c>
      <c r="T26" s="304"/>
    </row>
    <row r="27" spans="2:20">
      <c r="B27" s="83">
        <v>950000</v>
      </c>
      <c r="C27" s="84">
        <f>'Computation Table'!AP126</f>
        <v>90668.007451516271</v>
      </c>
      <c r="D27" s="85">
        <f>'Computation Table'!AP100</f>
        <v>48085.301287251408</v>
      </c>
      <c r="E27" s="85">
        <f>'Computation Table'!AP74</f>
        <v>33910.111763197136</v>
      </c>
      <c r="F27" s="86"/>
      <c r="G27" s="83">
        <v>950000</v>
      </c>
      <c r="H27" s="246">
        <v>90208.193142023621</v>
      </c>
      <c r="I27" s="85">
        <v>47858.891081926151</v>
      </c>
      <c r="J27" s="85">
        <v>33892.749617614179</v>
      </c>
      <c r="K27" s="85">
        <v>27416.24184294917</v>
      </c>
      <c r="L27" s="261">
        <v>23585.643208183206</v>
      </c>
      <c r="N27" s="83">
        <v>950000</v>
      </c>
      <c r="O27" s="246">
        <v>91101.794535943307</v>
      </c>
      <c r="P27" s="85">
        <v>48325.296104896173</v>
      </c>
      <c r="Q27" s="85">
        <v>34217.895253076822</v>
      </c>
      <c r="R27" s="85">
        <v>27671.483156707836</v>
      </c>
      <c r="S27" s="253">
        <v>23799.454267014651</v>
      </c>
      <c r="T27" s="304"/>
    </row>
    <row r="28" spans="2:20" ht="15" thickBot="1">
      <c r="B28" s="87">
        <v>1000000</v>
      </c>
      <c r="C28" s="88">
        <f>'Computation Table'!AR126</f>
        <v>95415.807090570146</v>
      </c>
      <c r="D28" s="89">
        <f>'Computation Table'!AR100</f>
        <v>50604.190291563304</v>
      </c>
      <c r="E28" s="89">
        <f>'Computation Table'!AR74</f>
        <v>35686.048806084102</v>
      </c>
      <c r="F28" s="86"/>
      <c r="G28" s="87">
        <v>1000000</v>
      </c>
      <c r="H28" s="247">
        <v>94955.992781077497</v>
      </c>
      <c r="I28" s="89">
        <v>50377.780086238046</v>
      </c>
      <c r="J28" s="89">
        <v>35676.578544857031</v>
      </c>
      <c r="K28" s="89">
        <v>28859.201939946492</v>
      </c>
      <c r="L28" s="262">
        <v>24826.992850719165</v>
      </c>
      <c r="N28" s="87">
        <v>1000000</v>
      </c>
      <c r="O28" s="247">
        <v>98018.52959713235</v>
      </c>
      <c r="P28" s="89">
        <v>51976.236135834348</v>
      </c>
      <c r="Q28" s="89">
        <v>36790.912615908608</v>
      </c>
      <c r="R28" s="89">
        <v>29733.961005546586</v>
      </c>
      <c r="S28" s="253">
        <v>25559.762790209501</v>
      </c>
      <c r="T28" s="254">
        <v>35000</v>
      </c>
    </row>
    <row r="29" spans="2:20" ht="16.5" customHeight="1">
      <c r="B29" s="302"/>
      <c r="C29" s="302"/>
      <c r="D29" s="302"/>
      <c r="E29" s="302"/>
      <c r="F29" s="86"/>
      <c r="G29" s="305" t="s">
        <v>88</v>
      </c>
      <c r="H29" s="306"/>
      <c r="I29" s="306"/>
      <c r="J29" s="306"/>
      <c r="K29" s="306"/>
      <c r="L29" s="307"/>
      <c r="N29" s="305" t="s">
        <v>88</v>
      </c>
      <c r="O29" s="306"/>
      <c r="P29" s="306"/>
      <c r="Q29" s="306"/>
      <c r="R29" s="306"/>
      <c r="S29" s="307"/>
    </row>
    <row r="30" spans="2:20" ht="15" customHeight="1" thickBot="1">
      <c r="B30" s="90"/>
      <c r="G30" s="308"/>
      <c r="H30" s="309"/>
      <c r="I30" s="309"/>
      <c r="J30" s="309"/>
      <c r="K30" s="309"/>
      <c r="L30" s="310"/>
      <c r="N30" s="308"/>
      <c r="O30" s="309"/>
      <c r="P30" s="309"/>
      <c r="Q30" s="309"/>
      <c r="R30" s="309"/>
      <c r="S30" s="310"/>
    </row>
    <row r="31" spans="2:20" ht="6.75" customHeight="1">
      <c r="B31" s="90"/>
      <c r="N31" s="101"/>
      <c r="O31" s="101"/>
      <c r="P31" s="101"/>
      <c r="Q31" s="102"/>
      <c r="R31" s="102"/>
      <c r="S31" s="102"/>
    </row>
    <row r="32" spans="2:20" ht="15" thickBot="1">
      <c r="B32" s="90"/>
    </row>
    <row r="33" spans="2:19" ht="33" customHeight="1" thickBot="1">
      <c r="B33" s="90"/>
      <c r="N33" s="240" t="s">
        <v>17</v>
      </c>
      <c r="O33" s="241" t="s">
        <v>83</v>
      </c>
      <c r="P33" s="241" t="s">
        <v>84</v>
      </c>
      <c r="Q33" s="241" t="s">
        <v>85</v>
      </c>
      <c r="R33" s="241" t="s">
        <v>86</v>
      </c>
      <c r="S33" s="242" t="s">
        <v>87</v>
      </c>
    </row>
    <row r="34" spans="2:19" ht="15" thickBot="1">
      <c r="B34" s="90"/>
      <c r="G34" s="280" t="s">
        <v>333</v>
      </c>
      <c r="H34" s="289" t="s">
        <v>337</v>
      </c>
      <c r="I34" s="289"/>
      <c r="J34" s="289" t="s">
        <v>338</v>
      </c>
      <c r="K34" s="289"/>
      <c r="L34" s="293"/>
      <c r="N34" s="272">
        <v>1000</v>
      </c>
      <c r="O34" s="273">
        <v>5688.8</v>
      </c>
      <c r="P34" s="274">
        <v>15086.1</v>
      </c>
      <c r="Q34" s="275">
        <v>23340</v>
      </c>
      <c r="R34" s="273">
        <v>30100</v>
      </c>
      <c r="S34" s="276">
        <v>35847.5</v>
      </c>
    </row>
    <row r="35" spans="2:19">
      <c r="B35" s="90"/>
      <c r="G35" s="279" t="s">
        <v>334</v>
      </c>
      <c r="H35" s="290">
        <v>1200000</v>
      </c>
      <c r="I35" s="290"/>
      <c r="J35" s="294" t="s">
        <v>339</v>
      </c>
      <c r="K35" s="294"/>
      <c r="L35" s="295"/>
      <c r="N35" s="265">
        <v>1500</v>
      </c>
      <c r="O35" s="97">
        <v>10954.39</v>
      </c>
      <c r="P35" s="263">
        <v>25011.1</v>
      </c>
      <c r="Q35" s="264">
        <v>37354.800000000003</v>
      </c>
      <c r="R35" s="97">
        <v>47425.5</v>
      </c>
      <c r="S35" s="266">
        <v>55986.8</v>
      </c>
    </row>
    <row r="36" spans="2:19">
      <c r="B36" s="90"/>
      <c r="G36" s="277" t="s">
        <v>335</v>
      </c>
      <c r="H36" s="291">
        <v>325000</v>
      </c>
      <c r="I36" s="291"/>
      <c r="J36" s="296" t="s">
        <v>339</v>
      </c>
      <c r="K36" s="296"/>
      <c r="L36" s="297"/>
      <c r="N36" s="265">
        <v>2000</v>
      </c>
      <c r="O36" s="97">
        <v>16219.98</v>
      </c>
      <c r="P36" s="263">
        <v>34936.1</v>
      </c>
      <c r="Q36" s="264">
        <v>51369.599999999999</v>
      </c>
      <c r="R36" s="97">
        <v>64751</v>
      </c>
      <c r="S36" s="266">
        <v>76126.100000000006</v>
      </c>
    </row>
    <row r="37" spans="2:19" ht="15" thickBot="1">
      <c r="B37" s="90"/>
      <c r="G37" s="278" t="s">
        <v>336</v>
      </c>
      <c r="H37" s="292">
        <v>120000</v>
      </c>
      <c r="I37" s="292"/>
      <c r="J37" s="298" t="s">
        <v>339</v>
      </c>
      <c r="K37" s="298"/>
      <c r="L37" s="299"/>
      <c r="N37" s="265">
        <v>2500</v>
      </c>
      <c r="O37" s="97">
        <v>21485.57</v>
      </c>
      <c r="P37" s="263">
        <v>44861.1</v>
      </c>
      <c r="Q37" s="264">
        <v>65384.4</v>
      </c>
      <c r="R37" s="97">
        <v>82076.5</v>
      </c>
      <c r="S37" s="266">
        <v>96265.4</v>
      </c>
    </row>
    <row r="38" spans="2:19">
      <c r="G38" s="191"/>
      <c r="N38" s="265">
        <v>3000</v>
      </c>
      <c r="O38" s="97">
        <v>26751.16</v>
      </c>
      <c r="P38" s="263">
        <v>54786.1</v>
      </c>
      <c r="Q38" s="264">
        <v>79399.199999999997</v>
      </c>
      <c r="R38" s="97">
        <v>99402</v>
      </c>
      <c r="S38" s="266">
        <v>116404.7</v>
      </c>
    </row>
    <row r="39" spans="2:19">
      <c r="N39" s="265">
        <v>3500</v>
      </c>
      <c r="O39" s="97">
        <v>32016.75</v>
      </c>
      <c r="P39" s="263">
        <v>64711.1</v>
      </c>
      <c r="Q39" s="264">
        <v>93414</v>
      </c>
      <c r="R39" s="97">
        <v>116727.5</v>
      </c>
      <c r="S39" s="266">
        <v>136544</v>
      </c>
    </row>
    <row r="40" spans="2:19">
      <c r="N40" s="265">
        <v>4000</v>
      </c>
      <c r="O40" s="97">
        <v>37282.339999999997</v>
      </c>
      <c r="P40" s="263">
        <v>74636.100000000006</v>
      </c>
      <c r="Q40" s="264">
        <v>107428.8</v>
      </c>
      <c r="R40" s="97">
        <v>134053</v>
      </c>
      <c r="S40" s="266">
        <v>156683.29999999999</v>
      </c>
    </row>
    <row r="41" spans="2:19">
      <c r="N41" s="265">
        <v>4500</v>
      </c>
      <c r="O41" s="97">
        <v>42547.93</v>
      </c>
      <c r="P41" s="263">
        <v>84561.1</v>
      </c>
      <c r="Q41" s="264">
        <v>121443.6</v>
      </c>
      <c r="R41" s="97">
        <v>151378.5</v>
      </c>
      <c r="S41" s="266">
        <v>176822.6</v>
      </c>
    </row>
    <row r="42" spans="2:19">
      <c r="N42" s="265">
        <v>5000</v>
      </c>
      <c r="O42" s="97">
        <v>47813.62</v>
      </c>
      <c r="P42" s="263">
        <v>94486.1</v>
      </c>
      <c r="Q42" s="264">
        <v>135458.4</v>
      </c>
      <c r="R42" s="97">
        <v>168704</v>
      </c>
      <c r="S42" s="266">
        <v>196961.9</v>
      </c>
    </row>
    <row r="43" spans="2:19">
      <c r="N43" s="265">
        <v>5500</v>
      </c>
      <c r="O43" s="97">
        <v>53079.199999999997</v>
      </c>
      <c r="P43" s="263">
        <v>104411.1</v>
      </c>
      <c r="Q43" s="264">
        <v>149473.20000000001</v>
      </c>
      <c r="R43" s="97">
        <v>186029.5</v>
      </c>
      <c r="S43" s="266">
        <v>217101.2</v>
      </c>
    </row>
    <row r="44" spans="2:19">
      <c r="N44" s="265">
        <v>6000</v>
      </c>
      <c r="O44" s="97">
        <v>58344.800000000003</v>
      </c>
      <c r="P44" s="263">
        <v>114336.1</v>
      </c>
      <c r="Q44" s="264">
        <v>163488</v>
      </c>
      <c r="R44" s="97">
        <v>203355</v>
      </c>
      <c r="S44" s="266">
        <v>237240.5</v>
      </c>
    </row>
    <row r="45" spans="2:19">
      <c r="N45" s="265">
        <v>6500</v>
      </c>
      <c r="O45" s="97">
        <v>63610.400000000001</v>
      </c>
      <c r="P45" s="263">
        <v>124261.1</v>
      </c>
      <c r="Q45" s="264">
        <v>177502.8</v>
      </c>
      <c r="R45" s="97">
        <v>220680.5</v>
      </c>
      <c r="S45" s="266">
        <v>257379.8</v>
      </c>
    </row>
    <row r="46" spans="2:19">
      <c r="N46" s="265">
        <v>7000</v>
      </c>
      <c r="O46" s="97">
        <v>68875.88</v>
      </c>
      <c r="P46" s="263">
        <v>134186.1</v>
      </c>
      <c r="Q46" s="264">
        <v>191517.6</v>
      </c>
      <c r="R46" s="97">
        <v>238006</v>
      </c>
      <c r="S46" s="266">
        <v>277519.09999999998</v>
      </c>
    </row>
    <row r="47" spans="2:19">
      <c r="N47" s="265">
        <v>7500</v>
      </c>
      <c r="O47" s="97">
        <v>74141.600000000006</v>
      </c>
      <c r="P47" s="263">
        <v>144111.1</v>
      </c>
      <c r="Q47" s="264">
        <v>205532.4</v>
      </c>
      <c r="R47" s="97">
        <v>255331.5</v>
      </c>
      <c r="S47" s="266">
        <v>297658.40000000002</v>
      </c>
    </row>
    <row r="48" spans="2:19">
      <c r="N48" s="265">
        <v>8000</v>
      </c>
      <c r="O48" s="97">
        <v>79407.199999999997</v>
      </c>
      <c r="P48" s="263">
        <v>154036.1</v>
      </c>
      <c r="Q48" s="264">
        <v>219547.2</v>
      </c>
      <c r="R48" s="97">
        <v>272657</v>
      </c>
      <c r="S48" s="266">
        <v>317797.7</v>
      </c>
    </row>
    <row r="49" spans="14:19">
      <c r="N49" s="265">
        <v>8500</v>
      </c>
      <c r="O49" s="97">
        <v>84672.8</v>
      </c>
      <c r="P49" s="263">
        <v>163961.1</v>
      </c>
      <c r="Q49" s="264">
        <v>233562</v>
      </c>
      <c r="R49" s="97">
        <v>289982.5</v>
      </c>
      <c r="S49" s="266">
        <v>337937</v>
      </c>
    </row>
    <row r="50" spans="14:19">
      <c r="N50" s="265">
        <v>9000</v>
      </c>
      <c r="O50" s="97">
        <v>89938.4</v>
      </c>
      <c r="P50" s="263">
        <v>173886.1</v>
      </c>
      <c r="Q50" s="264">
        <v>247576.8</v>
      </c>
      <c r="R50" s="97">
        <v>307308</v>
      </c>
      <c r="S50" s="266">
        <v>358076.3</v>
      </c>
    </row>
    <row r="51" spans="14:19">
      <c r="N51" s="265">
        <v>9500</v>
      </c>
      <c r="O51" s="97">
        <v>95203.9</v>
      </c>
      <c r="P51" s="263">
        <v>183811.1</v>
      </c>
      <c r="Q51" s="264">
        <v>261591.6</v>
      </c>
      <c r="R51" s="97">
        <v>324633.5</v>
      </c>
      <c r="S51" s="266">
        <v>378215.6</v>
      </c>
    </row>
    <row r="52" spans="14:19">
      <c r="N52" s="265">
        <v>10000</v>
      </c>
      <c r="O52" s="97">
        <v>100469.42</v>
      </c>
      <c r="P52" s="263">
        <v>193736.1</v>
      </c>
      <c r="Q52" s="264">
        <v>275606.40000000002</v>
      </c>
      <c r="R52" s="97">
        <v>341959</v>
      </c>
      <c r="S52" s="266">
        <v>398354.9</v>
      </c>
    </row>
    <row r="53" spans="14:19">
      <c r="N53" s="265">
        <v>10500</v>
      </c>
      <c r="O53" s="97">
        <v>105735.01</v>
      </c>
      <c r="P53" s="263">
        <v>203661.1</v>
      </c>
      <c r="Q53" s="264">
        <v>289621.2</v>
      </c>
      <c r="R53" s="97">
        <v>359284.5</v>
      </c>
      <c r="S53" s="266">
        <v>418494.2</v>
      </c>
    </row>
    <row r="54" spans="14:19">
      <c r="N54" s="265">
        <v>11000</v>
      </c>
      <c r="O54" s="97">
        <v>111000.6</v>
      </c>
      <c r="P54" s="263">
        <v>213586.1</v>
      </c>
      <c r="Q54" s="264">
        <v>303636</v>
      </c>
      <c r="R54" s="97">
        <v>376610</v>
      </c>
      <c r="S54" s="266">
        <v>438633.5</v>
      </c>
    </row>
    <row r="55" spans="14:19">
      <c r="N55" s="265">
        <v>11500</v>
      </c>
      <c r="O55" s="97">
        <v>116266.19</v>
      </c>
      <c r="P55" s="263">
        <v>223511.1</v>
      </c>
      <c r="Q55" s="264">
        <v>317650.8</v>
      </c>
      <c r="R55" s="97">
        <v>393935.5</v>
      </c>
      <c r="S55" s="266">
        <v>458772.8</v>
      </c>
    </row>
    <row r="56" spans="14:19">
      <c r="N56" s="265">
        <v>12000</v>
      </c>
      <c r="O56" s="97">
        <v>121531.78</v>
      </c>
      <c r="P56" s="263">
        <v>233436.1</v>
      </c>
      <c r="Q56" s="264">
        <v>331665.59999999998</v>
      </c>
      <c r="R56" s="97">
        <v>411261</v>
      </c>
      <c r="S56" s="266">
        <v>478912.1</v>
      </c>
    </row>
    <row r="57" spans="14:19">
      <c r="N57" s="265">
        <v>12500</v>
      </c>
      <c r="O57" s="97">
        <v>126797.37</v>
      </c>
      <c r="P57" s="263">
        <v>243361.1</v>
      </c>
      <c r="Q57" s="264">
        <v>345680.4</v>
      </c>
      <c r="R57" s="97">
        <v>428586.5</v>
      </c>
      <c r="S57" s="266">
        <v>499051.4</v>
      </c>
    </row>
    <row r="58" spans="14:19">
      <c r="N58" s="265">
        <v>13000</v>
      </c>
      <c r="O58" s="97">
        <v>132062.96</v>
      </c>
      <c r="P58" s="263">
        <v>253286.1</v>
      </c>
      <c r="Q58" s="264">
        <v>359695.2</v>
      </c>
      <c r="R58" s="97">
        <v>445912</v>
      </c>
      <c r="S58" s="266">
        <v>519190.7</v>
      </c>
    </row>
    <row r="59" spans="14:19">
      <c r="N59" s="265">
        <v>13500</v>
      </c>
      <c r="O59" s="97">
        <v>137328.54999999999</v>
      </c>
      <c r="P59" s="263">
        <v>263211.09999999998</v>
      </c>
      <c r="Q59" s="264">
        <v>373710</v>
      </c>
      <c r="R59" s="97">
        <v>463237.5</v>
      </c>
      <c r="S59" s="266">
        <v>539330</v>
      </c>
    </row>
    <row r="60" spans="14:19">
      <c r="N60" s="265">
        <v>14000</v>
      </c>
      <c r="O60" s="97">
        <v>142594.14000000001</v>
      </c>
      <c r="P60" s="263">
        <v>273136.09999999998</v>
      </c>
      <c r="Q60" s="264">
        <v>387724.79999999999</v>
      </c>
      <c r="R60" s="97">
        <v>480563</v>
      </c>
      <c r="S60" s="266">
        <v>559469.30000000005</v>
      </c>
    </row>
    <row r="61" spans="14:19">
      <c r="N61" s="265">
        <v>14500</v>
      </c>
      <c r="O61" s="97">
        <v>147859.73000000001</v>
      </c>
      <c r="P61" s="263">
        <v>283061.09999999998</v>
      </c>
      <c r="Q61" s="264">
        <v>401739.6</v>
      </c>
      <c r="R61" s="97">
        <v>497888.5</v>
      </c>
      <c r="S61" s="266">
        <v>579608.6</v>
      </c>
    </row>
    <row r="62" spans="14:19" ht="15" thickBot="1">
      <c r="N62" s="267">
        <v>15000</v>
      </c>
      <c r="O62" s="268">
        <v>153125.32</v>
      </c>
      <c r="P62" s="269">
        <v>292986.09999999998</v>
      </c>
      <c r="Q62" s="270">
        <v>415754.4</v>
      </c>
      <c r="R62" s="268">
        <v>515214</v>
      </c>
      <c r="S62" s="271">
        <v>599747.9</v>
      </c>
    </row>
  </sheetData>
  <protectedRanges>
    <protectedRange sqref="S34 S36 S38 S40 S42 S44 S46 S48 S50 S52 S54 S56 S58 S60 S62" name="Range1" securityDescriptor="O:WDG:WDD:"/>
    <protectedRange sqref="S35 S37 S39 S41 S43 S45 S47 S49 S51 S53 S55 S57 S59 S61" name="Range1_1" securityDescriptor="O:WDG:WDD:"/>
    <protectedRange sqref="R34 R36 R38 R40 R42 R44 R46 R48 R50 R52 R54 R56 R58 R60 R62" name="Range1_6" securityDescriptor="O:WDG:WDD:"/>
    <protectedRange sqref="R35 R37 R39 R41 R43 R45 R47 R49 R51 R53 R55 R57 R59 R61" name="Range1_7" securityDescriptor="O:WDG:WDD:"/>
    <protectedRange sqref="Q34 Q36 Q38 Q40 Q42 Q44 Q46 Q48 Q50 Q52 Q54 Q56 Q58 Q60 Q62" name="Range1_8" securityDescriptor="O:WDG:WDD:"/>
    <protectedRange sqref="Q35 Q37 Q39 Q41 Q43 Q45 Q47 Q49 Q51 Q53 Q55 Q57 Q59 Q61" name="Range1_9" securityDescriptor="O:WDG:WDD:"/>
    <protectedRange sqref="P34 P36 P38 P40 P42 P44 P46 P48 P50 P52 P54 P56 P58 P60 P62" name="Range1_10" securityDescriptor="O:WDG:WDD:"/>
    <protectedRange sqref="P35 P37 P39 P41 P43 P45 P47 P49 P51 P53 P55 P57 P59 P61" name="Range1_11" securityDescriptor="O:WDG:WDD:"/>
    <protectedRange sqref="O34 O36 O38 O40 O42 O46 O52 O54 O56 O58 O60 O62" name="Range1_12" securityDescriptor="O:WDG:WDD:"/>
    <protectedRange sqref="O35 O37 O39 O41 O53 O55 O57 O59 O61" name="Range1_13" securityDescriptor="O:WDG:WDD:"/>
    <protectedRange sqref="O43" name="Range1_14" securityDescriptor="O:WDG:WDD:"/>
    <protectedRange sqref="O44" name="Range1_15" securityDescriptor="O:WDG:WDD:"/>
    <protectedRange sqref="O45" name="Range1_16" securityDescriptor="O:WDG:WDD:"/>
    <protectedRange sqref="O47" name="Range1_18" securityDescriptor="O:WDG:WDD:"/>
    <protectedRange sqref="O48" name="Range1_19" securityDescriptor="O:WDG:WDD:"/>
    <protectedRange sqref="O49" name="Range1_20" securityDescriptor="O:WDG:WDD:"/>
    <protectedRange sqref="O50" name="Range1_21" securityDescriptor="O:WDG:WDD:"/>
    <protectedRange sqref="O51" name="Range1_22" securityDescriptor="O:WDG:WDD:"/>
  </protectedRanges>
  <mergeCells count="19">
    <mergeCell ref="B2:E4"/>
    <mergeCell ref="B5:E5"/>
    <mergeCell ref="B29:E29"/>
    <mergeCell ref="T7:T13"/>
    <mergeCell ref="T14:T27"/>
    <mergeCell ref="N29:S30"/>
    <mergeCell ref="G5:L5"/>
    <mergeCell ref="G2:L4"/>
    <mergeCell ref="N5:S5"/>
    <mergeCell ref="N2:S4"/>
    <mergeCell ref="G29:L30"/>
    <mergeCell ref="H34:I34"/>
    <mergeCell ref="H35:I35"/>
    <mergeCell ref="H36:I36"/>
    <mergeCell ref="H37:I37"/>
    <mergeCell ref="J34:L34"/>
    <mergeCell ref="J35:L35"/>
    <mergeCell ref="J36:L36"/>
    <mergeCell ref="J37:L37"/>
  </mergeCells>
  <printOptions horizontalCentered="1" verticalCentered="1"/>
  <pageMargins left="0" right="0" top="0" bottom="0" header="0" footer="0"/>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U153"/>
  <sheetViews>
    <sheetView zoomScaleNormal="100" workbookViewId="0">
      <selection activeCell="G7" sqref="G7:H7"/>
    </sheetView>
  </sheetViews>
  <sheetFormatPr defaultColWidth="9" defaultRowHeight="14.4"/>
  <cols>
    <col min="1" max="1" width="11.88671875" customWidth="1"/>
    <col min="2" max="2" width="36.6640625" customWidth="1"/>
    <col min="3" max="7" width="15.6640625" customWidth="1"/>
    <col min="8" max="11" width="15.5546875" customWidth="1"/>
    <col min="12" max="13" width="15.6640625" customWidth="1"/>
    <col min="14" max="27" width="15.6640625" style="4" customWidth="1"/>
    <col min="28" max="47" width="15.6640625" customWidth="1"/>
  </cols>
  <sheetData>
    <row r="2" spans="1:47" ht="21">
      <c r="B2" s="56" t="s">
        <v>5</v>
      </c>
      <c r="C2" s="56"/>
      <c r="D2" s="56"/>
      <c r="E2" s="56"/>
      <c r="F2" s="56"/>
      <c r="G2" s="56"/>
    </row>
    <row r="3" spans="1:47">
      <c r="B3" t="s">
        <v>22</v>
      </c>
      <c r="C3" s="4">
        <f>C21*C15</f>
        <v>900014.89019929199</v>
      </c>
      <c r="D3" s="4"/>
      <c r="E3" s="4">
        <f>E21*E15</f>
        <v>36586.601086448602</v>
      </c>
      <c r="F3" s="4">
        <f>F21*F15</f>
        <v>79400.708740803355</v>
      </c>
      <c r="G3" s="4">
        <f>G21*G15</f>
        <v>109759.80325934582</v>
      </c>
      <c r="H3" s="4">
        <f>H21*H15</f>
        <v>152573.91091370056</v>
      </c>
      <c r="I3" s="4">
        <f t="shared" ref="I3:W3" si="0">I21*I15</f>
        <v>182933.00543224299</v>
      </c>
      <c r="J3" s="4">
        <f t="shared" si="0"/>
        <v>225747.11308659776</v>
      </c>
      <c r="K3" s="4">
        <f t="shared" si="0"/>
        <v>256106.2076051402</v>
      </c>
      <c r="L3" s="4">
        <f t="shared" si="0"/>
        <v>298920.31525949494</v>
      </c>
      <c r="M3" s="4">
        <f t="shared" si="0"/>
        <v>329279.4097780374</v>
      </c>
      <c r="N3" s="4">
        <f t="shared" si="0"/>
        <v>372093.51743239217</v>
      </c>
      <c r="O3" s="4">
        <f t="shared" si="0"/>
        <v>402452.61195093463</v>
      </c>
      <c r="P3" s="4">
        <f t="shared" si="0"/>
        <v>445266.71960528934</v>
      </c>
      <c r="Q3" s="4">
        <f t="shared" si="0"/>
        <v>475625.81412383186</v>
      </c>
      <c r="R3" s="4">
        <f t="shared" si="0"/>
        <v>518439.92177818657</v>
      </c>
      <c r="S3" s="4">
        <f t="shared" si="0"/>
        <v>548799.01629672898</v>
      </c>
      <c r="T3" s="4">
        <f t="shared" si="0"/>
        <v>591613.12395108375</v>
      </c>
      <c r="U3" s="4">
        <f t="shared" si="0"/>
        <v>621972.21846962615</v>
      </c>
      <c r="V3" s="4">
        <f t="shared" si="0"/>
        <v>664786.32612398104</v>
      </c>
      <c r="W3" s="4">
        <f t="shared" si="0"/>
        <v>695145.42064252333</v>
      </c>
      <c r="X3" s="4">
        <f t="shared" ref="X3:AR3" si="1">X21*X15</f>
        <v>732485.04165490821</v>
      </c>
      <c r="Y3" s="4">
        <f t="shared" ref="Y3:AA3" si="2">Y21*Y15</f>
        <v>768318.62281542062</v>
      </c>
      <c r="Z3" s="4">
        <f t="shared" si="2"/>
        <v>811132.73046977539</v>
      </c>
      <c r="AA3" s="4">
        <f t="shared" si="2"/>
        <v>841491.82498831791</v>
      </c>
      <c r="AB3" s="4">
        <f t="shared" si="1"/>
        <v>884305.93264267256</v>
      </c>
      <c r="AC3" s="4">
        <f t="shared" ref="AC3:AE3" si="3">AC21*AC15</f>
        <v>914665.02716121508</v>
      </c>
      <c r="AD3" s="4">
        <f t="shared" si="3"/>
        <v>957479.13481556985</v>
      </c>
      <c r="AE3" s="4">
        <f t="shared" si="3"/>
        <v>987838.22933411237</v>
      </c>
      <c r="AF3" s="4">
        <f t="shared" si="1"/>
        <v>1030652.3369884669</v>
      </c>
      <c r="AG3" s="4">
        <f t="shared" ref="AG3:AI3" si="4">AG21*AG15</f>
        <v>1061011.4315070093</v>
      </c>
      <c r="AH3" s="4">
        <f t="shared" si="4"/>
        <v>1103825.5391613643</v>
      </c>
      <c r="AI3" s="4">
        <f t="shared" si="4"/>
        <v>1134184.6336799066</v>
      </c>
      <c r="AJ3" s="4">
        <f t="shared" si="1"/>
        <v>1176998.7413342616</v>
      </c>
      <c r="AK3" s="4">
        <f t="shared" ref="AK3:AM3" si="5">AK21*AK15</f>
        <v>1207357.8358528037</v>
      </c>
      <c r="AL3" s="4">
        <f t="shared" si="5"/>
        <v>1250171.9435071587</v>
      </c>
      <c r="AM3" s="4">
        <f t="shared" si="5"/>
        <v>1280531.038025701</v>
      </c>
      <c r="AN3" s="4">
        <f t="shared" si="1"/>
        <v>1323345.145680056</v>
      </c>
      <c r="AO3" s="4">
        <f t="shared" ref="AO3:AQ3" si="6">AO21*AO15</f>
        <v>1353704.2401985982</v>
      </c>
      <c r="AP3" s="4">
        <f t="shared" si="6"/>
        <v>1396518.347852953</v>
      </c>
      <c r="AQ3" s="4">
        <f t="shared" si="6"/>
        <v>1426877.4423714955</v>
      </c>
      <c r="AR3" s="4">
        <f t="shared" si="1"/>
        <v>1469691.5500258503</v>
      </c>
      <c r="AS3" s="67"/>
      <c r="AT3" s="67"/>
      <c r="AU3" s="67"/>
    </row>
    <row r="4" spans="1:47" s="54" customFormat="1">
      <c r="B4" s="54" t="s">
        <v>23</v>
      </c>
      <c r="C4" s="57">
        <f>'DATA ENTRY'!G5</f>
        <v>600010.5</v>
      </c>
      <c r="D4" s="57"/>
      <c r="E4" s="57">
        <v>25000</v>
      </c>
      <c r="F4" s="57">
        <v>50000</v>
      </c>
      <c r="G4" s="57">
        <v>75000</v>
      </c>
      <c r="H4" s="57">
        <v>100000</v>
      </c>
      <c r="I4" s="57">
        <v>125000</v>
      </c>
      <c r="J4" s="57">
        <v>150000</v>
      </c>
      <c r="K4" s="57">
        <v>175000</v>
      </c>
      <c r="L4" s="57">
        <v>200000</v>
      </c>
      <c r="M4" s="57">
        <v>225000</v>
      </c>
      <c r="N4" s="57">
        <v>250000</v>
      </c>
      <c r="O4" s="57">
        <v>275000</v>
      </c>
      <c r="P4" s="57">
        <v>300000</v>
      </c>
      <c r="Q4" s="57">
        <v>325000</v>
      </c>
      <c r="R4" s="57">
        <v>350000</v>
      </c>
      <c r="S4" s="57">
        <v>375000</v>
      </c>
      <c r="T4" s="57">
        <v>400000</v>
      </c>
      <c r="U4" s="57">
        <v>425000</v>
      </c>
      <c r="V4" s="57">
        <v>450000</v>
      </c>
      <c r="W4" s="57">
        <v>475000</v>
      </c>
      <c r="X4" s="57">
        <v>500000</v>
      </c>
      <c r="Y4" s="57">
        <v>525000</v>
      </c>
      <c r="Z4" s="57">
        <v>550000</v>
      </c>
      <c r="AA4" s="57">
        <v>575000</v>
      </c>
      <c r="AB4" s="57">
        <v>600000</v>
      </c>
      <c r="AC4" s="57">
        <v>625000</v>
      </c>
      <c r="AD4" s="57">
        <v>650000</v>
      </c>
      <c r="AE4" s="57">
        <v>675000</v>
      </c>
      <c r="AF4" s="57">
        <v>700000</v>
      </c>
      <c r="AG4" s="57">
        <v>725000</v>
      </c>
      <c r="AH4" s="57">
        <v>750000</v>
      </c>
      <c r="AI4" s="57">
        <v>775000</v>
      </c>
      <c r="AJ4" s="57">
        <v>800000</v>
      </c>
      <c r="AK4" s="57">
        <v>825000</v>
      </c>
      <c r="AL4" s="57">
        <v>850000</v>
      </c>
      <c r="AM4" s="57">
        <v>875000</v>
      </c>
      <c r="AN4" s="57">
        <v>900000</v>
      </c>
      <c r="AO4" s="57">
        <v>925000</v>
      </c>
      <c r="AP4" s="57">
        <v>950000</v>
      </c>
      <c r="AQ4" s="57">
        <v>975000</v>
      </c>
      <c r="AR4" s="57">
        <v>1000000</v>
      </c>
      <c r="AS4" s="67"/>
      <c r="AT4" s="67"/>
      <c r="AU4" s="67"/>
    </row>
    <row r="5" spans="1:47">
      <c r="B5" t="s">
        <v>24</v>
      </c>
      <c r="C5" s="4">
        <f>C4*0.121</f>
        <v>72601.270499999999</v>
      </c>
      <c r="D5" s="4">
        <f t="shared" ref="D5:AR5" si="7">D4*0.1</f>
        <v>0</v>
      </c>
      <c r="E5" s="4">
        <f t="shared" si="7"/>
        <v>2500</v>
      </c>
      <c r="F5" s="4">
        <f t="shared" si="7"/>
        <v>5000</v>
      </c>
      <c r="G5" s="4">
        <f t="shared" si="7"/>
        <v>7500</v>
      </c>
      <c r="H5" s="4">
        <f t="shared" si="7"/>
        <v>10000</v>
      </c>
      <c r="I5" s="4">
        <f t="shared" si="7"/>
        <v>12500</v>
      </c>
      <c r="J5" s="4">
        <f t="shared" si="7"/>
        <v>15000</v>
      </c>
      <c r="K5" s="4">
        <f t="shared" si="7"/>
        <v>17500</v>
      </c>
      <c r="L5" s="4">
        <f t="shared" si="7"/>
        <v>20000</v>
      </c>
      <c r="M5" s="4">
        <f t="shared" si="7"/>
        <v>22500</v>
      </c>
      <c r="N5" s="4">
        <f t="shared" si="7"/>
        <v>25000</v>
      </c>
      <c r="O5" s="4">
        <f t="shared" si="7"/>
        <v>27500</v>
      </c>
      <c r="P5" s="4">
        <f t="shared" si="7"/>
        <v>30000</v>
      </c>
      <c r="Q5" s="4">
        <f t="shared" si="7"/>
        <v>32500</v>
      </c>
      <c r="R5" s="4">
        <f t="shared" si="7"/>
        <v>35000</v>
      </c>
      <c r="S5" s="4">
        <f t="shared" si="7"/>
        <v>37500</v>
      </c>
      <c r="T5" s="4">
        <f t="shared" si="7"/>
        <v>40000</v>
      </c>
      <c r="U5" s="4">
        <f t="shared" si="7"/>
        <v>42500</v>
      </c>
      <c r="V5" s="4">
        <f t="shared" si="7"/>
        <v>45000</v>
      </c>
      <c r="W5" s="4">
        <f t="shared" si="7"/>
        <v>47500</v>
      </c>
      <c r="X5" s="4">
        <f t="shared" si="7"/>
        <v>50000</v>
      </c>
      <c r="Y5" s="4">
        <f t="shared" si="7"/>
        <v>52500</v>
      </c>
      <c r="Z5" s="4">
        <f t="shared" si="7"/>
        <v>55000</v>
      </c>
      <c r="AA5" s="4">
        <f t="shared" si="7"/>
        <v>57500</v>
      </c>
      <c r="AB5" s="4">
        <f t="shared" si="7"/>
        <v>60000</v>
      </c>
      <c r="AC5" s="4">
        <f t="shared" si="7"/>
        <v>62500</v>
      </c>
      <c r="AD5" s="4">
        <f t="shared" si="7"/>
        <v>65000</v>
      </c>
      <c r="AE5" s="4">
        <f t="shared" si="7"/>
        <v>67500</v>
      </c>
      <c r="AF5" s="4">
        <f t="shared" si="7"/>
        <v>70000</v>
      </c>
      <c r="AG5" s="4">
        <f t="shared" si="7"/>
        <v>72500</v>
      </c>
      <c r="AH5" s="4">
        <f t="shared" si="7"/>
        <v>75000</v>
      </c>
      <c r="AI5" s="4">
        <f t="shared" si="7"/>
        <v>77500</v>
      </c>
      <c r="AJ5" s="4">
        <f t="shared" si="7"/>
        <v>80000</v>
      </c>
      <c r="AK5" s="4">
        <f t="shared" si="7"/>
        <v>82500</v>
      </c>
      <c r="AL5" s="4">
        <f t="shared" si="7"/>
        <v>85000</v>
      </c>
      <c r="AM5" s="4">
        <f t="shared" si="7"/>
        <v>87500</v>
      </c>
      <c r="AN5" s="4">
        <f t="shared" si="7"/>
        <v>90000</v>
      </c>
      <c r="AO5" s="4">
        <f t="shared" si="7"/>
        <v>92500</v>
      </c>
      <c r="AP5" s="4">
        <f t="shared" si="7"/>
        <v>95000</v>
      </c>
      <c r="AQ5" s="4">
        <f t="shared" si="7"/>
        <v>97500</v>
      </c>
      <c r="AR5" s="4">
        <f t="shared" si="7"/>
        <v>100000</v>
      </c>
      <c r="AS5" s="67"/>
      <c r="AT5" s="67"/>
      <c r="AU5" s="67"/>
    </row>
    <row r="6" spans="1:47">
      <c r="B6" t="s">
        <v>10</v>
      </c>
      <c r="C6" s="4">
        <f>(C4/1000)*C15</f>
        <v>36000.629999999997</v>
      </c>
      <c r="D6" s="4"/>
      <c r="E6" s="4">
        <f>(E4/1000)*E15</f>
        <v>1500</v>
      </c>
      <c r="F6" s="4">
        <f>(F4/1000)*F15</f>
        <v>3000</v>
      </c>
      <c r="G6" s="4">
        <f>(G4/1000)*G15</f>
        <v>4500</v>
      </c>
      <c r="H6" s="4">
        <f>(H4/1000)*H15</f>
        <v>6000</v>
      </c>
      <c r="I6" s="4">
        <f t="shared" ref="I6:AG6" si="8">(I4/1000)*I15</f>
        <v>7500</v>
      </c>
      <c r="J6" s="4">
        <f t="shared" si="8"/>
        <v>9000</v>
      </c>
      <c r="K6" s="4">
        <f t="shared" si="8"/>
        <v>10500</v>
      </c>
      <c r="L6" s="4">
        <f t="shared" si="8"/>
        <v>12000</v>
      </c>
      <c r="M6" s="4">
        <f t="shared" si="8"/>
        <v>13500</v>
      </c>
      <c r="N6" s="4">
        <f t="shared" si="8"/>
        <v>15000</v>
      </c>
      <c r="O6" s="4">
        <f t="shared" si="8"/>
        <v>16500</v>
      </c>
      <c r="P6" s="4">
        <f t="shared" si="8"/>
        <v>18000</v>
      </c>
      <c r="Q6" s="4">
        <f t="shared" si="8"/>
        <v>19500</v>
      </c>
      <c r="R6" s="4">
        <f t="shared" si="8"/>
        <v>21000</v>
      </c>
      <c r="S6" s="4">
        <f t="shared" si="8"/>
        <v>22500</v>
      </c>
      <c r="T6" s="4">
        <f t="shared" si="8"/>
        <v>24000</v>
      </c>
      <c r="U6" s="4">
        <f t="shared" si="8"/>
        <v>25500</v>
      </c>
      <c r="V6" s="4">
        <f t="shared" si="8"/>
        <v>27000</v>
      </c>
      <c r="W6" s="4">
        <f t="shared" si="8"/>
        <v>28500</v>
      </c>
      <c r="X6" s="4">
        <f t="shared" si="8"/>
        <v>30000</v>
      </c>
      <c r="Y6" s="4">
        <f t="shared" si="8"/>
        <v>31500</v>
      </c>
      <c r="Z6" s="4">
        <f t="shared" si="8"/>
        <v>33000</v>
      </c>
      <c r="AA6" s="4">
        <f t="shared" si="8"/>
        <v>34500</v>
      </c>
      <c r="AB6" s="4">
        <f t="shared" si="8"/>
        <v>36000</v>
      </c>
      <c r="AC6" s="4">
        <f t="shared" si="8"/>
        <v>37500</v>
      </c>
      <c r="AD6" s="4">
        <f t="shared" si="8"/>
        <v>39000</v>
      </c>
      <c r="AE6" s="4">
        <f t="shared" si="8"/>
        <v>40500</v>
      </c>
      <c r="AF6" s="4">
        <f t="shared" si="8"/>
        <v>42000</v>
      </c>
      <c r="AG6" s="4">
        <f t="shared" si="8"/>
        <v>43500</v>
      </c>
      <c r="AH6" s="4">
        <f t="shared" ref="AH6:AJ6" si="9">(AH4/1000)*AH15</f>
        <v>45000</v>
      </c>
      <c r="AI6" s="4">
        <f t="shared" si="9"/>
        <v>46500</v>
      </c>
      <c r="AJ6" s="4">
        <f t="shared" si="9"/>
        <v>48000</v>
      </c>
      <c r="AK6" s="4">
        <f t="shared" ref="AK6:AN6" si="10">(AK4/1000)*AK15</f>
        <v>49500</v>
      </c>
      <c r="AL6" s="4">
        <f t="shared" si="10"/>
        <v>51000</v>
      </c>
      <c r="AM6" s="4">
        <f t="shared" si="10"/>
        <v>52500</v>
      </c>
      <c r="AN6" s="4">
        <f t="shared" si="10"/>
        <v>54000</v>
      </c>
      <c r="AO6" s="4">
        <f t="shared" ref="AO6:AR6" si="11">(AO4/1000)*AO15</f>
        <v>55500</v>
      </c>
      <c r="AP6" s="4">
        <f t="shared" si="11"/>
        <v>57000</v>
      </c>
      <c r="AQ6" s="4">
        <f t="shared" si="11"/>
        <v>58500</v>
      </c>
      <c r="AR6" s="4">
        <f t="shared" si="11"/>
        <v>60000</v>
      </c>
      <c r="AS6" s="67"/>
      <c r="AT6" s="67"/>
      <c r="AU6" s="67"/>
    </row>
    <row r="7" spans="1:47">
      <c r="B7" t="s">
        <v>11</v>
      </c>
      <c r="C7" s="4">
        <f>'DATA ENTRY'!G9</f>
        <v>5000</v>
      </c>
      <c r="D7" s="4"/>
      <c r="E7" s="4"/>
      <c r="F7" s="4">
        <f>C7</f>
        <v>5000</v>
      </c>
      <c r="G7" s="4">
        <f t="shared" ref="G7:AR7" si="12">E7</f>
        <v>0</v>
      </c>
      <c r="H7" s="4">
        <f t="shared" si="12"/>
        <v>5000</v>
      </c>
      <c r="I7" s="4">
        <f t="shared" si="12"/>
        <v>0</v>
      </c>
      <c r="J7" s="4">
        <f t="shared" si="12"/>
        <v>5000</v>
      </c>
      <c r="K7" s="4">
        <f t="shared" si="12"/>
        <v>0</v>
      </c>
      <c r="L7" s="4">
        <f t="shared" si="12"/>
        <v>5000</v>
      </c>
      <c r="M7" s="4">
        <f t="shared" si="12"/>
        <v>0</v>
      </c>
      <c r="N7" s="4">
        <f t="shared" si="12"/>
        <v>5000</v>
      </c>
      <c r="O7" s="4">
        <f t="shared" si="12"/>
        <v>0</v>
      </c>
      <c r="P7" s="4">
        <f t="shared" si="12"/>
        <v>5000</v>
      </c>
      <c r="Q7" s="4">
        <f t="shared" si="12"/>
        <v>0</v>
      </c>
      <c r="R7" s="4">
        <f t="shared" si="12"/>
        <v>5000</v>
      </c>
      <c r="S7" s="4">
        <f t="shared" si="12"/>
        <v>0</v>
      </c>
      <c r="T7" s="4">
        <f t="shared" si="12"/>
        <v>5000</v>
      </c>
      <c r="U7" s="4">
        <f t="shared" si="12"/>
        <v>0</v>
      </c>
      <c r="V7" s="4">
        <f t="shared" si="12"/>
        <v>5000</v>
      </c>
      <c r="W7" s="4">
        <f t="shared" si="12"/>
        <v>0</v>
      </c>
      <c r="X7" s="4">
        <f t="shared" si="12"/>
        <v>5000</v>
      </c>
      <c r="Y7" s="4">
        <f t="shared" si="12"/>
        <v>0</v>
      </c>
      <c r="Z7" s="4">
        <f t="shared" si="12"/>
        <v>5000</v>
      </c>
      <c r="AA7" s="4">
        <f t="shared" si="12"/>
        <v>0</v>
      </c>
      <c r="AB7" s="4">
        <f t="shared" si="12"/>
        <v>5000</v>
      </c>
      <c r="AC7" s="4">
        <f t="shared" si="12"/>
        <v>0</v>
      </c>
      <c r="AD7" s="4">
        <f t="shared" si="12"/>
        <v>5000</v>
      </c>
      <c r="AE7" s="4">
        <f t="shared" si="12"/>
        <v>0</v>
      </c>
      <c r="AF7" s="4">
        <f t="shared" si="12"/>
        <v>5000</v>
      </c>
      <c r="AG7" s="4">
        <f t="shared" si="12"/>
        <v>0</v>
      </c>
      <c r="AH7" s="4">
        <f t="shared" si="12"/>
        <v>5000</v>
      </c>
      <c r="AI7" s="4">
        <f t="shared" si="12"/>
        <v>0</v>
      </c>
      <c r="AJ7" s="4">
        <f t="shared" si="12"/>
        <v>5000</v>
      </c>
      <c r="AK7" s="4">
        <f t="shared" si="12"/>
        <v>0</v>
      </c>
      <c r="AL7" s="4">
        <f t="shared" si="12"/>
        <v>5000</v>
      </c>
      <c r="AM7" s="4">
        <f t="shared" si="12"/>
        <v>0</v>
      </c>
      <c r="AN7" s="4">
        <f t="shared" si="12"/>
        <v>5000</v>
      </c>
      <c r="AO7" s="4">
        <f t="shared" si="12"/>
        <v>0</v>
      </c>
      <c r="AP7" s="4">
        <f t="shared" si="12"/>
        <v>5000</v>
      </c>
      <c r="AQ7" s="4">
        <f t="shared" si="12"/>
        <v>0</v>
      </c>
      <c r="AR7" s="4">
        <f t="shared" si="12"/>
        <v>5000</v>
      </c>
      <c r="AS7" s="67"/>
      <c r="AT7" s="67"/>
      <c r="AU7" s="67"/>
    </row>
    <row r="8" spans="1:47">
      <c r="B8" t="s">
        <v>12</v>
      </c>
      <c r="C8" s="4">
        <f>'DATA ENTRY'!G10</f>
        <v>0</v>
      </c>
      <c r="D8" s="4"/>
      <c r="E8" s="4"/>
      <c r="F8" s="4">
        <f>C8</f>
        <v>0</v>
      </c>
      <c r="G8" s="4">
        <f t="shared" ref="G8:AR8" si="13">E8</f>
        <v>0</v>
      </c>
      <c r="H8" s="4">
        <f t="shared" si="13"/>
        <v>0</v>
      </c>
      <c r="I8" s="4">
        <f t="shared" si="13"/>
        <v>0</v>
      </c>
      <c r="J8" s="4">
        <f t="shared" si="13"/>
        <v>0</v>
      </c>
      <c r="K8" s="4">
        <f t="shared" si="13"/>
        <v>0</v>
      </c>
      <c r="L8" s="4">
        <f t="shared" si="13"/>
        <v>0</v>
      </c>
      <c r="M8" s="4">
        <f t="shared" si="13"/>
        <v>0</v>
      </c>
      <c r="N8" s="4">
        <f t="shared" si="13"/>
        <v>0</v>
      </c>
      <c r="O8" s="4">
        <f t="shared" si="13"/>
        <v>0</v>
      </c>
      <c r="P8" s="4">
        <f t="shared" si="13"/>
        <v>0</v>
      </c>
      <c r="Q8" s="4">
        <f t="shared" si="13"/>
        <v>0</v>
      </c>
      <c r="R8" s="4">
        <f t="shared" si="13"/>
        <v>0</v>
      </c>
      <c r="S8" s="4">
        <f t="shared" si="13"/>
        <v>0</v>
      </c>
      <c r="T8" s="4">
        <f t="shared" si="13"/>
        <v>0</v>
      </c>
      <c r="U8" s="4">
        <f t="shared" si="13"/>
        <v>0</v>
      </c>
      <c r="V8" s="4">
        <f t="shared" si="13"/>
        <v>0</v>
      </c>
      <c r="W8" s="4">
        <f t="shared" si="13"/>
        <v>0</v>
      </c>
      <c r="X8" s="4">
        <f t="shared" si="13"/>
        <v>0</v>
      </c>
      <c r="Y8" s="4">
        <f t="shared" si="13"/>
        <v>0</v>
      </c>
      <c r="Z8" s="4">
        <f t="shared" si="13"/>
        <v>0</v>
      </c>
      <c r="AA8" s="4">
        <f t="shared" si="13"/>
        <v>0</v>
      </c>
      <c r="AB8" s="4">
        <f t="shared" si="13"/>
        <v>0</v>
      </c>
      <c r="AC8" s="4">
        <f t="shared" si="13"/>
        <v>0</v>
      </c>
      <c r="AD8" s="4">
        <f t="shared" si="13"/>
        <v>0</v>
      </c>
      <c r="AE8" s="4">
        <f t="shared" si="13"/>
        <v>0</v>
      </c>
      <c r="AF8" s="4">
        <f t="shared" si="13"/>
        <v>0</v>
      </c>
      <c r="AG8" s="4">
        <f t="shared" si="13"/>
        <v>0</v>
      </c>
      <c r="AH8" s="4">
        <f t="shared" si="13"/>
        <v>0</v>
      </c>
      <c r="AI8" s="4">
        <f t="shared" si="13"/>
        <v>0</v>
      </c>
      <c r="AJ8" s="4">
        <f t="shared" si="13"/>
        <v>0</v>
      </c>
      <c r="AK8" s="4">
        <f t="shared" si="13"/>
        <v>0</v>
      </c>
      <c r="AL8" s="4">
        <f t="shared" si="13"/>
        <v>0</v>
      </c>
      <c r="AM8" s="4">
        <f t="shared" si="13"/>
        <v>0</v>
      </c>
      <c r="AN8" s="4">
        <f t="shared" si="13"/>
        <v>0</v>
      </c>
      <c r="AO8" s="4">
        <f t="shared" si="13"/>
        <v>0</v>
      </c>
      <c r="AP8" s="4">
        <f t="shared" si="13"/>
        <v>0</v>
      </c>
      <c r="AQ8" s="4">
        <f t="shared" si="13"/>
        <v>0</v>
      </c>
      <c r="AR8" s="4">
        <f t="shared" si="13"/>
        <v>0</v>
      </c>
      <c r="AS8" s="67"/>
      <c r="AT8" s="67"/>
      <c r="AU8" s="67"/>
    </row>
    <row r="9" spans="1:47">
      <c r="B9" t="s">
        <v>13</v>
      </c>
      <c r="C9" s="4">
        <f>C14*C4*2</f>
        <v>9000.1574999999993</v>
      </c>
      <c r="D9" s="4"/>
      <c r="E9" s="4">
        <f>E14*E4*2</f>
        <v>375</v>
      </c>
      <c r="F9" s="4">
        <f t="shared" ref="F9:AQ9" si="14">F14*F4*2</f>
        <v>750</v>
      </c>
      <c r="G9" s="4">
        <f t="shared" si="14"/>
        <v>1125</v>
      </c>
      <c r="H9" s="4">
        <f t="shared" si="14"/>
        <v>1500</v>
      </c>
      <c r="I9" s="4">
        <f t="shared" si="14"/>
        <v>1875</v>
      </c>
      <c r="J9" s="4">
        <f t="shared" si="14"/>
        <v>2250</v>
      </c>
      <c r="K9" s="4">
        <f t="shared" si="14"/>
        <v>2625</v>
      </c>
      <c r="L9" s="4">
        <f t="shared" si="14"/>
        <v>3000</v>
      </c>
      <c r="M9" s="4">
        <f t="shared" si="14"/>
        <v>3375</v>
      </c>
      <c r="N9" s="4">
        <f t="shared" si="14"/>
        <v>3750</v>
      </c>
      <c r="O9" s="4">
        <f t="shared" si="14"/>
        <v>4125</v>
      </c>
      <c r="P9" s="4">
        <f t="shared" si="14"/>
        <v>4500</v>
      </c>
      <c r="Q9" s="4">
        <f t="shared" si="14"/>
        <v>4875</v>
      </c>
      <c r="R9" s="4">
        <f t="shared" si="14"/>
        <v>5250</v>
      </c>
      <c r="S9" s="4">
        <f t="shared" si="14"/>
        <v>5625</v>
      </c>
      <c r="T9" s="4">
        <f t="shared" si="14"/>
        <v>6000</v>
      </c>
      <c r="U9" s="4">
        <f t="shared" si="14"/>
        <v>6375</v>
      </c>
      <c r="V9" s="4">
        <f t="shared" si="14"/>
        <v>6750</v>
      </c>
      <c r="W9" s="4">
        <f t="shared" si="14"/>
        <v>7125</v>
      </c>
      <c r="X9" s="4">
        <f t="shared" si="14"/>
        <v>7249.9999999999991</v>
      </c>
      <c r="Y9" s="4">
        <f t="shared" si="14"/>
        <v>7875</v>
      </c>
      <c r="Z9" s="4">
        <f t="shared" si="14"/>
        <v>8250</v>
      </c>
      <c r="AA9" s="4">
        <f t="shared" si="14"/>
        <v>8625</v>
      </c>
      <c r="AB9" s="4">
        <f t="shared" si="14"/>
        <v>9000</v>
      </c>
      <c r="AC9" s="4">
        <f t="shared" si="14"/>
        <v>9375</v>
      </c>
      <c r="AD9" s="4">
        <f t="shared" si="14"/>
        <v>9750</v>
      </c>
      <c r="AE9" s="4">
        <f t="shared" si="14"/>
        <v>10125</v>
      </c>
      <c r="AF9" s="4">
        <f t="shared" si="14"/>
        <v>10500</v>
      </c>
      <c r="AG9" s="4">
        <f t="shared" si="14"/>
        <v>10875</v>
      </c>
      <c r="AH9" s="4">
        <f t="shared" si="14"/>
        <v>11250</v>
      </c>
      <c r="AI9" s="4">
        <f t="shared" si="14"/>
        <v>11625</v>
      </c>
      <c r="AJ9" s="4">
        <f t="shared" si="14"/>
        <v>12000</v>
      </c>
      <c r="AK9" s="4">
        <f t="shared" si="14"/>
        <v>12375</v>
      </c>
      <c r="AL9" s="4">
        <f t="shared" si="14"/>
        <v>12750</v>
      </c>
      <c r="AM9" s="4">
        <f t="shared" si="14"/>
        <v>13125</v>
      </c>
      <c r="AN9" s="4">
        <f t="shared" si="14"/>
        <v>13500</v>
      </c>
      <c r="AO9" s="4">
        <f t="shared" si="14"/>
        <v>13875</v>
      </c>
      <c r="AP9" s="4">
        <f t="shared" si="14"/>
        <v>14250</v>
      </c>
      <c r="AQ9" s="4">
        <f t="shared" si="14"/>
        <v>14625</v>
      </c>
      <c r="AR9" s="4">
        <f>AR14*AR4*2</f>
        <v>15000</v>
      </c>
      <c r="AS9" s="67"/>
      <c r="AT9" s="67"/>
      <c r="AU9" s="67"/>
    </row>
    <row r="10" spans="1:47">
      <c r="B10" t="s">
        <v>25</v>
      </c>
      <c r="C10" s="10">
        <f>SUM(C4:C9)</f>
        <v>722612.55799999996</v>
      </c>
      <c r="D10" s="10"/>
      <c r="E10" s="10">
        <f>SUM(E4:E9)</f>
        <v>29375</v>
      </c>
      <c r="F10" s="10">
        <f>SUM(F4:F9)</f>
        <v>63750</v>
      </c>
      <c r="G10" s="10">
        <f>SUM(G4:G9)</f>
        <v>88125</v>
      </c>
      <c r="H10" s="10">
        <f>SUM(H4:H9)</f>
        <v>122500</v>
      </c>
      <c r="I10" s="10">
        <f t="shared" ref="I10:AG10" si="15">SUM(I4:I9)</f>
        <v>146875</v>
      </c>
      <c r="J10" s="10">
        <f t="shared" si="15"/>
        <v>181250</v>
      </c>
      <c r="K10" s="10">
        <f t="shared" si="15"/>
        <v>205625</v>
      </c>
      <c r="L10" s="10">
        <f t="shared" si="15"/>
        <v>240000</v>
      </c>
      <c r="M10" s="10">
        <f t="shared" si="15"/>
        <v>264375</v>
      </c>
      <c r="N10" s="10">
        <f t="shared" si="15"/>
        <v>298750</v>
      </c>
      <c r="O10" s="10">
        <f t="shared" si="15"/>
        <v>323125</v>
      </c>
      <c r="P10" s="10">
        <f t="shared" si="15"/>
        <v>357500</v>
      </c>
      <c r="Q10" s="10">
        <f t="shared" si="15"/>
        <v>381875</v>
      </c>
      <c r="R10" s="10">
        <f t="shared" si="15"/>
        <v>416250</v>
      </c>
      <c r="S10" s="10">
        <f t="shared" si="15"/>
        <v>440625</v>
      </c>
      <c r="T10" s="10">
        <f t="shared" si="15"/>
        <v>475000</v>
      </c>
      <c r="U10" s="10">
        <f t="shared" si="15"/>
        <v>499375</v>
      </c>
      <c r="V10" s="10">
        <f t="shared" si="15"/>
        <v>533750</v>
      </c>
      <c r="W10" s="10">
        <f t="shared" si="15"/>
        <v>558125</v>
      </c>
      <c r="X10" s="10">
        <f t="shared" si="15"/>
        <v>592250</v>
      </c>
      <c r="Y10" s="10">
        <f t="shared" si="15"/>
        <v>616875</v>
      </c>
      <c r="Z10" s="10">
        <f t="shared" si="15"/>
        <v>651250</v>
      </c>
      <c r="AA10" s="10">
        <f t="shared" si="15"/>
        <v>675625</v>
      </c>
      <c r="AB10" s="10">
        <f t="shared" si="15"/>
        <v>710000</v>
      </c>
      <c r="AC10" s="10">
        <f t="shared" si="15"/>
        <v>734375</v>
      </c>
      <c r="AD10" s="10">
        <f t="shared" si="15"/>
        <v>768750</v>
      </c>
      <c r="AE10" s="10">
        <f t="shared" si="15"/>
        <v>793125</v>
      </c>
      <c r="AF10" s="10">
        <f t="shared" si="15"/>
        <v>827500</v>
      </c>
      <c r="AG10" s="10">
        <f t="shared" si="15"/>
        <v>851875</v>
      </c>
      <c r="AH10" s="10">
        <f t="shared" ref="AH10:AJ10" si="16">SUM(AH4:AH9)</f>
        <v>886250</v>
      </c>
      <c r="AI10" s="10">
        <f t="shared" si="16"/>
        <v>910625</v>
      </c>
      <c r="AJ10" s="10">
        <f t="shared" si="16"/>
        <v>945000</v>
      </c>
      <c r="AK10" s="10">
        <f t="shared" ref="AK10:AN10" si="17">SUM(AK4:AK9)</f>
        <v>969375</v>
      </c>
      <c r="AL10" s="10">
        <f t="shared" si="17"/>
        <v>1003750</v>
      </c>
      <c r="AM10" s="10">
        <f t="shared" si="17"/>
        <v>1028125</v>
      </c>
      <c r="AN10" s="10">
        <f t="shared" si="17"/>
        <v>1062500</v>
      </c>
      <c r="AO10" s="10">
        <f t="shared" ref="AO10:AR10" si="18">SUM(AO4:AO9)</f>
        <v>1086875</v>
      </c>
      <c r="AP10" s="10">
        <f t="shared" si="18"/>
        <v>1121250</v>
      </c>
      <c r="AQ10" s="10">
        <f t="shared" si="18"/>
        <v>1145625</v>
      </c>
      <c r="AR10" s="10">
        <f t="shared" si="18"/>
        <v>1180000</v>
      </c>
      <c r="AS10" s="67"/>
      <c r="AT10" s="67"/>
      <c r="AU10" s="67"/>
    </row>
    <row r="11" spans="1:47" s="55" customFormat="1">
      <c r="A11"/>
      <c r="B11" s="55" t="s">
        <v>26</v>
      </c>
      <c r="C11" s="58">
        <v>0.09</v>
      </c>
      <c r="D11" s="58"/>
      <c r="E11" s="58">
        <f>C11</f>
        <v>0.09</v>
      </c>
      <c r="F11" s="58">
        <f>C11</f>
        <v>0.09</v>
      </c>
      <c r="G11" s="58">
        <f t="shared" ref="G11:AQ11" si="19">F11</f>
        <v>0.09</v>
      </c>
      <c r="H11" s="58">
        <f t="shared" si="19"/>
        <v>0.09</v>
      </c>
      <c r="I11" s="58">
        <f t="shared" si="19"/>
        <v>0.09</v>
      </c>
      <c r="J11" s="58">
        <f t="shared" si="19"/>
        <v>0.09</v>
      </c>
      <c r="K11" s="58">
        <f t="shared" si="19"/>
        <v>0.09</v>
      </c>
      <c r="L11" s="58">
        <f t="shared" si="19"/>
        <v>0.09</v>
      </c>
      <c r="M11" s="58">
        <f t="shared" si="19"/>
        <v>0.09</v>
      </c>
      <c r="N11" s="58">
        <f t="shared" si="19"/>
        <v>0.09</v>
      </c>
      <c r="O11" s="58">
        <f t="shared" si="19"/>
        <v>0.09</v>
      </c>
      <c r="P11" s="58">
        <f t="shared" si="19"/>
        <v>0.09</v>
      </c>
      <c r="Q11" s="58">
        <f t="shared" si="19"/>
        <v>0.09</v>
      </c>
      <c r="R11" s="58">
        <f t="shared" si="19"/>
        <v>0.09</v>
      </c>
      <c r="S11" s="58">
        <f t="shared" si="19"/>
        <v>0.09</v>
      </c>
      <c r="T11" s="58">
        <f t="shared" si="19"/>
        <v>0.09</v>
      </c>
      <c r="U11" s="58">
        <f t="shared" si="19"/>
        <v>0.09</v>
      </c>
      <c r="V11" s="58">
        <f t="shared" si="19"/>
        <v>0.09</v>
      </c>
      <c r="W11" s="58">
        <f t="shared" si="19"/>
        <v>0.09</v>
      </c>
      <c r="X11" s="58">
        <v>8.6999999999999994E-2</v>
      </c>
      <c r="Y11" s="58">
        <f>W11</f>
        <v>0.09</v>
      </c>
      <c r="Z11" s="58">
        <f t="shared" si="19"/>
        <v>0.09</v>
      </c>
      <c r="AA11" s="58">
        <f t="shared" si="19"/>
        <v>0.09</v>
      </c>
      <c r="AB11" s="58">
        <f t="shared" si="19"/>
        <v>0.09</v>
      </c>
      <c r="AC11" s="58">
        <f t="shared" si="19"/>
        <v>0.09</v>
      </c>
      <c r="AD11" s="58">
        <f t="shared" si="19"/>
        <v>0.09</v>
      </c>
      <c r="AE11" s="58">
        <f t="shared" si="19"/>
        <v>0.09</v>
      </c>
      <c r="AF11" s="58">
        <f t="shared" si="19"/>
        <v>0.09</v>
      </c>
      <c r="AG11" s="58">
        <f t="shared" si="19"/>
        <v>0.09</v>
      </c>
      <c r="AH11" s="58">
        <f t="shared" si="19"/>
        <v>0.09</v>
      </c>
      <c r="AI11" s="58">
        <f t="shared" si="19"/>
        <v>0.09</v>
      </c>
      <c r="AJ11" s="58">
        <f t="shared" si="19"/>
        <v>0.09</v>
      </c>
      <c r="AK11" s="58">
        <f t="shared" si="19"/>
        <v>0.09</v>
      </c>
      <c r="AL11" s="58">
        <f t="shared" si="19"/>
        <v>0.09</v>
      </c>
      <c r="AM11" s="58">
        <f t="shared" si="19"/>
        <v>0.09</v>
      </c>
      <c r="AN11" s="58">
        <f t="shared" si="19"/>
        <v>0.09</v>
      </c>
      <c r="AO11" s="58">
        <f t="shared" si="19"/>
        <v>0.09</v>
      </c>
      <c r="AP11" s="58">
        <f t="shared" si="19"/>
        <v>0.09</v>
      </c>
      <c r="AQ11" s="58">
        <f t="shared" si="19"/>
        <v>0.09</v>
      </c>
      <c r="AR11" s="58">
        <v>0.09</v>
      </c>
      <c r="AS11" s="68"/>
      <c r="AT11" s="68"/>
      <c r="AU11" s="68"/>
    </row>
    <row r="12" spans="1:47">
      <c r="B12" s="59" t="s">
        <v>27</v>
      </c>
      <c r="C12" s="59">
        <f>(1+C11/C15)^C15-1</f>
        <v>9.4100503202476204E-2</v>
      </c>
      <c r="D12" s="59"/>
      <c r="E12" s="59">
        <f>(1+E11/E15)^E15-1</f>
        <v>9.4100503202476204E-2</v>
      </c>
      <c r="F12" s="59">
        <f>(1+F11/F15)^F15-1</f>
        <v>9.4100503202476204E-2</v>
      </c>
      <c r="G12" s="59">
        <f>(1+G11/G15)^G15-1</f>
        <v>9.4100503202476204E-2</v>
      </c>
      <c r="H12" s="59">
        <f>(1+H11/H15)^H15-1</f>
        <v>9.4100503202476204E-2</v>
      </c>
      <c r="I12" s="59">
        <f t="shared" ref="I12:AR12" si="20">(1+I11/I15)^I15-1</f>
        <v>9.4100503202476204E-2</v>
      </c>
      <c r="J12" s="59">
        <f t="shared" si="20"/>
        <v>9.4100503202476204E-2</v>
      </c>
      <c r="K12" s="59">
        <f t="shared" si="20"/>
        <v>9.4100503202476204E-2</v>
      </c>
      <c r="L12" s="59">
        <f t="shared" si="20"/>
        <v>9.4100503202476204E-2</v>
      </c>
      <c r="M12" s="59">
        <f t="shared" si="20"/>
        <v>9.4100503202476204E-2</v>
      </c>
      <c r="N12" s="59">
        <f t="shared" si="20"/>
        <v>9.4100503202476204E-2</v>
      </c>
      <c r="O12" s="59">
        <f t="shared" si="20"/>
        <v>9.4100503202476204E-2</v>
      </c>
      <c r="P12" s="59">
        <f t="shared" si="20"/>
        <v>9.4100503202476204E-2</v>
      </c>
      <c r="Q12" s="59">
        <f t="shared" si="20"/>
        <v>9.4100503202476204E-2</v>
      </c>
      <c r="R12" s="59">
        <f t="shared" si="20"/>
        <v>9.4100503202476204E-2</v>
      </c>
      <c r="S12" s="59">
        <f t="shared" si="20"/>
        <v>9.4100503202476204E-2</v>
      </c>
      <c r="T12" s="59">
        <f t="shared" si="20"/>
        <v>9.4100503202476204E-2</v>
      </c>
      <c r="U12" s="59">
        <f t="shared" si="20"/>
        <v>9.4100503202476204E-2</v>
      </c>
      <c r="V12" s="59">
        <f t="shared" si="20"/>
        <v>9.4100503202476204E-2</v>
      </c>
      <c r="W12" s="59">
        <f t="shared" si="20"/>
        <v>9.4100503202476204E-2</v>
      </c>
      <c r="X12" s="59">
        <f t="shared" si="20"/>
        <v>9.0827940018458397E-2</v>
      </c>
      <c r="Y12" s="59">
        <f t="shared" si="20"/>
        <v>9.4100503202476204E-2</v>
      </c>
      <c r="Z12" s="59">
        <f t="shared" si="20"/>
        <v>9.4100503202476204E-2</v>
      </c>
      <c r="AA12" s="59">
        <f t="shared" si="20"/>
        <v>9.4100503202476204E-2</v>
      </c>
      <c r="AB12" s="59">
        <f t="shared" si="20"/>
        <v>9.4100503202476204E-2</v>
      </c>
      <c r="AC12" s="59">
        <f t="shared" si="20"/>
        <v>9.4100503202476204E-2</v>
      </c>
      <c r="AD12" s="59">
        <f t="shared" si="20"/>
        <v>9.4100503202476204E-2</v>
      </c>
      <c r="AE12" s="59">
        <f t="shared" si="20"/>
        <v>9.4100503202476204E-2</v>
      </c>
      <c r="AF12" s="59">
        <f t="shared" si="20"/>
        <v>9.4100503202476204E-2</v>
      </c>
      <c r="AG12" s="59">
        <f t="shared" si="20"/>
        <v>9.4100503202476204E-2</v>
      </c>
      <c r="AH12" s="59">
        <f t="shared" si="20"/>
        <v>9.4100503202476204E-2</v>
      </c>
      <c r="AI12" s="59">
        <f t="shared" si="20"/>
        <v>9.4100503202476204E-2</v>
      </c>
      <c r="AJ12" s="59">
        <f t="shared" si="20"/>
        <v>9.4100503202476204E-2</v>
      </c>
      <c r="AK12" s="59">
        <f t="shared" si="20"/>
        <v>9.4100503202476204E-2</v>
      </c>
      <c r="AL12" s="59">
        <f t="shared" si="20"/>
        <v>9.4100503202476204E-2</v>
      </c>
      <c r="AM12" s="59">
        <f t="shared" si="20"/>
        <v>9.4100503202476204E-2</v>
      </c>
      <c r="AN12" s="59">
        <f t="shared" si="20"/>
        <v>9.4100503202476204E-2</v>
      </c>
      <c r="AO12" s="59">
        <f t="shared" si="20"/>
        <v>9.4100503202476204E-2</v>
      </c>
      <c r="AP12" s="59">
        <f t="shared" si="20"/>
        <v>9.4100503202476204E-2</v>
      </c>
      <c r="AQ12" s="59">
        <f t="shared" si="20"/>
        <v>9.4100503202476204E-2</v>
      </c>
      <c r="AR12" s="69">
        <f t="shared" si="20"/>
        <v>9.4100503202476204E-2</v>
      </c>
      <c r="AS12" s="70"/>
      <c r="AT12" s="70"/>
      <c r="AU12" s="70"/>
    </row>
    <row r="13" spans="1:47">
      <c r="B13" t="s">
        <v>28</v>
      </c>
      <c r="C13" s="60">
        <v>5</v>
      </c>
      <c r="D13" s="60"/>
      <c r="E13" s="60">
        <v>5</v>
      </c>
      <c r="F13" s="60">
        <v>5</v>
      </c>
      <c r="G13" s="60">
        <v>5</v>
      </c>
      <c r="H13" s="60">
        <v>5</v>
      </c>
      <c r="I13" s="60">
        <v>5</v>
      </c>
      <c r="J13" s="60">
        <v>5</v>
      </c>
      <c r="K13" s="60">
        <v>5</v>
      </c>
      <c r="L13" s="60">
        <v>5</v>
      </c>
      <c r="M13" s="60">
        <v>5</v>
      </c>
      <c r="N13" s="60">
        <v>5</v>
      </c>
      <c r="O13" s="60">
        <v>5</v>
      </c>
      <c r="P13" s="60">
        <v>5</v>
      </c>
      <c r="Q13" s="60">
        <v>5</v>
      </c>
      <c r="R13" s="60">
        <v>5</v>
      </c>
      <c r="S13" s="60">
        <v>5</v>
      </c>
      <c r="T13" s="60">
        <f t="shared" ref="T13:AE13" si="21">P13</f>
        <v>5</v>
      </c>
      <c r="U13" s="60">
        <f t="shared" si="21"/>
        <v>5</v>
      </c>
      <c r="V13" s="60">
        <f t="shared" si="21"/>
        <v>5</v>
      </c>
      <c r="W13" s="60">
        <f t="shared" si="21"/>
        <v>5</v>
      </c>
      <c r="X13" s="60">
        <f t="shared" si="21"/>
        <v>5</v>
      </c>
      <c r="Y13" s="60">
        <f t="shared" si="21"/>
        <v>5</v>
      </c>
      <c r="Z13" s="60">
        <f t="shared" si="21"/>
        <v>5</v>
      </c>
      <c r="AA13" s="60">
        <f t="shared" si="21"/>
        <v>5</v>
      </c>
      <c r="AB13" s="60">
        <f t="shared" si="21"/>
        <v>5</v>
      </c>
      <c r="AC13" s="60">
        <f t="shared" si="21"/>
        <v>5</v>
      </c>
      <c r="AD13" s="60">
        <f t="shared" si="21"/>
        <v>5</v>
      </c>
      <c r="AE13" s="60">
        <f t="shared" si="21"/>
        <v>5</v>
      </c>
      <c r="AF13" s="60">
        <f t="shared" ref="AF13:AG13" si="22">AB13</f>
        <v>5</v>
      </c>
      <c r="AG13" s="60">
        <f t="shared" si="22"/>
        <v>5</v>
      </c>
      <c r="AH13" s="60">
        <f t="shared" ref="AH13" si="23">AD13</f>
        <v>5</v>
      </c>
      <c r="AI13" s="60">
        <f t="shared" ref="AI13:AJ13" si="24">AE13</f>
        <v>5</v>
      </c>
      <c r="AJ13" s="60">
        <f t="shared" si="24"/>
        <v>5</v>
      </c>
      <c r="AK13" s="60">
        <f t="shared" ref="AK13:AN13" si="25">AG13</f>
        <v>5</v>
      </c>
      <c r="AL13" s="60">
        <f t="shared" si="25"/>
        <v>5</v>
      </c>
      <c r="AM13" s="60">
        <f t="shared" si="25"/>
        <v>5</v>
      </c>
      <c r="AN13" s="60">
        <f t="shared" si="25"/>
        <v>5</v>
      </c>
      <c r="AO13" s="60">
        <f t="shared" ref="AO13:AR13" si="26">AK13</f>
        <v>5</v>
      </c>
      <c r="AP13" s="60">
        <f t="shared" si="26"/>
        <v>5</v>
      </c>
      <c r="AQ13" s="60">
        <f t="shared" si="26"/>
        <v>5</v>
      </c>
      <c r="AR13" s="60">
        <f t="shared" si="26"/>
        <v>5</v>
      </c>
      <c r="AS13" s="71"/>
      <c r="AT13" s="71"/>
      <c r="AU13" s="71"/>
    </row>
    <row r="14" spans="1:47" s="54" customFormat="1">
      <c r="B14" s="54" t="s">
        <v>29</v>
      </c>
      <c r="C14" s="61">
        <f>C11/12</f>
        <v>7.4999999999999997E-3</v>
      </c>
      <c r="D14" s="61"/>
      <c r="E14" s="61">
        <f>E11/12</f>
        <v>7.4999999999999997E-3</v>
      </c>
      <c r="F14" s="61">
        <f>F11/12</f>
        <v>7.4999999999999997E-3</v>
      </c>
      <c r="G14" s="61">
        <f>G11/12</f>
        <v>7.4999999999999997E-3</v>
      </c>
      <c r="H14" s="61">
        <f>H11/12</f>
        <v>7.4999999999999997E-3</v>
      </c>
      <c r="I14" s="61">
        <f t="shared" ref="I14:J14" si="27">I11/12</f>
        <v>7.4999999999999997E-3</v>
      </c>
      <c r="J14" s="61">
        <f t="shared" si="27"/>
        <v>7.4999999999999997E-3</v>
      </c>
      <c r="K14" s="61">
        <f t="shared" ref="K14" si="28">K11/12</f>
        <v>7.4999999999999997E-3</v>
      </c>
      <c r="L14" s="61">
        <f t="shared" ref="L14:S14" si="29">L11/12</f>
        <v>7.4999999999999997E-3</v>
      </c>
      <c r="M14" s="61">
        <f t="shared" si="29"/>
        <v>7.4999999999999997E-3</v>
      </c>
      <c r="N14" s="61">
        <f t="shared" si="29"/>
        <v>7.4999999999999997E-3</v>
      </c>
      <c r="O14" s="61">
        <f t="shared" si="29"/>
        <v>7.4999999999999997E-3</v>
      </c>
      <c r="P14" s="61">
        <f t="shared" si="29"/>
        <v>7.4999999999999997E-3</v>
      </c>
      <c r="Q14" s="61">
        <f t="shared" si="29"/>
        <v>7.4999999999999997E-3</v>
      </c>
      <c r="R14" s="61">
        <f t="shared" si="29"/>
        <v>7.4999999999999997E-3</v>
      </c>
      <c r="S14" s="61">
        <f t="shared" si="29"/>
        <v>7.4999999999999997E-3</v>
      </c>
      <c r="T14" s="61">
        <f t="shared" ref="T14:U14" si="30">T11/12</f>
        <v>7.4999999999999997E-3</v>
      </c>
      <c r="U14" s="61">
        <f t="shared" si="30"/>
        <v>7.4999999999999997E-3</v>
      </c>
      <c r="V14" s="61">
        <f t="shared" ref="V14:W14" si="31">V11/12</f>
        <v>7.4999999999999997E-3</v>
      </c>
      <c r="W14" s="61">
        <f t="shared" si="31"/>
        <v>7.4999999999999997E-3</v>
      </c>
      <c r="X14" s="61">
        <f t="shared" ref="X14:AF14" si="32">X11/12</f>
        <v>7.2499999999999995E-3</v>
      </c>
      <c r="Y14" s="61">
        <f t="shared" ref="Y14:AA14" si="33">Y11/12</f>
        <v>7.4999999999999997E-3</v>
      </c>
      <c r="Z14" s="61">
        <f t="shared" si="33"/>
        <v>7.4999999999999997E-3</v>
      </c>
      <c r="AA14" s="61">
        <f t="shared" si="33"/>
        <v>7.4999999999999997E-3</v>
      </c>
      <c r="AB14" s="61">
        <f t="shared" si="32"/>
        <v>7.4999999999999997E-3</v>
      </c>
      <c r="AC14" s="61">
        <f t="shared" ref="AC14:AE14" si="34">AC11/12</f>
        <v>7.4999999999999997E-3</v>
      </c>
      <c r="AD14" s="61">
        <f t="shared" si="34"/>
        <v>7.4999999999999997E-3</v>
      </c>
      <c r="AE14" s="61">
        <f t="shared" si="34"/>
        <v>7.4999999999999997E-3</v>
      </c>
      <c r="AF14" s="61">
        <f t="shared" si="32"/>
        <v>7.4999999999999997E-3</v>
      </c>
      <c r="AG14" s="61">
        <f t="shared" ref="AG14:AI14" si="35">AG11/12</f>
        <v>7.4999999999999997E-3</v>
      </c>
      <c r="AH14" s="61">
        <f t="shared" si="35"/>
        <v>7.4999999999999997E-3</v>
      </c>
      <c r="AI14" s="61">
        <f t="shared" si="35"/>
        <v>7.4999999999999997E-3</v>
      </c>
      <c r="AJ14" s="61">
        <f t="shared" ref="AJ14:AN14" si="36">AJ11/12</f>
        <v>7.4999999999999997E-3</v>
      </c>
      <c r="AK14" s="61">
        <f t="shared" ref="AK14:AM14" si="37">AK11/12</f>
        <v>7.4999999999999997E-3</v>
      </c>
      <c r="AL14" s="61">
        <f t="shared" si="37"/>
        <v>7.4999999999999997E-3</v>
      </c>
      <c r="AM14" s="61">
        <f t="shared" si="37"/>
        <v>7.4999999999999997E-3</v>
      </c>
      <c r="AN14" s="61">
        <f t="shared" si="36"/>
        <v>7.4999999999999997E-3</v>
      </c>
      <c r="AO14" s="61">
        <f t="shared" ref="AO14:AQ14" si="38">AO11/12</f>
        <v>7.4999999999999997E-3</v>
      </c>
      <c r="AP14" s="61">
        <f t="shared" si="38"/>
        <v>7.4999999999999997E-3</v>
      </c>
      <c r="AQ14" s="61">
        <f t="shared" si="38"/>
        <v>7.4999999999999997E-3</v>
      </c>
      <c r="AR14" s="61">
        <f>AR11/12</f>
        <v>7.4999999999999997E-3</v>
      </c>
      <c r="AS14" s="25"/>
      <c r="AT14" s="25"/>
      <c r="AU14" s="25"/>
    </row>
    <row r="15" spans="1:47">
      <c r="B15" t="s">
        <v>30</v>
      </c>
      <c r="C15" s="60">
        <f>C13*12</f>
        <v>60</v>
      </c>
      <c r="D15" s="60"/>
      <c r="E15" s="60">
        <f>E13*12</f>
        <v>60</v>
      </c>
      <c r="F15" s="60">
        <f>F13*12</f>
        <v>60</v>
      </c>
      <c r="G15" s="60">
        <f>G13*12</f>
        <v>60</v>
      </c>
      <c r="H15" s="60">
        <f>H13*12</f>
        <v>60</v>
      </c>
      <c r="I15" s="60">
        <f t="shared" ref="I15:J15" si="39">I13*12</f>
        <v>60</v>
      </c>
      <c r="J15" s="60">
        <f t="shared" si="39"/>
        <v>60</v>
      </c>
      <c r="K15" s="60">
        <f t="shared" ref="K15" si="40">K13*12</f>
        <v>60</v>
      </c>
      <c r="L15" s="60">
        <f t="shared" ref="L15:T15" si="41">L13*12</f>
        <v>60</v>
      </c>
      <c r="M15" s="60">
        <f t="shared" ref="M15:O15" si="42">M13*12</f>
        <v>60</v>
      </c>
      <c r="N15" s="60">
        <f t="shared" si="42"/>
        <v>60</v>
      </c>
      <c r="O15" s="60">
        <f t="shared" si="42"/>
        <v>60</v>
      </c>
      <c r="P15" s="60">
        <f t="shared" si="41"/>
        <v>60</v>
      </c>
      <c r="Q15" s="60">
        <f t="shared" ref="Q15:R15" si="43">Q13*12</f>
        <v>60</v>
      </c>
      <c r="R15" s="60">
        <f t="shared" si="43"/>
        <v>60</v>
      </c>
      <c r="S15" s="60">
        <f t="shared" ref="S15" si="44">S13*12</f>
        <v>60</v>
      </c>
      <c r="T15" s="60">
        <f t="shared" si="41"/>
        <v>60</v>
      </c>
      <c r="U15" s="60">
        <f t="shared" ref="U15:W15" si="45">U13*12</f>
        <v>60</v>
      </c>
      <c r="V15" s="60">
        <f t="shared" si="45"/>
        <v>60</v>
      </c>
      <c r="W15" s="60">
        <f t="shared" si="45"/>
        <v>60</v>
      </c>
      <c r="X15" s="60">
        <f t="shared" ref="X15:AF15" si="46">X13*12</f>
        <v>60</v>
      </c>
      <c r="Y15" s="60">
        <f t="shared" ref="Y15:AA15" si="47">Y13*12</f>
        <v>60</v>
      </c>
      <c r="Z15" s="60">
        <f t="shared" si="47"/>
        <v>60</v>
      </c>
      <c r="AA15" s="60">
        <f t="shared" si="47"/>
        <v>60</v>
      </c>
      <c r="AB15" s="60">
        <f t="shared" si="46"/>
        <v>60</v>
      </c>
      <c r="AC15" s="60">
        <f t="shared" ref="AC15:AE15" si="48">AC13*12</f>
        <v>60</v>
      </c>
      <c r="AD15" s="60">
        <f t="shared" si="48"/>
        <v>60</v>
      </c>
      <c r="AE15" s="60">
        <f t="shared" si="48"/>
        <v>60</v>
      </c>
      <c r="AF15" s="60">
        <f t="shared" si="46"/>
        <v>60</v>
      </c>
      <c r="AG15" s="60">
        <f t="shared" ref="AG15:AI15" si="49">AG13*12</f>
        <v>60</v>
      </c>
      <c r="AH15" s="60">
        <f t="shared" si="49"/>
        <v>60</v>
      </c>
      <c r="AI15" s="60">
        <f t="shared" si="49"/>
        <v>60</v>
      </c>
      <c r="AJ15" s="60">
        <f t="shared" ref="AJ15:AR15" si="50">AJ13*12</f>
        <v>60</v>
      </c>
      <c r="AK15" s="60">
        <f t="shared" ref="AK15:AM15" si="51">AK13*12</f>
        <v>60</v>
      </c>
      <c r="AL15" s="60">
        <f t="shared" si="51"/>
        <v>60</v>
      </c>
      <c r="AM15" s="60">
        <f t="shared" si="51"/>
        <v>60</v>
      </c>
      <c r="AN15" s="60">
        <f t="shared" si="50"/>
        <v>60</v>
      </c>
      <c r="AO15" s="60">
        <f t="shared" ref="AO15:AQ15" si="52">AO13*12</f>
        <v>60</v>
      </c>
      <c r="AP15" s="60">
        <f t="shared" si="52"/>
        <v>60</v>
      </c>
      <c r="AQ15" s="60">
        <f t="shared" si="52"/>
        <v>60</v>
      </c>
      <c r="AR15" s="60">
        <f t="shared" si="50"/>
        <v>60</v>
      </c>
      <c r="AS15" s="71"/>
      <c r="AT15" s="71"/>
      <c r="AU15" s="71"/>
    </row>
    <row r="16" spans="1:47">
      <c r="C16" s="4"/>
      <c r="D16" s="4"/>
      <c r="E16" s="4"/>
      <c r="F16" s="4"/>
      <c r="G16" s="4"/>
      <c r="H16" s="4"/>
      <c r="I16" s="4"/>
      <c r="J16" s="4"/>
      <c r="K16" s="4"/>
      <c r="L16" s="4"/>
      <c r="M16" s="4"/>
      <c r="AB16" s="4"/>
      <c r="AC16" s="4"/>
      <c r="AD16" s="4"/>
      <c r="AE16" s="4"/>
      <c r="AF16" s="4"/>
      <c r="AG16" s="4"/>
      <c r="AH16" s="4"/>
      <c r="AI16" s="4"/>
      <c r="AJ16" s="4"/>
      <c r="AK16" s="4"/>
      <c r="AL16" s="4"/>
      <c r="AM16" s="4"/>
      <c r="AN16" s="4"/>
      <c r="AO16" s="4"/>
      <c r="AP16" s="4"/>
      <c r="AQ16" s="4"/>
      <c r="AR16" s="4"/>
      <c r="AS16" s="67"/>
      <c r="AT16" s="67"/>
      <c r="AU16" s="67"/>
    </row>
    <row r="17" spans="2:47">
      <c r="B17" t="s">
        <v>17</v>
      </c>
      <c r="C17" s="62">
        <f>(1+C14)^C15</f>
        <v>1.5656810269415731</v>
      </c>
      <c r="D17" s="62"/>
      <c r="E17" s="62">
        <f>(1+E14)^E15</f>
        <v>1.5656810269415731</v>
      </c>
      <c r="F17" s="62">
        <f t="shared" ref="F17:K17" si="53">(1+F14)^F15</f>
        <v>1.5656810269415731</v>
      </c>
      <c r="G17" s="62">
        <f t="shared" si="53"/>
        <v>1.5656810269415731</v>
      </c>
      <c r="H17" s="62">
        <f t="shared" si="53"/>
        <v>1.5656810269415731</v>
      </c>
      <c r="I17" s="62">
        <f t="shared" si="53"/>
        <v>1.5656810269415731</v>
      </c>
      <c r="J17" s="62">
        <f t="shared" si="53"/>
        <v>1.5656810269415731</v>
      </c>
      <c r="K17" s="62">
        <f t="shared" si="53"/>
        <v>1.5656810269415731</v>
      </c>
      <c r="L17" s="62">
        <f t="shared" ref="L17:T17" si="54">(1+L14)^L15</f>
        <v>1.5656810269415731</v>
      </c>
      <c r="M17" s="62">
        <f t="shared" ref="M17" si="55">(1+M14)^M15</f>
        <v>1.5656810269415731</v>
      </c>
      <c r="N17" s="62">
        <f t="shared" ref="N17:S17" si="56">(1+N14)^N15</f>
        <v>1.5656810269415731</v>
      </c>
      <c r="O17" s="62">
        <f t="shared" si="56"/>
        <v>1.5656810269415731</v>
      </c>
      <c r="P17" s="62">
        <f t="shared" si="56"/>
        <v>1.5656810269415731</v>
      </c>
      <c r="Q17" s="62">
        <f t="shared" si="56"/>
        <v>1.5656810269415731</v>
      </c>
      <c r="R17" s="62">
        <f t="shared" si="56"/>
        <v>1.5656810269415731</v>
      </c>
      <c r="S17" s="62">
        <f t="shared" si="56"/>
        <v>1.5656810269415731</v>
      </c>
      <c r="T17" s="62">
        <f t="shared" si="54"/>
        <v>1.5656810269415731</v>
      </c>
      <c r="U17" s="62">
        <f t="shared" ref="U17:W17" si="57">(1+U14)^U15</f>
        <v>1.5656810269415731</v>
      </c>
      <c r="V17" s="62">
        <f t="shared" si="57"/>
        <v>1.5656810269415731</v>
      </c>
      <c r="W17" s="62">
        <f t="shared" si="57"/>
        <v>1.5656810269415731</v>
      </c>
      <c r="X17" s="62">
        <f t="shared" ref="X17:AF17" si="58">(1+X14)^X15</f>
        <v>1.5425404580871096</v>
      </c>
      <c r="Y17" s="62">
        <f t="shared" ref="Y17:AA17" si="59">(1+Y14)^Y15</f>
        <v>1.5656810269415731</v>
      </c>
      <c r="Z17" s="62">
        <f t="shared" si="59"/>
        <v>1.5656810269415731</v>
      </c>
      <c r="AA17" s="62">
        <f t="shared" si="59"/>
        <v>1.5656810269415731</v>
      </c>
      <c r="AB17" s="62">
        <f t="shared" si="58"/>
        <v>1.5656810269415731</v>
      </c>
      <c r="AC17" s="62">
        <f t="shared" ref="AC17:AE17" si="60">(1+AC14)^AC15</f>
        <v>1.5656810269415731</v>
      </c>
      <c r="AD17" s="62">
        <f t="shared" si="60"/>
        <v>1.5656810269415731</v>
      </c>
      <c r="AE17" s="62">
        <f t="shared" si="60"/>
        <v>1.5656810269415731</v>
      </c>
      <c r="AF17" s="62">
        <f t="shared" si="58"/>
        <v>1.5656810269415731</v>
      </c>
      <c r="AG17" s="62">
        <f t="shared" ref="AG17:AI17" si="61">(1+AG14)^AG15</f>
        <v>1.5656810269415731</v>
      </c>
      <c r="AH17" s="62">
        <f t="shared" si="61"/>
        <v>1.5656810269415731</v>
      </c>
      <c r="AI17" s="62">
        <f t="shared" si="61"/>
        <v>1.5656810269415731</v>
      </c>
      <c r="AJ17" s="62">
        <f t="shared" ref="AJ17:AR17" si="62">(1+AJ14)^AJ15</f>
        <v>1.5656810269415731</v>
      </c>
      <c r="AK17" s="62">
        <f t="shared" ref="AK17:AM17" si="63">(1+AK14)^AK15</f>
        <v>1.5656810269415731</v>
      </c>
      <c r="AL17" s="62">
        <f t="shared" si="63"/>
        <v>1.5656810269415731</v>
      </c>
      <c r="AM17" s="62">
        <f t="shared" si="63"/>
        <v>1.5656810269415731</v>
      </c>
      <c r="AN17" s="62">
        <f t="shared" si="62"/>
        <v>1.5656810269415731</v>
      </c>
      <c r="AO17" s="62">
        <f t="shared" ref="AO17:AQ17" si="64">(1+AO14)^AO15</f>
        <v>1.5656810269415731</v>
      </c>
      <c r="AP17" s="62">
        <f t="shared" si="64"/>
        <v>1.5656810269415731</v>
      </c>
      <c r="AQ17" s="62">
        <f t="shared" si="64"/>
        <v>1.5656810269415731</v>
      </c>
      <c r="AR17" s="62">
        <f t="shared" si="62"/>
        <v>1.5656810269415731</v>
      </c>
      <c r="AS17" s="72"/>
      <c r="AT17" s="72"/>
      <c r="AU17" s="72"/>
    </row>
    <row r="18" spans="2:47">
      <c r="C18" s="63">
        <f>C17*C14</f>
        <v>1.1742607702061798E-2</v>
      </c>
      <c r="D18" s="63"/>
      <c r="E18" s="63">
        <f>E17*E14</f>
        <v>1.1742607702061798E-2</v>
      </c>
      <c r="F18" s="63">
        <f>F17*F14</f>
        <v>1.1742607702061798E-2</v>
      </c>
      <c r="G18" s="63">
        <f>G17*G14</f>
        <v>1.1742607702061798E-2</v>
      </c>
      <c r="H18" s="63">
        <f>H17*H14</f>
        <v>1.1742607702061798E-2</v>
      </c>
      <c r="I18" s="63">
        <f t="shared" ref="I18:J18" si="65">I17*I14</f>
        <v>1.1742607702061798E-2</v>
      </c>
      <c r="J18" s="63">
        <f t="shared" si="65"/>
        <v>1.1742607702061798E-2</v>
      </c>
      <c r="K18" s="63">
        <f t="shared" ref="K18" si="66">K17*K14</f>
        <v>1.1742607702061798E-2</v>
      </c>
      <c r="L18" s="63">
        <f t="shared" ref="L18:T18" si="67">L17*L14</f>
        <v>1.1742607702061798E-2</v>
      </c>
      <c r="M18" s="63">
        <f t="shared" ref="M18:O18" si="68">M17*M14</f>
        <v>1.1742607702061798E-2</v>
      </c>
      <c r="N18" s="63">
        <f t="shared" si="68"/>
        <v>1.1742607702061798E-2</v>
      </c>
      <c r="O18" s="63">
        <f t="shared" si="68"/>
        <v>1.1742607702061798E-2</v>
      </c>
      <c r="P18" s="63">
        <f t="shared" si="67"/>
        <v>1.1742607702061798E-2</v>
      </c>
      <c r="Q18" s="63">
        <f t="shared" ref="Q18:R18" si="69">Q17*Q14</f>
        <v>1.1742607702061798E-2</v>
      </c>
      <c r="R18" s="63">
        <f t="shared" si="69"/>
        <v>1.1742607702061798E-2</v>
      </c>
      <c r="S18" s="63">
        <f t="shared" ref="S18" si="70">S17*S14</f>
        <v>1.1742607702061798E-2</v>
      </c>
      <c r="T18" s="63">
        <f t="shared" si="67"/>
        <v>1.1742607702061798E-2</v>
      </c>
      <c r="U18" s="63">
        <f t="shared" ref="U18:W18" si="71">U17*U14</f>
        <v>1.1742607702061798E-2</v>
      </c>
      <c r="V18" s="63">
        <f t="shared" si="71"/>
        <v>1.1742607702061798E-2</v>
      </c>
      <c r="W18" s="63">
        <f t="shared" si="71"/>
        <v>1.1742607702061798E-2</v>
      </c>
      <c r="X18" s="63">
        <f t="shared" ref="X18:AF18" si="72">X17*X14</f>
        <v>1.1183418321131544E-2</v>
      </c>
      <c r="Y18" s="63">
        <f t="shared" ref="Y18:AA18" si="73">Y17*Y14</f>
        <v>1.1742607702061798E-2</v>
      </c>
      <c r="Z18" s="63">
        <f t="shared" si="73"/>
        <v>1.1742607702061798E-2</v>
      </c>
      <c r="AA18" s="63">
        <f t="shared" si="73"/>
        <v>1.1742607702061798E-2</v>
      </c>
      <c r="AB18" s="63">
        <f t="shared" si="72"/>
        <v>1.1742607702061798E-2</v>
      </c>
      <c r="AC18" s="63">
        <f t="shared" ref="AC18:AE18" si="74">AC17*AC14</f>
        <v>1.1742607702061798E-2</v>
      </c>
      <c r="AD18" s="63">
        <f t="shared" si="74"/>
        <v>1.1742607702061798E-2</v>
      </c>
      <c r="AE18" s="63">
        <f t="shared" si="74"/>
        <v>1.1742607702061798E-2</v>
      </c>
      <c r="AF18" s="63">
        <f t="shared" si="72"/>
        <v>1.1742607702061798E-2</v>
      </c>
      <c r="AG18" s="63">
        <f t="shared" ref="AG18:AI18" si="75">AG17*AG14</f>
        <v>1.1742607702061798E-2</v>
      </c>
      <c r="AH18" s="63">
        <f t="shared" si="75"/>
        <v>1.1742607702061798E-2</v>
      </c>
      <c r="AI18" s="63">
        <f t="shared" si="75"/>
        <v>1.1742607702061798E-2</v>
      </c>
      <c r="AJ18" s="63">
        <f t="shared" ref="AJ18:AM18" si="76">AJ17*AJ14</f>
        <v>1.1742607702061798E-2</v>
      </c>
      <c r="AK18" s="63">
        <f t="shared" si="76"/>
        <v>1.1742607702061798E-2</v>
      </c>
      <c r="AL18" s="63">
        <f t="shared" si="76"/>
        <v>1.1742607702061798E-2</v>
      </c>
      <c r="AM18" s="63">
        <f t="shared" si="76"/>
        <v>1.1742607702061798E-2</v>
      </c>
      <c r="AN18" s="63">
        <f t="shared" ref="AN18:AQ18" si="77">AN17*AN14</f>
        <v>1.1742607702061798E-2</v>
      </c>
      <c r="AO18" s="63">
        <f t="shared" si="77"/>
        <v>1.1742607702061798E-2</v>
      </c>
      <c r="AP18" s="63">
        <f t="shared" si="77"/>
        <v>1.1742607702061798E-2</v>
      </c>
      <c r="AQ18" s="63">
        <f t="shared" si="77"/>
        <v>1.1742607702061798E-2</v>
      </c>
      <c r="AR18" s="63">
        <f t="shared" ref="AR18" si="78">AR17*AR14</f>
        <v>1.1742607702061798E-2</v>
      </c>
      <c r="AS18" s="73"/>
      <c r="AT18" s="73"/>
      <c r="AU18" s="73"/>
    </row>
    <row r="19" spans="2:47">
      <c r="C19" s="64">
        <f>C17-1</f>
        <v>0.56568102694157307</v>
      </c>
      <c r="D19" s="64"/>
      <c r="E19" s="64">
        <f>E17-1</f>
        <v>0.56568102694157307</v>
      </c>
      <c r="F19" s="64">
        <f>F17-1</f>
        <v>0.56568102694157307</v>
      </c>
      <c r="G19" s="64">
        <f>G17-1</f>
        <v>0.56568102694157307</v>
      </c>
      <c r="H19" s="64">
        <f>H17-1</f>
        <v>0.56568102694157307</v>
      </c>
      <c r="I19" s="64">
        <f t="shared" ref="I19:J19" si="79">I17-1</f>
        <v>0.56568102694157307</v>
      </c>
      <c r="J19" s="64">
        <f t="shared" si="79"/>
        <v>0.56568102694157307</v>
      </c>
      <c r="K19" s="64">
        <f t="shared" ref="K19" si="80">K17-1</f>
        <v>0.56568102694157307</v>
      </c>
      <c r="L19" s="64">
        <f t="shared" ref="L19:T19" si="81">L17-1</f>
        <v>0.56568102694157307</v>
      </c>
      <c r="M19" s="64">
        <f t="shared" ref="M19:O19" si="82">M17-1</f>
        <v>0.56568102694157307</v>
      </c>
      <c r="N19" s="64">
        <f t="shared" si="82"/>
        <v>0.56568102694157307</v>
      </c>
      <c r="O19" s="64">
        <f t="shared" si="82"/>
        <v>0.56568102694157307</v>
      </c>
      <c r="P19" s="64">
        <f t="shared" si="81"/>
        <v>0.56568102694157307</v>
      </c>
      <c r="Q19" s="64">
        <f t="shared" ref="Q19:R19" si="83">Q17-1</f>
        <v>0.56568102694157307</v>
      </c>
      <c r="R19" s="64">
        <f t="shared" si="83"/>
        <v>0.56568102694157307</v>
      </c>
      <c r="S19" s="64">
        <f t="shared" ref="S19" si="84">S17-1</f>
        <v>0.56568102694157307</v>
      </c>
      <c r="T19" s="64">
        <f t="shared" si="81"/>
        <v>0.56568102694157307</v>
      </c>
      <c r="U19" s="64">
        <f t="shared" ref="U19:W19" si="85">U17-1</f>
        <v>0.56568102694157307</v>
      </c>
      <c r="V19" s="64">
        <f t="shared" si="85"/>
        <v>0.56568102694157307</v>
      </c>
      <c r="W19" s="64">
        <f t="shared" si="85"/>
        <v>0.56568102694157307</v>
      </c>
      <c r="X19" s="64">
        <f t="shared" ref="X19:AF19" si="86">X17-1</f>
        <v>0.5425404580871096</v>
      </c>
      <c r="Y19" s="64">
        <f t="shared" ref="Y19:AA19" si="87">Y17-1</f>
        <v>0.56568102694157307</v>
      </c>
      <c r="Z19" s="64">
        <f t="shared" si="87"/>
        <v>0.56568102694157307</v>
      </c>
      <c r="AA19" s="64">
        <f t="shared" si="87"/>
        <v>0.56568102694157307</v>
      </c>
      <c r="AB19" s="64">
        <f t="shared" si="86"/>
        <v>0.56568102694157307</v>
      </c>
      <c r="AC19" s="64">
        <f t="shared" ref="AC19:AE19" si="88">AC17-1</f>
        <v>0.56568102694157307</v>
      </c>
      <c r="AD19" s="64">
        <f t="shared" si="88"/>
        <v>0.56568102694157307</v>
      </c>
      <c r="AE19" s="64">
        <f t="shared" si="88"/>
        <v>0.56568102694157307</v>
      </c>
      <c r="AF19" s="64">
        <f t="shared" si="86"/>
        <v>0.56568102694157307</v>
      </c>
      <c r="AG19" s="64">
        <f t="shared" ref="AG19:AI19" si="89">AG17-1</f>
        <v>0.56568102694157307</v>
      </c>
      <c r="AH19" s="64">
        <f t="shared" si="89"/>
        <v>0.56568102694157307</v>
      </c>
      <c r="AI19" s="64">
        <f t="shared" si="89"/>
        <v>0.56568102694157307</v>
      </c>
      <c r="AJ19" s="64">
        <f t="shared" ref="AJ19:AR19" si="90">AJ17-1</f>
        <v>0.56568102694157307</v>
      </c>
      <c r="AK19" s="64">
        <f t="shared" ref="AK19:AM19" si="91">AK17-1</f>
        <v>0.56568102694157307</v>
      </c>
      <c r="AL19" s="64">
        <f t="shared" si="91"/>
        <v>0.56568102694157307</v>
      </c>
      <c r="AM19" s="64">
        <f t="shared" si="91"/>
        <v>0.56568102694157307</v>
      </c>
      <c r="AN19" s="64">
        <f t="shared" si="90"/>
        <v>0.56568102694157307</v>
      </c>
      <c r="AO19" s="64">
        <f t="shared" ref="AO19:AQ19" si="92">AO17-1</f>
        <v>0.56568102694157307</v>
      </c>
      <c r="AP19" s="64">
        <f t="shared" si="92"/>
        <v>0.56568102694157307</v>
      </c>
      <c r="AQ19" s="64">
        <f t="shared" si="92"/>
        <v>0.56568102694157307</v>
      </c>
      <c r="AR19" s="64">
        <f t="shared" si="90"/>
        <v>0.56568102694157307</v>
      </c>
      <c r="AS19" s="74"/>
      <c r="AT19" s="74"/>
      <c r="AU19" s="74"/>
    </row>
    <row r="20" spans="2:47">
      <c r="C20" s="64">
        <f>C18/C19</f>
        <v>2.0758355226353817E-2</v>
      </c>
      <c r="D20" s="64"/>
      <c r="E20" s="64">
        <f>E18/E19</f>
        <v>2.0758355226353817E-2</v>
      </c>
      <c r="F20" s="64">
        <f>F18/F19</f>
        <v>2.0758355226353817E-2</v>
      </c>
      <c r="G20" s="64">
        <f>G18/G19</f>
        <v>2.0758355226353817E-2</v>
      </c>
      <c r="H20" s="64">
        <f>H18/H19</f>
        <v>2.0758355226353817E-2</v>
      </c>
      <c r="I20" s="64">
        <f t="shared" ref="I20:J20" si="93">I18/I19</f>
        <v>2.0758355226353817E-2</v>
      </c>
      <c r="J20" s="64">
        <f t="shared" si="93"/>
        <v>2.0758355226353817E-2</v>
      </c>
      <c r="K20" s="64">
        <f t="shared" ref="K20" si="94">K18/K19</f>
        <v>2.0758355226353817E-2</v>
      </c>
      <c r="L20" s="64">
        <f t="shared" ref="L20:T20" si="95">L18/L19</f>
        <v>2.0758355226353817E-2</v>
      </c>
      <c r="M20" s="64">
        <f t="shared" ref="M20:O20" si="96">M18/M19</f>
        <v>2.0758355226353817E-2</v>
      </c>
      <c r="N20" s="64">
        <f t="shared" si="96"/>
        <v>2.0758355226353817E-2</v>
      </c>
      <c r="O20" s="64">
        <f t="shared" si="96"/>
        <v>2.0758355226353817E-2</v>
      </c>
      <c r="P20" s="64">
        <f t="shared" si="95"/>
        <v>2.0758355226353817E-2</v>
      </c>
      <c r="Q20" s="64">
        <f t="shared" ref="Q20:R20" si="97">Q18/Q19</f>
        <v>2.0758355226353817E-2</v>
      </c>
      <c r="R20" s="64">
        <f t="shared" si="97"/>
        <v>2.0758355226353817E-2</v>
      </c>
      <c r="S20" s="64">
        <f t="shared" ref="S20" si="98">S18/S19</f>
        <v>2.0758355226353817E-2</v>
      </c>
      <c r="T20" s="64">
        <f t="shared" si="95"/>
        <v>2.0758355226353817E-2</v>
      </c>
      <c r="U20" s="64">
        <f t="shared" ref="U20:W20" si="99">U18/U19</f>
        <v>2.0758355226353817E-2</v>
      </c>
      <c r="V20" s="64">
        <f t="shared" si="99"/>
        <v>2.0758355226353817E-2</v>
      </c>
      <c r="W20" s="64">
        <f t="shared" si="99"/>
        <v>2.0758355226353817E-2</v>
      </c>
      <c r="X20" s="64">
        <f t="shared" ref="X20:AF20" si="100">X18/X19</f>
        <v>2.0613058721117437E-2</v>
      </c>
      <c r="Y20" s="64">
        <f t="shared" ref="Y20:AA20" si="101">Y18/Y19</f>
        <v>2.0758355226353817E-2</v>
      </c>
      <c r="Z20" s="64">
        <f t="shared" si="101"/>
        <v>2.0758355226353817E-2</v>
      </c>
      <c r="AA20" s="64">
        <f t="shared" si="101"/>
        <v>2.0758355226353817E-2</v>
      </c>
      <c r="AB20" s="64">
        <f t="shared" si="100"/>
        <v>2.0758355226353817E-2</v>
      </c>
      <c r="AC20" s="64">
        <f t="shared" ref="AC20:AE20" si="102">AC18/AC19</f>
        <v>2.0758355226353817E-2</v>
      </c>
      <c r="AD20" s="64">
        <f t="shared" si="102"/>
        <v>2.0758355226353817E-2</v>
      </c>
      <c r="AE20" s="64">
        <f t="shared" si="102"/>
        <v>2.0758355226353817E-2</v>
      </c>
      <c r="AF20" s="64">
        <f t="shared" si="100"/>
        <v>2.0758355226353817E-2</v>
      </c>
      <c r="AG20" s="64">
        <f t="shared" ref="AG20:AI20" si="103">AG18/AG19</f>
        <v>2.0758355226353817E-2</v>
      </c>
      <c r="AH20" s="64">
        <f t="shared" si="103"/>
        <v>2.0758355226353817E-2</v>
      </c>
      <c r="AI20" s="64">
        <f t="shared" si="103"/>
        <v>2.0758355226353817E-2</v>
      </c>
      <c r="AJ20" s="64">
        <f t="shared" ref="AJ20:AM20" si="104">AJ18/AJ19</f>
        <v>2.0758355226353817E-2</v>
      </c>
      <c r="AK20" s="64">
        <f t="shared" si="104"/>
        <v>2.0758355226353817E-2</v>
      </c>
      <c r="AL20" s="64">
        <f t="shared" si="104"/>
        <v>2.0758355226353817E-2</v>
      </c>
      <c r="AM20" s="64">
        <f t="shared" si="104"/>
        <v>2.0758355226353817E-2</v>
      </c>
      <c r="AN20" s="64">
        <f t="shared" ref="AN20:AQ20" si="105">AN18/AN19</f>
        <v>2.0758355226353817E-2</v>
      </c>
      <c r="AO20" s="64">
        <f t="shared" si="105"/>
        <v>2.0758355226353817E-2</v>
      </c>
      <c r="AP20" s="64">
        <f t="shared" si="105"/>
        <v>2.0758355226353817E-2</v>
      </c>
      <c r="AQ20" s="64">
        <f t="shared" si="105"/>
        <v>2.0758355226353817E-2</v>
      </c>
      <c r="AR20" s="64">
        <f t="shared" ref="AR20" si="106">AR18/AR19</f>
        <v>2.0758355226353817E-2</v>
      </c>
      <c r="AS20" s="74"/>
      <c r="AT20" s="74"/>
      <c r="AU20" s="74"/>
    </row>
    <row r="21" spans="2:47" s="54" customFormat="1">
      <c r="B21" s="54" t="s">
        <v>17</v>
      </c>
      <c r="C21" s="57">
        <f>C20*C10</f>
        <v>15000.248169988199</v>
      </c>
      <c r="D21" s="57"/>
      <c r="E21" s="57">
        <f>E20*E10</f>
        <v>609.7766847741434</v>
      </c>
      <c r="F21" s="57">
        <f>F20*F10</f>
        <v>1323.3451456800558</v>
      </c>
      <c r="G21" s="57">
        <f>G20*G10</f>
        <v>1829.3300543224302</v>
      </c>
      <c r="H21" s="57">
        <f>H20*H10</f>
        <v>2542.8985152283426</v>
      </c>
      <c r="I21" s="57">
        <f t="shared" ref="I21:AG21" si="107">I20*I10</f>
        <v>3048.8834238707168</v>
      </c>
      <c r="J21" s="57">
        <f t="shared" si="107"/>
        <v>3762.4518847766294</v>
      </c>
      <c r="K21" s="57">
        <f t="shared" si="107"/>
        <v>4268.4367934190032</v>
      </c>
      <c r="L21" s="57">
        <f t="shared" si="107"/>
        <v>4982.0052543249158</v>
      </c>
      <c r="M21" s="57">
        <f t="shared" si="107"/>
        <v>5487.9901629672904</v>
      </c>
      <c r="N21" s="57">
        <f t="shared" si="107"/>
        <v>6201.558623873203</v>
      </c>
      <c r="O21" s="57">
        <f t="shared" si="107"/>
        <v>6707.5435325155768</v>
      </c>
      <c r="P21" s="57">
        <f t="shared" si="107"/>
        <v>7421.1119934214894</v>
      </c>
      <c r="Q21" s="57">
        <f t="shared" si="107"/>
        <v>7927.096902063864</v>
      </c>
      <c r="R21" s="57">
        <f t="shared" si="107"/>
        <v>8640.6653629697757</v>
      </c>
      <c r="S21" s="57">
        <f t="shared" si="107"/>
        <v>9146.6502716121504</v>
      </c>
      <c r="T21" s="57">
        <f t="shared" si="107"/>
        <v>9860.2187325180621</v>
      </c>
      <c r="U21" s="57">
        <f t="shared" si="107"/>
        <v>10366.203641160437</v>
      </c>
      <c r="V21" s="57">
        <f t="shared" si="107"/>
        <v>11079.77210206635</v>
      </c>
      <c r="W21" s="57">
        <f t="shared" si="107"/>
        <v>11585.757010708723</v>
      </c>
      <c r="X21" s="57">
        <f t="shared" si="107"/>
        <v>12208.084027581803</v>
      </c>
      <c r="Y21" s="57">
        <f t="shared" si="107"/>
        <v>12805.310380257011</v>
      </c>
      <c r="Z21" s="57">
        <f t="shared" si="107"/>
        <v>13518.878841162923</v>
      </c>
      <c r="AA21" s="57">
        <f t="shared" si="107"/>
        <v>14024.863749805298</v>
      </c>
      <c r="AB21" s="57">
        <f t="shared" si="107"/>
        <v>14738.432210711209</v>
      </c>
      <c r="AC21" s="57">
        <f t="shared" si="107"/>
        <v>15244.417119353584</v>
      </c>
      <c r="AD21" s="57">
        <f t="shared" si="107"/>
        <v>15957.985580259498</v>
      </c>
      <c r="AE21" s="57">
        <f t="shared" si="107"/>
        <v>16463.970488901872</v>
      </c>
      <c r="AF21" s="57">
        <f t="shared" si="107"/>
        <v>17177.538949807782</v>
      </c>
      <c r="AG21" s="57">
        <f t="shared" si="107"/>
        <v>17683.523858450157</v>
      </c>
      <c r="AH21" s="57">
        <f t="shared" ref="AH21:AJ21" si="108">AH20*AH10</f>
        <v>18397.09231935607</v>
      </c>
      <c r="AI21" s="57">
        <f t="shared" si="108"/>
        <v>18903.077227998445</v>
      </c>
      <c r="AJ21" s="57">
        <f t="shared" si="108"/>
        <v>19616.645688904358</v>
      </c>
      <c r="AK21" s="57">
        <f t="shared" ref="AK21:AN21" si="109">AK20*AK10</f>
        <v>20122.630597546729</v>
      </c>
      <c r="AL21" s="57">
        <f t="shared" si="109"/>
        <v>20836.199058452643</v>
      </c>
      <c r="AM21" s="57">
        <f t="shared" si="109"/>
        <v>21342.183967095018</v>
      </c>
      <c r="AN21" s="57">
        <f t="shared" si="109"/>
        <v>22055.752428000931</v>
      </c>
      <c r="AO21" s="57">
        <f t="shared" ref="AO21:AR21" si="110">AO20*AO10</f>
        <v>22561.737336643306</v>
      </c>
      <c r="AP21" s="57">
        <f t="shared" si="110"/>
        <v>23275.305797549216</v>
      </c>
      <c r="AQ21" s="57">
        <f t="shared" si="110"/>
        <v>23781.29070619159</v>
      </c>
      <c r="AR21" s="57">
        <f t="shared" si="110"/>
        <v>24494.859167097504</v>
      </c>
      <c r="AS21" s="67"/>
      <c r="AT21" s="67"/>
      <c r="AU21" s="67"/>
    </row>
    <row r="22" spans="2:47">
      <c r="C22" s="4"/>
      <c r="D22" s="4"/>
      <c r="E22" s="4"/>
      <c r="F22" s="4"/>
      <c r="G22" s="4"/>
      <c r="H22" s="4"/>
      <c r="I22" s="4"/>
      <c r="J22" s="4"/>
      <c r="K22" s="4"/>
      <c r="L22" s="4"/>
      <c r="M22" s="4"/>
      <c r="AB22" s="4"/>
      <c r="AC22" s="4"/>
      <c r="AD22" s="4"/>
      <c r="AE22" s="4"/>
      <c r="AF22" s="4"/>
      <c r="AG22" s="4"/>
      <c r="AH22" s="4"/>
      <c r="AI22" s="4"/>
      <c r="AJ22" s="4"/>
      <c r="AK22" s="4"/>
      <c r="AL22" s="4"/>
      <c r="AM22" s="4"/>
      <c r="AN22" s="4"/>
      <c r="AO22" s="4"/>
      <c r="AP22" s="4"/>
      <c r="AQ22" s="4"/>
      <c r="AR22" s="4"/>
      <c r="AS22" s="67"/>
      <c r="AT22" s="67"/>
      <c r="AU22" s="67"/>
    </row>
    <row r="23" spans="2:47">
      <c r="B23" t="s">
        <v>31</v>
      </c>
      <c r="C23" s="4">
        <f>C3-C4</f>
        <v>300004.39019929199</v>
      </c>
      <c r="D23" s="4"/>
      <c r="E23" s="4">
        <f>E3-E4</f>
        <v>11586.601086448602</v>
      </c>
      <c r="F23" s="4">
        <f>F3-F4</f>
        <v>29400.708740803355</v>
      </c>
      <c r="G23" s="4">
        <f>G3-G4</f>
        <v>34759.803259345819</v>
      </c>
      <c r="H23" s="4">
        <f>H3-H4</f>
        <v>52573.910913700558</v>
      </c>
      <c r="I23" s="4">
        <f t="shared" ref="I23:AR23" si="111">I3-I4</f>
        <v>57933.005432242993</v>
      </c>
      <c r="J23" s="4">
        <f t="shared" si="111"/>
        <v>75747.113086597761</v>
      </c>
      <c r="K23" s="4">
        <f t="shared" si="111"/>
        <v>81106.207605140196</v>
      </c>
      <c r="L23" s="4">
        <f t="shared" si="111"/>
        <v>98920.315259494935</v>
      </c>
      <c r="M23" s="4">
        <f t="shared" si="111"/>
        <v>104279.4097780374</v>
      </c>
      <c r="N23" s="4">
        <f t="shared" si="111"/>
        <v>122093.51743239217</v>
      </c>
      <c r="O23" s="4">
        <f t="shared" si="111"/>
        <v>127452.61195093463</v>
      </c>
      <c r="P23" s="4">
        <f t="shared" si="111"/>
        <v>145266.71960528934</v>
      </c>
      <c r="Q23" s="4">
        <f t="shared" si="111"/>
        <v>150625.81412383186</v>
      </c>
      <c r="R23" s="4">
        <f t="shared" si="111"/>
        <v>168439.92177818657</v>
      </c>
      <c r="S23" s="4">
        <f t="shared" si="111"/>
        <v>173799.01629672898</v>
      </c>
      <c r="T23" s="4">
        <f t="shared" si="111"/>
        <v>191613.12395108375</v>
      </c>
      <c r="U23" s="4">
        <f t="shared" si="111"/>
        <v>196972.21846962615</v>
      </c>
      <c r="V23" s="4">
        <f t="shared" si="111"/>
        <v>214786.32612398104</v>
      </c>
      <c r="W23" s="4">
        <f t="shared" si="111"/>
        <v>220145.42064252333</v>
      </c>
      <c r="X23" s="4">
        <f t="shared" si="111"/>
        <v>232485.04165490821</v>
      </c>
      <c r="Y23" s="4">
        <f t="shared" si="111"/>
        <v>243318.62281542062</v>
      </c>
      <c r="Z23" s="4">
        <f t="shared" si="111"/>
        <v>261132.73046977539</v>
      </c>
      <c r="AA23" s="4">
        <f t="shared" si="111"/>
        <v>266491.82498831791</v>
      </c>
      <c r="AB23" s="4">
        <f t="shared" si="111"/>
        <v>284305.93264267256</v>
      </c>
      <c r="AC23" s="4">
        <f t="shared" si="111"/>
        <v>289665.02716121508</v>
      </c>
      <c r="AD23" s="4">
        <f t="shared" si="111"/>
        <v>307479.13481556985</v>
      </c>
      <c r="AE23" s="4">
        <f t="shared" si="111"/>
        <v>312838.22933411237</v>
      </c>
      <c r="AF23" s="4">
        <f t="shared" si="111"/>
        <v>330652.33698846691</v>
      </c>
      <c r="AG23" s="4">
        <f t="shared" si="111"/>
        <v>336011.43150700931</v>
      </c>
      <c r="AH23" s="4">
        <f t="shared" si="111"/>
        <v>353825.53916136432</v>
      </c>
      <c r="AI23" s="4">
        <f t="shared" si="111"/>
        <v>359184.6336799066</v>
      </c>
      <c r="AJ23" s="4">
        <f t="shared" si="111"/>
        <v>376998.74133426161</v>
      </c>
      <c r="AK23" s="4">
        <f t="shared" si="111"/>
        <v>382357.83585280366</v>
      </c>
      <c r="AL23" s="4">
        <f t="shared" si="111"/>
        <v>400171.94350715866</v>
      </c>
      <c r="AM23" s="4">
        <f t="shared" si="111"/>
        <v>405531.03802570095</v>
      </c>
      <c r="AN23" s="4">
        <f t="shared" si="111"/>
        <v>423345.14568005595</v>
      </c>
      <c r="AO23" s="4">
        <f t="shared" si="111"/>
        <v>428704.24019859824</v>
      </c>
      <c r="AP23" s="4">
        <f t="shared" si="111"/>
        <v>446518.34785295301</v>
      </c>
      <c r="AQ23" s="4">
        <f t="shared" si="111"/>
        <v>451877.44237149553</v>
      </c>
      <c r="AR23" s="4">
        <f t="shared" si="111"/>
        <v>469691.5500258503</v>
      </c>
      <c r="AS23" s="67"/>
      <c r="AT23" s="67"/>
      <c r="AU23" s="67"/>
    </row>
    <row r="24" spans="2:47">
      <c r="B24" t="s">
        <v>32</v>
      </c>
      <c r="C24" s="7">
        <f>C23/C3</f>
        <v>0.33333269645445696</v>
      </c>
      <c r="D24" s="7"/>
      <c r="E24" s="7">
        <f>E23/E3</f>
        <v>0.31668973729128913</v>
      </c>
      <c r="F24" s="7">
        <f>F23/F3</f>
        <v>0.37028269907236455</v>
      </c>
      <c r="G24" s="7">
        <f>G23/G3</f>
        <v>0.31668973729128924</v>
      </c>
      <c r="H24" s="7">
        <f>H23/H3</f>
        <v>0.34457995209572634</v>
      </c>
      <c r="I24" s="7">
        <f t="shared" ref="I24:AR24" si="112">I23/I3</f>
        <v>0.31668973729128908</v>
      </c>
      <c r="J24" s="7">
        <f t="shared" si="112"/>
        <v>0.33553967557290876</v>
      </c>
      <c r="K24" s="7">
        <f t="shared" si="112"/>
        <v>0.31668973729128913</v>
      </c>
      <c r="L24" s="7">
        <f t="shared" si="112"/>
        <v>0.33092536776438725</v>
      </c>
      <c r="M24" s="7">
        <f t="shared" si="112"/>
        <v>0.31668973729128913</v>
      </c>
      <c r="N24" s="7">
        <f t="shared" si="112"/>
        <v>0.32812589231570272</v>
      </c>
      <c r="O24" s="7">
        <f t="shared" si="112"/>
        <v>0.31668973729128919</v>
      </c>
      <c r="P24" s="7">
        <f t="shared" si="112"/>
        <v>0.32624652418232003</v>
      </c>
      <c r="Q24" s="7">
        <f t="shared" si="112"/>
        <v>0.31668973729128919</v>
      </c>
      <c r="R24" s="7">
        <f t="shared" si="112"/>
        <v>0.32489766837487727</v>
      </c>
      <c r="S24" s="7">
        <f t="shared" si="112"/>
        <v>0.31668973729128908</v>
      </c>
      <c r="T24" s="7">
        <f t="shared" si="112"/>
        <v>0.32388247689874922</v>
      </c>
      <c r="U24" s="7">
        <f t="shared" si="112"/>
        <v>0.31668973729128908</v>
      </c>
      <c r="V24" s="7">
        <f t="shared" si="112"/>
        <v>0.3230907701972256</v>
      </c>
      <c r="W24" s="7">
        <f t="shared" si="112"/>
        <v>0.31668973729128902</v>
      </c>
      <c r="X24" s="7">
        <f t="shared" si="112"/>
        <v>0.31739220384576489</v>
      </c>
      <c r="Y24" s="7">
        <f t="shared" si="112"/>
        <v>0.31668973729128913</v>
      </c>
      <c r="Z24" s="7">
        <f t="shared" si="112"/>
        <v>0.32193588134279555</v>
      </c>
      <c r="AA24" s="7">
        <f t="shared" si="112"/>
        <v>0.31668973729128919</v>
      </c>
      <c r="AB24" s="7">
        <f t="shared" si="112"/>
        <v>0.32150178139487162</v>
      </c>
      <c r="AC24" s="7">
        <f t="shared" si="112"/>
        <v>0.31668973729128919</v>
      </c>
      <c r="AD24" s="7">
        <f t="shared" si="112"/>
        <v>0.32113403168289056</v>
      </c>
      <c r="AE24" s="7">
        <f t="shared" si="112"/>
        <v>0.31668973729128924</v>
      </c>
      <c r="AF24" s="7">
        <f t="shared" si="112"/>
        <v>0.32081850020795805</v>
      </c>
      <c r="AG24" s="7">
        <f t="shared" si="112"/>
        <v>0.31668973729128908</v>
      </c>
      <c r="AH24" s="7">
        <f t="shared" si="112"/>
        <v>0.32054480224310139</v>
      </c>
      <c r="AI24" s="7">
        <f t="shared" si="112"/>
        <v>0.31668973729128913</v>
      </c>
      <c r="AJ24" s="7">
        <f t="shared" si="112"/>
        <v>0.32030513550667927</v>
      </c>
      <c r="AK24" s="7">
        <f t="shared" si="112"/>
        <v>0.31668973729128902</v>
      </c>
      <c r="AL24" s="7">
        <f t="shared" si="112"/>
        <v>0.32009352440316319</v>
      </c>
      <c r="AM24" s="7">
        <f t="shared" si="112"/>
        <v>0.31668973729128908</v>
      </c>
      <c r="AN24" s="7">
        <f t="shared" si="112"/>
        <v>0.31990531499815372</v>
      </c>
      <c r="AO24" s="7">
        <f t="shared" si="112"/>
        <v>0.31668973729128913</v>
      </c>
      <c r="AP24" s="7">
        <f t="shared" si="112"/>
        <v>0.31973682876379178</v>
      </c>
      <c r="AQ24" s="7">
        <f t="shared" si="112"/>
        <v>0.31668973729128919</v>
      </c>
      <c r="AR24" s="7">
        <f t="shared" si="112"/>
        <v>0.31958511976039389</v>
      </c>
      <c r="AS24" s="25"/>
      <c r="AT24" s="25"/>
      <c r="AU24" s="25"/>
    </row>
    <row r="28" spans="2:47" ht="21">
      <c r="B28" s="56" t="s">
        <v>33</v>
      </c>
    </row>
    <row r="29" spans="2:47">
      <c r="B29" t="s">
        <v>22</v>
      </c>
      <c r="C29" s="4">
        <f>C47*C41</f>
        <v>133026.28132566548</v>
      </c>
      <c r="D29" s="4"/>
      <c r="E29" s="4">
        <f>E47*E41</f>
        <v>33543.169155702242</v>
      </c>
      <c r="F29" s="4">
        <f>F47*F41</f>
        <v>73033.708729082195</v>
      </c>
      <c r="G29" s="4">
        <f>G47*G41</f>
        <v>100629.50746710673</v>
      </c>
      <c r="H29" s="4">
        <f>H47*H41</f>
        <v>140120.04704048668</v>
      </c>
      <c r="I29" s="4">
        <f t="shared" ref="I29:J29" si="113">I47*I41</f>
        <v>167715.84577851123</v>
      </c>
      <c r="J29" s="4">
        <f t="shared" si="113"/>
        <v>207206.38535189116</v>
      </c>
      <c r="K29" s="4">
        <f t="shared" ref="K29" si="114">K47*K41</f>
        <v>234802.18408991571</v>
      </c>
      <c r="L29" s="4">
        <f t="shared" ref="L29:T29" si="115">L47*L41</f>
        <v>274292.72366329568</v>
      </c>
      <c r="M29" s="4">
        <f t="shared" ref="M29:O29" si="116">M47*M41</f>
        <v>301888.52240132017</v>
      </c>
      <c r="N29" s="4">
        <f t="shared" si="116"/>
        <v>341379.06197470013</v>
      </c>
      <c r="O29" s="4">
        <f t="shared" si="116"/>
        <v>368974.86071272468</v>
      </c>
      <c r="P29" s="4">
        <f t="shared" si="115"/>
        <v>408465.40028610465</v>
      </c>
      <c r="Q29" s="4">
        <f t="shared" ref="Q29:R29" si="117">Q47*Q41</f>
        <v>436061.19902412919</v>
      </c>
      <c r="R29" s="4">
        <f t="shared" si="117"/>
        <v>475551.73859750916</v>
      </c>
      <c r="S29" s="4">
        <f t="shared" ref="S29" si="118">S47*S41</f>
        <v>503147.53733553365</v>
      </c>
      <c r="T29" s="4">
        <f t="shared" si="115"/>
        <v>542638.07690891356</v>
      </c>
      <c r="U29" s="4">
        <f t="shared" ref="U29:W29" si="119">U47*U41</f>
        <v>570233.87564693822</v>
      </c>
      <c r="V29" s="4">
        <f t="shared" si="119"/>
        <v>609724.41522031813</v>
      </c>
      <c r="W29" s="4">
        <f t="shared" si="119"/>
        <v>637320.21395834256</v>
      </c>
      <c r="X29" s="4">
        <f t="shared" ref="X29:AR29" si="120">X47*X41</f>
        <v>676810.75353172258</v>
      </c>
      <c r="Y29" s="4">
        <f t="shared" ref="Y29:AA29" si="121">Y47*Y41</f>
        <v>704406.55226974713</v>
      </c>
      <c r="Z29" s="4">
        <f t="shared" si="121"/>
        <v>743897.09184312704</v>
      </c>
      <c r="AA29" s="4">
        <f t="shared" si="121"/>
        <v>771492.8905811517</v>
      </c>
      <c r="AB29" s="4">
        <f t="shared" si="120"/>
        <v>810983.4301545315</v>
      </c>
      <c r="AC29" s="4">
        <f t="shared" ref="AC29:AE29" si="122">AC47*AC41</f>
        <v>838579.22889255616</v>
      </c>
      <c r="AD29" s="4">
        <f t="shared" si="122"/>
        <v>878069.76846593607</v>
      </c>
      <c r="AE29" s="4">
        <f t="shared" si="122"/>
        <v>905665.56720396061</v>
      </c>
      <c r="AF29" s="4">
        <f t="shared" si="120"/>
        <v>945156.10677734064</v>
      </c>
      <c r="AG29" s="4">
        <f t="shared" ref="AG29:AI29" si="123">AG47*AG41</f>
        <v>972751.90551536507</v>
      </c>
      <c r="AH29" s="4">
        <f t="shared" si="123"/>
        <v>1012242.4450887451</v>
      </c>
      <c r="AI29" s="4">
        <f t="shared" si="123"/>
        <v>1039838.2438267695</v>
      </c>
      <c r="AJ29" s="4">
        <f t="shared" si="120"/>
        <v>1079328.7834001496</v>
      </c>
      <c r="AK29" s="4">
        <f t="shared" ref="AK29:AM29" si="124">AK47*AK41</f>
        <v>1106924.582138174</v>
      </c>
      <c r="AL29" s="4">
        <f t="shared" si="124"/>
        <v>1146415.121711554</v>
      </c>
      <c r="AM29" s="4">
        <f t="shared" si="124"/>
        <v>1174010.9204495787</v>
      </c>
      <c r="AN29" s="4">
        <f t="shared" si="120"/>
        <v>1213501.4600229585</v>
      </c>
      <c r="AO29" s="4">
        <f t="shared" ref="AO29:AQ29" si="125">AO47*AO41</f>
        <v>1241097.2587609831</v>
      </c>
      <c r="AP29" s="4">
        <f t="shared" si="125"/>
        <v>1280587.7983343629</v>
      </c>
      <c r="AQ29" s="4">
        <f t="shared" si="125"/>
        <v>1308183.5970723876</v>
      </c>
      <c r="AR29" s="4">
        <f t="shared" si="120"/>
        <v>1347674.1366457674</v>
      </c>
      <c r="AS29" s="67"/>
      <c r="AT29" s="67"/>
      <c r="AU29" s="67"/>
    </row>
    <row r="30" spans="2:47" s="54" customFormat="1">
      <c r="B30" s="54" t="s">
        <v>23</v>
      </c>
      <c r="C30" s="57">
        <f>'DATA ENTRY'!F5</f>
        <v>93500</v>
      </c>
      <c r="D30" s="57"/>
      <c r="E30" s="57">
        <v>25000</v>
      </c>
      <c r="F30" s="57">
        <v>50000</v>
      </c>
      <c r="G30" s="57">
        <v>75000</v>
      </c>
      <c r="H30" s="57">
        <v>100000</v>
      </c>
      <c r="I30" s="57">
        <v>125000</v>
      </c>
      <c r="J30" s="57">
        <v>150000</v>
      </c>
      <c r="K30" s="57">
        <v>175000</v>
      </c>
      <c r="L30" s="57">
        <v>200000</v>
      </c>
      <c r="M30" s="57">
        <v>225000</v>
      </c>
      <c r="N30" s="57">
        <v>250000</v>
      </c>
      <c r="O30" s="57">
        <v>275000</v>
      </c>
      <c r="P30" s="57">
        <v>300000</v>
      </c>
      <c r="Q30" s="57">
        <v>325000</v>
      </c>
      <c r="R30" s="57">
        <v>350000</v>
      </c>
      <c r="S30" s="57">
        <v>375000</v>
      </c>
      <c r="T30" s="57">
        <v>400000</v>
      </c>
      <c r="U30" s="57">
        <v>425000</v>
      </c>
      <c r="V30" s="57">
        <v>450000</v>
      </c>
      <c r="W30" s="57">
        <v>475000</v>
      </c>
      <c r="X30" s="57">
        <v>500000</v>
      </c>
      <c r="Y30" s="57">
        <v>525000</v>
      </c>
      <c r="Z30" s="57">
        <v>550000</v>
      </c>
      <c r="AA30" s="57">
        <v>575000</v>
      </c>
      <c r="AB30" s="57">
        <v>600000</v>
      </c>
      <c r="AC30" s="57">
        <v>625000</v>
      </c>
      <c r="AD30" s="57">
        <v>650000</v>
      </c>
      <c r="AE30" s="57">
        <v>675000</v>
      </c>
      <c r="AF30" s="57">
        <v>700000</v>
      </c>
      <c r="AG30" s="57">
        <v>725000</v>
      </c>
      <c r="AH30" s="57">
        <v>750000</v>
      </c>
      <c r="AI30" s="57">
        <v>775000</v>
      </c>
      <c r="AJ30" s="57">
        <v>800000</v>
      </c>
      <c r="AK30" s="57">
        <v>825000</v>
      </c>
      <c r="AL30" s="57">
        <v>850000</v>
      </c>
      <c r="AM30" s="57">
        <v>875000</v>
      </c>
      <c r="AN30" s="57">
        <v>900000</v>
      </c>
      <c r="AO30" s="57">
        <v>925000</v>
      </c>
      <c r="AP30" s="57">
        <v>950000</v>
      </c>
      <c r="AQ30" s="57">
        <v>975000</v>
      </c>
      <c r="AR30" s="57">
        <v>1000000</v>
      </c>
      <c r="AS30" s="67"/>
      <c r="AT30" s="67"/>
      <c r="AU30" s="67"/>
    </row>
    <row r="31" spans="2:47">
      <c r="B31" t="s">
        <v>24</v>
      </c>
      <c r="C31" s="4">
        <f>C30*0.08</f>
        <v>7480</v>
      </c>
      <c r="D31" s="4"/>
      <c r="E31" s="4">
        <f>E30*0.08</f>
        <v>2000</v>
      </c>
      <c r="F31" s="4">
        <f t="shared" ref="F31:AR31" si="126">F30*0.08</f>
        <v>4000</v>
      </c>
      <c r="G31" s="4">
        <f t="shared" si="126"/>
        <v>6000</v>
      </c>
      <c r="H31" s="4">
        <f t="shared" si="126"/>
        <v>8000</v>
      </c>
      <c r="I31" s="4">
        <f t="shared" si="126"/>
        <v>10000</v>
      </c>
      <c r="J31" s="4">
        <f t="shared" si="126"/>
        <v>12000</v>
      </c>
      <c r="K31" s="4">
        <f t="shared" si="126"/>
        <v>14000</v>
      </c>
      <c r="L31" s="4">
        <f t="shared" si="126"/>
        <v>16000</v>
      </c>
      <c r="M31" s="4">
        <f t="shared" si="126"/>
        <v>18000</v>
      </c>
      <c r="N31" s="4">
        <f t="shared" si="126"/>
        <v>20000</v>
      </c>
      <c r="O31" s="4">
        <f t="shared" si="126"/>
        <v>22000</v>
      </c>
      <c r="P31" s="4">
        <f t="shared" si="126"/>
        <v>24000</v>
      </c>
      <c r="Q31" s="4">
        <f t="shared" si="126"/>
        <v>26000</v>
      </c>
      <c r="R31" s="4">
        <f t="shared" si="126"/>
        <v>28000</v>
      </c>
      <c r="S31" s="4">
        <f t="shared" si="126"/>
        <v>30000</v>
      </c>
      <c r="T31" s="4">
        <f t="shared" si="126"/>
        <v>32000</v>
      </c>
      <c r="U31" s="4">
        <f t="shared" si="126"/>
        <v>34000</v>
      </c>
      <c r="V31" s="4">
        <f t="shared" si="126"/>
        <v>36000</v>
      </c>
      <c r="W31" s="4">
        <f t="shared" si="126"/>
        <v>38000</v>
      </c>
      <c r="X31" s="4">
        <f t="shared" si="126"/>
        <v>40000</v>
      </c>
      <c r="Y31" s="4">
        <f t="shared" si="126"/>
        <v>42000</v>
      </c>
      <c r="Z31" s="4">
        <f t="shared" si="126"/>
        <v>44000</v>
      </c>
      <c r="AA31" s="4">
        <f t="shared" si="126"/>
        <v>46000</v>
      </c>
      <c r="AB31" s="4">
        <f t="shared" si="126"/>
        <v>48000</v>
      </c>
      <c r="AC31" s="4">
        <f t="shared" si="126"/>
        <v>50000</v>
      </c>
      <c r="AD31" s="4">
        <f t="shared" si="126"/>
        <v>52000</v>
      </c>
      <c r="AE31" s="4">
        <f t="shared" si="126"/>
        <v>54000</v>
      </c>
      <c r="AF31" s="4">
        <f t="shared" si="126"/>
        <v>56000</v>
      </c>
      <c r="AG31" s="4">
        <f t="shared" si="126"/>
        <v>58000</v>
      </c>
      <c r="AH31" s="4">
        <f t="shared" si="126"/>
        <v>60000</v>
      </c>
      <c r="AI31" s="4">
        <f t="shared" si="126"/>
        <v>62000</v>
      </c>
      <c r="AJ31" s="4">
        <f t="shared" si="126"/>
        <v>64000</v>
      </c>
      <c r="AK31" s="4">
        <f t="shared" si="126"/>
        <v>66000</v>
      </c>
      <c r="AL31" s="4">
        <f t="shared" si="126"/>
        <v>68000</v>
      </c>
      <c r="AM31" s="4">
        <f t="shared" si="126"/>
        <v>70000</v>
      </c>
      <c r="AN31" s="4">
        <f t="shared" si="126"/>
        <v>72000</v>
      </c>
      <c r="AO31" s="4">
        <f t="shared" si="126"/>
        <v>74000</v>
      </c>
      <c r="AP31" s="4">
        <f t="shared" si="126"/>
        <v>76000</v>
      </c>
      <c r="AQ31" s="4">
        <f t="shared" si="126"/>
        <v>78000</v>
      </c>
      <c r="AR31" s="4">
        <f t="shared" si="126"/>
        <v>80000</v>
      </c>
      <c r="AS31" s="67"/>
      <c r="AT31" s="67"/>
      <c r="AU31" s="67"/>
    </row>
    <row r="32" spans="2:47">
      <c r="B32" t="s">
        <v>10</v>
      </c>
      <c r="C32" s="4">
        <f>(C30/1000)*C41</f>
        <v>4488</v>
      </c>
      <c r="D32" s="4"/>
      <c r="E32" s="4">
        <f>(E30/1000)*E41</f>
        <v>1200</v>
      </c>
      <c r="F32" s="4">
        <f>(F30/1000)*F41</f>
        <v>2400</v>
      </c>
      <c r="G32" s="4">
        <f>(G30/1000)*G41</f>
        <v>3600</v>
      </c>
      <c r="H32" s="4">
        <f>(H30/1000)*H41</f>
        <v>4800</v>
      </c>
      <c r="I32" s="4">
        <f t="shared" ref="I32:J32" si="127">(I30/1000)*I41</f>
        <v>6000</v>
      </c>
      <c r="J32" s="4">
        <f t="shared" si="127"/>
        <v>7200</v>
      </c>
      <c r="K32" s="4">
        <f t="shared" ref="K32" si="128">(K30/1000)*K41</f>
        <v>8400</v>
      </c>
      <c r="L32" s="4">
        <f t="shared" ref="L32:T32" si="129">(L30/1000)*L41</f>
        <v>9600</v>
      </c>
      <c r="M32" s="4">
        <f t="shared" ref="M32:O32" si="130">(M30/1000)*M41</f>
        <v>10800</v>
      </c>
      <c r="N32" s="4">
        <f t="shared" si="130"/>
        <v>12000</v>
      </c>
      <c r="O32" s="4">
        <f t="shared" si="130"/>
        <v>13200</v>
      </c>
      <c r="P32" s="4">
        <f t="shared" si="129"/>
        <v>14400</v>
      </c>
      <c r="Q32" s="4">
        <f t="shared" ref="Q32:R32" si="131">(Q30/1000)*Q41</f>
        <v>15600</v>
      </c>
      <c r="R32" s="4">
        <f t="shared" si="131"/>
        <v>16800</v>
      </c>
      <c r="S32" s="4">
        <f t="shared" ref="S32" si="132">(S30/1000)*S41</f>
        <v>18000</v>
      </c>
      <c r="T32" s="4">
        <f t="shared" si="129"/>
        <v>19200</v>
      </c>
      <c r="U32" s="4">
        <f t="shared" ref="U32:W32" si="133">(U30/1000)*U41</f>
        <v>20400</v>
      </c>
      <c r="V32" s="4">
        <f t="shared" si="133"/>
        <v>21600</v>
      </c>
      <c r="W32" s="4">
        <f t="shared" si="133"/>
        <v>22800</v>
      </c>
      <c r="X32" s="4">
        <f t="shared" ref="X32:AR32" si="134">(X30/1000)*X41</f>
        <v>24000</v>
      </c>
      <c r="Y32" s="4">
        <f t="shared" ref="Y32:AA32" si="135">(Y30/1000)*Y41</f>
        <v>25200</v>
      </c>
      <c r="Z32" s="4">
        <f t="shared" si="135"/>
        <v>26400</v>
      </c>
      <c r="AA32" s="4">
        <f t="shared" si="135"/>
        <v>27600</v>
      </c>
      <c r="AB32" s="4">
        <f t="shared" si="134"/>
        <v>28800</v>
      </c>
      <c r="AC32" s="4">
        <f t="shared" ref="AC32:AE32" si="136">(AC30/1000)*AC41</f>
        <v>30000</v>
      </c>
      <c r="AD32" s="4">
        <f t="shared" si="136"/>
        <v>31200</v>
      </c>
      <c r="AE32" s="4">
        <f t="shared" si="136"/>
        <v>32400</v>
      </c>
      <c r="AF32" s="4">
        <f t="shared" si="134"/>
        <v>33600</v>
      </c>
      <c r="AG32" s="4">
        <f t="shared" ref="AG32:AI32" si="137">(AG30/1000)*AG41</f>
        <v>34800</v>
      </c>
      <c r="AH32" s="4">
        <f t="shared" si="137"/>
        <v>36000</v>
      </c>
      <c r="AI32" s="4">
        <f t="shared" si="137"/>
        <v>37200</v>
      </c>
      <c r="AJ32" s="4">
        <f t="shared" si="134"/>
        <v>38400</v>
      </c>
      <c r="AK32" s="4">
        <f t="shared" ref="AK32:AM32" si="138">(AK30/1000)*AK41</f>
        <v>39600</v>
      </c>
      <c r="AL32" s="4">
        <f t="shared" si="138"/>
        <v>40800</v>
      </c>
      <c r="AM32" s="4">
        <f t="shared" si="138"/>
        <v>42000</v>
      </c>
      <c r="AN32" s="4">
        <f t="shared" si="134"/>
        <v>43200</v>
      </c>
      <c r="AO32" s="4">
        <f t="shared" ref="AO32:AQ32" si="139">(AO30/1000)*AO41</f>
        <v>44400</v>
      </c>
      <c r="AP32" s="4">
        <f t="shared" si="139"/>
        <v>45600</v>
      </c>
      <c r="AQ32" s="4">
        <f t="shared" si="139"/>
        <v>46800</v>
      </c>
      <c r="AR32" s="4">
        <f t="shared" si="134"/>
        <v>48000</v>
      </c>
      <c r="AS32" s="67"/>
      <c r="AT32" s="67"/>
      <c r="AU32" s="67"/>
    </row>
    <row r="33" spans="2:47">
      <c r="B33" t="s">
        <v>11</v>
      </c>
      <c r="C33" s="4">
        <f>'DATA ENTRY'!F9</f>
        <v>5000</v>
      </c>
      <c r="D33" s="4"/>
      <c r="E33" s="4"/>
      <c r="F33" s="4">
        <f>C33</f>
        <v>5000</v>
      </c>
      <c r="G33" s="4">
        <f t="shared" ref="G33:AR33" si="140">E33</f>
        <v>0</v>
      </c>
      <c r="H33" s="4">
        <f t="shared" si="140"/>
        <v>5000</v>
      </c>
      <c r="I33" s="4">
        <f t="shared" si="140"/>
        <v>0</v>
      </c>
      <c r="J33" s="4">
        <f t="shared" si="140"/>
        <v>5000</v>
      </c>
      <c r="K33" s="4">
        <f t="shared" si="140"/>
        <v>0</v>
      </c>
      <c r="L33" s="4">
        <f t="shared" si="140"/>
        <v>5000</v>
      </c>
      <c r="M33" s="4">
        <f t="shared" si="140"/>
        <v>0</v>
      </c>
      <c r="N33" s="4">
        <f t="shared" si="140"/>
        <v>5000</v>
      </c>
      <c r="O33" s="4">
        <f t="shared" si="140"/>
        <v>0</v>
      </c>
      <c r="P33" s="4">
        <f t="shared" si="140"/>
        <v>5000</v>
      </c>
      <c r="Q33" s="4">
        <f t="shared" si="140"/>
        <v>0</v>
      </c>
      <c r="R33" s="4">
        <f t="shared" si="140"/>
        <v>5000</v>
      </c>
      <c r="S33" s="4">
        <f t="shared" si="140"/>
        <v>0</v>
      </c>
      <c r="T33" s="4">
        <f t="shared" si="140"/>
        <v>5000</v>
      </c>
      <c r="U33" s="4">
        <f t="shared" si="140"/>
        <v>0</v>
      </c>
      <c r="V33" s="4">
        <f t="shared" si="140"/>
        <v>5000</v>
      </c>
      <c r="W33" s="4">
        <f t="shared" si="140"/>
        <v>0</v>
      </c>
      <c r="X33" s="4">
        <f t="shared" si="140"/>
        <v>5000</v>
      </c>
      <c r="Y33" s="4">
        <f t="shared" si="140"/>
        <v>0</v>
      </c>
      <c r="Z33" s="4">
        <f t="shared" si="140"/>
        <v>5000</v>
      </c>
      <c r="AA33" s="4">
        <f t="shared" si="140"/>
        <v>0</v>
      </c>
      <c r="AB33" s="4">
        <f t="shared" si="140"/>
        <v>5000</v>
      </c>
      <c r="AC33" s="4">
        <f t="shared" si="140"/>
        <v>0</v>
      </c>
      <c r="AD33" s="4">
        <f t="shared" si="140"/>
        <v>5000</v>
      </c>
      <c r="AE33" s="4">
        <f t="shared" si="140"/>
        <v>0</v>
      </c>
      <c r="AF33" s="4">
        <f t="shared" si="140"/>
        <v>5000</v>
      </c>
      <c r="AG33" s="4">
        <f t="shared" si="140"/>
        <v>0</v>
      </c>
      <c r="AH33" s="4">
        <f t="shared" si="140"/>
        <v>5000</v>
      </c>
      <c r="AI33" s="4">
        <f t="shared" si="140"/>
        <v>0</v>
      </c>
      <c r="AJ33" s="4">
        <f t="shared" si="140"/>
        <v>5000</v>
      </c>
      <c r="AK33" s="4">
        <f t="shared" si="140"/>
        <v>0</v>
      </c>
      <c r="AL33" s="4">
        <f t="shared" si="140"/>
        <v>5000</v>
      </c>
      <c r="AM33" s="4">
        <f t="shared" si="140"/>
        <v>0</v>
      </c>
      <c r="AN33" s="4">
        <f t="shared" si="140"/>
        <v>5000</v>
      </c>
      <c r="AO33" s="4">
        <f t="shared" si="140"/>
        <v>0</v>
      </c>
      <c r="AP33" s="4">
        <f t="shared" si="140"/>
        <v>5000</v>
      </c>
      <c r="AQ33" s="4">
        <f t="shared" si="140"/>
        <v>0</v>
      </c>
      <c r="AR33" s="4">
        <f t="shared" si="140"/>
        <v>5000</v>
      </c>
      <c r="AS33" s="67"/>
      <c r="AT33" s="67"/>
      <c r="AU33" s="67"/>
    </row>
    <row r="34" spans="2:47">
      <c r="B34" t="s">
        <v>12</v>
      </c>
      <c r="C34" s="4">
        <f>'DATA ENTRY'!F10</f>
        <v>0</v>
      </c>
      <c r="D34" s="4"/>
      <c r="E34" s="4"/>
      <c r="F34" s="4">
        <f>C34</f>
        <v>0</v>
      </c>
      <c r="G34" s="4">
        <f t="shared" ref="G34:AR34" si="141">E34</f>
        <v>0</v>
      </c>
      <c r="H34" s="4">
        <f t="shared" si="141"/>
        <v>0</v>
      </c>
      <c r="I34" s="4">
        <f t="shared" si="141"/>
        <v>0</v>
      </c>
      <c r="J34" s="4">
        <f t="shared" si="141"/>
        <v>0</v>
      </c>
      <c r="K34" s="4">
        <f t="shared" si="141"/>
        <v>0</v>
      </c>
      <c r="L34" s="4">
        <f t="shared" si="141"/>
        <v>0</v>
      </c>
      <c r="M34" s="4">
        <f t="shared" si="141"/>
        <v>0</v>
      </c>
      <c r="N34" s="4">
        <f t="shared" si="141"/>
        <v>0</v>
      </c>
      <c r="O34" s="4">
        <f t="shared" si="141"/>
        <v>0</v>
      </c>
      <c r="P34" s="4">
        <f t="shared" si="141"/>
        <v>0</v>
      </c>
      <c r="Q34" s="4">
        <f t="shared" si="141"/>
        <v>0</v>
      </c>
      <c r="R34" s="4">
        <f t="shared" si="141"/>
        <v>0</v>
      </c>
      <c r="S34" s="4">
        <f t="shared" si="141"/>
        <v>0</v>
      </c>
      <c r="T34" s="4">
        <f t="shared" si="141"/>
        <v>0</v>
      </c>
      <c r="U34" s="4">
        <f t="shared" si="141"/>
        <v>0</v>
      </c>
      <c r="V34" s="4">
        <f t="shared" si="141"/>
        <v>0</v>
      </c>
      <c r="W34" s="4">
        <f t="shared" si="141"/>
        <v>0</v>
      </c>
      <c r="X34" s="4">
        <f t="shared" si="141"/>
        <v>0</v>
      </c>
      <c r="Y34" s="4">
        <f t="shared" si="141"/>
        <v>0</v>
      </c>
      <c r="Z34" s="4">
        <f t="shared" si="141"/>
        <v>0</v>
      </c>
      <c r="AA34" s="4">
        <f t="shared" si="141"/>
        <v>0</v>
      </c>
      <c r="AB34" s="4">
        <f t="shared" si="141"/>
        <v>0</v>
      </c>
      <c r="AC34" s="4">
        <f t="shared" si="141"/>
        <v>0</v>
      </c>
      <c r="AD34" s="4">
        <f t="shared" si="141"/>
        <v>0</v>
      </c>
      <c r="AE34" s="4">
        <f t="shared" si="141"/>
        <v>0</v>
      </c>
      <c r="AF34" s="4">
        <f t="shared" si="141"/>
        <v>0</v>
      </c>
      <c r="AG34" s="4">
        <f t="shared" si="141"/>
        <v>0</v>
      </c>
      <c r="AH34" s="4">
        <f t="shared" si="141"/>
        <v>0</v>
      </c>
      <c r="AI34" s="4">
        <f t="shared" si="141"/>
        <v>0</v>
      </c>
      <c r="AJ34" s="4">
        <f t="shared" si="141"/>
        <v>0</v>
      </c>
      <c r="AK34" s="4">
        <f t="shared" si="141"/>
        <v>0</v>
      </c>
      <c r="AL34" s="4">
        <f t="shared" si="141"/>
        <v>0</v>
      </c>
      <c r="AM34" s="4">
        <f t="shared" si="141"/>
        <v>0</v>
      </c>
      <c r="AN34" s="4">
        <f t="shared" si="141"/>
        <v>0</v>
      </c>
      <c r="AO34" s="4">
        <f t="shared" si="141"/>
        <v>0</v>
      </c>
      <c r="AP34" s="4">
        <f t="shared" si="141"/>
        <v>0</v>
      </c>
      <c r="AQ34" s="4">
        <f t="shared" si="141"/>
        <v>0</v>
      </c>
      <c r="AR34" s="4">
        <f t="shared" si="141"/>
        <v>0</v>
      </c>
      <c r="AS34" s="67"/>
      <c r="AT34" s="67"/>
      <c r="AU34" s="67"/>
    </row>
    <row r="35" spans="2:47">
      <c r="B35" t="s">
        <v>13</v>
      </c>
      <c r="C35" s="4">
        <f>C40*C30*2</f>
        <v>1368.2166666666667</v>
      </c>
      <c r="D35" s="4"/>
      <c r="E35" s="4">
        <f>E40*E30*2</f>
        <v>365.83333333333331</v>
      </c>
      <c r="F35" s="4">
        <f t="shared" ref="F35:AR35" si="142">F40*F30*2</f>
        <v>731.66666666666663</v>
      </c>
      <c r="G35" s="4">
        <f t="shared" si="142"/>
        <v>1097.5</v>
      </c>
      <c r="H35" s="4">
        <f t="shared" si="142"/>
        <v>1463.3333333333333</v>
      </c>
      <c r="I35" s="4">
        <f t="shared" si="142"/>
        <v>1829.1666666666667</v>
      </c>
      <c r="J35" s="4">
        <f t="shared" si="142"/>
        <v>2195</v>
      </c>
      <c r="K35" s="4">
        <f t="shared" si="142"/>
        <v>2560.8333333333335</v>
      </c>
      <c r="L35" s="4">
        <f t="shared" si="142"/>
        <v>2926.6666666666665</v>
      </c>
      <c r="M35" s="4">
        <f t="shared" si="142"/>
        <v>3292.5</v>
      </c>
      <c r="N35" s="4">
        <f t="shared" si="142"/>
        <v>3658.3333333333335</v>
      </c>
      <c r="O35" s="4">
        <f t="shared" si="142"/>
        <v>4024.1666666666665</v>
      </c>
      <c r="P35" s="4">
        <f t="shared" si="142"/>
        <v>4390</v>
      </c>
      <c r="Q35" s="4">
        <f t="shared" si="142"/>
        <v>4755.833333333333</v>
      </c>
      <c r="R35" s="4">
        <f t="shared" si="142"/>
        <v>5121.666666666667</v>
      </c>
      <c r="S35" s="4">
        <f t="shared" si="142"/>
        <v>5487.5</v>
      </c>
      <c r="T35" s="4">
        <f t="shared" si="142"/>
        <v>5853.333333333333</v>
      </c>
      <c r="U35" s="4">
        <f t="shared" si="142"/>
        <v>6219.166666666667</v>
      </c>
      <c r="V35" s="4">
        <f t="shared" si="142"/>
        <v>6585</v>
      </c>
      <c r="W35" s="4">
        <f t="shared" si="142"/>
        <v>6950.833333333333</v>
      </c>
      <c r="X35" s="4">
        <f t="shared" si="142"/>
        <v>7316.666666666667</v>
      </c>
      <c r="Y35" s="4">
        <f t="shared" si="142"/>
        <v>7682.5</v>
      </c>
      <c r="Z35" s="4">
        <f t="shared" si="142"/>
        <v>8048.333333333333</v>
      </c>
      <c r="AA35" s="4">
        <f t="shared" si="142"/>
        <v>8414.1666666666661</v>
      </c>
      <c r="AB35" s="4">
        <f t="shared" si="142"/>
        <v>8780</v>
      </c>
      <c r="AC35" s="4">
        <f t="shared" si="142"/>
        <v>9145.8333333333339</v>
      </c>
      <c r="AD35" s="4">
        <f t="shared" si="142"/>
        <v>9511.6666666666661</v>
      </c>
      <c r="AE35" s="4">
        <f t="shared" si="142"/>
        <v>9877.5</v>
      </c>
      <c r="AF35" s="4">
        <f t="shared" si="142"/>
        <v>10243.333333333334</v>
      </c>
      <c r="AG35" s="4">
        <f t="shared" si="142"/>
        <v>10609.166666666666</v>
      </c>
      <c r="AH35" s="4">
        <f t="shared" si="142"/>
        <v>10975</v>
      </c>
      <c r="AI35" s="4">
        <f t="shared" si="142"/>
        <v>11340.833333333334</v>
      </c>
      <c r="AJ35" s="4">
        <f t="shared" si="142"/>
        <v>11706.666666666666</v>
      </c>
      <c r="AK35" s="4">
        <f t="shared" si="142"/>
        <v>12072.5</v>
      </c>
      <c r="AL35" s="4">
        <f t="shared" si="142"/>
        <v>12438.333333333334</v>
      </c>
      <c r="AM35" s="4">
        <f t="shared" si="142"/>
        <v>12804.166666666666</v>
      </c>
      <c r="AN35" s="4">
        <f t="shared" si="142"/>
        <v>13170</v>
      </c>
      <c r="AO35" s="4">
        <f t="shared" si="142"/>
        <v>13535.833333333334</v>
      </c>
      <c r="AP35" s="4">
        <f t="shared" si="142"/>
        <v>13901.666666666666</v>
      </c>
      <c r="AQ35" s="4">
        <f t="shared" si="142"/>
        <v>14267.5</v>
      </c>
      <c r="AR35" s="4">
        <f t="shared" si="142"/>
        <v>14633.333333333334</v>
      </c>
      <c r="AS35" s="67"/>
      <c r="AT35" s="67"/>
      <c r="AU35" s="67"/>
    </row>
    <row r="36" spans="2:47">
      <c r="B36" t="s">
        <v>25</v>
      </c>
      <c r="C36" s="4">
        <f>SUM(C30:C35)</f>
        <v>111836.21666666666</v>
      </c>
      <c r="D36" s="4"/>
      <c r="E36" s="4">
        <f>SUM(E30:E34)</f>
        <v>28200</v>
      </c>
      <c r="F36" s="4">
        <f>SUM(F30:F34)</f>
        <v>61400</v>
      </c>
      <c r="G36" s="4">
        <f>SUM(G30:G34)</f>
        <v>84600</v>
      </c>
      <c r="H36" s="4">
        <f>SUM(H30:H34)</f>
        <v>117800</v>
      </c>
      <c r="I36" s="4">
        <f>SUM(I30:I34)</f>
        <v>141000</v>
      </c>
      <c r="J36" s="4">
        <f t="shared" ref="J36:K36" si="143">SUM(J30:J34)</f>
        <v>174200</v>
      </c>
      <c r="K36" s="4">
        <f t="shared" si="143"/>
        <v>197400</v>
      </c>
      <c r="L36" s="4">
        <f t="shared" ref="L36:T36" si="144">SUM(L30:L34)</f>
        <v>230600</v>
      </c>
      <c r="M36" s="4">
        <f t="shared" ref="M36:O36" si="145">SUM(M30:M34)</f>
        <v>253800</v>
      </c>
      <c r="N36" s="4">
        <f t="shared" si="145"/>
        <v>287000</v>
      </c>
      <c r="O36" s="4">
        <f t="shared" si="145"/>
        <v>310200</v>
      </c>
      <c r="P36" s="4">
        <f t="shared" si="144"/>
        <v>343400</v>
      </c>
      <c r="Q36" s="4">
        <f t="shared" ref="Q36:R36" si="146">SUM(Q30:Q34)</f>
        <v>366600</v>
      </c>
      <c r="R36" s="4">
        <f t="shared" si="146"/>
        <v>399800</v>
      </c>
      <c r="S36" s="4">
        <f t="shared" ref="S36" si="147">SUM(S30:S34)</f>
        <v>423000</v>
      </c>
      <c r="T36" s="4">
        <f t="shared" si="144"/>
        <v>456200</v>
      </c>
      <c r="U36" s="4">
        <f t="shared" ref="U36:W36" si="148">SUM(U30:U34)</f>
        <v>479400</v>
      </c>
      <c r="V36" s="4">
        <f t="shared" si="148"/>
        <v>512600</v>
      </c>
      <c r="W36" s="4">
        <f t="shared" si="148"/>
        <v>535800</v>
      </c>
      <c r="X36" s="4">
        <f t="shared" ref="X36:Y36" si="149">SUM(X30:X34)</f>
        <v>569000</v>
      </c>
      <c r="Y36" s="4">
        <f t="shared" si="149"/>
        <v>592200</v>
      </c>
      <c r="Z36" s="4">
        <f t="shared" ref="Z36:AA36" si="150">SUM(Z30:Z34)</f>
        <v>625400</v>
      </c>
      <c r="AA36" s="4">
        <f t="shared" si="150"/>
        <v>648600</v>
      </c>
      <c r="AB36" s="4">
        <f t="shared" ref="AB36:AC36" si="151">SUM(AB30:AB34)</f>
        <v>681800</v>
      </c>
      <c r="AC36" s="4">
        <f t="shared" si="151"/>
        <v>705000</v>
      </c>
      <c r="AD36" s="4">
        <f t="shared" ref="AD36:AE36" si="152">SUM(AD30:AD34)</f>
        <v>738200</v>
      </c>
      <c r="AE36" s="4">
        <f t="shared" si="152"/>
        <v>761400</v>
      </c>
      <c r="AF36" s="4">
        <f t="shared" ref="AF36:AG36" si="153">SUM(AF30:AF34)</f>
        <v>794600</v>
      </c>
      <c r="AG36" s="4">
        <f t="shared" si="153"/>
        <v>817800</v>
      </c>
      <c r="AH36" s="4">
        <f t="shared" ref="AH36:AI36" si="154">SUM(AH30:AH34)</f>
        <v>851000</v>
      </c>
      <c r="AI36" s="4">
        <f t="shared" si="154"/>
        <v>874200</v>
      </c>
      <c r="AJ36" s="4">
        <f t="shared" ref="AJ36:AM36" si="155">SUM(AJ30:AJ34)</f>
        <v>907400</v>
      </c>
      <c r="AK36" s="4">
        <f t="shared" si="155"/>
        <v>930600</v>
      </c>
      <c r="AL36" s="4">
        <f t="shared" si="155"/>
        <v>963800</v>
      </c>
      <c r="AM36" s="4">
        <f t="shared" si="155"/>
        <v>987000</v>
      </c>
      <c r="AN36" s="4">
        <f t="shared" ref="AN36:AQ36" si="156">SUM(AN30:AN34)</f>
        <v>1020200</v>
      </c>
      <c r="AO36" s="4">
        <f t="shared" si="156"/>
        <v>1043400</v>
      </c>
      <c r="AP36" s="4">
        <f t="shared" si="156"/>
        <v>1076600</v>
      </c>
      <c r="AQ36" s="4">
        <f t="shared" si="156"/>
        <v>1099800</v>
      </c>
      <c r="AR36" s="4">
        <f t="shared" ref="AR36" si="157">SUM(AR30:AR34)</f>
        <v>1133000</v>
      </c>
      <c r="AS36" s="67"/>
      <c r="AT36" s="67"/>
      <c r="AU36" s="67"/>
    </row>
    <row r="37" spans="2:47">
      <c r="B37" s="65" t="s">
        <v>26</v>
      </c>
      <c r="C37" s="66">
        <v>8.7800000000000003E-2</v>
      </c>
      <c r="D37" s="66"/>
      <c r="E37" s="66">
        <v>8.7800000000000003E-2</v>
      </c>
      <c r="F37" s="66">
        <f>C37</f>
        <v>8.7800000000000003E-2</v>
      </c>
      <c r="G37" s="66">
        <f>F37</f>
        <v>8.7800000000000003E-2</v>
      </c>
      <c r="H37" s="66">
        <f t="shared" ref="H37:AR37" si="158">F37</f>
        <v>8.7800000000000003E-2</v>
      </c>
      <c r="I37" s="66">
        <f t="shared" si="158"/>
        <v>8.7800000000000003E-2</v>
      </c>
      <c r="J37" s="66">
        <f t="shared" si="158"/>
        <v>8.7800000000000003E-2</v>
      </c>
      <c r="K37" s="66">
        <f t="shared" si="158"/>
        <v>8.7800000000000003E-2</v>
      </c>
      <c r="L37" s="66">
        <f t="shared" si="158"/>
        <v>8.7800000000000003E-2</v>
      </c>
      <c r="M37" s="66">
        <f t="shared" si="158"/>
        <v>8.7800000000000003E-2</v>
      </c>
      <c r="N37" s="66">
        <f t="shared" si="158"/>
        <v>8.7800000000000003E-2</v>
      </c>
      <c r="O37" s="66">
        <f t="shared" si="158"/>
        <v>8.7800000000000003E-2</v>
      </c>
      <c r="P37" s="66">
        <f t="shared" si="158"/>
        <v>8.7800000000000003E-2</v>
      </c>
      <c r="Q37" s="66">
        <f t="shared" si="158"/>
        <v>8.7800000000000003E-2</v>
      </c>
      <c r="R37" s="66">
        <f t="shared" si="158"/>
        <v>8.7800000000000003E-2</v>
      </c>
      <c r="S37" s="66">
        <f t="shared" si="158"/>
        <v>8.7800000000000003E-2</v>
      </c>
      <c r="T37" s="66">
        <f t="shared" si="158"/>
        <v>8.7800000000000003E-2</v>
      </c>
      <c r="U37" s="66">
        <f t="shared" si="158"/>
        <v>8.7800000000000003E-2</v>
      </c>
      <c r="V37" s="66">
        <f t="shared" si="158"/>
        <v>8.7800000000000003E-2</v>
      </c>
      <c r="W37" s="66">
        <f t="shared" si="158"/>
        <v>8.7800000000000003E-2</v>
      </c>
      <c r="X37" s="66">
        <f t="shared" si="158"/>
        <v>8.7800000000000003E-2</v>
      </c>
      <c r="Y37" s="66">
        <f t="shared" si="158"/>
        <v>8.7800000000000003E-2</v>
      </c>
      <c r="Z37" s="66">
        <f t="shared" si="158"/>
        <v>8.7800000000000003E-2</v>
      </c>
      <c r="AA37" s="66">
        <f t="shared" si="158"/>
        <v>8.7800000000000003E-2</v>
      </c>
      <c r="AB37" s="66">
        <f t="shared" si="158"/>
        <v>8.7800000000000003E-2</v>
      </c>
      <c r="AC37" s="66">
        <f t="shared" si="158"/>
        <v>8.7800000000000003E-2</v>
      </c>
      <c r="AD37" s="66">
        <f t="shared" si="158"/>
        <v>8.7800000000000003E-2</v>
      </c>
      <c r="AE37" s="66">
        <f t="shared" si="158"/>
        <v>8.7800000000000003E-2</v>
      </c>
      <c r="AF37" s="66">
        <f t="shared" si="158"/>
        <v>8.7800000000000003E-2</v>
      </c>
      <c r="AG37" s="66">
        <f t="shared" si="158"/>
        <v>8.7800000000000003E-2</v>
      </c>
      <c r="AH37" s="66">
        <f t="shared" si="158"/>
        <v>8.7800000000000003E-2</v>
      </c>
      <c r="AI37" s="66">
        <f t="shared" si="158"/>
        <v>8.7800000000000003E-2</v>
      </c>
      <c r="AJ37" s="66">
        <f t="shared" si="158"/>
        <v>8.7800000000000003E-2</v>
      </c>
      <c r="AK37" s="66">
        <f t="shared" si="158"/>
        <v>8.7800000000000003E-2</v>
      </c>
      <c r="AL37" s="66">
        <f t="shared" si="158"/>
        <v>8.7800000000000003E-2</v>
      </c>
      <c r="AM37" s="66">
        <f t="shared" si="158"/>
        <v>8.7800000000000003E-2</v>
      </c>
      <c r="AN37" s="66">
        <f t="shared" si="158"/>
        <v>8.7800000000000003E-2</v>
      </c>
      <c r="AO37" s="66">
        <f t="shared" si="158"/>
        <v>8.7800000000000003E-2</v>
      </c>
      <c r="AP37" s="66">
        <f t="shared" si="158"/>
        <v>8.7800000000000003E-2</v>
      </c>
      <c r="AQ37" s="66">
        <f t="shared" si="158"/>
        <v>8.7800000000000003E-2</v>
      </c>
      <c r="AR37" s="66">
        <f t="shared" si="158"/>
        <v>8.7800000000000003E-2</v>
      </c>
      <c r="AS37" s="68"/>
      <c r="AT37" s="68"/>
      <c r="AU37" s="68"/>
    </row>
    <row r="38" spans="2:47">
      <c r="B38" s="59" t="s">
        <v>27</v>
      </c>
      <c r="C38" s="59">
        <f>(1+C37/C41)^C41-1</f>
        <v>9.1682186949581634E-2</v>
      </c>
      <c r="D38" s="59"/>
      <c r="E38" s="59">
        <f>(1+E37/E41)^E41-1</f>
        <v>9.1682186949581634E-2</v>
      </c>
      <c r="F38" s="59">
        <f>(1+F37/F41)^F41-1</f>
        <v>9.1682186949581634E-2</v>
      </c>
      <c r="G38" s="59">
        <f>(1+G37/G41)^G41-1</f>
        <v>9.1682186949581634E-2</v>
      </c>
      <c r="H38" s="59">
        <f t="shared" ref="H38:AR38" si="159">(1+H37/H41)^H41-1</f>
        <v>9.1682186949581634E-2</v>
      </c>
      <c r="I38" s="59">
        <f t="shared" si="159"/>
        <v>9.1682186949581634E-2</v>
      </c>
      <c r="J38" s="59">
        <f t="shared" si="159"/>
        <v>9.1682186949581634E-2</v>
      </c>
      <c r="K38" s="59">
        <f t="shared" si="159"/>
        <v>9.1682186949581634E-2</v>
      </c>
      <c r="L38" s="59">
        <f t="shared" si="159"/>
        <v>9.1682186949581634E-2</v>
      </c>
      <c r="M38" s="59">
        <f t="shared" si="159"/>
        <v>9.1682186949581634E-2</v>
      </c>
      <c r="N38" s="59">
        <f t="shared" si="159"/>
        <v>9.1682186949581634E-2</v>
      </c>
      <c r="O38" s="59">
        <f t="shared" si="159"/>
        <v>9.1682186949581634E-2</v>
      </c>
      <c r="P38" s="59">
        <f t="shared" si="159"/>
        <v>9.1682186949581634E-2</v>
      </c>
      <c r="Q38" s="59">
        <f t="shared" si="159"/>
        <v>9.1682186949581634E-2</v>
      </c>
      <c r="R38" s="59">
        <f t="shared" si="159"/>
        <v>9.1682186949581634E-2</v>
      </c>
      <c r="S38" s="59">
        <f t="shared" si="159"/>
        <v>9.1682186949581634E-2</v>
      </c>
      <c r="T38" s="59">
        <f t="shared" si="159"/>
        <v>9.1682186949581634E-2</v>
      </c>
      <c r="U38" s="59">
        <f t="shared" si="159"/>
        <v>9.1682186949581634E-2</v>
      </c>
      <c r="V38" s="59">
        <f t="shared" si="159"/>
        <v>9.1682186949581634E-2</v>
      </c>
      <c r="W38" s="59">
        <f t="shared" si="159"/>
        <v>9.1682186949581634E-2</v>
      </c>
      <c r="X38" s="59">
        <f t="shared" si="159"/>
        <v>9.1682186949581634E-2</v>
      </c>
      <c r="Y38" s="59">
        <f t="shared" si="159"/>
        <v>9.1682186949581634E-2</v>
      </c>
      <c r="Z38" s="59">
        <f t="shared" si="159"/>
        <v>9.1682186949581634E-2</v>
      </c>
      <c r="AA38" s="59">
        <f t="shared" si="159"/>
        <v>9.1682186949581634E-2</v>
      </c>
      <c r="AB38" s="59">
        <f t="shared" si="159"/>
        <v>9.1682186949581634E-2</v>
      </c>
      <c r="AC38" s="59">
        <f t="shared" si="159"/>
        <v>9.1682186949581634E-2</v>
      </c>
      <c r="AD38" s="59">
        <f t="shared" si="159"/>
        <v>9.1682186949581634E-2</v>
      </c>
      <c r="AE38" s="59">
        <f t="shared" si="159"/>
        <v>9.1682186949581634E-2</v>
      </c>
      <c r="AF38" s="59">
        <f t="shared" si="159"/>
        <v>9.1682186949581634E-2</v>
      </c>
      <c r="AG38" s="59">
        <f t="shared" si="159"/>
        <v>9.1682186949581634E-2</v>
      </c>
      <c r="AH38" s="59">
        <f t="shared" si="159"/>
        <v>9.1682186949581634E-2</v>
      </c>
      <c r="AI38" s="59">
        <f t="shared" si="159"/>
        <v>9.1682186949581634E-2</v>
      </c>
      <c r="AJ38" s="59">
        <f t="shared" si="159"/>
        <v>9.1682186949581634E-2</v>
      </c>
      <c r="AK38" s="59">
        <f t="shared" si="159"/>
        <v>9.1682186949581634E-2</v>
      </c>
      <c r="AL38" s="59">
        <f t="shared" si="159"/>
        <v>9.1682186949581634E-2</v>
      </c>
      <c r="AM38" s="59">
        <f t="shared" si="159"/>
        <v>9.1682186949581634E-2</v>
      </c>
      <c r="AN38" s="59">
        <f t="shared" si="159"/>
        <v>9.1682186949581634E-2</v>
      </c>
      <c r="AO38" s="59">
        <f t="shared" si="159"/>
        <v>9.1682186949581634E-2</v>
      </c>
      <c r="AP38" s="59">
        <f t="shared" si="159"/>
        <v>9.1682186949581634E-2</v>
      </c>
      <c r="AQ38" s="59">
        <f t="shared" si="159"/>
        <v>9.1682186949581634E-2</v>
      </c>
      <c r="AR38" s="69">
        <f t="shared" si="159"/>
        <v>9.1682186949581634E-2</v>
      </c>
      <c r="AS38" s="70"/>
      <c r="AT38" s="70"/>
      <c r="AU38" s="70"/>
    </row>
    <row r="39" spans="2:47">
      <c r="B39" t="s">
        <v>28</v>
      </c>
      <c r="C39" s="60">
        <v>4</v>
      </c>
      <c r="D39" s="60"/>
      <c r="E39" s="60">
        <v>4</v>
      </c>
      <c r="F39" s="60">
        <v>4</v>
      </c>
      <c r="G39" s="60">
        <v>4</v>
      </c>
      <c r="H39" s="60">
        <v>4</v>
      </c>
      <c r="I39" s="60">
        <v>4</v>
      </c>
      <c r="J39" s="60">
        <v>4</v>
      </c>
      <c r="K39" s="60">
        <v>4</v>
      </c>
      <c r="L39" s="60">
        <f>H39</f>
        <v>4</v>
      </c>
      <c r="M39" s="60">
        <f>I39</f>
        <v>4</v>
      </c>
      <c r="N39" s="60">
        <f>K39</f>
        <v>4</v>
      </c>
      <c r="O39" s="60">
        <f t="shared" ref="O39:AJ39" si="160">K39</f>
        <v>4</v>
      </c>
      <c r="P39" s="60">
        <f t="shared" si="160"/>
        <v>4</v>
      </c>
      <c r="Q39" s="60">
        <f t="shared" si="160"/>
        <v>4</v>
      </c>
      <c r="R39" s="60">
        <f t="shared" si="160"/>
        <v>4</v>
      </c>
      <c r="S39" s="60">
        <f t="shared" si="160"/>
        <v>4</v>
      </c>
      <c r="T39" s="60">
        <f t="shared" si="160"/>
        <v>4</v>
      </c>
      <c r="U39" s="60">
        <f t="shared" si="160"/>
        <v>4</v>
      </c>
      <c r="V39" s="60">
        <f t="shared" si="160"/>
        <v>4</v>
      </c>
      <c r="W39" s="60">
        <f t="shared" si="160"/>
        <v>4</v>
      </c>
      <c r="X39" s="60">
        <f t="shared" si="160"/>
        <v>4</v>
      </c>
      <c r="Y39" s="60">
        <f t="shared" si="160"/>
        <v>4</v>
      </c>
      <c r="Z39" s="60">
        <f t="shared" si="160"/>
        <v>4</v>
      </c>
      <c r="AA39" s="60">
        <f t="shared" si="160"/>
        <v>4</v>
      </c>
      <c r="AB39" s="60">
        <f t="shared" si="160"/>
        <v>4</v>
      </c>
      <c r="AC39" s="60">
        <f t="shared" si="160"/>
        <v>4</v>
      </c>
      <c r="AD39" s="60">
        <f t="shared" si="160"/>
        <v>4</v>
      </c>
      <c r="AE39" s="60">
        <f t="shared" si="160"/>
        <v>4</v>
      </c>
      <c r="AF39" s="60">
        <f t="shared" si="160"/>
        <v>4</v>
      </c>
      <c r="AG39" s="60">
        <f t="shared" si="160"/>
        <v>4</v>
      </c>
      <c r="AH39" s="60">
        <f t="shared" si="160"/>
        <v>4</v>
      </c>
      <c r="AI39" s="60">
        <f t="shared" si="160"/>
        <v>4</v>
      </c>
      <c r="AJ39" s="60">
        <f t="shared" si="160"/>
        <v>4</v>
      </c>
      <c r="AK39" s="60">
        <f t="shared" ref="AK39:AN39" si="161">AG39</f>
        <v>4</v>
      </c>
      <c r="AL39" s="60">
        <f t="shared" si="161"/>
        <v>4</v>
      </c>
      <c r="AM39" s="60">
        <f t="shared" si="161"/>
        <v>4</v>
      </c>
      <c r="AN39" s="60">
        <f t="shared" si="161"/>
        <v>4</v>
      </c>
      <c r="AO39" s="60">
        <f t="shared" ref="AO39:AR39" si="162">AK39</f>
        <v>4</v>
      </c>
      <c r="AP39" s="60">
        <f t="shared" si="162"/>
        <v>4</v>
      </c>
      <c r="AQ39" s="60">
        <f t="shared" si="162"/>
        <v>4</v>
      </c>
      <c r="AR39" s="60">
        <f t="shared" si="162"/>
        <v>4</v>
      </c>
      <c r="AS39" s="71"/>
      <c r="AT39" s="71"/>
      <c r="AU39" s="71"/>
    </row>
    <row r="40" spans="2:47">
      <c r="B40" t="s">
        <v>29</v>
      </c>
      <c r="C40" s="7">
        <f>C37/12</f>
        <v>7.3166666666666666E-3</v>
      </c>
      <c r="D40" s="7"/>
      <c r="E40" s="7">
        <f>E37/12</f>
        <v>7.3166666666666666E-3</v>
      </c>
      <c r="F40" s="7">
        <f>F37/12</f>
        <v>7.3166666666666666E-3</v>
      </c>
      <c r="G40" s="7">
        <f>G37/12</f>
        <v>7.3166666666666666E-3</v>
      </c>
      <c r="H40" s="7">
        <f>H37/12</f>
        <v>7.3166666666666666E-3</v>
      </c>
      <c r="I40" s="7">
        <f t="shared" ref="I40:J40" si="163">I37/12</f>
        <v>7.3166666666666666E-3</v>
      </c>
      <c r="J40" s="7">
        <f t="shared" si="163"/>
        <v>7.3166666666666666E-3</v>
      </c>
      <c r="K40" s="7">
        <f t="shared" ref="K40" si="164">K37/12</f>
        <v>7.3166666666666666E-3</v>
      </c>
      <c r="L40" s="7">
        <f t="shared" ref="L40:T40" si="165">L37/12</f>
        <v>7.3166666666666666E-3</v>
      </c>
      <c r="M40" s="7">
        <f t="shared" ref="M40:O40" si="166">M37/12</f>
        <v>7.3166666666666666E-3</v>
      </c>
      <c r="N40" s="7">
        <f t="shared" si="166"/>
        <v>7.3166666666666666E-3</v>
      </c>
      <c r="O40" s="7">
        <f t="shared" si="166"/>
        <v>7.3166666666666666E-3</v>
      </c>
      <c r="P40" s="7">
        <f t="shared" si="165"/>
        <v>7.3166666666666666E-3</v>
      </c>
      <c r="Q40" s="7">
        <f t="shared" ref="Q40:R40" si="167">Q37/12</f>
        <v>7.3166666666666666E-3</v>
      </c>
      <c r="R40" s="7">
        <f t="shared" si="167"/>
        <v>7.3166666666666666E-3</v>
      </c>
      <c r="S40" s="7">
        <f t="shared" ref="S40" si="168">S37/12</f>
        <v>7.3166666666666666E-3</v>
      </c>
      <c r="T40" s="7">
        <f t="shared" si="165"/>
        <v>7.3166666666666666E-3</v>
      </c>
      <c r="U40" s="7">
        <f t="shared" ref="U40:W40" si="169">U37/12</f>
        <v>7.3166666666666666E-3</v>
      </c>
      <c r="V40" s="7">
        <f t="shared" si="169"/>
        <v>7.3166666666666666E-3</v>
      </c>
      <c r="W40" s="7">
        <f t="shared" si="169"/>
        <v>7.3166666666666666E-3</v>
      </c>
      <c r="X40" s="7">
        <f t="shared" ref="X40:AR40" si="170">X37/12</f>
        <v>7.3166666666666666E-3</v>
      </c>
      <c r="Y40" s="7">
        <f t="shared" ref="Y40:AA40" si="171">Y37/12</f>
        <v>7.3166666666666666E-3</v>
      </c>
      <c r="Z40" s="7">
        <f t="shared" si="171"/>
        <v>7.3166666666666666E-3</v>
      </c>
      <c r="AA40" s="7">
        <f t="shared" si="171"/>
        <v>7.3166666666666666E-3</v>
      </c>
      <c r="AB40" s="7">
        <f t="shared" si="170"/>
        <v>7.3166666666666666E-3</v>
      </c>
      <c r="AC40" s="7">
        <f t="shared" ref="AC40:AE40" si="172">AC37/12</f>
        <v>7.3166666666666666E-3</v>
      </c>
      <c r="AD40" s="7">
        <f t="shared" si="172"/>
        <v>7.3166666666666666E-3</v>
      </c>
      <c r="AE40" s="7">
        <f t="shared" si="172"/>
        <v>7.3166666666666666E-3</v>
      </c>
      <c r="AF40" s="7">
        <f t="shared" si="170"/>
        <v>7.3166666666666666E-3</v>
      </c>
      <c r="AG40" s="7">
        <f t="shared" ref="AG40:AI40" si="173">AG37/12</f>
        <v>7.3166666666666666E-3</v>
      </c>
      <c r="AH40" s="7">
        <f t="shared" si="173"/>
        <v>7.3166666666666666E-3</v>
      </c>
      <c r="AI40" s="7">
        <f t="shared" si="173"/>
        <v>7.3166666666666666E-3</v>
      </c>
      <c r="AJ40" s="7">
        <f t="shared" si="170"/>
        <v>7.3166666666666666E-3</v>
      </c>
      <c r="AK40" s="7">
        <f t="shared" ref="AK40:AM40" si="174">AK37/12</f>
        <v>7.3166666666666666E-3</v>
      </c>
      <c r="AL40" s="7">
        <f t="shared" si="174"/>
        <v>7.3166666666666666E-3</v>
      </c>
      <c r="AM40" s="7">
        <f t="shared" si="174"/>
        <v>7.3166666666666666E-3</v>
      </c>
      <c r="AN40" s="7">
        <f t="shared" si="170"/>
        <v>7.3166666666666666E-3</v>
      </c>
      <c r="AO40" s="7">
        <f t="shared" ref="AO40:AQ40" si="175">AO37/12</f>
        <v>7.3166666666666666E-3</v>
      </c>
      <c r="AP40" s="7">
        <f t="shared" si="175"/>
        <v>7.3166666666666666E-3</v>
      </c>
      <c r="AQ40" s="7">
        <f t="shared" si="175"/>
        <v>7.3166666666666666E-3</v>
      </c>
      <c r="AR40" s="7">
        <f t="shared" si="170"/>
        <v>7.3166666666666666E-3</v>
      </c>
      <c r="AS40" s="25"/>
      <c r="AT40" s="25"/>
      <c r="AU40" s="25"/>
    </row>
    <row r="41" spans="2:47">
      <c r="B41" t="s">
        <v>30</v>
      </c>
      <c r="C41" s="60">
        <f>C39*12</f>
        <v>48</v>
      </c>
      <c r="D41" s="60"/>
      <c r="E41" s="60">
        <f>E39*12</f>
        <v>48</v>
      </c>
      <c r="F41" s="60">
        <f>F39*12</f>
        <v>48</v>
      </c>
      <c r="G41" s="60">
        <f>G39*12</f>
        <v>48</v>
      </c>
      <c r="H41" s="60">
        <f>H39*12</f>
        <v>48</v>
      </c>
      <c r="I41" s="60">
        <f t="shared" ref="I41:J41" si="176">I39*12</f>
        <v>48</v>
      </c>
      <c r="J41" s="60">
        <f t="shared" si="176"/>
        <v>48</v>
      </c>
      <c r="K41" s="60">
        <f t="shared" ref="K41" si="177">K39*12</f>
        <v>48</v>
      </c>
      <c r="L41" s="60">
        <f t="shared" ref="L41:T41" si="178">L39*12</f>
        <v>48</v>
      </c>
      <c r="M41" s="60">
        <f t="shared" ref="M41:O41" si="179">M39*12</f>
        <v>48</v>
      </c>
      <c r="N41" s="60">
        <f t="shared" si="179"/>
        <v>48</v>
      </c>
      <c r="O41" s="60">
        <f t="shared" si="179"/>
        <v>48</v>
      </c>
      <c r="P41" s="60">
        <f t="shared" si="178"/>
        <v>48</v>
      </c>
      <c r="Q41" s="60">
        <f t="shared" ref="Q41:R41" si="180">Q39*12</f>
        <v>48</v>
      </c>
      <c r="R41" s="60">
        <f t="shared" si="180"/>
        <v>48</v>
      </c>
      <c r="S41" s="60">
        <f t="shared" ref="S41" si="181">S39*12</f>
        <v>48</v>
      </c>
      <c r="T41" s="60">
        <f t="shared" si="178"/>
        <v>48</v>
      </c>
      <c r="U41" s="60">
        <f t="shared" ref="U41:W41" si="182">U39*12</f>
        <v>48</v>
      </c>
      <c r="V41" s="60">
        <f t="shared" si="182"/>
        <v>48</v>
      </c>
      <c r="W41" s="60">
        <f t="shared" si="182"/>
        <v>48</v>
      </c>
      <c r="X41" s="60">
        <f t="shared" ref="X41:AR41" si="183">X39*12</f>
        <v>48</v>
      </c>
      <c r="Y41" s="60">
        <f t="shared" ref="Y41:AA41" si="184">Y39*12</f>
        <v>48</v>
      </c>
      <c r="Z41" s="60">
        <f t="shared" si="184"/>
        <v>48</v>
      </c>
      <c r="AA41" s="60">
        <f t="shared" si="184"/>
        <v>48</v>
      </c>
      <c r="AB41" s="60">
        <f t="shared" si="183"/>
        <v>48</v>
      </c>
      <c r="AC41" s="60">
        <f t="shared" ref="AC41:AE41" si="185">AC39*12</f>
        <v>48</v>
      </c>
      <c r="AD41" s="60">
        <f t="shared" si="185"/>
        <v>48</v>
      </c>
      <c r="AE41" s="60">
        <f t="shared" si="185"/>
        <v>48</v>
      </c>
      <c r="AF41" s="60">
        <f t="shared" si="183"/>
        <v>48</v>
      </c>
      <c r="AG41" s="60">
        <f t="shared" ref="AG41:AI41" si="186">AG39*12</f>
        <v>48</v>
      </c>
      <c r="AH41" s="60">
        <f t="shared" si="186"/>
        <v>48</v>
      </c>
      <c r="AI41" s="60">
        <f t="shared" si="186"/>
        <v>48</v>
      </c>
      <c r="AJ41" s="60">
        <f t="shared" si="183"/>
        <v>48</v>
      </c>
      <c r="AK41" s="60">
        <f t="shared" ref="AK41:AM41" si="187">AK39*12</f>
        <v>48</v>
      </c>
      <c r="AL41" s="60">
        <f t="shared" si="187"/>
        <v>48</v>
      </c>
      <c r="AM41" s="60">
        <f t="shared" si="187"/>
        <v>48</v>
      </c>
      <c r="AN41" s="60">
        <f t="shared" si="183"/>
        <v>48</v>
      </c>
      <c r="AO41" s="60">
        <f t="shared" ref="AO41:AQ41" si="188">AO39*12</f>
        <v>48</v>
      </c>
      <c r="AP41" s="60">
        <f t="shared" si="188"/>
        <v>48</v>
      </c>
      <c r="AQ41" s="60">
        <f t="shared" si="188"/>
        <v>48</v>
      </c>
      <c r="AR41" s="60">
        <f t="shared" si="183"/>
        <v>48</v>
      </c>
      <c r="AS41" s="71"/>
      <c r="AT41" s="71"/>
      <c r="AU41" s="71"/>
    </row>
    <row r="42" spans="2:47">
      <c r="C42" s="4"/>
      <c r="D42" s="4"/>
      <c r="E42" s="4"/>
      <c r="F42" s="4"/>
      <c r="G42" s="4"/>
      <c r="H42" s="4"/>
      <c r="I42" s="4"/>
      <c r="J42" s="4"/>
      <c r="K42" s="4"/>
      <c r="L42" s="4"/>
      <c r="M42" s="4"/>
      <c r="AB42" s="4"/>
      <c r="AC42" s="4"/>
      <c r="AD42" s="4"/>
      <c r="AE42" s="4"/>
      <c r="AF42" s="4"/>
      <c r="AG42" s="4"/>
      <c r="AH42" s="4"/>
      <c r="AI42" s="4"/>
      <c r="AJ42" s="4"/>
      <c r="AK42" s="4"/>
      <c r="AL42" s="4"/>
      <c r="AM42" s="4"/>
      <c r="AN42" s="4"/>
      <c r="AO42" s="4"/>
      <c r="AP42" s="4"/>
      <c r="AQ42" s="4"/>
      <c r="AR42" s="4"/>
      <c r="AS42" s="67"/>
      <c r="AT42" s="67"/>
      <c r="AU42" s="67"/>
    </row>
    <row r="43" spans="2:47">
      <c r="B43" t="s">
        <v>17</v>
      </c>
      <c r="C43" s="62">
        <f>(1+C40)^C41</f>
        <v>1.4189560513654005</v>
      </c>
      <c r="D43" s="62"/>
      <c r="E43" s="62">
        <f>(1+E40)^E41</f>
        <v>1.4189560513654005</v>
      </c>
      <c r="F43" s="62">
        <f>(1+F40)^F41</f>
        <v>1.4189560513654005</v>
      </c>
      <c r="G43" s="62">
        <f>(1+G40)^G41</f>
        <v>1.4189560513654005</v>
      </c>
      <c r="H43" s="62">
        <f>(1+H40)^H41</f>
        <v>1.4189560513654005</v>
      </c>
      <c r="I43" s="62">
        <f t="shared" ref="I43:J43" si="189">(1+I40)^I41</f>
        <v>1.4189560513654005</v>
      </c>
      <c r="J43" s="62">
        <f t="shared" si="189"/>
        <v>1.4189560513654005</v>
      </c>
      <c r="K43" s="62">
        <f t="shared" ref="K43" si="190">(1+K40)^K41</f>
        <v>1.4189560513654005</v>
      </c>
      <c r="L43" s="62">
        <f t="shared" ref="L43:T43" si="191">(1+L40)^L41</f>
        <v>1.4189560513654005</v>
      </c>
      <c r="M43" s="62">
        <f t="shared" ref="M43:O43" si="192">(1+M40)^M41</f>
        <v>1.4189560513654005</v>
      </c>
      <c r="N43" s="62">
        <f t="shared" si="192"/>
        <v>1.4189560513654005</v>
      </c>
      <c r="O43" s="62">
        <f t="shared" si="192"/>
        <v>1.4189560513654005</v>
      </c>
      <c r="P43" s="62">
        <f t="shared" si="191"/>
        <v>1.4189560513654005</v>
      </c>
      <c r="Q43" s="62">
        <f t="shared" ref="Q43:R43" si="193">(1+Q40)^Q41</f>
        <v>1.4189560513654005</v>
      </c>
      <c r="R43" s="62">
        <f t="shared" si="193"/>
        <v>1.4189560513654005</v>
      </c>
      <c r="S43" s="62">
        <f t="shared" ref="S43" si="194">(1+S40)^S41</f>
        <v>1.4189560513654005</v>
      </c>
      <c r="T43" s="62">
        <f t="shared" si="191"/>
        <v>1.4189560513654005</v>
      </c>
      <c r="U43" s="62">
        <f t="shared" ref="U43:W43" si="195">(1+U40)^U41</f>
        <v>1.4189560513654005</v>
      </c>
      <c r="V43" s="62">
        <f t="shared" si="195"/>
        <v>1.4189560513654005</v>
      </c>
      <c r="W43" s="62">
        <f t="shared" si="195"/>
        <v>1.4189560513654005</v>
      </c>
      <c r="X43" s="62">
        <f t="shared" ref="X43:AR43" si="196">(1+X40)^X41</f>
        <v>1.4189560513654005</v>
      </c>
      <c r="Y43" s="62">
        <f t="shared" ref="Y43:AA43" si="197">(1+Y40)^Y41</f>
        <v>1.4189560513654005</v>
      </c>
      <c r="Z43" s="62">
        <f t="shared" si="197"/>
        <v>1.4189560513654005</v>
      </c>
      <c r="AA43" s="62">
        <f t="shared" si="197"/>
        <v>1.4189560513654005</v>
      </c>
      <c r="AB43" s="62">
        <f t="shared" si="196"/>
        <v>1.4189560513654005</v>
      </c>
      <c r="AC43" s="62">
        <f t="shared" ref="AC43:AE43" si="198">(1+AC40)^AC41</f>
        <v>1.4189560513654005</v>
      </c>
      <c r="AD43" s="62">
        <f t="shared" si="198"/>
        <v>1.4189560513654005</v>
      </c>
      <c r="AE43" s="62">
        <f t="shared" si="198"/>
        <v>1.4189560513654005</v>
      </c>
      <c r="AF43" s="62">
        <f t="shared" si="196"/>
        <v>1.4189560513654005</v>
      </c>
      <c r="AG43" s="62">
        <f t="shared" ref="AG43:AI43" si="199">(1+AG40)^AG41</f>
        <v>1.4189560513654005</v>
      </c>
      <c r="AH43" s="62">
        <f t="shared" si="199"/>
        <v>1.4189560513654005</v>
      </c>
      <c r="AI43" s="62">
        <f t="shared" si="199"/>
        <v>1.4189560513654005</v>
      </c>
      <c r="AJ43" s="62">
        <f t="shared" si="196"/>
        <v>1.4189560513654005</v>
      </c>
      <c r="AK43" s="62">
        <f t="shared" ref="AK43:AM43" si="200">(1+AK40)^AK41</f>
        <v>1.4189560513654005</v>
      </c>
      <c r="AL43" s="62">
        <f t="shared" si="200"/>
        <v>1.4189560513654005</v>
      </c>
      <c r="AM43" s="62">
        <f t="shared" si="200"/>
        <v>1.4189560513654005</v>
      </c>
      <c r="AN43" s="62">
        <f t="shared" si="196"/>
        <v>1.4189560513654005</v>
      </c>
      <c r="AO43" s="62">
        <f t="shared" ref="AO43:AQ43" si="201">(1+AO40)^AO41</f>
        <v>1.4189560513654005</v>
      </c>
      <c r="AP43" s="62">
        <f t="shared" si="201"/>
        <v>1.4189560513654005</v>
      </c>
      <c r="AQ43" s="62">
        <f t="shared" si="201"/>
        <v>1.4189560513654005</v>
      </c>
      <c r="AR43" s="62">
        <f t="shared" si="196"/>
        <v>1.4189560513654005</v>
      </c>
      <c r="AS43" s="72"/>
      <c r="AT43" s="72"/>
      <c r="AU43" s="72"/>
    </row>
    <row r="44" spans="2:47">
      <c r="C44" s="63">
        <f>C43*C40</f>
        <v>1.038202844249018E-2</v>
      </c>
      <c r="D44" s="63"/>
      <c r="E44" s="63">
        <f>E43*E40</f>
        <v>1.038202844249018E-2</v>
      </c>
      <c r="F44" s="63">
        <f>F43*F40</f>
        <v>1.038202844249018E-2</v>
      </c>
      <c r="G44" s="63">
        <f>G43*G40</f>
        <v>1.038202844249018E-2</v>
      </c>
      <c r="H44" s="63">
        <f>H43*H40</f>
        <v>1.038202844249018E-2</v>
      </c>
      <c r="I44" s="63">
        <f>I43*I40</f>
        <v>1.038202844249018E-2</v>
      </c>
      <c r="J44" s="63">
        <f t="shared" ref="J44:K44" si="202">J43*J40</f>
        <v>1.038202844249018E-2</v>
      </c>
      <c r="K44" s="63">
        <f t="shared" si="202"/>
        <v>1.038202844249018E-2</v>
      </c>
      <c r="L44" s="63">
        <f t="shared" ref="L44:T44" si="203">L43*L40</f>
        <v>1.038202844249018E-2</v>
      </c>
      <c r="M44" s="63">
        <f t="shared" ref="M44:O44" si="204">M43*M40</f>
        <v>1.038202844249018E-2</v>
      </c>
      <c r="N44" s="63">
        <f t="shared" si="204"/>
        <v>1.038202844249018E-2</v>
      </c>
      <c r="O44" s="63">
        <f t="shared" si="204"/>
        <v>1.038202844249018E-2</v>
      </c>
      <c r="P44" s="63">
        <f t="shared" si="203"/>
        <v>1.038202844249018E-2</v>
      </c>
      <c r="Q44" s="63">
        <f t="shared" ref="Q44:R44" si="205">Q43*Q40</f>
        <v>1.038202844249018E-2</v>
      </c>
      <c r="R44" s="63">
        <f t="shared" si="205"/>
        <v>1.038202844249018E-2</v>
      </c>
      <c r="S44" s="63">
        <f t="shared" ref="S44" si="206">S43*S40</f>
        <v>1.038202844249018E-2</v>
      </c>
      <c r="T44" s="63">
        <f t="shared" si="203"/>
        <v>1.038202844249018E-2</v>
      </c>
      <c r="U44" s="63">
        <f t="shared" ref="U44:W44" si="207">U43*U40</f>
        <v>1.038202844249018E-2</v>
      </c>
      <c r="V44" s="63">
        <f t="shared" si="207"/>
        <v>1.038202844249018E-2</v>
      </c>
      <c r="W44" s="63">
        <f t="shared" si="207"/>
        <v>1.038202844249018E-2</v>
      </c>
      <c r="X44" s="63">
        <f t="shared" ref="X44:Y44" si="208">X43*X40</f>
        <v>1.038202844249018E-2</v>
      </c>
      <c r="Y44" s="63">
        <f t="shared" si="208"/>
        <v>1.038202844249018E-2</v>
      </c>
      <c r="Z44" s="63">
        <f t="shared" ref="Z44:AA44" si="209">Z43*Z40</f>
        <v>1.038202844249018E-2</v>
      </c>
      <c r="AA44" s="63">
        <f t="shared" si="209"/>
        <v>1.038202844249018E-2</v>
      </c>
      <c r="AB44" s="63">
        <f t="shared" ref="AB44:AC44" si="210">AB43*AB40</f>
        <v>1.038202844249018E-2</v>
      </c>
      <c r="AC44" s="63">
        <f t="shared" si="210"/>
        <v>1.038202844249018E-2</v>
      </c>
      <c r="AD44" s="63">
        <f t="shared" ref="AD44:AE44" si="211">AD43*AD40</f>
        <v>1.038202844249018E-2</v>
      </c>
      <c r="AE44" s="63">
        <f t="shared" si="211"/>
        <v>1.038202844249018E-2</v>
      </c>
      <c r="AF44" s="63">
        <f t="shared" ref="AF44:AG44" si="212">AF43*AF40</f>
        <v>1.038202844249018E-2</v>
      </c>
      <c r="AG44" s="63">
        <f t="shared" si="212"/>
        <v>1.038202844249018E-2</v>
      </c>
      <c r="AH44" s="63">
        <f t="shared" ref="AH44:AI44" si="213">AH43*AH40</f>
        <v>1.038202844249018E-2</v>
      </c>
      <c r="AI44" s="63">
        <f t="shared" si="213"/>
        <v>1.038202844249018E-2</v>
      </c>
      <c r="AJ44" s="63">
        <f t="shared" ref="AJ44:AM44" si="214">AJ43*AJ40</f>
        <v>1.038202844249018E-2</v>
      </c>
      <c r="AK44" s="63">
        <f t="shared" si="214"/>
        <v>1.038202844249018E-2</v>
      </c>
      <c r="AL44" s="63">
        <f t="shared" si="214"/>
        <v>1.038202844249018E-2</v>
      </c>
      <c r="AM44" s="63">
        <f t="shared" si="214"/>
        <v>1.038202844249018E-2</v>
      </c>
      <c r="AN44" s="63">
        <f t="shared" ref="AN44:AQ44" si="215">AN43*AN40</f>
        <v>1.038202844249018E-2</v>
      </c>
      <c r="AO44" s="63">
        <f t="shared" si="215"/>
        <v>1.038202844249018E-2</v>
      </c>
      <c r="AP44" s="63">
        <f t="shared" si="215"/>
        <v>1.038202844249018E-2</v>
      </c>
      <c r="AQ44" s="63">
        <f t="shared" si="215"/>
        <v>1.038202844249018E-2</v>
      </c>
      <c r="AR44" s="63">
        <f t="shared" ref="AR44" si="216">AR43*AR40</f>
        <v>1.038202844249018E-2</v>
      </c>
      <c r="AS44" s="73"/>
      <c r="AT44" s="73"/>
      <c r="AU44" s="73"/>
    </row>
    <row r="45" spans="2:47">
      <c r="C45" s="64">
        <f>C43-1</f>
        <v>0.41895605136540048</v>
      </c>
      <c r="D45" s="64"/>
      <c r="E45" s="64">
        <f>E43-1</f>
        <v>0.41895605136540048</v>
      </c>
      <c r="F45" s="64">
        <f>F43-1</f>
        <v>0.41895605136540048</v>
      </c>
      <c r="G45" s="64">
        <f>G43-1</f>
        <v>0.41895605136540048</v>
      </c>
      <c r="H45" s="64">
        <f>H43-1</f>
        <v>0.41895605136540048</v>
      </c>
      <c r="I45" s="64">
        <f t="shared" ref="I45:J45" si="217">I43-1</f>
        <v>0.41895605136540048</v>
      </c>
      <c r="J45" s="64">
        <f t="shared" si="217"/>
        <v>0.41895605136540048</v>
      </c>
      <c r="K45" s="64">
        <f t="shared" ref="K45" si="218">K43-1</f>
        <v>0.41895605136540048</v>
      </c>
      <c r="L45" s="64">
        <f t="shared" ref="L45:T45" si="219">L43-1</f>
        <v>0.41895605136540048</v>
      </c>
      <c r="M45" s="64">
        <f t="shared" ref="M45:O45" si="220">M43-1</f>
        <v>0.41895605136540048</v>
      </c>
      <c r="N45" s="64">
        <f t="shared" si="220"/>
        <v>0.41895605136540048</v>
      </c>
      <c r="O45" s="64">
        <f t="shared" si="220"/>
        <v>0.41895605136540048</v>
      </c>
      <c r="P45" s="64">
        <f t="shared" si="219"/>
        <v>0.41895605136540048</v>
      </c>
      <c r="Q45" s="64">
        <f t="shared" ref="Q45:R45" si="221">Q43-1</f>
        <v>0.41895605136540048</v>
      </c>
      <c r="R45" s="64">
        <f t="shared" si="221"/>
        <v>0.41895605136540048</v>
      </c>
      <c r="S45" s="64">
        <f t="shared" ref="S45" si="222">S43-1</f>
        <v>0.41895605136540048</v>
      </c>
      <c r="T45" s="64">
        <f t="shared" si="219"/>
        <v>0.41895605136540048</v>
      </c>
      <c r="U45" s="64">
        <f t="shared" ref="U45:W45" si="223">U43-1</f>
        <v>0.41895605136540048</v>
      </c>
      <c r="V45" s="64">
        <f t="shared" si="223"/>
        <v>0.41895605136540048</v>
      </c>
      <c r="W45" s="64">
        <f t="shared" si="223"/>
        <v>0.41895605136540048</v>
      </c>
      <c r="X45" s="64">
        <f t="shared" ref="X45:AR45" si="224">X43-1</f>
        <v>0.41895605136540048</v>
      </c>
      <c r="Y45" s="64">
        <f t="shared" ref="Y45:AA45" si="225">Y43-1</f>
        <v>0.41895605136540048</v>
      </c>
      <c r="Z45" s="64">
        <f t="shared" si="225"/>
        <v>0.41895605136540048</v>
      </c>
      <c r="AA45" s="64">
        <f t="shared" si="225"/>
        <v>0.41895605136540048</v>
      </c>
      <c r="AB45" s="64">
        <f t="shared" si="224"/>
        <v>0.41895605136540048</v>
      </c>
      <c r="AC45" s="64">
        <f t="shared" ref="AC45:AE45" si="226">AC43-1</f>
        <v>0.41895605136540048</v>
      </c>
      <c r="AD45" s="64">
        <f t="shared" si="226"/>
        <v>0.41895605136540048</v>
      </c>
      <c r="AE45" s="64">
        <f t="shared" si="226"/>
        <v>0.41895605136540048</v>
      </c>
      <c r="AF45" s="64">
        <f t="shared" si="224"/>
        <v>0.41895605136540048</v>
      </c>
      <c r="AG45" s="64">
        <f t="shared" ref="AG45:AI45" si="227">AG43-1</f>
        <v>0.41895605136540048</v>
      </c>
      <c r="AH45" s="64">
        <f t="shared" si="227"/>
        <v>0.41895605136540048</v>
      </c>
      <c r="AI45" s="64">
        <f t="shared" si="227"/>
        <v>0.41895605136540048</v>
      </c>
      <c r="AJ45" s="64">
        <f t="shared" si="224"/>
        <v>0.41895605136540048</v>
      </c>
      <c r="AK45" s="64">
        <f t="shared" ref="AK45:AM45" si="228">AK43-1</f>
        <v>0.41895605136540048</v>
      </c>
      <c r="AL45" s="64">
        <f t="shared" si="228"/>
        <v>0.41895605136540048</v>
      </c>
      <c r="AM45" s="64">
        <f t="shared" si="228"/>
        <v>0.41895605136540048</v>
      </c>
      <c r="AN45" s="64">
        <f t="shared" si="224"/>
        <v>0.41895605136540048</v>
      </c>
      <c r="AO45" s="64">
        <f t="shared" ref="AO45:AQ45" si="229">AO43-1</f>
        <v>0.41895605136540048</v>
      </c>
      <c r="AP45" s="64">
        <f t="shared" si="229"/>
        <v>0.41895605136540048</v>
      </c>
      <c r="AQ45" s="64">
        <f t="shared" si="229"/>
        <v>0.41895605136540048</v>
      </c>
      <c r="AR45" s="64">
        <f t="shared" si="224"/>
        <v>0.41895605136540048</v>
      </c>
      <c r="AS45" s="74"/>
      <c r="AT45" s="74"/>
      <c r="AU45" s="74"/>
    </row>
    <row r="46" spans="2:47">
      <c r="C46" s="64">
        <f>C44/C45</f>
        <v>2.4780710073657095E-2</v>
      </c>
      <c r="D46" s="64"/>
      <c r="E46" s="64">
        <f>E44/E45</f>
        <v>2.4780710073657095E-2</v>
      </c>
      <c r="F46" s="64">
        <f>F44/F45</f>
        <v>2.4780710073657095E-2</v>
      </c>
      <c r="G46" s="64">
        <f>G44/G45</f>
        <v>2.4780710073657095E-2</v>
      </c>
      <c r="H46" s="64">
        <f>H44/H45</f>
        <v>2.4780710073657095E-2</v>
      </c>
      <c r="I46" s="64">
        <f>I44/I45</f>
        <v>2.4780710073657095E-2</v>
      </c>
      <c r="J46" s="64">
        <f t="shared" ref="J46:K46" si="230">J44/J45</f>
        <v>2.4780710073657095E-2</v>
      </c>
      <c r="K46" s="64">
        <f t="shared" si="230"/>
        <v>2.4780710073657095E-2</v>
      </c>
      <c r="L46" s="64">
        <f t="shared" ref="L46:T46" si="231">L44/L45</f>
        <v>2.4780710073657095E-2</v>
      </c>
      <c r="M46" s="64">
        <f t="shared" ref="M46:O46" si="232">M44/M45</f>
        <v>2.4780710073657095E-2</v>
      </c>
      <c r="N46" s="64">
        <f t="shared" si="232"/>
        <v>2.4780710073657095E-2</v>
      </c>
      <c r="O46" s="64">
        <f t="shared" si="232"/>
        <v>2.4780710073657095E-2</v>
      </c>
      <c r="P46" s="64">
        <f t="shared" si="231"/>
        <v>2.4780710073657095E-2</v>
      </c>
      <c r="Q46" s="64">
        <f t="shared" ref="Q46:R46" si="233">Q44/Q45</f>
        <v>2.4780710073657095E-2</v>
      </c>
      <c r="R46" s="64">
        <f t="shared" si="233"/>
        <v>2.4780710073657095E-2</v>
      </c>
      <c r="S46" s="64">
        <f t="shared" ref="S46" si="234">S44/S45</f>
        <v>2.4780710073657095E-2</v>
      </c>
      <c r="T46" s="64">
        <f t="shared" si="231"/>
        <v>2.4780710073657095E-2</v>
      </c>
      <c r="U46" s="64">
        <f t="shared" ref="U46:W46" si="235">U44/U45</f>
        <v>2.4780710073657095E-2</v>
      </c>
      <c r="V46" s="64">
        <f t="shared" si="235"/>
        <v>2.4780710073657095E-2</v>
      </c>
      <c r="W46" s="64">
        <f t="shared" si="235"/>
        <v>2.4780710073657095E-2</v>
      </c>
      <c r="X46" s="64">
        <f t="shared" ref="X46:Y46" si="236">X44/X45</f>
        <v>2.4780710073657095E-2</v>
      </c>
      <c r="Y46" s="64">
        <f t="shared" si="236"/>
        <v>2.4780710073657095E-2</v>
      </c>
      <c r="Z46" s="64">
        <f t="shared" ref="Z46:AA46" si="237">Z44/Z45</f>
        <v>2.4780710073657095E-2</v>
      </c>
      <c r="AA46" s="64">
        <f t="shared" si="237"/>
        <v>2.4780710073657095E-2</v>
      </c>
      <c r="AB46" s="64">
        <f t="shared" ref="AB46:AC46" si="238">AB44/AB45</f>
        <v>2.4780710073657095E-2</v>
      </c>
      <c r="AC46" s="64">
        <f t="shared" si="238"/>
        <v>2.4780710073657095E-2</v>
      </c>
      <c r="AD46" s="64">
        <f t="shared" ref="AD46:AE46" si="239">AD44/AD45</f>
        <v>2.4780710073657095E-2</v>
      </c>
      <c r="AE46" s="64">
        <f t="shared" si="239"/>
        <v>2.4780710073657095E-2</v>
      </c>
      <c r="AF46" s="64">
        <f t="shared" ref="AF46:AG46" si="240">AF44/AF45</f>
        <v>2.4780710073657095E-2</v>
      </c>
      <c r="AG46" s="64">
        <f t="shared" si="240"/>
        <v>2.4780710073657095E-2</v>
      </c>
      <c r="AH46" s="64">
        <f t="shared" ref="AH46:AI46" si="241">AH44/AH45</f>
        <v>2.4780710073657095E-2</v>
      </c>
      <c r="AI46" s="64">
        <f t="shared" si="241"/>
        <v>2.4780710073657095E-2</v>
      </c>
      <c r="AJ46" s="64">
        <f t="shared" ref="AJ46:AM46" si="242">AJ44/AJ45</f>
        <v>2.4780710073657095E-2</v>
      </c>
      <c r="AK46" s="64">
        <f t="shared" si="242"/>
        <v>2.4780710073657095E-2</v>
      </c>
      <c r="AL46" s="64">
        <f t="shared" si="242"/>
        <v>2.4780710073657095E-2</v>
      </c>
      <c r="AM46" s="64">
        <f t="shared" si="242"/>
        <v>2.4780710073657095E-2</v>
      </c>
      <c r="AN46" s="64">
        <f t="shared" ref="AN46:AQ46" si="243">AN44/AN45</f>
        <v>2.4780710073657095E-2</v>
      </c>
      <c r="AO46" s="64">
        <f t="shared" si="243"/>
        <v>2.4780710073657095E-2</v>
      </c>
      <c r="AP46" s="64">
        <f t="shared" si="243"/>
        <v>2.4780710073657095E-2</v>
      </c>
      <c r="AQ46" s="64">
        <f t="shared" si="243"/>
        <v>2.4780710073657095E-2</v>
      </c>
      <c r="AR46" s="64">
        <f t="shared" ref="AR46" si="244">AR44/AR45</f>
        <v>2.4780710073657095E-2</v>
      </c>
      <c r="AS46" s="74"/>
      <c r="AT46" s="74"/>
      <c r="AU46" s="74"/>
    </row>
    <row r="47" spans="2:47" s="54" customFormat="1">
      <c r="B47" s="54" t="s">
        <v>17</v>
      </c>
      <c r="C47" s="57">
        <f>C46*C36</f>
        <v>2771.380860951364</v>
      </c>
      <c r="D47" s="57"/>
      <c r="E47" s="57">
        <f>E46*E36</f>
        <v>698.81602407713012</v>
      </c>
      <c r="F47" s="57">
        <f>F46*F36</f>
        <v>1521.5355985225456</v>
      </c>
      <c r="G47" s="57">
        <f>G46*G36</f>
        <v>2096.4480722313901</v>
      </c>
      <c r="H47" s="57">
        <f>H46*H36</f>
        <v>2919.1676466768058</v>
      </c>
      <c r="I47" s="57">
        <f>I46*I36</f>
        <v>3494.0801203856504</v>
      </c>
      <c r="J47" s="57">
        <f t="shared" ref="J47:K47" si="245">J46*J36</f>
        <v>4316.7996948310656</v>
      </c>
      <c r="K47" s="57">
        <f t="shared" si="245"/>
        <v>4891.7121685399106</v>
      </c>
      <c r="L47" s="57">
        <f t="shared" ref="L47:T47" si="246">L46*L36</f>
        <v>5714.4317429853263</v>
      </c>
      <c r="M47" s="57">
        <f t="shared" ref="M47:O47" si="247">M46*M36</f>
        <v>6289.3442166941704</v>
      </c>
      <c r="N47" s="57">
        <f t="shared" si="247"/>
        <v>7112.0637911395861</v>
      </c>
      <c r="O47" s="57">
        <f t="shared" si="247"/>
        <v>7686.9762648484311</v>
      </c>
      <c r="P47" s="57">
        <f t="shared" si="246"/>
        <v>8509.6958392938468</v>
      </c>
      <c r="Q47" s="57">
        <f t="shared" ref="Q47:R47" si="248">Q46*Q36</f>
        <v>9084.6083130026909</v>
      </c>
      <c r="R47" s="57">
        <f t="shared" si="248"/>
        <v>9907.3278874481075</v>
      </c>
      <c r="S47" s="57">
        <f t="shared" ref="S47" si="249">S46*S36</f>
        <v>10482.240361156952</v>
      </c>
      <c r="T47" s="57">
        <f t="shared" si="246"/>
        <v>11304.959935602366</v>
      </c>
      <c r="U47" s="57">
        <f t="shared" ref="U47:W47" si="250">U46*U36</f>
        <v>11879.872409311212</v>
      </c>
      <c r="V47" s="57">
        <f t="shared" si="250"/>
        <v>12702.591983756627</v>
      </c>
      <c r="W47" s="57">
        <f t="shared" si="250"/>
        <v>13277.504457465471</v>
      </c>
      <c r="X47" s="57">
        <f t="shared" ref="X47:Y47" si="251">X46*X36</f>
        <v>14100.224031910888</v>
      </c>
      <c r="Y47" s="57">
        <f t="shared" si="251"/>
        <v>14675.136505619732</v>
      </c>
      <c r="Z47" s="57">
        <f t="shared" ref="Z47:AA47" si="252">Z46*Z36</f>
        <v>15497.856080065147</v>
      </c>
      <c r="AA47" s="57">
        <f t="shared" si="252"/>
        <v>16072.768553773993</v>
      </c>
      <c r="AB47" s="57">
        <f t="shared" ref="AB47:AC47" si="253">AB46*AB36</f>
        <v>16895.488128219407</v>
      </c>
      <c r="AC47" s="57">
        <f t="shared" si="253"/>
        <v>17470.400601928253</v>
      </c>
      <c r="AD47" s="57">
        <f t="shared" ref="AD47:AE47" si="254">AD46*AD36</f>
        <v>18293.120176373668</v>
      </c>
      <c r="AE47" s="57">
        <f t="shared" si="254"/>
        <v>18868.032650082514</v>
      </c>
      <c r="AF47" s="57">
        <f t="shared" ref="AF47:AG47" si="255">AF46*AF36</f>
        <v>19690.752224527929</v>
      </c>
      <c r="AG47" s="57">
        <f t="shared" si="255"/>
        <v>20265.664698236771</v>
      </c>
      <c r="AH47" s="57">
        <f t="shared" ref="AH47:AI47" si="256">AH46*AH36</f>
        <v>21088.384272682189</v>
      </c>
      <c r="AI47" s="57">
        <f t="shared" si="256"/>
        <v>21663.296746391032</v>
      </c>
      <c r="AJ47" s="57">
        <f t="shared" ref="AJ47:AM47" si="257">AJ46*AJ36</f>
        <v>22486.016320836447</v>
      </c>
      <c r="AK47" s="57">
        <f t="shared" si="257"/>
        <v>23060.928794545292</v>
      </c>
      <c r="AL47" s="57">
        <f t="shared" si="257"/>
        <v>23883.648368990707</v>
      </c>
      <c r="AM47" s="57">
        <f t="shared" si="257"/>
        <v>24458.560842699553</v>
      </c>
      <c r="AN47" s="57">
        <f t="shared" ref="AN47:AQ47" si="258">AN46*AN36</f>
        <v>25281.280417144968</v>
      </c>
      <c r="AO47" s="57">
        <f t="shared" si="258"/>
        <v>25856.192890853814</v>
      </c>
      <c r="AP47" s="57">
        <f t="shared" si="258"/>
        <v>26678.912465299229</v>
      </c>
      <c r="AQ47" s="57">
        <f t="shared" si="258"/>
        <v>27253.824939008075</v>
      </c>
      <c r="AR47" s="57">
        <f t="shared" ref="AR47" si="259">AR46*AR36</f>
        <v>28076.544513453489</v>
      </c>
      <c r="AS47" s="67"/>
      <c r="AT47" s="67"/>
      <c r="AU47" s="67"/>
    </row>
    <row r="48" spans="2:47">
      <c r="C48" s="4"/>
      <c r="D48" s="4"/>
      <c r="E48" s="4"/>
      <c r="F48" s="4"/>
      <c r="G48" s="4"/>
      <c r="H48" s="4"/>
      <c r="I48" s="4"/>
      <c r="J48" s="4"/>
      <c r="K48" s="4"/>
      <c r="L48" s="4"/>
      <c r="M48" s="4"/>
      <c r="AB48" s="4"/>
      <c r="AC48" s="4"/>
      <c r="AD48" s="4"/>
      <c r="AE48" s="4"/>
      <c r="AF48" s="4"/>
      <c r="AG48" s="4"/>
      <c r="AH48" s="4"/>
      <c r="AI48" s="4"/>
      <c r="AJ48" s="4"/>
      <c r="AK48" s="4"/>
      <c r="AL48" s="4"/>
      <c r="AM48" s="4"/>
      <c r="AN48" s="4"/>
      <c r="AO48" s="4"/>
      <c r="AP48" s="4"/>
      <c r="AQ48" s="4"/>
      <c r="AR48" s="4"/>
      <c r="AS48" s="67"/>
      <c r="AT48" s="67"/>
      <c r="AU48" s="67"/>
    </row>
    <row r="49" spans="2:47">
      <c r="B49" t="s">
        <v>31</v>
      </c>
      <c r="C49" s="4">
        <f>C29-C30</f>
        <v>39526.281325665477</v>
      </c>
      <c r="D49" s="4"/>
      <c r="E49" s="4">
        <f>E29-E30</f>
        <v>8543.1691557022423</v>
      </c>
      <c r="F49" s="4">
        <f>F29-F30</f>
        <v>23033.708729082195</v>
      </c>
      <c r="G49" s="4">
        <f>G29-G30</f>
        <v>25629.507467106727</v>
      </c>
      <c r="H49" s="4">
        <f>H29-H30</f>
        <v>40120.047040486679</v>
      </c>
      <c r="I49" s="4">
        <f t="shared" ref="I49:J49" si="260">I29-I30</f>
        <v>42715.845778511226</v>
      </c>
      <c r="J49" s="4">
        <f t="shared" si="260"/>
        <v>57206.385351891164</v>
      </c>
      <c r="K49" s="4">
        <f t="shared" ref="K49" si="261">K29-K30</f>
        <v>59802.184089915711</v>
      </c>
      <c r="L49" s="4">
        <f t="shared" ref="L49:T49" si="262">L29-L30</f>
        <v>74292.723663295677</v>
      </c>
      <c r="M49" s="4">
        <f t="shared" ref="M49:O49" si="263">M29-M30</f>
        <v>76888.522401320166</v>
      </c>
      <c r="N49" s="4">
        <f t="shared" si="263"/>
        <v>91379.061974700133</v>
      </c>
      <c r="O49" s="4">
        <f t="shared" si="263"/>
        <v>93974.86071272468</v>
      </c>
      <c r="P49" s="4">
        <f t="shared" si="262"/>
        <v>108465.40028610465</v>
      </c>
      <c r="Q49" s="4">
        <f t="shared" ref="Q49:R49" si="264">Q29-Q30</f>
        <v>111061.19902412919</v>
      </c>
      <c r="R49" s="4">
        <f t="shared" si="264"/>
        <v>125551.73859750916</v>
      </c>
      <c r="S49" s="4">
        <f t="shared" ref="S49" si="265">S29-S30</f>
        <v>128147.53733553365</v>
      </c>
      <c r="T49" s="4">
        <f t="shared" si="262"/>
        <v>142638.07690891356</v>
      </c>
      <c r="U49" s="4">
        <f t="shared" ref="U49:W49" si="266">U29-U30</f>
        <v>145233.87564693822</v>
      </c>
      <c r="V49" s="4">
        <f t="shared" si="266"/>
        <v>159724.41522031813</v>
      </c>
      <c r="W49" s="4">
        <f t="shared" si="266"/>
        <v>162320.21395834256</v>
      </c>
      <c r="X49" s="4">
        <f t="shared" ref="X49:AR49" si="267">X29-X30</f>
        <v>176810.75353172258</v>
      </c>
      <c r="Y49" s="4">
        <f t="shared" ref="Y49:AA49" si="268">Y29-Y30</f>
        <v>179406.55226974713</v>
      </c>
      <c r="Z49" s="4">
        <f t="shared" si="268"/>
        <v>193897.09184312704</v>
      </c>
      <c r="AA49" s="4">
        <f t="shared" si="268"/>
        <v>196492.8905811517</v>
      </c>
      <c r="AB49" s="4">
        <f t="shared" si="267"/>
        <v>210983.4301545315</v>
      </c>
      <c r="AC49" s="4">
        <f t="shared" ref="AC49:AE49" si="269">AC29-AC30</f>
        <v>213579.22889255616</v>
      </c>
      <c r="AD49" s="4">
        <f t="shared" si="269"/>
        <v>228069.76846593607</v>
      </c>
      <c r="AE49" s="4">
        <f t="shared" si="269"/>
        <v>230665.56720396061</v>
      </c>
      <c r="AF49" s="4">
        <f t="shared" si="267"/>
        <v>245156.10677734064</v>
      </c>
      <c r="AG49" s="4">
        <f t="shared" ref="AG49:AI49" si="270">AG29-AG30</f>
        <v>247751.90551536507</v>
      </c>
      <c r="AH49" s="4">
        <f t="shared" si="270"/>
        <v>262242.44508874509</v>
      </c>
      <c r="AI49" s="4">
        <f t="shared" si="270"/>
        <v>264838.24382676953</v>
      </c>
      <c r="AJ49" s="4">
        <f t="shared" si="267"/>
        <v>279328.78340014955</v>
      </c>
      <c r="AK49" s="4">
        <f t="shared" ref="AK49:AM49" si="271">AK29-AK30</f>
        <v>281924.58213817398</v>
      </c>
      <c r="AL49" s="4">
        <f t="shared" si="271"/>
        <v>296415.12171155401</v>
      </c>
      <c r="AM49" s="4">
        <f t="shared" si="271"/>
        <v>299010.92044957867</v>
      </c>
      <c r="AN49" s="4">
        <f t="shared" si="267"/>
        <v>313501.46002295846</v>
      </c>
      <c r="AO49" s="4">
        <f t="shared" ref="AO49:AQ49" si="272">AO29-AO30</f>
        <v>316097.25876098312</v>
      </c>
      <c r="AP49" s="4">
        <f t="shared" si="272"/>
        <v>330587.79833436292</v>
      </c>
      <c r="AQ49" s="4">
        <f t="shared" si="272"/>
        <v>333183.59707238758</v>
      </c>
      <c r="AR49" s="4">
        <f t="shared" si="267"/>
        <v>347674.13664576737</v>
      </c>
      <c r="AS49" s="67"/>
      <c r="AT49" s="67"/>
      <c r="AU49" s="67"/>
    </row>
    <row r="50" spans="2:47">
      <c r="B50" t="s">
        <v>32</v>
      </c>
      <c r="C50" s="7">
        <f>C49/C29</f>
        <v>0.29713137082213137</v>
      </c>
      <c r="D50" s="7"/>
      <c r="E50" s="7">
        <f>E49/E29</f>
        <v>0.25469177095480044</v>
      </c>
      <c r="F50" s="7">
        <f>F49/F29</f>
        <v>0.31538462348291124</v>
      </c>
      <c r="G50" s="7">
        <f>G49/G29</f>
        <v>0.25469177095480044</v>
      </c>
      <c r="H50" s="7">
        <f>H49/H29</f>
        <v>0.28632624587182931</v>
      </c>
      <c r="I50" s="7">
        <f>I49/I29</f>
        <v>0.2546917709548005</v>
      </c>
      <c r="J50" s="7">
        <f t="shared" ref="J50:K50" si="273">J49/J29</f>
        <v>0.27608408522131023</v>
      </c>
      <c r="K50" s="7">
        <f t="shared" si="273"/>
        <v>0.2546917709548005</v>
      </c>
      <c r="L50" s="7">
        <f t="shared" ref="L50:T50" si="274">L49/L29</f>
        <v>0.27085196672767997</v>
      </c>
      <c r="M50" s="7">
        <f t="shared" ref="M50:O50" si="275">M49/M29</f>
        <v>0.25469177095480039</v>
      </c>
      <c r="N50" s="7">
        <f t="shared" si="275"/>
        <v>0.2676762348754485</v>
      </c>
      <c r="O50" s="7">
        <f t="shared" si="275"/>
        <v>0.25469177095480044</v>
      </c>
      <c r="P50" s="7">
        <f t="shared" si="274"/>
        <v>0.26554366712610511</v>
      </c>
      <c r="Q50" s="7">
        <f t="shared" ref="Q50:R50" si="276">Q49/Q29</f>
        <v>0.2546917709548005</v>
      </c>
      <c r="R50" s="7">
        <f t="shared" si="276"/>
        <v>0.26401278432455039</v>
      </c>
      <c r="S50" s="7">
        <f t="shared" ref="S50" si="277">S49/S29</f>
        <v>0.25469177095480044</v>
      </c>
      <c r="T50" s="7">
        <f t="shared" si="274"/>
        <v>0.26286042756423927</v>
      </c>
      <c r="U50" s="7">
        <f t="shared" ref="U50:W50" si="278">U49/U29</f>
        <v>0.25469177095480056</v>
      </c>
      <c r="V50" s="7">
        <f t="shared" si="278"/>
        <v>0.26196165223694251</v>
      </c>
      <c r="W50" s="7">
        <f t="shared" si="278"/>
        <v>0.25469177095480039</v>
      </c>
      <c r="X50" s="7">
        <f t="shared" ref="X50:Y50" si="279">X49/X29</f>
        <v>0.26124105240510981</v>
      </c>
      <c r="Y50" s="7">
        <f t="shared" si="279"/>
        <v>0.2546917709548005</v>
      </c>
      <c r="Z50" s="7">
        <f t="shared" ref="Z50:AA50" si="280">Z49/Z29</f>
        <v>0.26065042324969329</v>
      </c>
      <c r="AA50" s="7">
        <f t="shared" si="280"/>
        <v>0.25469177095480056</v>
      </c>
      <c r="AB50" s="7">
        <f t="shared" ref="AB50:AC50" si="281">AB49/AB29</f>
        <v>0.26015751038751678</v>
      </c>
      <c r="AC50" s="7">
        <f t="shared" si="281"/>
        <v>0.25469177095480056</v>
      </c>
      <c r="AD50" s="7">
        <f t="shared" ref="AD50:AE50" si="282">AD49/AD29</f>
        <v>0.25973991664055773</v>
      </c>
      <c r="AE50" s="7">
        <f t="shared" si="282"/>
        <v>0.2546917709548005</v>
      </c>
      <c r="AF50" s="7">
        <f t="shared" ref="AF50:AG50" si="283">AF49/AF29</f>
        <v>0.25938160375775299</v>
      </c>
      <c r="AG50" s="7">
        <f t="shared" si="283"/>
        <v>0.25469177095480044</v>
      </c>
      <c r="AH50" s="7">
        <f t="shared" ref="AH50:AI50" si="284">AH49/AH29</f>
        <v>0.25907078522651145</v>
      </c>
      <c r="AI50" s="7">
        <f t="shared" si="284"/>
        <v>0.25469177095480044</v>
      </c>
      <c r="AJ50" s="7">
        <f t="shared" ref="AJ50:AM50" si="285">AJ49/AJ29</f>
        <v>0.25879860492573503</v>
      </c>
      <c r="AK50" s="7">
        <f t="shared" si="285"/>
        <v>0.25469177095480044</v>
      </c>
      <c r="AL50" s="7">
        <f t="shared" si="285"/>
        <v>0.25855827971722628</v>
      </c>
      <c r="AM50" s="7">
        <f t="shared" si="285"/>
        <v>0.25469177095480056</v>
      </c>
      <c r="AN50" s="7">
        <f t="shared" ref="AN50:AQ50" si="286">AN49/AN29</f>
        <v>0.25834452643924077</v>
      </c>
      <c r="AO50" s="7">
        <f t="shared" si="286"/>
        <v>0.25469177095480056</v>
      </c>
      <c r="AP50" s="7">
        <f t="shared" si="286"/>
        <v>0.25815316900906943</v>
      </c>
      <c r="AQ50" s="7">
        <f t="shared" si="286"/>
        <v>0.2546917709548005</v>
      </c>
      <c r="AR50" s="7">
        <f t="shared" ref="AR50" si="287">AR49/AR29</f>
        <v>0.25798086287468214</v>
      </c>
      <c r="AS50" s="25"/>
      <c r="AT50" s="25"/>
      <c r="AU50" s="25"/>
    </row>
    <row r="55" spans="2:47" ht="21">
      <c r="B55" s="56" t="s">
        <v>3</v>
      </c>
    </row>
    <row r="56" spans="2:47">
      <c r="B56" t="s">
        <v>22</v>
      </c>
      <c r="C56" s="4">
        <f>C74*C68</f>
        <v>53999.850128919286</v>
      </c>
      <c r="D56" s="4"/>
      <c r="E56" s="4">
        <f>E74*E68</f>
        <v>33232.142159638985</v>
      </c>
      <c r="F56" s="4">
        <f>F74*F68</f>
        <v>69956.819684345377</v>
      </c>
      <c r="G56" s="4">
        <f>G74*G68</f>
        <v>95900.60031589595</v>
      </c>
      <c r="H56" s="4">
        <f>H74*H68</f>
        <v>133890.55322827603</v>
      </c>
      <c r="I56" s="4">
        <f t="shared" ref="I56:J56" si="288">I74*I68</f>
        <v>159834.33385982661</v>
      </c>
      <c r="J56" s="4">
        <f t="shared" si="288"/>
        <v>197824.28677220669</v>
      </c>
      <c r="K56" s="4">
        <f t="shared" ref="K56" si="289">K74*K68</f>
        <v>223768.06740375725</v>
      </c>
      <c r="L56" s="4">
        <f t="shared" ref="L56:AR56" si="290">L74*L68</f>
        <v>261758.02031613732</v>
      </c>
      <c r="M56" s="4">
        <f t="shared" ref="M56:O56" si="291">M74*M68</f>
        <v>287701.80094768788</v>
      </c>
      <c r="N56" s="4">
        <f t="shared" si="291"/>
        <v>325691.75386006793</v>
      </c>
      <c r="O56" s="4">
        <f t="shared" si="291"/>
        <v>351635.53449161851</v>
      </c>
      <c r="P56" s="4">
        <f t="shared" si="290"/>
        <v>389625.48740399862</v>
      </c>
      <c r="Q56" s="4">
        <f t="shared" ref="Q56:R56" si="292">Q74*Q68</f>
        <v>415569.2680355492</v>
      </c>
      <c r="R56" s="4">
        <f t="shared" si="292"/>
        <v>453559.22094792925</v>
      </c>
      <c r="S56" s="4">
        <f t="shared" ref="S56" si="293">S74*S68</f>
        <v>479503.00157947978</v>
      </c>
      <c r="T56" s="4">
        <f t="shared" si="290"/>
        <v>517492.95449185988</v>
      </c>
      <c r="U56" s="4">
        <f t="shared" ref="U56:W56" si="294">U74*U68</f>
        <v>543436.73512341047</v>
      </c>
      <c r="V56" s="4">
        <f t="shared" si="294"/>
        <v>581426.68803579058</v>
      </c>
      <c r="W56" s="4">
        <f t="shared" si="294"/>
        <v>607370.46866734105</v>
      </c>
      <c r="X56" s="4">
        <f t="shared" si="290"/>
        <v>645360.42157972115</v>
      </c>
      <c r="Y56" s="4">
        <f t="shared" ref="Y56:AA56" si="295">Y74*Y68</f>
        <v>671304.20221127174</v>
      </c>
      <c r="Z56" s="4">
        <f t="shared" si="295"/>
        <v>709294.15512365173</v>
      </c>
      <c r="AA56" s="4">
        <f t="shared" si="295"/>
        <v>735237.93575520243</v>
      </c>
      <c r="AB56" s="4">
        <f t="shared" si="290"/>
        <v>773227.88866758253</v>
      </c>
      <c r="AC56" s="4">
        <f t="shared" ref="AC56:AE56" si="296">AC74*AC68</f>
        <v>799171.66929913301</v>
      </c>
      <c r="AD56" s="4">
        <f t="shared" si="296"/>
        <v>837161.62221151311</v>
      </c>
      <c r="AE56" s="4">
        <f t="shared" si="296"/>
        <v>863105.4028430637</v>
      </c>
      <c r="AF56" s="4">
        <f t="shared" si="290"/>
        <v>901095.35575544368</v>
      </c>
      <c r="AG56" s="4">
        <f t="shared" ref="AG56:AI56" si="297">AG74*AG68</f>
        <v>927039.13638699427</v>
      </c>
      <c r="AH56" s="4">
        <f t="shared" si="297"/>
        <v>965029.08929937438</v>
      </c>
      <c r="AI56" s="4">
        <f t="shared" si="297"/>
        <v>990972.86993092485</v>
      </c>
      <c r="AJ56" s="4">
        <f t="shared" si="290"/>
        <v>1028962.8228433051</v>
      </c>
      <c r="AK56" s="4">
        <f t="shared" ref="AK56:AM56" si="298">AK74*AK68</f>
        <v>1054906.6034748557</v>
      </c>
      <c r="AL56" s="4">
        <f t="shared" si="298"/>
        <v>1092896.5563872356</v>
      </c>
      <c r="AM56" s="4">
        <f t="shared" si="298"/>
        <v>1118840.3370187862</v>
      </c>
      <c r="AN56" s="4">
        <f t="shared" si="290"/>
        <v>1156830.2899311662</v>
      </c>
      <c r="AO56" s="4">
        <f t="shared" ref="AO56:AQ56" si="299">AO74*AO68</f>
        <v>1182774.070562717</v>
      </c>
      <c r="AP56" s="4">
        <f t="shared" si="299"/>
        <v>1220764.0234750968</v>
      </c>
      <c r="AQ56" s="4">
        <f t="shared" si="299"/>
        <v>1246707.8041066474</v>
      </c>
      <c r="AR56" s="4">
        <f t="shared" si="290"/>
        <v>1284697.7570190276</v>
      </c>
      <c r="AS56" s="67"/>
      <c r="AT56" s="67"/>
      <c r="AU56" s="67"/>
    </row>
    <row r="57" spans="2:47" s="54" customFormat="1">
      <c r="B57" s="54" t="s">
        <v>23</v>
      </c>
      <c r="C57" s="57">
        <f>'DATA ENTRY'!E5</f>
        <v>37354.699999999997</v>
      </c>
      <c r="D57" s="57"/>
      <c r="E57" s="57">
        <v>25000</v>
      </c>
      <c r="F57" s="57">
        <v>50000</v>
      </c>
      <c r="G57" s="57">
        <v>75000</v>
      </c>
      <c r="H57" s="57">
        <v>100000</v>
      </c>
      <c r="I57" s="57">
        <v>125000</v>
      </c>
      <c r="J57" s="57">
        <v>150000</v>
      </c>
      <c r="K57" s="57">
        <v>175000</v>
      </c>
      <c r="L57" s="57">
        <v>200000</v>
      </c>
      <c r="M57" s="57">
        <v>225000</v>
      </c>
      <c r="N57" s="57">
        <v>250000</v>
      </c>
      <c r="O57" s="57">
        <v>275000</v>
      </c>
      <c r="P57" s="57">
        <v>300000</v>
      </c>
      <c r="Q57" s="57">
        <v>325000</v>
      </c>
      <c r="R57" s="57">
        <v>350000</v>
      </c>
      <c r="S57" s="57">
        <v>375000</v>
      </c>
      <c r="T57" s="57">
        <v>400000</v>
      </c>
      <c r="U57" s="57">
        <v>425000</v>
      </c>
      <c r="V57" s="57">
        <v>450000</v>
      </c>
      <c r="W57" s="57">
        <v>475000</v>
      </c>
      <c r="X57" s="57">
        <v>500000</v>
      </c>
      <c r="Y57" s="57">
        <v>525000</v>
      </c>
      <c r="Z57" s="57">
        <v>550000</v>
      </c>
      <c r="AA57" s="57">
        <v>575000</v>
      </c>
      <c r="AB57" s="57">
        <v>600000</v>
      </c>
      <c r="AC57" s="57">
        <v>625000</v>
      </c>
      <c r="AD57" s="57">
        <v>650000</v>
      </c>
      <c r="AE57" s="57">
        <v>675000</v>
      </c>
      <c r="AF57" s="57">
        <v>700000</v>
      </c>
      <c r="AG57" s="57">
        <v>725000</v>
      </c>
      <c r="AH57" s="57">
        <v>750000</v>
      </c>
      <c r="AI57" s="57">
        <v>775000</v>
      </c>
      <c r="AJ57" s="57">
        <v>800000</v>
      </c>
      <c r="AK57" s="57">
        <v>825000</v>
      </c>
      <c r="AL57" s="57">
        <v>850000</v>
      </c>
      <c r="AM57" s="57">
        <v>875000</v>
      </c>
      <c r="AN57" s="57">
        <v>900000</v>
      </c>
      <c r="AO57" s="57">
        <v>925000</v>
      </c>
      <c r="AP57" s="57">
        <v>950000</v>
      </c>
      <c r="AQ57" s="57">
        <v>975000</v>
      </c>
      <c r="AR57" s="57">
        <v>1000000</v>
      </c>
      <c r="AS57" s="67"/>
      <c r="AT57" s="67"/>
      <c r="AU57" s="67"/>
    </row>
    <row r="58" spans="2:47">
      <c r="B58" t="s">
        <v>24</v>
      </c>
      <c r="C58" s="4">
        <f>C57*0.08</f>
        <v>2988.3759999999997</v>
      </c>
      <c r="D58" s="4"/>
      <c r="E58" s="4">
        <f>C57*0.08</f>
        <v>2988.3759999999997</v>
      </c>
      <c r="F58" s="4">
        <f>F57*0.075</f>
        <v>3750</v>
      </c>
      <c r="G58" s="4">
        <f t="shared" ref="G58:AR58" si="300">G57*0.075</f>
        <v>5625</v>
      </c>
      <c r="H58" s="4">
        <f t="shared" si="300"/>
        <v>7500</v>
      </c>
      <c r="I58" s="4">
        <f t="shared" si="300"/>
        <v>9375</v>
      </c>
      <c r="J58" s="4">
        <f t="shared" si="300"/>
        <v>11250</v>
      </c>
      <c r="K58" s="4">
        <f t="shared" si="300"/>
        <v>13125</v>
      </c>
      <c r="L58" s="4">
        <f t="shared" si="300"/>
        <v>15000</v>
      </c>
      <c r="M58" s="4">
        <f t="shared" si="300"/>
        <v>16875</v>
      </c>
      <c r="N58" s="4">
        <f t="shared" si="300"/>
        <v>18750</v>
      </c>
      <c r="O58" s="4">
        <f t="shared" si="300"/>
        <v>20625</v>
      </c>
      <c r="P58" s="4">
        <f t="shared" si="300"/>
        <v>22500</v>
      </c>
      <c r="Q58" s="4">
        <f t="shared" si="300"/>
        <v>24375</v>
      </c>
      <c r="R58" s="4">
        <f t="shared" si="300"/>
        <v>26250</v>
      </c>
      <c r="S58" s="4">
        <f t="shared" si="300"/>
        <v>28125</v>
      </c>
      <c r="T58" s="4">
        <f t="shared" si="300"/>
        <v>30000</v>
      </c>
      <c r="U58" s="4">
        <f t="shared" si="300"/>
        <v>31875</v>
      </c>
      <c r="V58" s="4">
        <f t="shared" si="300"/>
        <v>33750</v>
      </c>
      <c r="W58" s="4">
        <f t="shared" si="300"/>
        <v>35625</v>
      </c>
      <c r="X58" s="4">
        <f t="shared" si="300"/>
        <v>37500</v>
      </c>
      <c r="Y58" s="4">
        <f t="shared" si="300"/>
        <v>39375</v>
      </c>
      <c r="Z58" s="4">
        <f t="shared" si="300"/>
        <v>41250</v>
      </c>
      <c r="AA58" s="4">
        <f t="shared" si="300"/>
        <v>43125</v>
      </c>
      <c r="AB58" s="4">
        <f t="shared" si="300"/>
        <v>45000</v>
      </c>
      <c r="AC58" s="4">
        <f t="shared" si="300"/>
        <v>46875</v>
      </c>
      <c r="AD58" s="4">
        <f t="shared" si="300"/>
        <v>48750</v>
      </c>
      <c r="AE58" s="4">
        <f t="shared" si="300"/>
        <v>50625</v>
      </c>
      <c r="AF58" s="4">
        <f t="shared" si="300"/>
        <v>52500</v>
      </c>
      <c r="AG58" s="4">
        <f t="shared" si="300"/>
        <v>54375</v>
      </c>
      <c r="AH58" s="4">
        <f t="shared" si="300"/>
        <v>56250</v>
      </c>
      <c r="AI58" s="4">
        <f t="shared" si="300"/>
        <v>58125</v>
      </c>
      <c r="AJ58" s="4">
        <f t="shared" si="300"/>
        <v>60000</v>
      </c>
      <c r="AK58" s="4">
        <f t="shared" si="300"/>
        <v>61875</v>
      </c>
      <c r="AL58" s="4">
        <f t="shared" si="300"/>
        <v>63750</v>
      </c>
      <c r="AM58" s="4">
        <f t="shared" si="300"/>
        <v>65625</v>
      </c>
      <c r="AN58" s="4">
        <f t="shared" si="300"/>
        <v>67500</v>
      </c>
      <c r="AO58" s="4">
        <f t="shared" si="300"/>
        <v>69375</v>
      </c>
      <c r="AP58" s="4">
        <f t="shared" si="300"/>
        <v>71250</v>
      </c>
      <c r="AQ58" s="4">
        <f t="shared" si="300"/>
        <v>73125</v>
      </c>
      <c r="AR58" s="4">
        <f t="shared" si="300"/>
        <v>75000</v>
      </c>
      <c r="AS58" s="67"/>
      <c r="AT58" s="67"/>
      <c r="AU58" s="67"/>
    </row>
    <row r="59" spans="2:47">
      <c r="B59" t="s">
        <v>10</v>
      </c>
      <c r="C59" s="4">
        <f>(C57/1000)*C68</f>
        <v>1344.7691999999997</v>
      </c>
      <c r="D59" s="4"/>
      <c r="E59" s="4">
        <f>(E57/1000)*E68</f>
        <v>900</v>
      </c>
      <c r="F59" s="4">
        <f>(F57/1000)*F68</f>
        <v>1800</v>
      </c>
      <c r="G59" s="4">
        <f>(G57/1000)*G68</f>
        <v>2700</v>
      </c>
      <c r="H59" s="4">
        <f>(H57/1000)*H68</f>
        <v>3600</v>
      </c>
      <c r="I59" s="4">
        <f t="shared" ref="I59:J59" si="301">(I57/1000)*I68</f>
        <v>4500</v>
      </c>
      <c r="J59" s="4">
        <f t="shared" si="301"/>
        <v>5400</v>
      </c>
      <c r="K59" s="4">
        <f t="shared" ref="K59" si="302">(K57/1000)*K68</f>
        <v>6300</v>
      </c>
      <c r="L59" s="4">
        <f t="shared" ref="L59:AR59" si="303">(L57/1000)*L68</f>
        <v>7200</v>
      </c>
      <c r="M59" s="4">
        <f t="shared" ref="M59:O59" si="304">(M57/1000)*M68</f>
        <v>8100</v>
      </c>
      <c r="N59" s="4">
        <f t="shared" si="304"/>
        <v>9000</v>
      </c>
      <c r="O59" s="4">
        <f t="shared" si="304"/>
        <v>9900</v>
      </c>
      <c r="P59" s="4">
        <f t="shared" si="303"/>
        <v>10800</v>
      </c>
      <c r="Q59" s="4">
        <f t="shared" ref="Q59:R59" si="305">(Q57/1000)*Q68</f>
        <v>11700</v>
      </c>
      <c r="R59" s="4">
        <f t="shared" si="305"/>
        <v>12600</v>
      </c>
      <c r="S59" s="4">
        <f t="shared" ref="S59" si="306">(S57/1000)*S68</f>
        <v>13500</v>
      </c>
      <c r="T59" s="4">
        <f t="shared" si="303"/>
        <v>14400</v>
      </c>
      <c r="U59" s="4">
        <f t="shared" ref="U59:W59" si="307">(U57/1000)*U68</f>
        <v>15300</v>
      </c>
      <c r="V59" s="4">
        <f t="shared" si="307"/>
        <v>16200</v>
      </c>
      <c r="W59" s="4">
        <f t="shared" si="307"/>
        <v>17100</v>
      </c>
      <c r="X59" s="4">
        <f t="shared" si="303"/>
        <v>18000</v>
      </c>
      <c r="Y59" s="4">
        <f t="shared" ref="Y59:AA59" si="308">(Y57/1000)*Y68</f>
        <v>18900</v>
      </c>
      <c r="Z59" s="4">
        <f t="shared" si="308"/>
        <v>19800</v>
      </c>
      <c r="AA59" s="4">
        <f t="shared" si="308"/>
        <v>20700</v>
      </c>
      <c r="AB59" s="4">
        <f t="shared" si="303"/>
        <v>21600</v>
      </c>
      <c r="AC59" s="4">
        <f t="shared" ref="AC59:AE59" si="309">(AC57/1000)*AC68</f>
        <v>22500</v>
      </c>
      <c r="AD59" s="4">
        <f t="shared" si="309"/>
        <v>23400</v>
      </c>
      <c r="AE59" s="4">
        <f t="shared" si="309"/>
        <v>24300</v>
      </c>
      <c r="AF59" s="4">
        <f t="shared" si="303"/>
        <v>25200</v>
      </c>
      <c r="AG59" s="4">
        <f t="shared" ref="AG59:AI59" si="310">(AG57/1000)*AG68</f>
        <v>26100</v>
      </c>
      <c r="AH59" s="4">
        <f t="shared" si="310"/>
        <v>27000</v>
      </c>
      <c r="AI59" s="4">
        <f t="shared" si="310"/>
        <v>27900</v>
      </c>
      <c r="AJ59" s="4">
        <f t="shared" si="303"/>
        <v>28800</v>
      </c>
      <c r="AK59" s="4">
        <f t="shared" ref="AK59:AM59" si="311">(AK57/1000)*AK68</f>
        <v>29700</v>
      </c>
      <c r="AL59" s="4">
        <f t="shared" si="311"/>
        <v>30600</v>
      </c>
      <c r="AM59" s="4">
        <f t="shared" si="311"/>
        <v>31500</v>
      </c>
      <c r="AN59" s="4">
        <f t="shared" si="303"/>
        <v>32400</v>
      </c>
      <c r="AO59" s="4">
        <f t="shared" ref="AO59:AQ59" si="312">(AO57/1000)*AO68</f>
        <v>33300</v>
      </c>
      <c r="AP59" s="4">
        <f t="shared" si="312"/>
        <v>34200</v>
      </c>
      <c r="AQ59" s="4">
        <f t="shared" si="312"/>
        <v>35100</v>
      </c>
      <c r="AR59" s="4">
        <f t="shared" si="303"/>
        <v>36000</v>
      </c>
      <c r="AS59" s="67"/>
      <c r="AT59" s="67"/>
      <c r="AU59" s="67"/>
    </row>
    <row r="60" spans="2:47">
      <c r="B60" t="s">
        <v>11</v>
      </c>
      <c r="C60" s="4">
        <f>'DATA ENTRY'!E9</f>
        <v>5000</v>
      </c>
      <c r="D60" s="4"/>
      <c r="E60" s="4"/>
      <c r="F60" s="4">
        <f>C60</f>
        <v>5000</v>
      </c>
      <c r="G60" s="4">
        <f t="shared" ref="G60:AR60" si="313">E60</f>
        <v>0</v>
      </c>
      <c r="H60" s="4">
        <f t="shared" si="313"/>
        <v>5000</v>
      </c>
      <c r="I60" s="4">
        <f t="shared" si="313"/>
        <v>0</v>
      </c>
      <c r="J60" s="4">
        <f t="shared" si="313"/>
        <v>5000</v>
      </c>
      <c r="K60" s="4">
        <f t="shared" si="313"/>
        <v>0</v>
      </c>
      <c r="L60" s="4">
        <f t="shared" si="313"/>
        <v>5000</v>
      </c>
      <c r="M60" s="4">
        <f t="shared" si="313"/>
        <v>0</v>
      </c>
      <c r="N60" s="4">
        <f t="shared" si="313"/>
        <v>5000</v>
      </c>
      <c r="O60" s="4">
        <f t="shared" si="313"/>
        <v>0</v>
      </c>
      <c r="P60" s="4">
        <f t="shared" si="313"/>
        <v>5000</v>
      </c>
      <c r="Q60" s="4">
        <f t="shared" si="313"/>
        <v>0</v>
      </c>
      <c r="R60" s="4">
        <f t="shared" si="313"/>
        <v>5000</v>
      </c>
      <c r="S60" s="4">
        <f t="shared" si="313"/>
        <v>0</v>
      </c>
      <c r="T60" s="4">
        <f t="shared" si="313"/>
        <v>5000</v>
      </c>
      <c r="U60" s="4">
        <f t="shared" si="313"/>
        <v>0</v>
      </c>
      <c r="V60" s="4">
        <f t="shared" si="313"/>
        <v>5000</v>
      </c>
      <c r="W60" s="4">
        <f t="shared" si="313"/>
        <v>0</v>
      </c>
      <c r="X60" s="4">
        <f t="shared" si="313"/>
        <v>5000</v>
      </c>
      <c r="Y60" s="4">
        <f t="shared" si="313"/>
        <v>0</v>
      </c>
      <c r="Z60" s="4">
        <f t="shared" si="313"/>
        <v>5000</v>
      </c>
      <c r="AA60" s="4">
        <f t="shared" si="313"/>
        <v>0</v>
      </c>
      <c r="AB60" s="4">
        <f t="shared" si="313"/>
        <v>5000</v>
      </c>
      <c r="AC60" s="4">
        <f t="shared" si="313"/>
        <v>0</v>
      </c>
      <c r="AD60" s="4">
        <f t="shared" si="313"/>
        <v>5000</v>
      </c>
      <c r="AE60" s="4">
        <f t="shared" si="313"/>
        <v>0</v>
      </c>
      <c r="AF60" s="4">
        <f t="shared" si="313"/>
        <v>5000</v>
      </c>
      <c r="AG60" s="4">
        <f t="shared" si="313"/>
        <v>0</v>
      </c>
      <c r="AH60" s="4">
        <f t="shared" si="313"/>
        <v>5000</v>
      </c>
      <c r="AI60" s="4">
        <f t="shared" si="313"/>
        <v>0</v>
      </c>
      <c r="AJ60" s="4">
        <f t="shared" si="313"/>
        <v>5000</v>
      </c>
      <c r="AK60" s="4">
        <f t="shared" si="313"/>
        <v>0</v>
      </c>
      <c r="AL60" s="4">
        <f t="shared" si="313"/>
        <v>5000</v>
      </c>
      <c r="AM60" s="4">
        <f t="shared" si="313"/>
        <v>0</v>
      </c>
      <c r="AN60" s="4">
        <f t="shared" si="313"/>
        <v>5000</v>
      </c>
      <c r="AO60" s="4">
        <f t="shared" si="313"/>
        <v>0</v>
      </c>
      <c r="AP60" s="4">
        <f t="shared" si="313"/>
        <v>5000</v>
      </c>
      <c r="AQ60" s="4">
        <f t="shared" si="313"/>
        <v>0</v>
      </c>
      <c r="AR60" s="4">
        <f t="shared" si="313"/>
        <v>5000</v>
      </c>
      <c r="AS60" s="67"/>
      <c r="AT60" s="67"/>
      <c r="AU60" s="67"/>
    </row>
    <row r="61" spans="2:47">
      <c r="B61" t="s">
        <v>12</v>
      </c>
      <c r="C61" s="4">
        <f>'DATA ENTRY'!E10</f>
        <v>300</v>
      </c>
      <c r="D61" s="4"/>
      <c r="E61" s="4"/>
      <c r="F61" s="4">
        <f>C61</f>
        <v>300</v>
      </c>
      <c r="G61" s="4">
        <f t="shared" ref="G61:AR61" si="314">E61</f>
        <v>0</v>
      </c>
      <c r="H61" s="4">
        <f t="shared" si="314"/>
        <v>300</v>
      </c>
      <c r="I61" s="4">
        <f t="shared" si="314"/>
        <v>0</v>
      </c>
      <c r="J61" s="4">
        <f t="shared" si="314"/>
        <v>300</v>
      </c>
      <c r="K61" s="4">
        <f t="shared" si="314"/>
        <v>0</v>
      </c>
      <c r="L61" s="4">
        <f t="shared" si="314"/>
        <v>300</v>
      </c>
      <c r="M61" s="4">
        <f t="shared" si="314"/>
        <v>0</v>
      </c>
      <c r="N61" s="4">
        <f t="shared" si="314"/>
        <v>300</v>
      </c>
      <c r="O61" s="4">
        <f t="shared" si="314"/>
        <v>0</v>
      </c>
      <c r="P61" s="4">
        <f t="shared" si="314"/>
        <v>300</v>
      </c>
      <c r="Q61" s="4">
        <f t="shared" si="314"/>
        <v>0</v>
      </c>
      <c r="R61" s="4">
        <f t="shared" si="314"/>
        <v>300</v>
      </c>
      <c r="S61" s="4">
        <f t="shared" si="314"/>
        <v>0</v>
      </c>
      <c r="T61" s="4">
        <f t="shared" si="314"/>
        <v>300</v>
      </c>
      <c r="U61" s="4">
        <f t="shared" si="314"/>
        <v>0</v>
      </c>
      <c r="V61" s="4">
        <f t="shared" si="314"/>
        <v>300</v>
      </c>
      <c r="W61" s="4">
        <f t="shared" si="314"/>
        <v>0</v>
      </c>
      <c r="X61" s="4">
        <f t="shared" si="314"/>
        <v>300</v>
      </c>
      <c r="Y61" s="4">
        <f t="shared" si="314"/>
        <v>0</v>
      </c>
      <c r="Z61" s="4">
        <f t="shared" si="314"/>
        <v>300</v>
      </c>
      <c r="AA61" s="4">
        <f t="shared" si="314"/>
        <v>0</v>
      </c>
      <c r="AB61" s="4">
        <f t="shared" si="314"/>
        <v>300</v>
      </c>
      <c r="AC61" s="4">
        <f t="shared" si="314"/>
        <v>0</v>
      </c>
      <c r="AD61" s="4">
        <f t="shared" si="314"/>
        <v>300</v>
      </c>
      <c r="AE61" s="4">
        <f t="shared" si="314"/>
        <v>0</v>
      </c>
      <c r="AF61" s="4">
        <f t="shared" si="314"/>
        <v>300</v>
      </c>
      <c r="AG61" s="4">
        <f t="shared" si="314"/>
        <v>0</v>
      </c>
      <c r="AH61" s="4">
        <f t="shared" si="314"/>
        <v>300</v>
      </c>
      <c r="AI61" s="4">
        <f t="shared" si="314"/>
        <v>0</v>
      </c>
      <c r="AJ61" s="4">
        <f t="shared" si="314"/>
        <v>300</v>
      </c>
      <c r="AK61" s="4">
        <f t="shared" si="314"/>
        <v>0</v>
      </c>
      <c r="AL61" s="4">
        <f t="shared" si="314"/>
        <v>300</v>
      </c>
      <c r="AM61" s="4">
        <f t="shared" si="314"/>
        <v>0</v>
      </c>
      <c r="AN61" s="4">
        <f t="shared" si="314"/>
        <v>300</v>
      </c>
      <c r="AO61" s="4">
        <f t="shared" si="314"/>
        <v>0</v>
      </c>
      <c r="AP61" s="4">
        <f t="shared" si="314"/>
        <v>300</v>
      </c>
      <c r="AQ61" s="4">
        <f t="shared" si="314"/>
        <v>0</v>
      </c>
      <c r="AR61" s="4">
        <f t="shared" si="314"/>
        <v>300</v>
      </c>
      <c r="AS61" s="67"/>
      <c r="AT61" s="67"/>
      <c r="AU61" s="67"/>
    </row>
    <row r="62" spans="2:47">
      <c r="B62" t="s">
        <v>13</v>
      </c>
      <c r="C62" s="4">
        <f>C67*C57*2</f>
        <v>529.19158333333337</v>
      </c>
      <c r="D62" s="4"/>
      <c r="E62" s="4">
        <f>E67*E57*2</f>
        <v>354.16666666666669</v>
      </c>
      <c r="F62" s="4">
        <f t="shared" ref="F62:AR62" si="315">F67*F57*2</f>
        <v>708.33333333333337</v>
      </c>
      <c r="G62" s="4">
        <f t="shared" si="315"/>
        <v>1062.5</v>
      </c>
      <c r="H62" s="4">
        <f t="shared" si="315"/>
        <v>1416.6666666666667</v>
      </c>
      <c r="I62" s="4">
        <f t="shared" si="315"/>
        <v>1770.8333333333335</v>
      </c>
      <c r="J62" s="4">
        <f t="shared" si="315"/>
        <v>2125</v>
      </c>
      <c r="K62" s="4">
        <f t="shared" si="315"/>
        <v>2479.166666666667</v>
      </c>
      <c r="L62" s="4">
        <f t="shared" si="315"/>
        <v>2833.3333333333335</v>
      </c>
      <c r="M62" s="4">
        <f t="shared" si="315"/>
        <v>3187.5000000000005</v>
      </c>
      <c r="N62" s="4">
        <f t="shared" si="315"/>
        <v>3541.666666666667</v>
      </c>
      <c r="O62" s="4">
        <f t="shared" si="315"/>
        <v>3895.8333333333335</v>
      </c>
      <c r="P62" s="4">
        <f t="shared" si="315"/>
        <v>4250</v>
      </c>
      <c r="Q62" s="4">
        <f t="shared" si="315"/>
        <v>4604.166666666667</v>
      </c>
      <c r="R62" s="4">
        <f t="shared" si="315"/>
        <v>4958.3333333333339</v>
      </c>
      <c r="S62" s="4">
        <f t="shared" si="315"/>
        <v>5312.5</v>
      </c>
      <c r="T62" s="4">
        <f t="shared" si="315"/>
        <v>5666.666666666667</v>
      </c>
      <c r="U62" s="4">
        <f t="shared" si="315"/>
        <v>6020.8333333333339</v>
      </c>
      <c r="V62" s="4">
        <f t="shared" si="315"/>
        <v>6375.0000000000009</v>
      </c>
      <c r="W62" s="4">
        <f t="shared" si="315"/>
        <v>6729.166666666667</v>
      </c>
      <c r="X62" s="4">
        <f t="shared" si="315"/>
        <v>7083.3333333333339</v>
      </c>
      <c r="Y62" s="4">
        <f t="shared" si="315"/>
        <v>7437.5000000000009</v>
      </c>
      <c r="Z62" s="4">
        <f t="shared" si="315"/>
        <v>7791.666666666667</v>
      </c>
      <c r="AA62" s="4">
        <f t="shared" si="315"/>
        <v>8145.8333333333339</v>
      </c>
      <c r="AB62" s="4">
        <f t="shared" si="315"/>
        <v>8500</v>
      </c>
      <c r="AC62" s="4">
        <f t="shared" si="315"/>
        <v>8854.1666666666679</v>
      </c>
      <c r="AD62" s="4">
        <f t="shared" si="315"/>
        <v>9208.3333333333339</v>
      </c>
      <c r="AE62" s="4">
        <f t="shared" si="315"/>
        <v>9562.5</v>
      </c>
      <c r="AF62" s="4">
        <f t="shared" si="315"/>
        <v>9916.6666666666679</v>
      </c>
      <c r="AG62" s="4">
        <f t="shared" si="315"/>
        <v>10270.833333333334</v>
      </c>
      <c r="AH62" s="4">
        <f t="shared" si="315"/>
        <v>10625</v>
      </c>
      <c r="AI62" s="4">
        <f t="shared" si="315"/>
        <v>10979.166666666668</v>
      </c>
      <c r="AJ62" s="4">
        <f t="shared" si="315"/>
        <v>11333.333333333334</v>
      </c>
      <c r="AK62" s="4">
        <f t="shared" si="315"/>
        <v>11687.5</v>
      </c>
      <c r="AL62" s="4">
        <f t="shared" si="315"/>
        <v>12041.666666666668</v>
      </c>
      <c r="AM62" s="4">
        <f t="shared" si="315"/>
        <v>12395.833333333334</v>
      </c>
      <c r="AN62" s="4">
        <f t="shared" si="315"/>
        <v>12750.000000000002</v>
      </c>
      <c r="AO62" s="4">
        <f t="shared" si="315"/>
        <v>13104.166666666668</v>
      </c>
      <c r="AP62" s="4">
        <f t="shared" si="315"/>
        <v>13458.333333333334</v>
      </c>
      <c r="AQ62" s="4">
        <f t="shared" si="315"/>
        <v>13812.500000000002</v>
      </c>
      <c r="AR62" s="4">
        <f t="shared" si="315"/>
        <v>14166.666666666668</v>
      </c>
      <c r="AS62" s="67"/>
      <c r="AT62" s="67"/>
      <c r="AU62" s="67"/>
    </row>
    <row r="63" spans="2:47">
      <c r="B63" t="s">
        <v>25</v>
      </c>
      <c r="C63" s="4">
        <f>SUM(C57:C62)</f>
        <v>47517.036783333329</v>
      </c>
      <c r="D63" s="4"/>
      <c r="E63" s="4">
        <f>SUM(E57:E62)</f>
        <v>29242.542666666668</v>
      </c>
      <c r="F63" s="4">
        <f>SUM(F57:F62)</f>
        <v>61558.333333333336</v>
      </c>
      <c r="G63" s="4">
        <f>SUM(G57:G62)</f>
        <v>84387.5</v>
      </c>
      <c r="H63" s="4">
        <f>SUM(H57:H62)</f>
        <v>117816.66666666667</v>
      </c>
      <c r="I63" s="4">
        <f t="shared" ref="I63:J63" si="316">SUM(I57:I62)</f>
        <v>140645.83333333334</v>
      </c>
      <c r="J63" s="4">
        <f t="shared" si="316"/>
        <v>174075</v>
      </c>
      <c r="K63" s="4">
        <f t="shared" ref="K63" si="317">SUM(K57:K62)</f>
        <v>196904.16666666666</v>
      </c>
      <c r="L63" s="4">
        <f t="shared" ref="L63:AR63" si="318">SUM(L57:L62)</f>
        <v>230333.33333333334</v>
      </c>
      <c r="M63" s="4">
        <f t="shared" ref="M63:O63" si="319">SUM(M57:M62)</f>
        <v>253162.5</v>
      </c>
      <c r="N63" s="4">
        <f t="shared" si="319"/>
        <v>286591.66666666669</v>
      </c>
      <c r="O63" s="4">
        <f t="shared" si="319"/>
        <v>309420.83333333331</v>
      </c>
      <c r="P63" s="4">
        <f t="shared" si="318"/>
        <v>342850</v>
      </c>
      <c r="Q63" s="4">
        <f t="shared" ref="Q63:R63" si="320">SUM(Q57:Q62)</f>
        <v>365679.16666666669</v>
      </c>
      <c r="R63" s="4">
        <f t="shared" si="320"/>
        <v>399108.33333333331</v>
      </c>
      <c r="S63" s="4">
        <f t="shared" ref="S63" si="321">SUM(S57:S62)</f>
        <v>421937.5</v>
      </c>
      <c r="T63" s="4">
        <f t="shared" si="318"/>
        <v>455366.66666666669</v>
      </c>
      <c r="U63" s="4">
        <f t="shared" ref="U63:W63" si="322">SUM(U57:U62)</f>
        <v>478195.83333333331</v>
      </c>
      <c r="V63" s="4">
        <f t="shared" si="322"/>
        <v>511625</v>
      </c>
      <c r="W63" s="4">
        <f t="shared" si="322"/>
        <v>534454.16666666663</v>
      </c>
      <c r="X63" s="4">
        <f t="shared" si="318"/>
        <v>567883.33333333337</v>
      </c>
      <c r="Y63" s="4">
        <f t="shared" ref="Y63:AA63" si="323">SUM(Y57:Y62)</f>
        <v>590712.5</v>
      </c>
      <c r="Z63" s="4">
        <f t="shared" si="323"/>
        <v>624141.66666666663</v>
      </c>
      <c r="AA63" s="4">
        <f t="shared" si="323"/>
        <v>646970.83333333337</v>
      </c>
      <c r="AB63" s="4">
        <f t="shared" si="318"/>
        <v>680400</v>
      </c>
      <c r="AC63" s="4">
        <f t="shared" ref="AC63:AE63" si="324">SUM(AC57:AC62)</f>
        <v>703229.16666666663</v>
      </c>
      <c r="AD63" s="4">
        <f t="shared" si="324"/>
        <v>736658.33333333337</v>
      </c>
      <c r="AE63" s="4">
        <f t="shared" si="324"/>
        <v>759487.5</v>
      </c>
      <c r="AF63" s="4">
        <f t="shared" si="318"/>
        <v>792916.66666666663</v>
      </c>
      <c r="AG63" s="4">
        <f t="shared" ref="AG63:AI63" si="325">SUM(AG57:AG62)</f>
        <v>815745.83333333337</v>
      </c>
      <c r="AH63" s="4">
        <f t="shared" si="325"/>
        <v>849175</v>
      </c>
      <c r="AI63" s="4">
        <f t="shared" si="325"/>
        <v>872004.16666666663</v>
      </c>
      <c r="AJ63" s="4">
        <f t="shared" si="318"/>
        <v>905433.33333333337</v>
      </c>
      <c r="AK63" s="4">
        <f t="shared" ref="AK63:AM63" si="326">SUM(AK57:AK62)</f>
        <v>928262.5</v>
      </c>
      <c r="AL63" s="4">
        <f t="shared" si="326"/>
        <v>961691.66666666663</v>
      </c>
      <c r="AM63" s="4">
        <f t="shared" si="326"/>
        <v>984520.83333333337</v>
      </c>
      <c r="AN63" s="4">
        <f t="shared" si="318"/>
        <v>1017950</v>
      </c>
      <c r="AO63" s="4">
        <f t="shared" ref="AO63:AQ63" si="327">SUM(AO57:AO62)</f>
        <v>1040779.1666666666</v>
      </c>
      <c r="AP63" s="4">
        <f t="shared" si="327"/>
        <v>1074208.3333333333</v>
      </c>
      <c r="AQ63" s="4">
        <f t="shared" si="327"/>
        <v>1097037.5</v>
      </c>
      <c r="AR63" s="4">
        <f t="shared" si="318"/>
        <v>1130466.6666666667</v>
      </c>
      <c r="AS63" s="67"/>
      <c r="AT63" s="67"/>
      <c r="AU63" s="67"/>
    </row>
    <row r="64" spans="2:47">
      <c r="B64" s="65" t="s">
        <v>26</v>
      </c>
      <c r="C64" s="66">
        <v>8.5000000000000006E-2</v>
      </c>
      <c r="D64" s="66"/>
      <c r="E64" s="66">
        <f>C64</f>
        <v>8.5000000000000006E-2</v>
      </c>
      <c r="F64" s="66">
        <f>C64</f>
        <v>8.5000000000000006E-2</v>
      </c>
      <c r="G64" s="66">
        <f>F64</f>
        <v>8.5000000000000006E-2</v>
      </c>
      <c r="H64" s="66">
        <f t="shared" ref="H64:AR64" si="328">F64</f>
        <v>8.5000000000000006E-2</v>
      </c>
      <c r="I64" s="66">
        <f t="shared" si="328"/>
        <v>8.5000000000000006E-2</v>
      </c>
      <c r="J64" s="66">
        <f t="shared" si="328"/>
        <v>8.5000000000000006E-2</v>
      </c>
      <c r="K64" s="66">
        <f t="shared" si="328"/>
        <v>8.5000000000000006E-2</v>
      </c>
      <c r="L64" s="66">
        <f t="shared" si="328"/>
        <v>8.5000000000000006E-2</v>
      </c>
      <c r="M64" s="66">
        <f t="shared" si="328"/>
        <v>8.5000000000000006E-2</v>
      </c>
      <c r="N64" s="66">
        <f t="shared" si="328"/>
        <v>8.5000000000000006E-2</v>
      </c>
      <c r="O64" s="66">
        <f t="shared" si="328"/>
        <v>8.5000000000000006E-2</v>
      </c>
      <c r="P64" s="66">
        <f t="shared" si="328"/>
        <v>8.5000000000000006E-2</v>
      </c>
      <c r="Q64" s="66">
        <f t="shared" si="328"/>
        <v>8.5000000000000006E-2</v>
      </c>
      <c r="R64" s="66">
        <f t="shared" si="328"/>
        <v>8.5000000000000006E-2</v>
      </c>
      <c r="S64" s="66">
        <f t="shared" si="328"/>
        <v>8.5000000000000006E-2</v>
      </c>
      <c r="T64" s="66">
        <f t="shared" si="328"/>
        <v>8.5000000000000006E-2</v>
      </c>
      <c r="U64" s="66">
        <f t="shared" si="328"/>
        <v>8.5000000000000006E-2</v>
      </c>
      <c r="V64" s="66">
        <f t="shared" si="328"/>
        <v>8.5000000000000006E-2</v>
      </c>
      <c r="W64" s="66">
        <f t="shared" si="328"/>
        <v>8.5000000000000006E-2</v>
      </c>
      <c r="X64" s="66">
        <f t="shared" si="328"/>
        <v>8.5000000000000006E-2</v>
      </c>
      <c r="Y64" s="66">
        <f t="shared" si="328"/>
        <v>8.5000000000000006E-2</v>
      </c>
      <c r="Z64" s="66">
        <f t="shared" si="328"/>
        <v>8.5000000000000006E-2</v>
      </c>
      <c r="AA64" s="66">
        <f t="shared" si="328"/>
        <v>8.5000000000000006E-2</v>
      </c>
      <c r="AB64" s="66">
        <f t="shared" si="328"/>
        <v>8.5000000000000006E-2</v>
      </c>
      <c r="AC64" s="66">
        <f t="shared" si="328"/>
        <v>8.5000000000000006E-2</v>
      </c>
      <c r="AD64" s="66">
        <f t="shared" si="328"/>
        <v>8.5000000000000006E-2</v>
      </c>
      <c r="AE64" s="66">
        <f t="shared" si="328"/>
        <v>8.5000000000000006E-2</v>
      </c>
      <c r="AF64" s="66">
        <f t="shared" si="328"/>
        <v>8.5000000000000006E-2</v>
      </c>
      <c r="AG64" s="66">
        <f t="shared" si="328"/>
        <v>8.5000000000000006E-2</v>
      </c>
      <c r="AH64" s="66">
        <f t="shared" si="328"/>
        <v>8.5000000000000006E-2</v>
      </c>
      <c r="AI64" s="66">
        <f t="shared" si="328"/>
        <v>8.5000000000000006E-2</v>
      </c>
      <c r="AJ64" s="66">
        <f t="shared" si="328"/>
        <v>8.5000000000000006E-2</v>
      </c>
      <c r="AK64" s="66">
        <f t="shared" si="328"/>
        <v>8.5000000000000006E-2</v>
      </c>
      <c r="AL64" s="66">
        <f t="shared" si="328"/>
        <v>8.5000000000000006E-2</v>
      </c>
      <c r="AM64" s="66">
        <f t="shared" si="328"/>
        <v>8.5000000000000006E-2</v>
      </c>
      <c r="AN64" s="66">
        <f t="shared" si="328"/>
        <v>8.5000000000000006E-2</v>
      </c>
      <c r="AO64" s="66">
        <f t="shared" si="328"/>
        <v>8.5000000000000006E-2</v>
      </c>
      <c r="AP64" s="66">
        <f t="shared" si="328"/>
        <v>8.5000000000000006E-2</v>
      </c>
      <c r="AQ64" s="66">
        <f t="shared" si="328"/>
        <v>8.5000000000000006E-2</v>
      </c>
      <c r="AR64" s="66">
        <f t="shared" si="328"/>
        <v>8.5000000000000006E-2</v>
      </c>
      <c r="AS64" s="68"/>
      <c r="AT64" s="68"/>
      <c r="AU64" s="68"/>
    </row>
    <row r="65" spans="2:47">
      <c r="B65" s="59" t="s">
        <v>27</v>
      </c>
      <c r="C65" s="59">
        <f>(1+C64/C68)^C68-1</f>
        <v>8.8607994092248621E-2</v>
      </c>
      <c r="D65" s="59"/>
      <c r="E65" s="59">
        <f>(1+E64/E68)^E68-1</f>
        <v>8.8607994092248621E-2</v>
      </c>
      <c r="F65" s="59">
        <f>(1+F64/F68)^F68-1</f>
        <v>8.8607994092248621E-2</v>
      </c>
      <c r="G65" s="59">
        <f>(1+G64/G68)^G68-1</f>
        <v>8.8607994092248621E-2</v>
      </c>
      <c r="H65" s="59">
        <f t="shared" ref="H65:AR65" si="329">(1+H64/H68)^H68-1</f>
        <v>8.8607994092248621E-2</v>
      </c>
      <c r="I65" s="59">
        <f t="shared" si="329"/>
        <v>8.8607994092248621E-2</v>
      </c>
      <c r="J65" s="59">
        <f t="shared" si="329"/>
        <v>8.8607994092248621E-2</v>
      </c>
      <c r="K65" s="59">
        <f t="shared" si="329"/>
        <v>8.8607994092248621E-2</v>
      </c>
      <c r="L65" s="59">
        <f t="shared" si="329"/>
        <v>8.8607994092248621E-2</v>
      </c>
      <c r="M65" s="59">
        <f t="shared" si="329"/>
        <v>8.8607994092248621E-2</v>
      </c>
      <c r="N65" s="59">
        <f t="shared" si="329"/>
        <v>8.8607994092248621E-2</v>
      </c>
      <c r="O65" s="59">
        <f t="shared" si="329"/>
        <v>8.8607994092248621E-2</v>
      </c>
      <c r="P65" s="59">
        <f t="shared" si="329"/>
        <v>8.8607994092248621E-2</v>
      </c>
      <c r="Q65" s="59">
        <f t="shared" si="329"/>
        <v>8.8607994092248621E-2</v>
      </c>
      <c r="R65" s="59">
        <f t="shared" si="329"/>
        <v>8.8607994092248621E-2</v>
      </c>
      <c r="S65" s="59">
        <f t="shared" si="329"/>
        <v>8.8607994092248621E-2</v>
      </c>
      <c r="T65" s="59">
        <f t="shared" si="329"/>
        <v>8.8607994092248621E-2</v>
      </c>
      <c r="U65" s="59">
        <f t="shared" si="329"/>
        <v>8.8607994092248621E-2</v>
      </c>
      <c r="V65" s="59">
        <f t="shared" si="329"/>
        <v>8.8607994092248621E-2</v>
      </c>
      <c r="W65" s="59">
        <f t="shared" si="329"/>
        <v>8.8607994092248621E-2</v>
      </c>
      <c r="X65" s="59">
        <f t="shared" si="329"/>
        <v>8.8607994092248621E-2</v>
      </c>
      <c r="Y65" s="59">
        <f t="shared" si="329"/>
        <v>8.8607994092248621E-2</v>
      </c>
      <c r="Z65" s="59">
        <f t="shared" si="329"/>
        <v>8.8607994092248621E-2</v>
      </c>
      <c r="AA65" s="59">
        <f t="shared" si="329"/>
        <v>8.8607994092248621E-2</v>
      </c>
      <c r="AB65" s="59">
        <f t="shared" si="329"/>
        <v>8.8607994092248621E-2</v>
      </c>
      <c r="AC65" s="59">
        <f t="shared" si="329"/>
        <v>8.8607994092248621E-2</v>
      </c>
      <c r="AD65" s="59">
        <f t="shared" si="329"/>
        <v>8.8607994092248621E-2</v>
      </c>
      <c r="AE65" s="59">
        <f t="shared" si="329"/>
        <v>8.8607994092248621E-2</v>
      </c>
      <c r="AF65" s="59">
        <f t="shared" si="329"/>
        <v>8.8607994092248621E-2</v>
      </c>
      <c r="AG65" s="59">
        <f t="shared" si="329"/>
        <v>8.8607994092248621E-2</v>
      </c>
      <c r="AH65" s="59">
        <f t="shared" si="329"/>
        <v>8.8607994092248621E-2</v>
      </c>
      <c r="AI65" s="59">
        <f t="shared" si="329"/>
        <v>8.8607994092248621E-2</v>
      </c>
      <c r="AJ65" s="59">
        <f t="shared" si="329"/>
        <v>8.8607994092248621E-2</v>
      </c>
      <c r="AK65" s="59">
        <f t="shared" si="329"/>
        <v>8.8607994092248621E-2</v>
      </c>
      <c r="AL65" s="59">
        <f t="shared" si="329"/>
        <v>8.8607994092248621E-2</v>
      </c>
      <c r="AM65" s="59">
        <f t="shared" si="329"/>
        <v>8.8607994092248621E-2</v>
      </c>
      <c r="AN65" s="59">
        <f t="shared" si="329"/>
        <v>8.8607994092248621E-2</v>
      </c>
      <c r="AO65" s="59">
        <f t="shared" si="329"/>
        <v>8.8607994092248621E-2</v>
      </c>
      <c r="AP65" s="59">
        <f t="shared" si="329"/>
        <v>8.8607994092248621E-2</v>
      </c>
      <c r="AQ65" s="59">
        <f t="shared" si="329"/>
        <v>8.8607994092248621E-2</v>
      </c>
      <c r="AR65" s="69">
        <f t="shared" si="329"/>
        <v>8.8607994092248621E-2</v>
      </c>
      <c r="AS65" s="70"/>
      <c r="AT65" s="70"/>
      <c r="AU65" s="70"/>
    </row>
    <row r="66" spans="2:47">
      <c r="B66" t="s">
        <v>28</v>
      </c>
      <c r="C66" s="60">
        <v>3</v>
      </c>
      <c r="D66" s="60"/>
      <c r="E66" s="60">
        <v>3</v>
      </c>
      <c r="F66" s="60">
        <v>3</v>
      </c>
      <c r="G66" s="60">
        <v>3</v>
      </c>
      <c r="H66" s="60">
        <v>3</v>
      </c>
      <c r="I66" s="60">
        <v>3</v>
      </c>
      <c r="J66" s="60">
        <v>3</v>
      </c>
      <c r="K66" s="60">
        <v>3</v>
      </c>
      <c r="L66" s="60">
        <f>H66</f>
        <v>3</v>
      </c>
      <c r="M66" s="60">
        <f>I66</f>
        <v>3</v>
      </c>
      <c r="N66" s="60">
        <f>K66</f>
        <v>3</v>
      </c>
      <c r="O66" s="60">
        <f t="shared" ref="O66:AR66" si="330">K66</f>
        <v>3</v>
      </c>
      <c r="P66" s="60">
        <f t="shared" si="330"/>
        <v>3</v>
      </c>
      <c r="Q66" s="60">
        <f t="shared" si="330"/>
        <v>3</v>
      </c>
      <c r="R66" s="60">
        <f t="shared" si="330"/>
        <v>3</v>
      </c>
      <c r="S66" s="60">
        <f t="shared" si="330"/>
        <v>3</v>
      </c>
      <c r="T66" s="60">
        <f t="shared" si="330"/>
        <v>3</v>
      </c>
      <c r="U66" s="60">
        <f t="shared" si="330"/>
        <v>3</v>
      </c>
      <c r="V66" s="60">
        <f t="shared" si="330"/>
        <v>3</v>
      </c>
      <c r="W66" s="60">
        <f t="shared" si="330"/>
        <v>3</v>
      </c>
      <c r="X66" s="60">
        <f t="shared" si="330"/>
        <v>3</v>
      </c>
      <c r="Y66" s="60">
        <f t="shared" si="330"/>
        <v>3</v>
      </c>
      <c r="Z66" s="60">
        <f t="shared" si="330"/>
        <v>3</v>
      </c>
      <c r="AA66" s="60">
        <f t="shared" si="330"/>
        <v>3</v>
      </c>
      <c r="AB66" s="60">
        <f t="shared" si="330"/>
        <v>3</v>
      </c>
      <c r="AC66" s="60">
        <f t="shared" si="330"/>
        <v>3</v>
      </c>
      <c r="AD66" s="60">
        <f t="shared" si="330"/>
        <v>3</v>
      </c>
      <c r="AE66" s="60">
        <f t="shared" si="330"/>
        <v>3</v>
      </c>
      <c r="AF66" s="60">
        <f t="shared" si="330"/>
        <v>3</v>
      </c>
      <c r="AG66" s="60">
        <f t="shared" si="330"/>
        <v>3</v>
      </c>
      <c r="AH66" s="60">
        <f t="shared" si="330"/>
        <v>3</v>
      </c>
      <c r="AI66" s="60">
        <f t="shared" si="330"/>
        <v>3</v>
      </c>
      <c r="AJ66" s="60">
        <f t="shared" si="330"/>
        <v>3</v>
      </c>
      <c r="AK66" s="60">
        <f t="shared" si="330"/>
        <v>3</v>
      </c>
      <c r="AL66" s="60">
        <f t="shared" si="330"/>
        <v>3</v>
      </c>
      <c r="AM66" s="60">
        <f t="shared" si="330"/>
        <v>3</v>
      </c>
      <c r="AN66" s="60">
        <f t="shared" si="330"/>
        <v>3</v>
      </c>
      <c r="AO66" s="60">
        <f t="shared" si="330"/>
        <v>3</v>
      </c>
      <c r="AP66" s="60">
        <f t="shared" si="330"/>
        <v>3</v>
      </c>
      <c r="AQ66" s="60">
        <f t="shared" si="330"/>
        <v>3</v>
      </c>
      <c r="AR66" s="60">
        <f t="shared" si="330"/>
        <v>3</v>
      </c>
      <c r="AS66" s="71"/>
      <c r="AT66" s="71"/>
      <c r="AU66" s="71"/>
    </row>
    <row r="67" spans="2:47">
      <c r="B67" t="s">
        <v>29</v>
      </c>
      <c r="C67" s="7">
        <f>C64/12</f>
        <v>7.0833333333333338E-3</v>
      </c>
      <c r="D67" s="7"/>
      <c r="E67" s="7">
        <f>E64/12</f>
        <v>7.0833333333333338E-3</v>
      </c>
      <c r="F67" s="7">
        <f>F64/12</f>
        <v>7.0833333333333338E-3</v>
      </c>
      <c r="G67" s="7">
        <f>G64/12</f>
        <v>7.0833333333333338E-3</v>
      </c>
      <c r="H67" s="7">
        <f>H64/12</f>
        <v>7.0833333333333338E-3</v>
      </c>
      <c r="I67" s="7">
        <f t="shared" ref="I67:J67" si="331">I64/12</f>
        <v>7.0833333333333338E-3</v>
      </c>
      <c r="J67" s="7">
        <f t="shared" si="331"/>
        <v>7.0833333333333338E-3</v>
      </c>
      <c r="K67" s="7">
        <f t="shared" ref="K67" si="332">K64/12</f>
        <v>7.0833333333333338E-3</v>
      </c>
      <c r="L67" s="7">
        <f t="shared" ref="L67:AR67" si="333">L64/12</f>
        <v>7.0833333333333338E-3</v>
      </c>
      <c r="M67" s="7">
        <f t="shared" ref="M67:O67" si="334">M64/12</f>
        <v>7.0833333333333338E-3</v>
      </c>
      <c r="N67" s="7">
        <f t="shared" si="334"/>
        <v>7.0833333333333338E-3</v>
      </c>
      <c r="O67" s="7">
        <f t="shared" si="334"/>
        <v>7.0833333333333338E-3</v>
      </c>
      <c r="P67" s="7">
        <f t="shared" si="333"/>
        <v>7.0833333333333338E-3</v>
      </c>
      <c r="Q67" s="7">
        <f t="shared" ref="Q67:R67" si="335">Q64/12</f>
        <v>7.0833333333333338E-3</v>
      </c>
      <c r="R67" s="7">
        <f t="shared" si="335"/>
        <v>7.0833333333333338E-3</v>
      </c>
      <c r="S67" s="7">
        <f t="shared" ref="S67" si="336">S64/12</f>
        <v>7.0833333333333338E-3</v>
      </c>
      <c r="T67" s="7">
        <f t="shared" si="333"/>
        <v>7.0833333333333338E-3</v>
      </c>
      <c r="U67" s="7">
        <f t="shared" ref="U67:W67" si="337">U64/12</f>
        <v>7.0833333333333338E-3</v>
      </c>
      <c r="V67" s="7">
        <f t="shared" si="337"/>
        <v>7.0833333333333338E-3</v>
      </c>
      <c r="W67" s="7">
        <f t="shared" si="337"/>
        <v>7.0833333333333338E-3</v>
      </c>
      <c r="X67" s="7">
        <f t="shared" si="333"/>
        <v>7.0833333333333338E-3</v>
      </c>
      <c r="Y67" s="7">
        <f t="shared" ref="Y67:AA67" si="338">Y64/12</f>
        <v>7.0833333333333338E-3</v>
      </c>
      <c r="Z67" s="7">
        <f t="shared" si="338"/>
        <v>7.0833333333333338E-3</v>
      </c>
      <c r="AA67" s="7">
        <f t="shared" si="338"/>
        <v>7.0833333333333338E-3</v>
      </c>
      <c r="AB67" s="7">
        <f t="shared" si="333"/>
        <v>7.0833333333333338E-3</v>
      </c>
      <c r="AC67" s="7">
        <f t="shared" ref="AC67:AE67" si="339">AC64/12</f>
        <v>7.0833333333333338E-3</v>
      </c>
      <c r="AD67" s="7">
        <f t="shared" si="339"/>
        <v>7.0833333333333338E-3</v>
      </c>
      <c r="AE67" s="7">
        <f t="shared" si="339"/>
        <v>7.0833333333333338E-3</v>
      </c>
      <c r="AF67" s="7">
        <f t="shared" si="333"/>
        <v>7.0833333333333338E-3</v>
      </c>
      <c r="AG67" s="7">
        <f t="shared" ref="AG67:AI67" si="340">AG64/12</f>
        <v>7.0833333333333338E-3</v>
      </c>
      <c r="AH67" s="7">
        <f t="shared" si="340"/>
        <v>7.0833333333333338E-3</v>
      </c>
      <c r="AI67" s="7">
        <f t="shared" si="340"/>
        <v>7.0833333333333338E-3</v>
      </c>
      <c r="AJ67" s="7">
        <f t="shared" si="333"/>
        <v>7.0833333333333338E-3</v>
      </c>
      <c r="AK67" s="7">
        <f t="shared" ref="AK67:AM67" si="341">AK64/12</f>
        <v>7.0833333333333338E-3</v>
      </c>
      <c r="AL67" s="7">
        <f t="shared" si="341"/>
        <v>7.0833333333333338E-3</v>
      </c>
      <c r="AM67" s="7">
        <f t="shared" si="341"/>
        <v>7.0833333333333338E-3</v>
      </c>
      <c r="AN67" s="7">
        <f t="shared" si="333"/>
        <v>7.0833333333333338E-3</v>
      </c>
      <c r="AO67" s="7">
        <f t="shared" ref="AO67:AQ67" si="342">AO64/12</f>
        <v>7.0833333333333338E-3</v>
      </c>
      <c r="AP67" s="7">
        <f t="shared" si="342"/>
        <v>7.0833333333333338E-3</v>
      </c>
      <c r="AQ67" s="7">
        <f t="shared" si="342"/>
        <v>7.0833333333333338E-3</v>
      </c>
      <c r="AR67" s="7">
        <f t="shared" si="333"/>
        <v>7.0833333333333338E-3</v>
      </c>
      <c r="AS67" s="25"/>
      <c r="AT67" s="25"/>
      <c r="AU67" s="25"/>
    </row>
    <row r="68" spans="2:47">
      <c r="B68" t="s">
        <v>30</v>
      </c>
      <c r="C68" s="60">
        <f>C66*12</f>
        <v>36</v>
      </c>
      <c r="D68" s="60"/>
      <c r="E68" s="60">
        <f>E66*12</f>
        <v>36</v>
      </c>
      <c r="F68" s="60">
        <f>F66*12</f>
        <v>36</v>
      </c>
      <c r="G68" s="60">
        <f>G66*12</f>
        <v>36</v>
      </c>
      <c r="H68" s="60">
        <f>H66*12</f>
        <v>36</v>
      </c>
      <c r="I68" s="60">
        <f t="shared" ref="I68:J68" si="343">I66*12</f>
        <v>36</v>
      </c>
      <c r="J68" s="60">
        <f t="shared" si="343"/>
        <v>36</v>
      </c>
      <c r="K68" s="60">
        <f t="shared" ref="K68" si="344">K66*12</f>
        <v>36</v>
      </c>
      <c r="L68" s="60">
        <f t="shared" ref="L68:AR68" si="345">L66*12</f>
        <v>36</v>
      </c>
      <c r="M68" s="60">
        <f t="shared" ref="M68:O68" si="346">M66*12</f>
        <v>36</v>
      </c>
      <c r="N68" s="60">
        <f t="shared" si="346"/>
        <v>36</v>
      </c>
      <c r="O68" s="60">
        <f t="shared" si="346"/>
        <v>36</v>
      </c>
      <c r="P68" s="60">
        <f t="shared" si="345"/>
        <v>36</v>
      </c>
      <c r="Q68" s="60">
        <f t="shared" ref="Q68:R68" si="347">Q66*12</f>
        <v>36</v>
      </c>
      <c r="R68" s="60">
        <f t="shared" si="347"/>
        <v>36</v>
      </c>
      <c r="S68" s="60">
        <f t="shared" ref="S68" si="348">S66*12</f>
        <v>36</v>
      </c>
      <c r="T68" s="60">
        <f t="shared" si="345"/>
        <v>36</v>
      </c>
      <c r="U68" s="60">
        <f t="shared" ref="U68:W68" si="349">U66*12</f>
        <v>36</v>
      </c>
      <c r="V68" s="60">
        <f t="shared" si="349"/>
        <v>36</v>
      </c>
      <c r="W68" s="60">
        <f t="shared" si="349"/>
        <v>36</v>
      </c>
      <c r="X68" s="60">
        <f t="shared" si="345"/>
        <v>36</v>
      </c>
      <c r="Y68" s="60">
        <f t="shared" ref="Y68:AA68" si="350">Y66*12</f>
        <v>36</v>
      </c>
      <c r="Z68" s="60">
        <f t="shared" si="350"/>
        <v>36</v>
      </c>
      <c r="AA68" s="60">
        <f t="shared" si="350"/>
        <v>36</v>
      </c>
      <c r="AB68" s="60">
        <f t="shared" si="345"/>
        <v>36</v>
      </c>
      <c r="AC68" s="60">
        <f t="shared" ref="AC68:AE68" si="351">AC66*12</f>
        <v>36</v>
      </c>
      <c r="AD68" s="60">
        <f t="shared" si="351"/>
        <v>36</v>
      </c>
      <c r="AE68" s="60">
        <f t="shared" si="351"/>
        <v>36</v>
      </c>
      <c r="AF68" s="60">
        <f t="shared" si="345"/>
        <v>36</v>
      </c>
      <c r="AG68" s="60">
        <f t="shared" ref="AG68:AI68" si="352">AG66*12</f>
        <v>36</v>
      </c>
      <c r="AH68" s="60">
        <f t="shared" si="352"/>
        <v>36</v>
      </c>
      <c r="AI68" s="60">
        <f t="shared" si="352"/>
        <v>36</v>
      </c>
      <c r="AJ68" s="60">
        <f t="shared" si="345"/>
        <v>36</v>
      </c>
      <c r="AK68" s="60">
        <f t="shared" ref="AK68:AM68" si="353">AK66*12</f>
        <v>36</v>
      </c>
      <c r="AL68" s="60">
        <f t="shared" si="353"/>
        <v>36</v>
      </c>
      <c r="AM68" s="60">
        <f t="shared" si="353"/>
        <v>36</v>
      </c>
      <c r="AN68" s="60">
        <f t="shared" si="345"/>
        <v>36</v>
      </c>
      <c r="AO68" s="60">
        <f t="shared" ref="AO68:AQ68" si="354">AO66*12</f>
        <v>36</v>
      </c>
      <c r="AP68" s="60">
        <f t="shared" si="354"/>
        <v>36</v>
      </c>
      <c r="AQ68" s="60">
        <f t="shared" si="354"/>
        <v>36</v>
      </c>
      <c r="AR68" s="60">
        <f t="shared" si="345"/>
        <v>36</v>
      </c>
      <c r="AS68" s="71"/>
      <c r="AT68" s="71"/>
      <c r="AU68" s="71"/>
    </row>
    <row r="69" spans="2:47">
      <c r="C69" s="4"/>
      <c r="D69" s="4"/>
      <c r="E69" s="4"/>
      <c r="F69" s="4"/>
      <c r="G69" s="4"/>
      <c r="H69" s="4"/>
      <c r="I69" s="4"/>
      <c r="J69" s="4"/>
      <c r="K69" s="4"/>
      <c r="L69" s="4"/>
      <c r="M69" s="4"/>
      <c r="AB69" s="4"/>
      <c r="AC69" s="4"/>
      <c r="AD69" s="4"/>
      <c r="AE69" s="4"/>
      <c r="AF69" s="4"/>
      <c r="AG69" s="4"/>
      <c r="AH69" s="4"/>
      <c r="AI69" s="4"/>
      <c r="AJ69" s="4"/>
      <c r="AK69" s="4"/>
      <c r="AL69" s="4"/>
      <c r="AM69" s="4"/>
      <c r="AN69" s="4"/>
      <c r="AO69" s="4"/>
      <c r="AP69" s="4"/>
      <c r="AQ69" s="4"/>
      <c r="AR69" s="4"/>
      <c r="AS69" s="67"/>
      <c r="AT69" s="67"/>
      <c r="AU69" s="67"/>
    </row>
    <row r="70" spans="2:47">
      <c r="B70" t="s">
        <v>17</v>
      </c>
      <c r="C70" s="62">
        <f>(1+C67)^C68</f>
        <v>1.2893021683380574</v>
      </c>
      <c r="D70" s="62"/>
      <c r="E70" s="62">
        <f>(1+E67)^E68</f>
        <v>1.2893021683380574</v>
      </c>
      <c r="F70" s="62">
        <f>(1+F67)^F68</f>
        <v>1.2893021683380574</v>
      </c>
      <c r="G70" s="62">
        <f>(1+G67)^G68</f>
        <v>1.2893021683380574</v>
      </c>
      <c r="H70" s="62">
        <f>(1+H67)^H68</f>
        <v>1.2893021683380574</v>
      </c>
      <c r="I70" s="62">
        <f t="shared" ref="I70:J70" si="355">(1+I67)^I68</f>
        <v>1.2893021683380574</v>
      </c>
      <c r="J70" s="62">
        <f t="shared" si="355"/>
        <v>1.2893021683380574</v>
      </c>
      <c r="K70" s="62">
        <f t="shared" ref="K70" si="356">(1+K67)^K68</f>
        <v>1.2893021683380574</v>
      </c>
      <c r="L70" s="62">
        <f t="shared" ref="L70:AR70" si="357">(1+L67)^L68</f>
        <v>1.2893021683380574</v>
      </c>
      <c r="M70" s="62">
        <f t="shared" ref="M70:O70" si="358">(1+M67)^M68</f>
        <v>1.2893021683380574</v>
      </c>
      <c r="N70" s="62">
        <f t="shared" si="358"/>
        <v>1.2893021683380574</v>
      </c>
      <c r="O70" s="62">
        <f t="shared" si="358"/>
        <v>1.2893021683380574</v>
      </c>
      <c r="P70" s="62">
        <f t="shared" si="357"/>
        <v>1.2893021683380574</v>
      </c>
      <c r="Q70" s="62">
        <f t="shared" ref="Q70:R70" si="359">(1+Q67)^Q68</f>
        <v>1.2893021683380574</v>
      </c>
      <c r="R70" s="62">
        <f t="shared" si="359"/>
        <v>1.2893021683380574</v>
      </c>
      <c r="S70" s="62">
        <f t="shared" ref="S70" si="360">(1+S67)^S68</f>
        <v>1.2893021683380574</v>
      </c>
      <c r="T70" s="62">
        <f t="shared" si="357"/>
        <v>1.2893021683380574</v>
      </c>
      <c r="U70" s="62">
        <f t="shared" ref="U70:W70" si="361">(1+U67)^U68</f>
        <v>1.2893021683380574</v>
      </c>
      <c r="V70" s="62">
        <f t="shared" si="361"/>
        <v>1.2893021683380574</v>
      </c>
      <c r="W70" s="62">
        <f t="shared" si="361"/>
        <v>1.2893021683380574</v>
      </c>
      <c r="X70" s="62">
        <f t="shared" si="357"/>
        <v>1.2893021683380574</v>
      </c>
      <c r="Y70" s="62">
        <f t="shared" ref="Y70:AA70" si="362">(1+Y67)^Y68</f>
        <v>1.2893021683380574</v>
      </c>
      <c r="Z70" s="62">
        <f t="shared" si="362"/>
        <v>1.2893021683380574</v>
      </c>
      <c r="AA70" s="62">
        <f t="shared" si="362"/>
        <v>1.2893021683380574</v>
      </c>
      <c r="AB70" s="62">
        <f t="shared" si="357"/>
        <v>1.2893021683380574</v>
      </c>
      <c r="AC70" s="62">
        <f t="shared" ref="AC70:AE70" si="363">(1+AC67)^AC68</f>
        <v>1.2893021683380574</v>
      </c>
      <c r="AD70" s="62">
        <f t="shared" si="363"/>
        <v>1.2893021683380574</v>
      </c>
      <c r="AE70" s="62">
        <f t="shared" si="363"/>
        <v>1.2893021683380574</v>
      </c>
      <c r="AF70" s="62">
        <f t="shared" si="357"/>
        <v>1.2893021683380574</v>
      </c>
      <c r="AG70" s="62">
        <f t="shared" ref="AG70:AI70" si="364">(1+AG67)^AG68</f>
        <v>1.2893021683380574</v>
      </c>
      <c r="AH70" s="62">
        <f t="shared" si="364"/>
        <v>1.2893021683380574</v>
      </c>
      <c r="AI70" s="62">
        <f t="shared" si="364"/>
        <v>1.2893021683380574</v>
      </c>
      <c r="AJ70" s="62">
        <f t="shared" si="357"/>
        <v>1.2893021683380574</v>
      </c>
      <c r="AK70" s="62">
        <f t="shared" ref="AK70:AM70" si="365">(1+AK67)^AK68</f>
        <v>1.2893021683380574</v>
      </c>
      <c r="AL70" s="62">
        <f t="shared" si="365"/>
        <v>1.2893021683380574</v>
      </c>
      <c r="AM70" s="62">
        <f t="shared" si="365"/>
        <v>1.2893021683380574</v>
      </c>
      <c r="AN70" s="62">
        <f t="shared" si="357"/>
        <v>1.2893021683380574</v>
      </c>
      <c r="AO70" s="62">
        <f t="shared" ref="AO70:AQ70" si="366">(1+AO67)^AO68</f>
        <v>1.2893021683380574</v>
      </c>
      <c r="AP70" s="62">
        <f t="shared" si="366"/>
        <v>1.2893021683380574</v>
      </c>
      <c r="AQ70" s="62">
        <f t="shared" si="366"/>
        <v>1.2893021683380574</v>
      </c>
      <c r="AR70" s="62">
        <f t="shared" si="357"/>
        <v>1.2893021683380574</v>
      </c>
      <c r="AS70" s="72"/>
      <c r="AT70" s="72"/>
      <c r="AU70" s="72"/>
    </row>
    <row r="71" spans="2:47">
      <c r="C71" s="63">
        <f>C70*C67</f>
        <v>9.1325570257279071E-3</v>
      </c>
      <c r="D71" s="63"/>
      <c r="E71" s="63">
        <f>E70*E67</f>
        <v>9.1325570257279071E-3</v>
      </c>
      <c r="F71" s="63">
        <f>F70*F67</f>
        <v>9.1325570257279071E-3</v>
      </c>
      <c r="G71" s="63">
        <f>G70*G67</f>
        <v>9.1325570257279071E-3</v>
      </c>
      <c r="H71" s="63">
        <f>H70*H67</f>
        <v>9.1325570257279071E-3</v>
      </c>
      <c r="I71" s="63">
        <f t="shared" ref="I71:J71" si="367">I70*I67</f>
        <v>9.1325570257279071E-3</v>
      </c>
      <c r="J71" s="63">
        <f t="shared" si="367"/>
        <v>9.1325570257279071E-3</v>
      </c>
      <c r="K71" s="63">
        <f t="shared" ref="K71" si="368">K70*K67</f>
        <v>9.1325570257279071E-3</v>
      </c>
      <c r="L71" s="63">
        <f t="shared" ref="L71:AR71" si="369">L70*L67</f>
        <v>9.1325570257279071E-3</v>
      </c>
      <c r="M71" s="63">
        <f t="shared" ref="M71:O71" si="370">M70*M67</f>
        <v>9.1325570257279071E-3</v>
      </c>
      <c r="N71" s="63">
        <f t="shared" si="370"/>
        <v>9.1325570257279071E-3</v>
      </c>
      <c r="O71" s="63">
        <f t="shared" si="370"/>
        <v>9.1325570257279071E-3</v>
      </c>
      <c r="P71" s="63">
        <f t="shared" si="369"/>
        <v>9.1325570257279071E-3</v>
      </c>
      <c r="Q71" s="63">
        <f t="shared" ref="Q71:R71" si="371">Q70*Q67</f>
        <v>9.1325570257279071E-3</v>
      </c>
      <c r="R71" s="63">
        <f t="shared" si="371"/>
        <v>9.1325570257279071E-3</v>
      </c>
      <c r="S71" s="63">
        <f t="shared" ref="S71" si="372">S70*S67</f>
        <v>9.1325570257279071E-3</v>
      </c>
      <c r="T71" s="63">
        <f t="shared" si="369"/>
        <v>9.1325570257279071E-3</v>
      </c>
      <c r="U71" s="63">
        <f t="shared" ref="U71:W71" si="373">U70*U67</f>
        <v>9.1325570257279071E-3</v>
      </c>
      <c r="V71" s="63">
        <f t="shared" si="373"/>
        <v>9.1325570257279071E-3</v>
      </c>
      <c r="W71" s="63">
        <f t="shared" si="373"/>
        <v>9.1325570257279071E-3</v>
      </c>
      <c r="X71" s="63">
        <f t="shared" si="369"/>
        <v>9.1325570257279071E-3</v>
      </c>
      <c r="Y71" s="63">
        <f t="shared" ref="Y71:AA71" si="374">Y70*Y67</f>
        <v>9.1325570257279071E-3</v>
      </c>
      <c r="Z71" s="63">
        <f t="shared" si="374"/>
        <v>9.1325570257279071E-3</v>
      </c>
      <c r="AA71" s="63">
        <f t="shared" si="374"/>
        <v>9.1325570257279071E-3</v>
      </c>
      <c r="AB71" s="63">
        <f t="shared" si="369"/>
        <v>9.1325570257279071E-3</v>
      </c>
      <c r="AC71" s="63">
        <f t="shared" ref="AC71:AE71" si="375">AC70*AC67</f>
        <v>9.1325570257279071E-3</v>
      </c>
      <c r="AD71" s="63">
        <f t="shared" si="375"/>
        <v>9.1325570257279071E-3</v>
      </c>
      <c r="AE71" s="63">
        <f t="shared" si="375"/>
        <v>9.1325570257279071E-3</v>
      </c>
      <c r="AF71" s="63">
        <f t="shared" si="369"/>
        <v>9.1325570257279071E-3</v>
      </c>
      <c r="AG71" s="63">
        <f t="shared" ref="AG71:AI71" si="376">AG70*AG67</f>
        <v>9.1325570257279071E-3</v>
      </c>
      <c r="AH71" s="63">
        <f t="shared" si="376"/>
        <v>9.1325570257279071E-3</v>
      </c>
      <c r="AI71" s="63">
        <f t="shared" si="376"/>
        <v>9.1325570257279071E-3</v>
      </c>
      <c r="AJ71" s="63">
        <f t="shared" si="369"/>
        <v>9.1325570257279071E-3</v>
      </c>
      <c r="AK71" s="63">
        <f t="shared" ref="AK71:AM71" si="377">AK70*AK67</f>
        <v>9.1325570257279071E-3</v>
      </c>
      <c r="AL71" s="63">
        <f t="shared" si="377"/>
        <v>9.1325570257279071E-3</v>
      </c>
      <c r="AM71" s="63">
        <f t="shared" si="377"/>
        <v>9.1325570257279071E-3</v>
      </c>
      <c r="AN71" s="63">
        <f t="shared" si="369"/>
        <v>9.1325570257279071E-3</v>
      </c>
      <c r="AO71" s="63">
        <f t="shared" ref="AO71:AQ71" si="378">AO70*AO67</f>
        <v>9.1325570257279071E-3</v>
      </c>
      <c r="AP71" s="63">
        <f t="shared" si="378"/>
        <v>9.1325570257279071E-3</v>
      </c>
      <c r="AQ71" s="63">
        <f t="shared" si="378"/>
        <v>9.1325570257279071E-3</v>
      </c>
      <c r="AR71" s="63">
        <f t="shared" si="369"/>
        <v>9.1325570257279071E-3</v>
      </c>
      <c r="AS71" s="73"/>
      <c r="AT71" s="73"/>
      <c r="AU71" s="73"/>
    </row>
    <row r="72" spans="2:47">
      <c r="C72" s="64">
        <f>C70-1</f>
        <v>0.28930216833805744</v>
      </c>
      <c r="D72" s="64"/>
      <c r="E72" s="64">
        <f>E70-1</f>
        <v>0.28930216833805744</v>
      </c>
      <c r="F72" s="64">
        <f>F70-1</f>
        <v>0.28930216833805744</v>
      </c>
      <c r="G72" s="64">
        <f>G70-1</f>
        <v>0.28930216833805744</v>
      </c>
      <c r="H72" s="64">
        <f>H70-1</f>
        <v>0.28930216833805744</v>
      </c>
      <c r="I72" s="64">
        <f t="shared" ref="I72:J72" si="379">I70-1</f>
        <v>0.28930216833805744</v>
      </c>
      <c r="J72" s="64">
        <f t="shared" si="379"/>
        <v>0.28930216833805744</v>
      </c>
      <c r="K72" s="64">
        <f t="shared" ref="K72" si="380">K70-1</f>
        <v>0.28930216833805744</v>
      </c>
      <c r="L72" s="64">
        <f t="shared" ref="L72:AR72" si="381">L70-1</f>
        <v>0.28930216833805744</v>
      </c>
      <c r="M72" s="64">
        <f t="shared" ref="M72:O72" si="382">M70-1</f>
        <v>0.28930216833805744</v>
      </c>
      <c r="N72" s="64">
        <f t="shared" si="382"/>
        <v>0.28930216833805744</v>
      </c>
      <c r="O72" s="64">
        <f t="shared" si="382"/>
        <v>0.28930216833805744</v>
      </c>
      <c r="P72" s="64">
        <f t="shared" si="381"/>
        <v>0.28930216833805744</v>
      </c>
      <c r="Q72" s="64">
        <f t="shared" ref="Q72:R72" si="383">Q70-1</f>
        <v>0.28930216833805744</v>
      </c>
      <c r="R72" s="64">
        <f t="shared" si="383"/>
        <v>0.28930216833805744</v>
      </c>
      <c r="S72" s="64">
        <f t="shared" ref="S72" si="384">S70-1</f>
        <v>0.28930216833805744</v>
      </c>
      <c r="T72" s="64">
        <f t="shared" si="381"/>
        <v>0.28930216833805744</v>
      </c>
      <c r="U72" s="64">
        <f t="shared" ref="U72:W72" si="385">U70-1</f>
        <v>0.28930216833805744</v>
      </c>
      <c r="V72" s="64">
        <f t="shared" si="385"/>
        <v>0.28930216833805744</v>
      </c>
      <c r="W72" s="64">
        <f t="shared" si="385"/>
        <v>0.28930216833805744</v>
      </c>
      <c r="X72" s="64">
        <f t="shared" si="381"/>
        <v>0.28930216833805744</v>
      </c>
      <c r="Y72" s="64">
        <f t="shared" ref="Y72:AA72" si="386">Y70-1</f>
        <v>0.28930216833805744</v>
      </c>
      <c r="Z72" s="64">
        <f t="shared" si="386"/>
        <v>0.28930216833805744</v>
      </c>
      <c r="AA72" s="64">
        <f t="shared" si="386"/>
        <v>0.28930216833805744</v>
      </c>
      <c r="AB72" s="64">
        <f t="shared" si="381"/>
        <v>0.28930216833805744</v>
      </c>
      <c r="AC72" s="64">
        <f t="shared" ref="AC72:AE72" si="387">AC70-1</f>
        <v>0.28930216833805744</v>
      </c>
      <c r="AD72" s="64">
        <f t="shared" si="387"/>
        <v>0.28930216833805744</v>
      </c>
      <c r="AE72" s="64">
        <f t="shared" si="387"/>
        <v>0.28930216833805744</v>
      </c>
      <c r="AF72" s="64">
        <f t="shared" si="381"/>
        <v>0.28930216833805744</v>
      </c>
      <c r="AG72" s="64">
        <f t="shared" ref="AG72:AI72" si="388">AG70-1</f>
        <v>0.28930216833805744</v>
      </c>
      <c r="AH72" s="64">
        <f t="shared" si="388"/>
        <v>0.28930216833805744</v>
      </c>
      <c r="AI72" s="64">
        <f t="shared" si="388"/>
        <v>0.28930216833805744</v>
      </c>
      <c r="AJ72" s="64">
        <f t="shared" si="381"/>
        <v>0.28930216833805744</v>
      </c>
      <c r="AK72" s="64">
        <f t="shared" ref="AK72:AM72" si="389">AK70-1</f>
        <v>0.28930216833805744</v>
      </c>
      <c r="AL72" s="64">
        <f t="shared" si="389"/>
        <v>0.28930216833805744</v>
      </c>
      <c r="AM72" s="64">
        <f t="shared" si="389"/>
        <v>0.28930216833805744</v>
      </c>
      <c r="AN72" s="64">
        <f t="shared" si="381"/>
        <v>0.28930216833805744</v>
      </c>
      <c r="AO72" s="64">
        <f t="shared" ref="AO72:AQ72" si="390">AO70-1</f>
        <v>0.28930216833805744</v>
      </c>
      <c r="AP72" s="64">
        <f t="shared" si="390"/>
        <v>0.28930216833805744</v>
      </c>
      <c r="AQ72" s="64">
        <f t="shared" si="390"/>
        <v>0.28930216833805744</v>
      </c>
      <c r="AR72" s="64">
        <f t="shared" si="381"/>
        <v>0.28930216833805744</v>
      </c>
      <c r="AS72" s="74"/>
      <c r="AT72" s="74"/>
      <c r="AU72" s="74"/>
    </row>
    <row r="73" spans="2:47">
      <c r="C73" s="64">
        <f>C71/C72</f>
        <v>3.1567537423557321E-2</v>
      </c>
      <c r="D73" s="64"/>
      <c r="E73" s="64">
        <f>E71/E72</f>
        <v>3.1567537423557321E-2</v>
      </c>
      <c r="F73" s="64">
        <f>F71/F72</f>
        <v>3.1567537423557321E-2</v>
      </c>
      <c r="G73" s="64">
        <f>G71/G72</f>
        <v>3.1567537423557321E-2</v>
      </c>
      <c r="H73" s="64">
        <f>H71/H72</f>
        <v>3.1567537423557321E-2</v>
      </c>
      <c r="I73" s="64">
        <f t="shared" ref="I73:J73" si="391">I71/I72</f>
        <v>3.1567537423557321E-2</v>
      </c>
      <c r="J73" s="64">
        <f t="shared" si="391"/>
        <v>3.1567537423557321E-2</v>
      </c>
      <c r="K73" s="64">
        <f t="shared" ref="K73" si="392">K71/K72</f>
        <v>3.1567537423557321E-2</v>
      </c>
      <c r="L73" s="64">
        <f t="shared" ref="L73:AR73" si="393">L71/L72</f>
        <v>3.1567537423557321E-2</v>
      </c>
      <c r="M73" s="64">
        <f t="shared" ref="M73:O73" si="394">M71/M72</f>
        <v>3.1567537423557321E-2</v>
      </c>
      <c r="N73" s="64">
        <f t="shared" si="394"/>
        <v>3.1567537423557321E-2</v>
      </c>
      <c r="O73" s="64">
        <f t="shared" si="394"/>
        <v>3.1567537423557321E-2</v>
      </c>
      <c r="P73" s="64">
        <f t="shared" si="393"/>
        <v>3.1567537423557321E-2</v>
      </c>
      <c r="Q73" s="64">
        <f t="shared" ref="Q73:R73" si="395">Q71/Q72</f>
        <v>3.1567537423557321E-2</v>
      </c>
      <c r="R73" s="64">
        <f t="shared" si="395"/>
        <v>3.1567537423557321E-2</v>
      </c>
      <c r="S73" s="64">
        <f t="shared" ref="S73" si="396">S71/S72</f>
        <v>3.1567537423557321E-2</v>
      </c>
      <c r="T73" s="64">
        <f t="shared" si="393"/>
        <v>3.1567537423557321E-2</v>
      </c>
      <c r="U73" s="64">
        <f t="shared" ref="U73:W73" si="397">U71/U72</f>
        <v>3.1567537423557321E-2</v>
      </c>
      <c r="V73" s="64">
        <f t="shared" si="397"/>
        <v>3.1567537423557321E-2</v>
      </c>
      <c r="W73" s="64">
        <f t="shared" si="397"/>
        <v>3.1567537423557321E-2</v>
      </c>
      <c r="X73" s="64">
        <f t="shared" si="393"/>
        <v>3.1567537423557321E-2</v>
      </c>
      <c r="Y73" s="64">
        <f t="shared" ref="Y73:AA73" si="398">Y71/Y72</f>
        <v>3.1567537423557321E-2</v>
      </c>
      <c r="Z73" s="64">
        <f t="shared" si="398"/>
        <v>3.1567537423557321E-2</v>
      </c>
      <c r="AA73" s="64">
        <f t="shared" si="398"/>
        <v>3.1567537423557321E-2</v>
      </c>
      <c r="AB73" s="64">
        <f t="shared" si="393"/>
        <v>3.1567537423557321E-2</v>
      </c>
      <c r="AC73" s="64">
        <f t="shared" ref="AC73:AE73" si="399">AC71/AC72</f>
        <v>3.1567537423557321E-2</v>
      </c>
      <c r="AD73" s="64">
        <f t="shared" si="399"/>
        <v>3.1567537423557321E-2</v>
      </c>
      <c r="AE73" s="64">
        <f t="shared" si="399"/>
        <v>3.1567537423557321E-2</v>
      </c>
      <c r="AF73" s="64">
        <f t="shared" si="393"/>
        <v>3.1567537423557321E-2</v>
      </c>
      <c r="AG73" s="64">
        <f t="shared" ref="AG73:AI73" si="400">AG71/AG72</f>
        <v>3.1567537423557321E-2</v>
      </c>
      <c r="AH73" s="64">
        <f t="shared" si="400"/>
        <v>3.1567537423557321E-2</v>
      </c>
      <c r="AI73" s="64">
        <f t="shared" si="400"/>
        <v>3.1567537423557321E-2</v>
      </c>
      <c r="AJ73" s="64">
        <f t="shared" si="393"/>
        <v>3.1567537423557321E-2</v>
      </c>
      <c r="AK73" s="64">
        <f t="shared" ref="AK73:AM73" si="401">AK71/AK72</f>
        <v>3.1567537423557321E-2</v>
      </c>
      <c r="AL73" s="64">
        <f t="shared" si="401"/>
        <v>3.1567537423557321E-2</v>
      </c>
      <c r="AM73" s="64">
        <f t="shared" si="401"/>
        <v>3.1567537423557321E-2</v>
      </c>
      <c r="AN73" s="64">
        <f t="shared" si="393"/>
        <v>3.1567537423557321E-2</v>
      </c>
      <c r="AO73" s="64">
        <f t="shared" ref="AO73:AQ73" si="402">AO71/AO72</f>
        <v>3.1567537423557321E-2</v>
      </c>
      <c r="AP73" s="64">
        <f t="shared" si="402"/>
        <v>3.1567537423557321E-2</v>
      </c>
      <c r="AQ73" s="64">
        <f t="shared" si="402"/>
        <v>3.1567537423557321E-2</v>
      </c>
      <c r="AR73" s="64">
        <f t="shared" si="393"/>
        <v>3.1567537423557321E-2</v>
      </c>
      <c r="AS73" s="74"/>
      <c r="AT73" s="74"/>
      <c r="AU73" s="74"/>
    </row>
    <row r="74" spans="2:47" s="54" customFormat="1">
      <c r="B74" s="54" t="s">
        <v>17</v>
      </c>
      <c r="C74" s="57">
        <f>C73*C63</f>
        <v>1499.9958369144247</v>
      </c>
      <c r="D74" s="57"/>
      <c r="E74" s="57">
        <f>E73*E63</f>
        <v>923.11505998997177</v>
      </c>
      <c r="F74" s="57">
        <f>F73*F63</f>
        <v>1943.2449912318161</v>
      </c>
      <c r="G74" s="57">
        <f>G73*G63</f>
        <v>2663.9055643304432</v>
      </c>
      <c r="H74" s="57">
        <f>H73*H63</f>
        <v>3719.1820341187786</v>
      </c>
      <c r="I74" s="57">
        <f t="shared" ref="I74:J74" si="403">I73*I63</f>
        <v>4439.8426072174061</v>
      </c>
      <c r="J74" s="57">
        <f t="shared" si="403"/>
        <v>5495.119077005741</v>
      </c>
      <c r="K74" s="57">
        <f t="shared" ref="K74" si="404">K73*K63</f>
        <v>6215.7796501043676</v>
      </c>
      <c r="L74" s="57">
        <f t="shared" ref="L74:AR74" si="405">L73*L63</f>
        <v>7271.0561198927035</v>
      </c>
      <c r="M74" s="57">
        <f t="shared" ref="M74:O74" si="406">M73*M63</f>
        <v>7991.7166929913301</v>
      </c>
      <c r="N74" s="57">
        <f t="shared" si="406"/>
        <v>9046.993162779665</v>
      </c>
      <c r="O74" s="57">
        <f t="shared" si="406"/>
        <v>9767.6537358782916</v>
      </c>
      <c r="P74" s="57">
        <f t="shared" si="405"/>
        <v>10822.930205666627</v>
      </c>
      <c r="Q74" s="57">
        <f t="shared" ref="Q74:R74" si="407">Q73*Q63</f>
        <v>11543.590778765256</v>
      </c>
      <c r="R74" s="57">
        <f t="shared" si="407"/>
        <v>12598.86724855359</v>
      </c>
      <c r="S74" s="57">
        <f t="shared" ref="S74" si="408">S73*S63</f>
        <v>13319.527821652217</v>
      </c>
      <c r="T74" s="57">
        <f t="shared" si="405"/>
        <v>14374.804291440552</v>
      </c>
      <c r="U74" s="57">
        <f t="shared" ref="U74:W74" si="409">U73*U63</f>
        <v>15095.464864539179</v>
      </c>
      <c r="V74" s="57">
        <f t="shared" si="409"/>
        <v>16150.741334327515</v>
      </c>
      <c r="W74" s="57">
        <f t="shared" si="409"/>
        <v>16871.401907426141</v>
      </c>
      <c r="X74" s="57">
        <f t="shared" si="405"/>
        <v>17926.678377214477</v>
      </c>
      <c r="Y74" s="57">
        <f t="shared" ref="Y74:AA74" si="410">Y73*Y63</f>
        <v>18647.338950313104</v>
      </c>
      <c r="Z74" s="57">
        <f t="shared" si="410"/>
        <v>19702.615420101436</v>
      </c>
      <c r="AA74" s="57">
        <f t="shared" si="410"/>
        <v>20423.275993200066</v>
      </c>
      <c r="AB74" s="57">
        <f t="shared" si="405"/>
        <v>21478.552462988402</v>
      </c>
      <c r="AC74" s="57">
        <f t="shared" ref="AC74:AE74" si="411">AC73*AC63</f>
        <v>22199.213036087029</v>
      </c>
      <c r="AD74" s="57">
        <f t="shared" si="411"/>
        <v>23254.489505875365</v>
      </c>
      <c r="AE74" s="57">
        <f t="shared" si="411"/>
        <v>23975.150078973991</v>
      </c>
      <c r="AF74" s="57">
        <f t="shared" si="405"/>
        <v>25030.426548762323</v>
      </c>
      <c r="AG74" s="57">
        <f t="shared" ref="AG74:AI74" si="412">AG73*AG63</f>
        <v>25751.087121860954</v>
      </c>
      <c r="AH74" s="57">
        <f t="shared" si="412"/>
        <v>26806.363591649289</v>
      </c>
      <c r="AI74" s="57">
        <f t="shared" si="412"/>
        <v>27527.024164747912</v>
      </c>
      <c r="AJ74" s="57">
        <f t="shared" si="405"/>
        <v>28582.300634536252</v>
      </c>
      <c r="AK74" s="57">
        <f t="shared" ref="AK74:AM74" si="413">AK73*AK63</f>
        <v>29302.961207634879</v>
      </c>
      <c r="AL74" s="57">
        <f t="shared" si="413"/>
        <v>30358.237677423211</v>
      </c>
      <c r="AM74" s="57">
        <f t="shared" si="413"/>
        <v>31078.898250521841</v>
      </c>
      <c r="AN74" s="57">
        <f t="shared" si="405"/>
        <v>32134.174720310173</v>
      </c>
      <c r="AO74" s="57">
        <f t="shared" ref="AO74:AQ74" si="414">AO73*AO63</f>
        <v>32854.835293408803</v>
      </c>
      <c r="AP74" s="57">
        <f t="shared" si="414"/>
        <v>33910.111763197136</v>
      </c>
      <c r="AQ74" s="57">
        <f t="shared" si="414"/>
        <v>34630.772336295762</v>
      </c>
      <c r="AR74" s="57">
        <f t="shared" si="405"/>
        <v>35686.048806084102</v>
      </c>
      <c r="AS74" s="67"/>
      <c r="AT74" s="67"/>
      <c r="AU74" s="67"/>
    </row>
    <row r="75" spans="2:47">
      <c r="C75" s="4"/>
      <c r="D75" s="4"/>
      <c r="E75" s="4"/>
      <c r="F75" s="4"/>
      <c r="G75" s="4"/>
      <c r="H75" s="4"/>
      <c r="I75" s="4"/>
      <c r="J75" s="4"/>
      <c r="K75" s="4"/>
      <c r="L75" s="4"/>
      <c r="M75" s="4"/>
      <c r="AB75" s="4"/>
      <c r="AC75" s="4"/>
      <c r="AD75" s="4"/>
      <c r="AE75" s="4"/>
      <c r="AF75" s="4"/>
      <c r="AG75" s="4"/>
      <c r="AH75" s="4"/>
      <c r="AI75" s="4"/>
      <c r="AJ75" s="4"/>
      <c r="AK75" s="4"/>
      <c r="AL75" s="4"/>
      <c r="AM75" s="4"/>
      <c r="AN75" s="4"/>
      <c r="AO75" s="4"/>
      <c r="AP75" s="4"/>
      <c r="AQ75" s="4"/>
      <c r="AR75" s="4"/>
      <c r="AS75" s="67"/>
      <c r="AT75" s="67"/>
      <c r="AU75" s="67"/>
    </row>
    <row r="76" spans="2:47">
      <c r="B76" t="s">
        <v>31</v>
      </c>
      <c r="C76" s="4">
        <f>C56-C57</f>
        <v>16645.150128919289</v>
      </c>
      <c r="D76" s="4"/>
      <c r="E76" s="4">
        <f>E56-E57</f>
        <v>8232.1421596389846</v>
      </c>
      <c r="F76" s="4">
        <f>F56-F57</f>
        <v>19956.819684345377</v>
      </c>
      <c r="G76" s="4">
        <f>G56-G57</f>
        <v>20900.60031589595</v>
      </c>
      <c r="H76" s="4">
        <f>H56-H57</f>
        <v>33890.553228276025</v>
      </c>
      <c r="I76" s="4">
        <f t="shared" ref="I76:J76" si="415">I56-I57</f>
        <v>34834.333859826613</v>
      </c>
      <c r="J76" s="4">
        <f t="shared" si="415"/>
        <v>47824.286772206688</v>
      </c>
      <c r="K76" s="4">
        <f t="shared" ref="K76" si="416">K56-K57</f>
        <v>48768.067403757246</v>
      </c>
      <c r="L76" s="4">
        <f t="shared" ref="L76:AR76" si="417">L56-L57</f>
        <v>61758.020316137321</v>
      </c>
      <c r="M76" s="4">
        <f t="shared" ref="M76:O76" si="418">M56-M57</f>
        <v>62701.80094768788</v>
      </c>
      <c r="N76" s="4">
        <f t="shared" si="418"/>
        <v>75691.753860067925</v>
      </c>
      <c r="O76" s="4">
        <f t="shared" si="418"/>
        <v>76635.534491618513</v>
      </c>
      <c r="P76" s="4">
        <f t="shared" si="417"/>
        <v>89625.487403998617</v>
      </c>
      <c r="Q76" s="4">
        <f t="shared" ref="Q76:R76" si="419">Q56-Q57</f>
        <v>90569.268035549205</v>
      </c>
      <c r="R76" s="4">
        <f t="shared" si="419"/>
        <v>103559.22094792925</v>
      </c>
      <c r="S76" s="4">
        <f t="shared" ref="S76" si="420">S56-S57</f>
        <v>104503.00157947978</v>
      </c>
      <c r="T76" s="4">
        <f t="shared" si="417"/>
        <v>117492.95449185988</v>
      </c>
      <c r="U76" s="4">
        <f t="shared" ref="U76:W76" si="421">U56-U57</f>
        <v>118436.73512341047</v>
      </c>
      <c r="V76" s="4">
        <f t="shared" si="421"/>
        <v>131426.68803579058</v>
      </c>
      <c r="W76" s="4">
        <f t="shared" si="421"/>
        <v>132370.46866734105</v>
      </c>
      <c r="X76" s="4">
        <f t="shared" si="417"/>
        <v>145360.42157972115</v>
      </c>
      <c r="Y76" s="4">
        <f t="shared" ref="Y76:AA76" si="422">Y56-Y57</f>
        <v>146304.20221127174</v>
      </c>
      <c r="Z76" s="4">
        <f t="shared" si="422"/>
        <v>159294.15512365173</v>
      </c>
      <c r="AA76" s="4">
        <f t="shared" si="422"/>
        <v>160237.93575520243</v>
      </c>
      <c r="AB76" s="4">
        <f t="shared" si="417"/>
        <v>173227.88866758253</v>
      </c>
      <c r="AC76" s="4">
        <f t="shared" ref="AC76:AE76" si="423">AC56-AC57</f>
        <v>174171.66929913301</v>
      </c>
      <c r="AD76" s="4">
        <f t="shared" si="423"/>
        <v>187161.62221151311</v>
      </c>
      <c r="AE76" s="4">
        <f t="shared" si="423"/>
        <v>188105.4028430637</v>
      </c>
      <c r="AF76" s="4">
        <f t="shared" si="417"/>
        <v>201095.35575544368</v>
      </c>
      <c r="AG76" s="4">
        <f t="shared" ref="AG76:AI76" si="424">AG56-AG57</f>
        <v>202039.13638699427</v>
      </c>
      <c r="AH76" s="4">
        <f t="shared" si="424"/>
        <v>215029.08929937438</v>
      </c>
      <c r="AI76" s="4">
        <f t="shared" si="424"/>
        <v>215972.86993092485</v>
      </c>
      <c r="AJ76" s="4">
        <f t="shared" si="417"/>
        <v>228962.82284330507</v>
      </c>
      <c r="AK76" s="4">
        <f t="shared" ref="AK76:AM76" si="425">AK56-AK57</f>
        <v>229906.60347485566</v>
      </c>
      <c r="AL76" s="4">
        <f t="shared" si="425"/>
        <v>242896.55638723564</v>
      </c>
      <c r="AM76" s="4">
        <f t="shared" si="425"/>
        <v>243840.33701878623</v>
      </c>
      <c r="AN76" s="4">
        <f t="shared" si="417"/>
        <v>256830.28993116622</v>
      </c>
      <c r="AO76" s="4">
        <f t="shared" ref="AO76:AQ76" si="426">AO56-AO57</f>
        <v>257774.07056271704</v>
      </c>
      <c r="AP76" s="4">
        <f t="shared" si="426"/>
        <v>270764.02347509679</v>
      </c>
      <c r="AQ76" s="4">
        <f t="shared" si="426"/>
        <v>271707.80410664738</v>
      </c>
      <c r="AR76" s="4">
        <f t="shared" si="417"/>
        <v>284697.7570190276</v>
      </c>
      <c r="AS76" s="67"/>
      <c r="AT76" s="67"/>
      <c r="AU76" s="67"/>
    </row>
    <row r="77" spans="2:47">
      <c r="B77" t="s">
        <v>32</v>
      </c>
      <c r="C77" s="7">
        <f>C76/C56</f>
        <v>0.30824437640439084</v>
      </c>
      <c r="D77" s="7"/>
      <c r="E77" s="7">
        <f>E76/E56</f>
        <v>0.24771626577949177</v>
      </c>
      <c r="F77" s="7">
        <f>F76/F56</f>
        <v>0.2852733982818722</v>
      </c>
      <c r="G77" s="7">
        <f>G76/G56</f>
        <v>0.21794024486864014</v>
      </c>
      <c r="H77" s="7">
        <f>H76/H56</f>
        <v>0.25312131745765887</v>
      </c>
      <c r="I77" s="7">
        <f t="shared" ref="I77:J77" si="427">I76/I56</f>
        <v>0.21794024486864028</v>
      </c>
      <c r="J77" s="7">
        <f t="shared" si="427"/>
        <v>0.24175134182223049</v>
      </c>
      <c r="K77" s="7">
        <f t="shared" ref="K77" si="428">K76/K56</f>
        <v>0.21794024486864022</v>
      </c>
      <c r="L77" s="7">
        <f t="shared" ref="L77:AR77" si="429">L76/L56</f>
        <v>0.23593554169438358</v>
      </c>
      <c r="M77" s="7">
        <f t="shared" ref="M77:O77" si="430">M76/M56</f>
        <v>0.21794024486864022</v>
      </c>
      <c r="N77" s="7">
        <f t="shared" si="430"/>
        <v>0.23240304049143523</v>
      </c>
      <c r="O77" s="7">
        <f t="shared" si="430"/>
        <v>0.21794024486864019</v>
      </c>
      <c r="P77" s="7">
        <f t="shared" si="429"/>
        <v>0.23002983711655106</v>
      </c>
      <c r="Q77" s="7">
        <f t="shared" ref="Q77:R77" si="431">Q76/Q56</f>
        <v>0.2179402448686403</v>
      </c>
      <c r="R77" s="7">
        <f t="shared" si="431"/>
        <v>0.22832568750667809</v>
      </c>
      <c r="S77" s="7">
        <f t="shared" ref="S77" si="432">S76/S56</f>
        <v>0.21794024486864016</v>
      </c>
      <c r="T77" s="7">
        <f t="shared" si="429"/>
        <v>0.22704261666176564</v>
      </c>
      <c r="U77" s="7">
        <f t="shared" ref="U77:W77" si="433">U76/U56</f>
        <v>0.21794024486864025</v>
      </c>
      <c r="V77" s="7">
        <f t="shared" si="433"/>
        <v>0.22604171899949047</v>
      </c>
      <c r="W77" s="7">
        <f t="shared" si="433"/>
        <v>0.21794024486864016</v>
      </c>
      <c r="X77" s="7">
        <f t="shared" si="429"/>
        <v>0.2252391326135342</v>
      </c>
      <c r="Y77" s="7">
        <f t="shared" ref="Y77:AA77" si="434">Y76/Y56</f>
        <v>0.21794024486864022</v>
      </c>
      <c r="Z77" s="7">
        <f t="shared" si="434"/>
        <v>0.22458123188098436</v>
      </c>
      <c r="AA77" s="7">
        <f t="shared" si="434"/>
        <v>0.21794024486864028</v>
      </c>
      <c r="AB77" s="7">
        <f t="shared" si="429"/>
        <v>0.22403212714700041</v>
      </c>
      <c r="AC77" s="7">
        <f t="shared" ref="AC77:AE77" si="435">AC76/AC56</f>
        <v>0.21794024486864022</v>
      </c>
      <c r="AD77" s="7">
        <f t="shared" si="435"/>
        <v>0.22356689227713519</v>
      </c>
      <c r="AE77" s="7">
        <f t="shared" si="435"/>
        <v>0.21794024486864025</v>
      </c>
      <c r="AF77" s="7">
        <f t="shared" si="429"/>
        <v>0.22316767528654399</v>
      </c>
      <c r="AG77" s="7">
        <f t="shared" ref="AG77:AI77" si="436">AG76/AG56</f>
        <v>0.21794024486864019</v>
      </c>
      <c r="AH77" s="7">
        <f t="shared" si="436"/>
        <v>0.2228213550075353</v>
      </c>
      <c r="AI77" s="7">
        <f t="shared" si="436"/>
        <v>0.21794024486864014</v>
      </c>
      <c r="AJ77" s="7">
        <f t="shared" si="429"/>
        <v>0.22251807136298501</v>
      </c>
      <c r="AK77" s="7">
        <f t="shared" ref="AK77:AM77" si="437">AK76/AK56</f>
        <v>0.21794024486864028</v>
      </c>
      <c r="AL77" s="7">
        <f t="shared" si="437"/>
        <v>0.22225027150801308</v>
      </c>
      <c r="AM77" s="7">
        <f t="shared" si="437"/>
        <v>0.21794024486864022</v>
      </c>
      <c r="AN77" s="7">
        <f t="shared" si="429"/>
        <v>0.22201207226899994</v>
      </c>
      <c r="AO77" s="7">
        <f t="shared" ref="AO77:AQ77" si="438">AO76/AO56</f>
        <v>0.21794024486864033</v>
      </c>
      <c r="AP77" s="7">
        <f t="shared" si="438"/>
        <v>0.22179882292429001</v>
      </c>
      <c r="AQ77" s="7">
        <f t="shared" si="438"/>
        <v>0.21794024486864014</v>
      </c>
      <c r="AR77" s="7">
        <f t="shared" si="429"/>
        <v>0.22160679853573603</v>
      </c>
      <c r="AS77" s="25"/>
      <c r="AT77" s="25"/>
      <c r="AU77" s="25"/>
    </row>
    <row r="81" spans="2:47" ht="21">
      <c r="B81" s="56" t="s">
        <v>2</v>
      </c>
    </row>
    <row r="82" spans="2:47">
      <c r="B82" t="s">
        <v>22</v>
      </c>
      <c r="C82" s="4">
        <f>C100*C94</f>
        <v>118481.5834413243</v>
      </c>
      <c r="D82" s="4"/>
      <c r="E82" s="4">
        <f>E100*E94</f>
        <v>30226.668051742825</v>
      </c>
      <c r="F82" s="4">
        <f>F100*F94</f>
        <v>65887.181031291781</v>
      </c>
      <c r="G82" s="4">
        <f>G100*G94</f>
        <v>90680.004155228497</v>
      </c>
      <c r="H82" s="4">
        <f>H100*H94</f>
        <v>126340.51713477744</v>
      </c>
      <c r="I82" s="4">
        <f t="shared" ref="I82:J82" si="439">I100*I94</f>
        <v>151133.34025871413</v>
      </c>
      <c r="J82" s="4">
        <f t="shared" si="439"/>
        <v>186793.85323826311</v>
      </c>
      <c r="K82" s="4">
        <f t="shared" ref="K82" si="440">K100*K94</f>
        <v>211586.67636219983</v>
      </c>
      <c r="L82" s="4">
        <f t="shared" ref="L82:AR82" si="441">L100*L94</f>
        <v>247247.18934174874</v>
      </c>
      <c r="M82" s="4">
        <f t="shared" ref="M82:O82" si="442">M100*M94</f>
        <v>272040.01246568549</v>
      </c>
      <c r="N82" s="4">
        <f t="shared" si="442"/>
        <v>307700.52544523438</v>
      </c>
      <c r="O82" s="4">
        <f t="shared" si="442"/>
        <v>332493.34856917115</v>
      </c>
      <c r="P82" s="4">
        <f t="shared" si="441"/>
        <v>368153.86154872004</v>
      </c>
      <c r="Q82" s="4">
        <f t="shared" ref="Q82:R82" si="443">Q100*Q94</f>
        <v>392946.68467265676</v>
      </c>
      <c r="R82" s="4">
        <f t="shared" si="443"/>
        <v>428607.19765220571</v>
      </c>
      <c r="S82" s="4">
        <f t="shared" ref="S82" si="444">S100*S94</f>
        <v>453400.02077614248</v>
      </c>
      <c r="T82" s="4">
        <f t="shared" si="441"/>
        <v>489060.53375569137</v>
      </c>
      <c r="U82" s="4">
        <f t="shared" ref="U82:W82" si="445">U100*U94</f>
        <v>513853.35687962815</v>
      </c>
      <c r="V82" s="4">
        <f t="shared" si="445"/>
        <v>549513.86985917704</v>
      </c>
      <c r="W82" s="4">
        <f t="shared" si="445"/>
        <v>574306.69298311381</v>
      </c>
      <c r="X82" s="4">
        <f t="shared" si="441"/>
        <v>609967.20596266259</v>
      </c>
      <c r="Y82" s="4">
        <f t="shared" ref="Y82:AA82" si="446">Y100*Y94</f>
        <v>634760.02908659948</v>
      </c>
      <c r="Z82" s="4">
        <f t="shared" si="446"/>
        <v>670420.54206614837</v>
      </c>
      <c r="AA82" s="4">
        <f t="shared" si="446"/>
        <v>695213.36519008502</v>
      </c>
      <c r="AB82" s="4">
        <f t="shared" si="441"/>
        <v>730873.87816963403</v>
      </c>
      <c r="AC82" s="4">
        <f t="shared" ref="AC82:AE82" si="447">AC100*AC94</f>
        <v>755666.7012935708</v>
      </c>
      <c r="AD82" s="4">
        <f t="shared" si="447"/>
        <v>791327.21427311958</v>
      </c>
      <c r="AE82" s="4">
        <f t="shared" si="447"/>
        <v>816120.03739705647</v>
      </c>
      <c r="AF82" s="4">
        <f t="shared" si="441"/>
        <v>851780.55037660548</v>
      </c>
      <c r="AG82" s="4">
        <f t="shared" ref="AG82:AI82" si="448">AG100*AG94</f>
        <v>876573.37350054202</v>
      </c>
      <c r="AH82" s="4">
        <f t="shared" si="448"/>
        <v>912233.88648009091</v>
      </c>
      <c r="AI82" s="4">
        <f t="shared" si="448"/>
        <v>937026.7096040278</v>
      </c>
      <c r="AJ82" s="4">
        <f t="shared" si="441"/>
        <v>972687.22258357657</v>
      </c>
      <c r="AK82" s="4">
        <f t="shared" ref="AK82:AM82" si="449">AK100*AK94</f>
        <v>997480.04570751346</v>
      </c>
      <c r="AL82" s="4">
        <f t="shared" si="449"/>
        <v>1033140.5586870625</v>
      </c>
      <c r="AM82" s="4">
        <f t="shared" si="449"/>
        <v>1057933.381810999</v>
      </c>
      <c r="AN82" s="4">
        <f t="shared" si="441"/>
        <v>1093593.8947905479</v>
      </c>
      <c r="AO82" s="4">
        <f t="shared" ref="AO82:AQ82" si="450">AO100*AO94</f>
        <v>1118386.7179144849</v>
      </c>
      <c r="AP82" s="4">
        <f t="shared" si="450"/>
        <v>1154047.2308940338</v>
      </c>
      <c r="AQ82" s="4">
        <f t="shared" si="450"/>
        <v>1178840.0540179703</v>
      </c>
      <c r="AR82" s="4">
        <f t="shared" si="441"/>
        <v>1214500.5669975192</v>
      </c>
      <c r="AS82" s="67"/>
      <c r="AT82" s="67"/>
      <c r="AU82" s="67"/>
    </row>
    <row r="83" spans="2:47" s="54" customFormat="1">
      <c r="B83" s="54" t="s">
        <v>23</v>
      </c>
      <c r="C83" s="57">
        <f>'DATA ENTRY'!D5</f>
        <v>93500</v>
      </c>
      <c r="D83" s="57"/>
      <c r="E83" s="57">
        <v>25000</v>
      </c>
      <c r="F83" s="57">
        <v>50000</v>
      </c>
      <c r="G83" s="57">
        <v>75000</v>
      </c>
      <c r="H83" s="57">
        <v>100000</v>
      </c>
      <c r="I83" s="57">
        <v>125000</v>
      </c>
      <c r="J83" s="57">
        <v>150000</v>
      </c>
      <c r="K83" s="57">
        <v>175000</v>
      </c>
      <c r="L83" s="57">
        <v>200000</v>
      </c>
      <c r="M83" s="57">
        <v>225000</v>
      </c>
      <c r="N83" s="57">
        <v>250000</v>
      </c>
      <c r="O83" s="57">
        <v>275000</v>
      </c>
      <c r="P83" s="57">
        <v>300000</v>
      </c>
      <c r="Q83" s="57">
        <v>325000</v>
      </c>
      <c r="R83" s="57">
        <v>350000</v>
      </c>
      <c r="S83" s="57">
        <v>375000</v>
      </c>
      <c r="T83" s="57">
        <v>400000</v>
      </c>
      <c r="U83" s="57">
        <v>425000</v>
      </c>
      <c r="V83" s="57">
        <v>450000</v>
      </c>
      <c r="W83" s="57">
        <v>475000</v>
      </c>
      <c r="X83" s="57">
        <v>500000</v>
      </c>
      <c r="Y83" s="57">
        <v>525000</v>
      </c>
      <c r="Z83" s="57">
        <v>550000</v>
      </c>
      <c r="AA83" s="57">
        <v>575000</v>
      </c>
      <c r="AB83" s="57">
        <v>600000</v>
      </c>
      <c r="AC83" s="57">
        <v>625000</v>
      </c>
      <c r="AD83" s="57">
        <v>650000</v>
      </c>
      <c r="AE83" s="57">
        <v>675000</v>
      </c>
      <c r="AF83" s="57">
        <v>700000</v>
      </c>
      <c r="AG83" s="57">
        <v>725000</v>
      </c>
      <c r="AH83" s="57">
        <v>750000</v>
      </c>
      <c r="AI83" s="57">
        <v>775000</v>
      </c>
      <c r="AJ83" s="57">
        <v>800000</v>
      </c>
      <c r="AK83" s="57">
        <v>825000</v>
      </c>
      <c r="AL83" s="57">
        <v>850000</v>
      </c>
      <c r="AM83" s="57">
        <v>875000</v>
      </c>
      <c r="AN83" s="57">
        <v>900000</v>
      </c>
      <c r="AO83" s="57">
        <v>925000</v>
      </c>
      <c r="AP83" s="57">
        <v>950000</v>
      </c>
      <c r="AQ83" s="57">
        <v>975000</v>
      </c>
      <c r="AR83" s="57">
        <v>1000000</v>
      </c>
      <c r="AS83" s="67"/>
      <c r="AT83" s="67"/>
      <c r="AU83" s="67"/>
    </row>
    <row r="84" spans="2:47">
      <c r="B84" t="s">
        <v>24</v>
      </c>
      <c r="C84" s="4">
        <f t="shared" ref="C84:AR84" si="451">C83*0.075</f>
        <v>7012.5</v>
      </c>
      <c r="D84" s="4"/>
      <c r="E84" s="4">
        <f t="shared" si="451"/>
        <v>1875</v>
      </c>
      <c r="F84" s="4">
        <f t="shared" si="451"/>
        <v>3750</v>
      </c>
      <c r="G84" s="4">
        <f t="shared" si="451"/>
        <v>5625</v>
      </c>
      <c r="H84" s="4">
        <f t="shared" si="451"/>
        <v>7500</v>
      </c>
      <c r="I84" s="4">
        <f t="shared" si="451"/>
        <v>9375</v>
      </c>
      <c r="J84" s="4">
        <f t="shared" si="451"/>
        <v>11250</v>
      </c>
      <c r="K84" s="4">
        <f t="shared" si="451"/>
        <v>13125</v>
      </c>
      <c r="L84" s="4">
        <f t="shared" si="451"/>
        <v>15000</v>
      </c>
      <c r="M84" s="4">
        <f t="shared" si="451"/>
        <v>16875</v>
      </c>
      <c r="N84" s="4">
        <f t="shared" si="451"/>
        <v>18750</v>
      </c>
      <c r="O84" s="4">
        <f t="shared" si="451"/>
        <v>20625</v>
      </c>
      <c r="P84" s="4">
        <f t="shared" si="451"/>
        <v>22500</v>
      </c>
      <c r="Q84" s="4">
        <f t="shared" si="451"/>
        <v>24375</v>
      </c>
      <c r="R84" s="4">
        <f t="shared" si="451"/>
        <v>26250</v>
      </c>
      <c r="S84" s="4">
        <f t="shared" si="451"/>
        <v>28125</v>
      </c>
      <c r="T84" s="4">
        <f t="shared" si="451"/>
        <v>30000</v>
      </c>
      <c r="U84" s="4">
        <f t="shared" si="451"/>
        <v>31875</v>
      </c>
      <c r="V84" s="4">
        <f t="shared" si="451"/>
        <v>33750</v>
      </c>
      <c r="W84" s="4">
        <f t="shared" si="451"/>
        <v>35625</v>
      </c>
      <c r="X84" s="4">
        <f t="shared" si="451"/>
        <v>37500</v>
      </c>
      <c r="Y84" s="4">
        <f t="shared" si="451"/>
        <v>39375</v>
      </c>
      <c r="Z84" s="4">
        <f t="shared" si="451"/>
        <v>41250</v>
      </c>
      <c r="AA84" s="4">
        <f t="shared" si="451"/>
        <v>43125</v>
      </c>
      <c r="AB84" s="4">
        <f t="shared" si="451"/>
        <v>45000</v>
      </c>
      <c r="AC84" s="4">
        <f t="shared" si="451"/>
        <v>46875</v>
      </c>
      <c r="AD84" s="4">
        <f t="shared" si="451"/>
        <v>48750</v>
      </c>
      <c r="AE84" s="4">
        <f t="shared" si="451"/>
        <v>50625</v>
      </c>
      <c r="AF84" s="4">
        <f t="shared" si="451"/>
        <v>52500</v>
      </c>
      <c r="AG84" s="4">
        <f t="shared" si="451"/>
        <v>54375</v>
      </c>
      <c r="AH84" s="4">
        <f t="shared" si="451"/>
        <v>56250</v>
      </c>
      <c r="AI84" s="4">
        <f t="shared" si="451"/>
        <v>58125</v>
      </c>
      <c r="AJ84" s="4">
        <f t="shared" si="451"/>
        <v>60000</v>
      </c>
      <c r="AK84" s="4">
        <f t="shared" si="451"/>
        <v>61875</v>
      </c>
      <c r="AL84" s="4">
        <f t="shared" si="451"/>
        <v>63750</v>
      </c>
      <c r="AM84" s="4">
        <f t="shared" si="451"/>
        <v>65625</v>
      </c>
      <c r="AN84" s="4">
        <f t="shared" si="451"/>
        <v>67500</v>
      </c>
      <c r="AO84" s="4">
        <f t="shared" si="451"/>
        <v>69375</v>
      </c>
      <c r="AP84" s="4">
        <f t="shared" si="451"/>
        <v>71250</v>
      </c>
      <c r="AQ84" s="4">
        <f t="shared" si="451"/>
        <v>73125</v>
      </c>
      <c r="AR84" s="4">
        <f t="shared" si="451"/>
        <v>75000</v>
      </c>
      <c r="AS84" s="67"/>
      <c r="AT84" s="67"/>
      <c r="AU84" s="67"/>
    </row>
    <row r="85" spans="2:47">
      <c r="B85" t="s">
        <v>10</v>
      </c>
      <c r="C85" s="4">
        <f>(C83/1000)*C94</f>
        <v>2244</v>
      </c>
      <c r="D85" s="4"/>
      <c r="E85" s="4">
        <f>(E83/1000)*E94</f>
        <v>600</v>
      </c>
      <c r="F85" s="4">
        <f>(F83/1000)*F94</f>
        <v>1200</v>
      </c>
      <c r="G85" s="4">
        <f>(G83/1000)*G94</f>
        <v>1800</v>
      </c>
      <c r="H85" s="4">
        <f>(H83/1000)*H94</f>
        <v>2400</v>
      </c>
      <c r="I85" s="4">
        <f t="shared" ref="I85:J85" si="452">(I83/1000)*I94</f>
        <v>3000</v>
      </c>
      <c r="J85" s="4">
        <f t="shared" si="452"/>
        <v>3600</v>
      </c>
      <c r="K85" s="4">
        <f t="shared" ref="K85" si="453">(K83/1000)*K94</f>
        <v>4200</v>
      </c>
      <c r="L85" s="4">
        <f t="shared" ref="L85:AR85" si="454">(L83/1000)*L94</f>
        <v>4800</v>
      </c>
      <c r="M85" s="4">
        <f t="shared" ref="M85:O85" si="455">(M83/1000)*M94</f>
        <v>5400</v>
      </c>
      <c r="N85" s="4">
        <f t="shared" si="455"/>
        <v>6000</v>
      </c>
      <c r="O85" s="4">
        <f t="shared" si="455"/>
        <v>6600</v>
      </c>
      <c r="P85" s="4">
        <f t="shared" si="454"/>
        <v>7200</v>
      </c>
      <c r="Q85" s="4">
        <f t="shared" ref="Q85:R85" si="456">(Q83/1000)*Q94</f>
        <v>7800</v>
      </c>
      <c r="R85" s="4">
        <f t="shared" si="456"/>
        <v>8400</v>
      </c>
      <c r="S85" s="4">
        <f t="shared" ref="S85" si="457">(S83/1000)*S94</f>
        <v>9000</v>
      </c>
      <c r="T85" s="4">
        <f t="shared" si="454"/>
        <v>9600</v>
      </c>
      <c r="U85" s="4">
        <f t="shared" ref="U85:W85" si="458">(U83/1000)*U94</f>
        <v>10200</v>
      </c>
      <c r="V85" s="4">
        <f t="shared" si="458"/>
        <v>10800</v>
      </c>
      <c r="W85" s="4">
        <f t="shared" si="458"/>
        <v>11400</v>
      </c>
      <c r="X85" s="4">
        <f t="shared" si="454"/>
        <v>12000</v>
      </c>
      <c r="Y85" s="4">
        <f t="shared" ref="Y85:AA85" si="459">(Y83/1000)*Y94</f>
        <v>12600</v>
      </c>
      <c r="Z85" s="4">
        <f t="shared" si="459"/>
        <v>13200</v>
      </c>
      <c r="AA85" s="4">
        <f t="shared" si="459"/>
        <v>13800</v>
      </c>
      <c r="AB85" s="4">
        <f t="shared" si="454"/>
        <v>14400</v>
      </c>
      <c r="AC85" s="4">
        <f t="shared" ref="AC85:AE85" si="460">(AC83/1000)*AC94</f>
        <v>15000</v>
      </c>
      <c r="AD85" s="4">
        <f t="shared" si="460"/>
        <v>15600</v>
      </c>
      <c r="AE85" s="4">
        <f t="shared" si="460"/>
        <v>16200</v>
      </c>
      <c r="AF85" s="4">
        <f t="shared" si="454"/>
        <v>16800</v>
      </c>
      <c r="AG85" s="4">
        <f t="shared" ref="AG85:AI85" si="461">(AG83/1000)*AG94</f>
        <v>17400</v>
      </c>
      <c r="AH85" s="4">
        <f t="shared" si="461"/>
        <v>18000</v>
      </c>
      <c r="AI85" s="4">
        <f t="shared" si="461"/>
        <v>18600</v>
      </c>
      <c r="AJ85" s="4">
        <f t="shared" si="454"/>
        <v>19200</v>
      </c>
      <c r="AK85" s="4">
        <f t="shared" ref="AK85:AM85" si="462">(AK83/1000)*AK94</f>
        <v>19800</v>
      </c>
      <c r="AL85" s="4">
        <f t="shared" si="462"/>
        <v>20400</v>
      </c>
      <c r="AM85" s="4">
        <f t="shared" si="462"/>
        <v>21000</v>
      </c>
      <c r="AN85" s="4">
        <f t="shared" si="454"/>
        <v>21600</v>
      </c>
      <c r="AO85" s="4">
        <f t="shared" ref="AO85:AQ85" si="463">(AO83/1000)*AO94</f>
        <v>22200</v>
      </c>
      <c r="AP85" s="4">
        <f t="shared" si="463"/>
        <v>22800</v>
      </c>
      <c r="AQ85" s="4">
        <f t="shared" si="463"/>
        <v>23400</v>
      </c>
      <c r="AR85" s="4">
        <f t="shared" si="454"/>
        <v>24000</v>
      </c>
      <c r="AS85" s="67"/>
      <c r="AT85" s="67"/>
      <c r="AU85" s="67"/>
    </row>
    <row r="86" spans="2:47">
      <c r="B86" t="s">
        <v>11</v>
      </c>
      <c r="C86" s="4">
        <f>'DATA ENTRY'!D9</f>
        <v>5000</v>
      </c>
      <c r="D86" s="4"/>
      <c r="E86" s="4"/>
      <c r="F86" s="4">
        <f>C86</f>
        <v>5000</v>
      </c>
      <c r="G86" s="4">
        <f t="shared" ref="G86:AR86" si="464">E86</f>
        <v>0</v>
      </c>
      <c r="H86" s="4">
        <f t="shared" si="464"/>
        <v>5000</v>
      </c>
      <c r="I86" s="4">
        <f t="shared" si="464"/>
        <v>0</v>
      </c>
      <c r="J86" s="4">
        <f t="shared" si="464"/>
        <v>5000</v>
      </c>
      <c r="K86" s="4">
        <f t="shared" si="464"/>
        <v>0</v>
      </c>
      <c r="L86" s="4">
        <f t="shared" si="464"/>
        <v>5000</v>
      </c>
      <c r="M86" s="4">
        <f t="shared" si="464"/>
        <v>0</v>
      </c>
      <c r="N86" s="4">
        <f t="shared" si="464"/>
        <v>5000</v>
      </c>
      <c r="O86" s="4">
        <f t="shared" si="464"/>
        <v>0</v>
      </c>
      <c r="P86" s="4">
        <f t="shared" si="464"/>
        <v>5000</v>
      </c>
      <c r="Q86" s="4">
        <f t="shared" si="464"/>
        <v>0</v>
      </c>
      <c r="R86" s="4">
        <f t="shared" si="464"/>
        <v>5000</v>
      </c>
      <c r="S86" s="4">
        <f t="shared" si="464"/>
        <v>0</v>
      </c>
      <c r="T86" s="4">
        <f t="shared" si="464"/>
        <v>5000</v>
      </c>
      <c r="U86" s="4">
        <f t="shared" si="464"/>
        <v>0</v>
      </c>
      <c r="V86" s="4">
        <f t="shared" si="464"/>
        <v>5000</v>
      </c>
      <c r="W86" s="4">
        <f t="shared" si="464"/>
        <v>0</v>
      </c>
      <c r="X86" s="4">
        <f t="shared" si="464"/>
        <v>5000</v>
      </c>
      <c r="Y86" s="4">
        <f t="shared" si="464"/>
        <v>0</v>
      </c>
      <c r="Z86" s="4">
        <f t="shared" si="464"/>
        <v>5000</v>
      </c>
      <c r="AA86" s="4">
        <f t="shared" si="464"/>
        <v>0</v>
      </c>
      <c r="AB86" s="4">
        <f t="shared" si="464"/>
        <v>5000</v>
      </c>
      <c r="AC86" s="4">
        <f t="shared" si="464"/>
        <v>0</v>
      </c>
      <c r="AD86" s="4">
        <f t="shared" si="464"/>
        <v>5000</v>
      </c>
      <c r="AE86" s="4">
        <f t="shared" si="464"/>
        <v>0</v>
      </c>
      <c r="AF86" s="4">
        <f t="shared" si="464"/>
        <v>5000</v>
      </c>
      <c r="AG86" s="4">
        <f t="shared" si="464"/>
        <v>0</v>
      </c>
      <c r="AH86" s="4">
        <f t="shared" si="464"/>
        <v>5000</v>
      </c>
      <c r="AI86" s="4">
        <f t="shared" si="464"/>
        <v>0</v>
      </c>
      <c r="AJ86" s="4">
        <f t="shared" si="464"/>
        <v>5000</v>
      </c>
      <c r="AK86" s="4">
        <f t="shared" si="464"/>
        <v>0</v>
      </c>
      <c r="AL86" s="4">
        <f t="shared" si="464"/>
        <v>5000</v>
      </c>
      <c r="AM86" s="4">
        <f t="shared" si="464"/>
        <v>0</v>
      </c>
      <c r="AN86" s="4">
        <f t="shared" si="464"/>
        <v>5000</v>
      </c>
      <c r="AO86" s="4">
        <f t="shared" si="464"/>
        <v>0</v>
      </c>
      <c r="AP86" s="4">
        <f t="shared" si="464"/>
        <v>5000</v>
      </c>
      <c r="AQ86" s="4">
        <f t="shared" si="464"/>
        <v>0</v>
      </c>
      <c r="AR86" s="4">
        <f t="shared" si="464"/>
        <v>5000</v>
      </c>
      <c r="AS86" s="67"/>
      <c r="AT86" s="67"/>
      <c r="AU86" s="67"/>
    </row>
    <row r="87" spans="2:47">
      <c r="B87" t="s">
        <v>12</v>
      </c>
      <c r="C87" s="4">
        <f>'DATA ENTRY'!D10</f>
        <v>0</v>
      </c>
      <c r="D87" s="4"/>
      <c r="E87" s="4"/>
      <c r="F87" s="4">
        <f>C87</f>
        <v>0</v>
      </c>
      <c r="G87" s="4">
        <f t="shared" ref="G87:AR87" si="465">E87</f>
        <v>0</v>
      </c>
      <c r="H87" s="4">
        <f t="shared" si="465"/>
        <v>0</v>
      </c>
      <c r="I87" s="4">
        <f t="shared" si="465"/>
        <v>0</v>
      </c>
      <c r="J87" s="4">
        <f t="shared" si="465"/>
        <v>0</v>
      </c>
      <c r="K87" s="4">
        <f t="shared" si="465"/>
        <v>0</v>
      </c>
      <c r="L87" s="4">
        <f t="shared" si="465"/>
        <v>0</v>
      </c>
      <c r="M87" s="4">
        <f t="shared" si="465"/>
        <v>0</v>
      </c>
      <c r="N87" s="4">
        <f t="shared" si="465"/>
        <v>0</v>
      </c>
      <c r="O87" s="4">
        <f t="shared" si="465"/>
        <v>0</v>
      </c>
      <c r="P87" s="4">
        <f t="shared" si="465"/>
        <v>0</v>
      </c>
      <c r="Q87" s="4">
        <f t="shared" si="465"/>
        <v>0</v>
      </c>
      <c r="R87" s="4">
        <f t="shared" si="465"/>
        <v>0</v>
      </c>
      <c r="S87" s="4">
        <f t="shared" si="465"/>
        <v>0</v>
      </c>
      <c r="T87" s="4">
        <f t="shared" si="465"/>
        <v>0</v>
      </c>
      <c r="U87" s="4">
        <f t="shared" si="465"/>
        <v>0</v>
      </c>
      <c r="V87" s="4">
        <f t="shared" si="465"/>
        <v>0</v>
      </c>
      <c r="W87" s="4">
        <f t="shared" si="465"/>
        <v>0</v>
      </c>
      <c r="X87" s="4">
        <f t="shared" si="465"/>
        <v>0</v>
      </c>
      <c r="Y87" s="4">
        <f t="shared" si="465"/>
        <v>0</v>
      </c>
      <c r="Z87" s="4">
        <f t="shared" si="465"/>
        <v>0</v>
      </c>
      <c r="AA87" s="4">
        <f t="shared" si="465"/>
        <v>0</v>
      </c>
      <c r="AB87" s="4">
        <f t="shared" si="465"/>
        <v>0</v>
      </c>
      <c r="AC87" s="4">
        <f t="shared" si="465"/>
        <v>0</v>
      </c>
      <c r="AD87" s="4">
        <f t="shared" si="465"/>
        <v>0</v>
      </c>
      <c r="AE87" s="4">
        <f t="shared" si="465"/>
        <v>0</v>
      </c>
      <c r="AF87" s="4">
        <f t="shared" si="465"/>
        <v>0</v>
      </c>
      <c r="AG87" s="4">
        <f t="shared" si="465"/>
        <v>0</v>
      </c>
      <c r="AH87" s="4">
        <f t="shared" si="465"/>
        <v>0</v>
      </c>
      <c r="AI87" s="4">
        <f t="shared" si="465"/>
        <v>0</v>
      </c>
      <c r="AJ87" s="4">
        <f t="shared" si="465"/>
        <v>0</v>
      </c>
      <c r="AK87" s="4">
        <f t="shared" si="465"/>
        <v>0</v>
      </c>
      <c r="AL87" s="4">
        <f t="shared" si="465"/>
        <v>0</v>
      </c>
      <c r="AM87" s="4">
        <f t="shared" si="465"/>
        <v>0</v>
      </c>
      <c r="AN87" s="4">
        <f t="shared" si="465"/>
        <v>0</v>
      </c>
      <c r="AO87" s="4">
        <f t="shared" si="465"/>
        <v>0</v>
      </c>
      <c r="AP87" s="4">
        <f t="shared" si="465"/>
        <v>0</v>
      </c>
      <c r="AQ87" s="4">
        <f t="shared" si="465"/>
        <v>0</v>
      </c>
      <c r="AR87" s="4">
        <f t="shared" si="465"/>
        <v>0</v>
      </c>
      <c r="AS87" s="67"/>
      <c r="AT87" s="67"/>
      <c r="AU87" s="67"/>
    </row>
    <row r="88" spans="2:47">
      <c r="B88" t="s">
        <v>13</v>
      </c>
      <c r="C88" s="4">
        <f>C93*C83*2</f>
        <v>1265.3666666666666</v>
      </c>
      <c r="D88" s="4"/>
      <c r="E88" s="4">
        <f>E93*E83*2</f>
        <v>338.33333333333331</v>
      </c>
      <c r="F88" s="4">
        <f t="shared" ref="F88:AR88" si="466">F93*F83*2</f>
        <v>676.66666666666663</v>
      </c>
      <c r="G88" s="4">
        <f t="shared" si="466"/>
        <v>1015</v>
      </c>
      <c r="H88" s="4">
        <f t="shared" si="466"/>
        <v>1353.3333333333333</v>
      </c>
      <c r="I88" s="4">
        <f t="shared" si="466"/>
        <v>1691.6666666666665</v>
      </c>
      <c r="J88" s="4">
        <f t="shared" si="466"/>
        <v>2030</v>
      </c>
      <c r="K88" s="4">
        <f t="shared" si="466"/>
        <v>2368.3333333333335</v>
      </c>
      <c r="L88" s="4">
        <f t="shared" si="466"/>
        <v>2706.6666666666665</v>
      </c>
      <c r="M88" s="4">
        <f t="shared" si="466"/>
        <v>3045</v>
      </c>
      <c r="N88" s="4">
        <f t="shared" si="466"/>
        <v>3383.333333333333</v>
      </c>
      <c r="O88" s="4">
        <f t="shared" si="466"/>
        <v>3721.6666666666665</v>
      </c>
      <c r="P88" s="4">
        <f t="shared" si="466"/>
        <v>4060</v>
      </c>
      <c r="Q88" s="4">
        <f t="shared" si="466"/>
        <v>4398.333333333333</v>
      </c>
      <c r="R88" s="4">
        <f t="shared" si="466"/>
        <v>4736.666666666667</v>
      </c>
      <c r="S88" s="4">
        <f t="shared" si="466"/>
        <v>5075</v>
      </c>
      <c r="T88" s="4">
        <f t="shared" si="466"/>
        <v>5413.333333333333</v>
      </c>
      <c r="U88" s="4">
        <f t="shared" si="466"/>
        <v>5751.666666666667</v>
      </c>
      <c r="V88" s="4">
        <f t="shared" si="466"/>
        <v>6090</v>
      </c>
      <c r="W88" s="4">
        <f t="shared" si="466"/>
        <v>6428.333333333333</v>
      </c>
      <c r="X88" s="4">
        <f t="shared" si="466"/>
        <v>6766.6666666666661</v>
      </c>
      <c r="Y88" s="4">
        <f t="shared" si="466"/>
        <v>7105</v>
      </c>
      <c r="Z88" s="4">
        <f t="shared" si="466"/>
        <v>7443.333333333333</v>
      </c>
      <c r="AA88" s="4">
        <f t="shared" si="466"/>
        <v>7781.6666666666661</v>
      </c>
      <c r="AB88" s="4">
        <f t="shared" si="466"/>
        <v>8120</v>
      </c>
      <c r="AC88" s="4">
        <f t="shared" si="466"/>
        <v>8458.3333333333339</v>
      </c>
      <c r="AD88" s="4">
        <f t="shared" si="466"/>
        <v>8796.6666666666661</v>
      </c>
      <c r="AE88" s="4">
        <f t="shared" si="466"/>
        <v>9135</v>
      </c>
      <c r="AF88" s="4">
        <f t="shared" si="466"/>
        <v>9473.3333333333339</v>
      </c>
      <c r="AG88" s="4">
        <f t="shared" si="466"/>
        <v>9811.6666666666661</v>
      </c>
      <c r="AH88" s="4">
        <f t="shared" si="466"/>
        <v>10150</v>
      </c>
      <c r="AI88" s="4">
        <f t="shared" si="466"/>
        <v>10488.333333333334</v>
      </c>
      <c r="AJ88" s="4">
        <f t="shared" si="466"/>
        <v>10826.666666666666</v>
      </c>
      <c r="AK88" s="4">
        <f t="shared" si="466"/>
        <v>11165</v>
      </c>
      <c r="AL88" s="4">
        <f t="shared" si="466"/>
        <v>11503.333333333334</v>
      </c>
      <c r="AM88" s="4">
        <f t="shared" si="466"/>
        <v>11841.666666666666</v>
      </c>
      <c r="AN88" s="4">
        <f t="shared" si="466"/>
        <v>12180</v>
      </c>
      <c r="AO88" s="4">
        <f t="shared" si="466"/>
        <v>12518.333333333332</v>
      </c>
      <c r="AP88" s="4">
        <f t="shared" si="466"/>
        <v>12856.666666666666</v>
      </c>
      <c r="AQ88" s="4">
        <f t="shared" si="466"/>
        <v>13195</v>
      </c>
      <c r="AR88" s="4">
        <f t="shared" si="466"/>
        <v>13533.333333333332</v>
      </c>
      <c r="AS88" s="67"/>
      <c r="AT88" s="67"/>
      <c r="AU88" s="67"/>
    </row>
    <row r="89" spans="2:47">
      <c r="B89" t="s">
        <v>25</v>
      </c>
      <c r="C89" s="4">
        <f>SUM(C83:C88)</f>
        <v>109021.86666666667</v>
      </c>
      <c r="D89" s="4"/>
      <c r="E89" s="4">
        <f>SUM(E83:E88)</f>
        <v>27813.333333333332</v>
      </c>
      <c r="F89" s="4">
        <f>SUM(F83:F88)</f>
        <v>60626.666666666664</v>
      </c>
      <c r="G89" s="4">
        <f>SUM(G83:G88)</f>
        <v>83440</v>
      </c>
      <c r="H89" s="4">
        <f>SUM(H83:H88)</f>
        <v>116253.33333333333</v>
      </c>
      <c r="I89" s="4">
        <f t="shared" ref="I89:J89" si="467">SUM(I83:I88)</f>
        <v>139066.66666666666</v>
      </c>
      <c r="J89" s="4">
        <f t="shared" si="467"/>
        <v>171880</v>
      </c>
      <c r="K89" s="4">
        <f t="shared" ref="K89" si="468">SUM(K83:K88)</f>
        <v>194693.33333333334</v>
      </c>
      <c r="L89" s="4">
        <f t="shared" ref="L89:AR89" si="469">SUM(L83:L88)</f>
        <v>227506.66666666666</v>
      </c>
      <c r="M89" s="4">
        <f t="shared" ref="M89:O89" si="470">SUM(M83:M88)</f>
        <v>250320</v>
      </c>
      <c r="N89" s="4">
        <f t="shared" si="470"/>
        <v>283133.33333333331</v>
      </c>
      <c r="O89" s="4">
        <f t="shared" si="470"/>
        <v>305946.66666666669</v>
      </c>
      <c r="P89" s="4">
        <f t="shared" si="469"/>
        <v>338760</v>
      </c>
      <c r="Q89" s="4">
        <f t="shared" ref="Q89:R89" si="471">SUM(Q83:Q88)</f>
        <v>361573.33333333331</v>
      </c>
      <c r="R89" s="4">
        <f t="shared" si="471"/>
        <v>394386.66666666669</v>
      </c>
      <c r="S89" s="4">
        <f t="shared" ref="S89" si="472">SUM(S83:S88)</f>
        <v>417200</v>
      </c>
      <c r="T89" s="4">
        <f t="shared" si="469"/>
        <v>450013.33333333331</v>
      </c>
      <c r="U89" s="4">
        <f t="shared" ref="U89:W89" si="473">SUM(U83:U88)</f>
        <v>472826.66666666669</v>
      </c>
      <c r="V89" s="4">
        <f t="shared" si="473"/>
        <v>505640</v>
      </c>
      <c r="W89" s="4">
        <f t="shared" si="473"/>
        <v>528453.33333333337</v>
      </c>
      <c r="X89" s="4">
        <f t="shared" si="469"/>
        <v>561266.66666666663</v>
      </c>
      <c r="Y89" s="4">
        <f t="shared" ref="Y89:AA89" si="474">SUM(Y83:Y88)</f>
        <v>584080</v>
      </c>
      <c r="Z89" s="4">
        <f t="shared" si="474"/>
        <v>616893.33333333337</v>
      </c>
      <c r="AA89" s="4">
        <f t="shared" si="474"/>
        <v>639706.66666666663</v>
      </c>
      <c r="AB89" s="4">
        <f t="shared" si="469"/>
        <v>672520</v>
      </c>
      <c r="AC89" s="4">
        <f t="shared" ref="AC89:AE89" si="475">SUM(AC83:AC88)</f>
        <v>695333.33333333337</v>
      </c>
      <c r="AD89" s="4">
        <f t="shared" si="475"/>
        <v>728146.66666666663</v>
      </c>
      <c r="AE89" s="4">
        <f t="shared" si="475"/>
        <v>750960</v>
      </c>
      <c r="AF89" s="4">
        <f t="shared" si="469"/>
        <v>783773.33333333337</v>
      </c>
      <c r="AG89" s="4">
        <f t="shared" ref="AG89:AI89" si="476">SUM(AG83:AG88)</f>
        <v>806586.66666666663</v>
      </c>
      <c r="AH89" s="4">
        <f t="shared" si="476"/>
        <v>839400</v>
      </c>
      <c r="AI89" s="4">
        <f t="shared" si="476"/>
        <v>862213.33333333337</v>
      </c>
      <c r="AJ89" s="4">
        <f t="shared" si="469"/>
        <v>895026.66666666663</v>
      </c>
      <c r="AK89" s="4">
        <f t="shared" ref="AK89:AM89" si="477">SUM(AK83:AK88)</f>
        <v>917840</v>
      </c>
      <c r="AL89" s="4">
        <f t="shared" si="477"/>
        <v>950653.33333333337</v>
      </c>
      <c r="AM89" s="4">
        <f t="shared" si="477"/>
        <v>973466.66666666663</v>
      </c>
      <c r="AN89" s="4">
        <f t="shared" si="469"/>
        <v>1006280</v>
      </c>
      <c r="AO89" s="4">
        <f t="shared" ref="AO89:AQ89" si="478">SUM(AO83:AO88)</f>
        <v>1029093.3333333334</v>
      </c>
      <c r="AP89" s="4">
        <f t="shared" si="478"/>
        <v>1061906.6666666667</v>
      </c>
      <c r="AQ89" s="4">
        <f t="shared" si="478"/>
        <v>1084720</v>
      </c>
      <c r="AR89" s="4">
        <f t="shared" si="469"/>
        <v>1117533.3333333333</v>
      </c>
      <c r="AS89" s="67"/>
      <c r="AT89" s="67"/>
      <c r="AU89" s="67"/>
    </row>
    <row r="90" spans="2:47">
      <c r="B90" s="65" t="s">
        <v>26</v>
      </c>
      <c r="C90" s="66">
        <v>8.1199999999999994E-2</v>
      </c>
      <c r="D90" s="66"/>
      <c r="E90" s="66">
        <f>C90</f>
        <v>8.1199999999999994E-2</v>
      </c>
      <c r="F90" s="66">
        <f>C90</f>
        <v>8.1199999999999994E-2</v>
      </c>
      <c r="G90" s="66">
        <f>F90</f>
        <v>8.1199999999999994E-2</v>
      </c>
      <c r="H90" s="66">
        <f t="shared" ref="H90:AR90" si="479">F90</f>
        <v>8.1199999999999994E-2</v>
      </c>
      <c r="I90" s="66">
        <f t="shared" si="479"/>
        <v>8.1199999999999994E-2</v>
      </c>
      <c r="J90" s="66">
        <f t="shared" si="479"/>
        <v>8.1199999999999994E-2</v>
      </c>
      <c r="K90" s="66">
        <f t="shared" si="479"/>
        <v>8.1199999999999994E-2</v>
      </c>
      <c r="L90" s="66">
        <f t="shared" si="479"/>
        <v>8.1199999999999994E-2</v>
      </c>
      <c r="M90" s="66">
        <f t="shared" si="479"/>
        <v>8.1199999999999994E-2</v>
      </c>
      <c r="N90" s="66">
        <f t="shared" si="479"/>
        <v>8.1199999999999994E-2</v>
      </c>
      <c r="O90" s="66">
        <f t="shared" si="479"/>
        <v>8.1199999999999994E-2</v>
      </c>
      <c r="P90" s="66">
        <f t="shared" si="479"/>
        <v>8.1199999999999994E-2</v>
      </c>
      <c r="Q90" s="66">
        <f t="shared" si="479"/>
        <v>8.1199999999999994E-2</v>
      </c>
      <c r="R90" s="66">
        <f t="shared" si="479"/>
        <v>8.1199999999999994E-2</v>
      </c>
      <c r="S90" s="66">
        <f t="shared" si="479"/>
        <v>8.1199999999999994E-2</v>
      </c>
      <c r="T90" s="66">
        <f t="shared" si="479"/>
        <v>8.1199999999999994E-2</v>
      </c>
      <c r="U90" s="66">
        <f t="shared" si="479"/>
        <v>8.1199999999999994E-2</v>
      </c>
      <c r="V90" s="66">
        <f t="shared" si="479"/>
        <v>8.1199999999999994E-2</v>
      </c>
      <c r="W90" s="66">
        <f t="shared" si="479"/>
        <v>8.1199999999999994E-2</v>
      </c>
      <c r="X90" s="66">
        <f t="shared" si="479"/>
        <v>8.1199999999999994E-2</v>
      </c>
      <c r="Y90" s="66">
        <f t="shared" si="479"/>
        <v>8.1199999999999994E-2</v>
      </c>
      <c r="Z90" s="66">
        <f t="shared" si="479"/>
        <v>8.1199999999999994E-2</v>
      </c>
      <c r="AA90" s="66">
        <f t="shared" si="479"/>
        <v>8.1199999999999994E-2</v>
      </c>
      <c r="AB90" s="66">
        <f t="shared" si="479"/>
        <v>8.1199999999999994E-2</v>
      </c>
      <c r="AC90" s="66">
        <f t="shared" si="479"/>
        <v>8.1199999999999994E-2</v>
      </c>
      <c r="AD90" s="66">
        <f t="shared" si="479"/>
        <v>8.1199999999999994E-2</v>
      </c>
      <c r="AE90" s="66">
        <f t="shared" si="479"/>
        <v>8.1199999999999994E-2</v>
      </c>
      <c r="AF90" s="66">
        <f t="shared" si="479"/>
        <v>8.1199999999999994E-2</v>
      </c>
      <c r="AG90" s="66">
        <f t="shared" si="479"/>
        <v>8.1199999999999994E-2</v>
      </c>
      <c r="AH90" s="66">
        <f t="shared" si="479"/>
        <v>8.1199999999999994E-2</v>
      </c>
      <c r="AI90" s="66">
        <f t="shared" si="479"/>
        <v>8.1199999999999994E-2</v>
      </c>
      <c r="AJ90" s="66">
        <f t="shared" si="479"/>
        <v>8.1199999999999994E-2</v>
      </c>
      <c r="AK90" s="66">
        <f t="shared" si="479"/>
        <v>8.1199999999999994E-2</v>
      </c>
      <c r="AL90" s="66">
        <f t="shared" si="479"/>
        <v>8.1199999999999994E-2</v>
      </c>
      <c r="AM90" s="66">
        <f t="shared" si="479"/>
        <v>8.1199999999999994E-2</v>
      </c>
      <c r="AN90" s="66">
        <f t="shared" si="479"/>
        <v>8.1199999999999994E-2</v>
      </c>
      <c r="AO90" s="66">
        <f t="shared" si="479"/>
        <v>8.1199999999999994E-2</v>
      </c>
      <c r="AP90" s="66">
        <f t="shared" si="479"/>
        <v>8.1199999999999994E-2</v>
      </c>
      <c r="AQ90" s="66">
        <f t="shared" si="479"/>
        <v>8.1199999999999994E-2</v>
      </c>
      <c r="AR90" s="66">
        <f t="shared" si="479"/>
        <v>8.1199999999999994E-2</v>
      </c>
      <c r="AS90" s="68"/>
      <c r="AT90" s="68"/>
      <c r="AU90" s="68"/>
    </row>
    <row r="91" spans="2:47">
      <c r="B91" s="59" t="s">
        <v>27</v>
      </c>
      <c r="C91" s="59">
        <f>(1+C90/C94)^C94-1</f>
        <v>8.4439155214514949E-2</v>
      </c>
      <c r="D91" s="59"/>
      <c r="E91" s="59">
        <f>(1+E90/E94)^E94-1</f>
        <v>8.4439155214514949E-2</v>
      </c>
      <c r="F91" s="59">
        <f>(1+F90/F94)^F94-1</f>
        <v>8.4439155214514949E-2</v>
      </c>
      <c r="G91" s="59">
        <f>(1+G90/G94)^G94-1</f>
        <v>8.4439155214514949E-2</v>
      </c>
      <c r="H91" s="59">
        <f t="shared" ref="H91:AR91" si="480">(1+H90/H94)^H94-1</f>
        <v>8.4439155214514949E-2</v>
      </c>
      <c r="I91" s="59">
        <f t="shared" si="480"/>
        <v>8.4439155214514949E-2</v>
      </c>
      <c r="J91" s="59">
        <f t="shared" si="480"/>
        <v>8.4439155214514949E-2</v>
      </c>
      <c r="K91" s="59">
        <f t="shared" si="480"/>
        <v>8.4439155214514949E-2</v>
      </c>
      <c r="L91" s="59">
        <f t="shared" si="480"/>
        <v>8.4439155214514949E-2</v>
      </c>
      <c r="M91" s="59">
        <f t="shared" si="480"/>
        <v>8.4439155214514949E-2</v>
      </c>
      <c r="N91" s="59">
        <f t="shared" si="480"/>
        <v>8.4439155214514949E-2</v>
      </c>
      <c r="O91" s="59">
        <f t="shared" si="480"/>
        <v>8.4439155214514949E-2</v>
      </c>
      <c r="P91" s="59">
        <f t="shared" si="480"/>
        <v>8.4439155214514949E-2</v>
      </c>
      <c r="Q91" s="59">
        <f t="shared" si="480"/>
        <v>8.4439155214514949E-2</v>
      </c>
      <c r="R91" s="59">
        <f t="shared" si="480"/>
        <v>8.4439155214514949E-2</v>
      </c>
      <c r="S91" s="59">
        <f t="shared" si="480"/>
        <v>8.4439155214514949E-2</v>
      </c>
      <c r="T91" s="59">
        <f t="shared" si="480"/>
        <v>8.4439155214514949E-2</v>
      </c>
      <c r="U91" s="59">
        <f t="shared" si="480"/>
        <v>8.4439155214514949E-2</v>
      </c>
      <c r="V91" s="59">
        <f t="shared" si="480"/>
        <v>8.4439155214514949E-2</v>
      </c>
      <c r="W91" s="59">
        <f t="shared" si="480"/>
        <v>8.4439155214514949E-2</v>
      </c>
      <c r="X91" s="59">
        <f t="shared" si="480"/>
        <v>8.4439155214514949E-2</v>
      </c>
      <c r="Y91" s="59">
        <f t="shared" si="480"/>
        <v>8.4439155214514949E-2</v>
      </c>
      <c r="Z91" s="59">
        <f t="shared" si="480"/>
        <v>8.4439155214514949E-2</v>
      </c>
      <c r="AA91" s="59">
        <f t="shared" si="480"/>
        <v>8.4439155214514949E-2</v>
      </c>
      <c r="AB91" s="59">
        <f t="shared" si="480"/>
        <v>8.4439155214514949E-2</v>
      </c>
      <c r="AC91" s="59">
        <f t="shared" si="480"/>
        <v>8.4439155214514949E-2</v>
      </c>
      <c r="AD91" s="59">
        <f t="shared" si="480"/>
        <v>8.4439155214514949E-2</v>
      </c>
      <c r="AE91" s="59">
        <f t="shared" si="480"/>
        <v>8.4439155214514949E-2</v>
      </c>
      <c r="AF91" s="59">
        <f t="shared" si="480"/>
        <v>8.4439155214514949E-2</v>
      </c>
      <c r="AG91" s="59">
        <f t="shared" si="480"/>
        <v>8.4439155214514949E-2</v>
      </c>
      <c r="AH91" s="59">
        <f t="shared" si="480"/>
        <v>8.4439155214514949E-2</v>
      </c>
      <c r="AI91" s="59">
        <f t="shared" si="480"/>
        <v>8.4439155214514949E-2</v>
      </c>
      <c r="AJ91" s="59">
        <f t="shared" si="480"/>
        <v>8.4439155214514949E-2</v>
      </c>
      <c r="AK91" s="59">
        <f t="shared" si="480"/>
        <v>8.4439155214514949E-2</v>
      </c>
      <c r="AL91" s="59">
        <f t="shared" si="480"/>
        <v>8.4439155214514949E-2</v>
      </c>
      <c r="AM91" s="59">
        <f t="shared" si="480"/>
        <v>8.4439155214514949E-2</v>
      </c>
      <c r="AN91" s="59">
        <f t="shared" si="480"/>
        <v>8.4439155214514949E-2</v>
      </c>
      <c r="AO91" s="59">
        <f t="shared" si="480"/>
        <v>8.4439155214514949E-2</v>
      </c>
      <c r="AP91" s="59">
        <f t="shared" si="480"/>
        <v>8.4439155214514949E-2</v>
      </c>
      <c r="AQ91" s="59">
        <f t="shared" si="480"/>
        <v>8.4439155214514949E-2</v>
      </c>
      <c r="AR91" s="69">
        <f t="shared" si="480"/>
        <v>8.4439155214514949E-2</v>
      </c>
      <c r="AS91" s="70"/>
      <c r="AT91" s="70"/>
      <c r="AU91" s="70"/>
    </row>
    <row r="92" spans="2:47">
      <c r="B92" t="s">
        <v>28</v>
      </c>
      <c r="C92" s="60">
        <v>2</v>
      </c>
      <c r="D92" s="60"/>
      <c r="E92" s="60">
        <v>2</v>
      </c>
      <c r="F92" s="60">
        <v>2</v>
      </c>
      <c r="G92" s="60">
        <v>2</v>
      </c>
      <c r="H92" s="60">
        <v>2</v>
      </c>
      <c r="I92" s="60">
        <v>2</v>
      </c>
      <c r="J92" s="60">
        <v>2</v>
      </c>
      <c r="K92" s="60">
        <v>2</v>
      </c>
      <c r="L92" s="60">
        <f>H92</f>
        <v>2</v>
      </c>
      <c r="M92" s="60">
        <f>I92</f>
        <v>2</v>
      </c>
      <c r="N92" s="60">
        <f>K92</f>
        <v>2</v>
      </c>
      <c r="O92" s="60">
        <f t="shared" ref="O92:AR92" si="481">K92</f>
        <v>2</v>
      </c>
      <c r="P92" s="60">
        <f t="shared" si="481"/>
        <v>2</v>
      </c>
      <c r="Q92" s="60">
        <f t="shared" si="481"/>
        <v>2</v>
      </c>
      <c r="R92" s="60">
        <f t="shared" si="481"/>
        <v>2</v>
      </c>
      <c r="S92" s="60">
        <f t="shared" si="481"/>
        <v>2</v>
      </c>
      <c r="T92" s="60">
        <f t="shared" si="481"/>
        <v>2</v>
      </c>
      <c r="U92" s="60">
        <f t="shared" si="481"/>
        <v>2</v>
      </c>
      <c r="V92" s="60">
        <f t="shared" si="481"/>
        <v>2</v>
      </c>
      <c r="W92" s="60">
        <f t="shared" si="481"/>
        <v>2</v>
      </c>
      <c r="X92" s="60">
        <f t="shared" si="481"/>
        <v>2</v>
      </c>
      <c r="Y92" s="60">
        <f t="shared" si="481"/>
        <v>2</v>
      </c>
      <c r="Z92" s="60">
        <f t="shared" si="481"/>
        <v>2</v>
      </c>
      <c r="AA92" s="60">
        <f t="shared" si="481"/>
        <v>2</v>
      </c>
      <c r="AB92" s="60">
        <f t="shared" si="481"/>
        <v>2</v>
      </c>
      <c r="AC92" s="60">
        <f t="shared" si="481"/>
        <v>2</v>
      </c>
      <c r="AD92" s="60">
        <f t="shared" si="481"/>
        <v>2</v>
      </c>
      <c r="AE92" s="60">
        <f t="shared" si="481"/>
        <v>2</v>
      </c>
      <c r="AF92" s="60">
        <f t="shared" si="481"/>
        <v>2</v>
      </c>
      <c r="AG92" s="60">
        <f t="shared" si="481"/>
        <v>2</v>
      </c>
      <c r="AH92" s="60">
        <f t="shared" si="481"/>
        <v>2</v>
      </c>
      <c r="AI92" s="60">
        <f t="shared" si="481"/>
        <v>2</v>
      </c>
      <c r="AJ92" s="60">
        <f t="shared" si="481"/>
        <v>2</v>
      </c>
      <c r="AK92" s="60">
        <f t="shared" si="481"/>
        <v>2</v>
      </c>
      <c r="AL92" s="60">
        <f t="shared" si="481"/>
        <v>2</v>
      </c>
      <c r="AM92" s="60">
        <f t="shared" si="481"/>
        <v>2</v>
      </c>
      <c r="AN92" s="60">
        <f t="shared" si="481"/>
        <v>2</v>
      </c>
      <c r="AO92" s="60">
        <f t="shared" si="481"/>
        <v>2</v>
      </c>
      <c r="AP92" s="60">
        <f t="shared" si="481"/>
        <v>2</v>
      </c>
      <c r="AQ92" s="60">
        <f t="shared" si="481"/>
        <v>2</v>
      </c>
      <c r="AR92" s="60">
        <f t="shared" si="481"/>
        <v>2</v>
      </c>
      <c r="AS92" s="71"/>
      <c r="AT92" s="71"/>
      <c r="AU92" s="71"/>
    </row>
    <row r="93" spans="2:47">
      <c r="B93" t="s">
        <v>29</v>
      </c>
      <c r="C93" s="7">
        <f>C90/12</f>
        <v>6.7666666666666665E-3</v>
      </c>
      <c r="D93" s="7"/>
      <c r="E93" s="7">
        <f>E90/12</f>
        <v>6.7666666666666665E-3</v>
      </c>
      <c r="F93" s="7">
        <f>F90/12</f>
        <v>6.7666666666666665E-3</v>
      </c>
      <c r="G93" s="7">
        <f>G90/12</f>
        <v>6.7666666666666665E-3</v>
      </c>
      <c r="H93" s="7">
        <f>H90/12</f>
        <v>6.7666666666666665E-3</v>
      </c>
      <c r="I93" s="7">
        <f t="shared" ref="I93:J93" si="482">I90/12</f>
        <v>6.7666666666666665E-3</v>
      </c>
      <c r="J93" s="7">
        <f t="shared" si="482"/>
        <v>6.7666666666666665E-3</v>
      </c>
      <c r="K93" s="7">
        <f t="shared" ref="K93" si="483">K90/12</f>
        <v>6.7666666666666665E-3</v>
      </c>
      <c r="L93" s="7">
        <f t="shared" ref="L93:AR93" si="484">L90/12</f>
        <v>6.7666666666666665E-3</v>
      </c>
      <c r="M93" s="7">
        <f t="shared" ref="M93:O93" si="485">M90/12</f>
        <v>6.7666666666666665E-3</v>
      </c>
      <c r="N93" s="7">
        <f t="shared" si="485"/>
        <v>6.7666666666666665E-3</v>
      </c>
      <c r="O93" s="7">
        <f t="shared" si="485"/>
        <v>6.7666666666666665E-3</v>
      </c>
      <c r="P93" s="7">
        <f t="shared" si="484"/>
        <v>6.7666666666666665E-3</v>
      </c>
      <c r="Q93" s="7">
        <f t="shared" ref="Q93:R93" si="486">Q90/12</f>
        <v>6.7666666666666665E-3</v>
      </c>
      <c r="R93" s="7">
        <f t="shared" si="486"/>
        <v>6.7666666666666665E-3</v>
      </c>
      <c r="S93" s="7">
        <f t="shared" ref="S93" si="487">S90/12</f>
        <v>6.7666666666666665E-3</v>
      </c>
      <c r="T93" s="7">
        <f t="shared" si="484"/>
        <v>6.7666666666666665E-3</v>
      </c>
      <c r="U93" s="7">
        <f t="shared" ref="U93:W93" si="488">U90/12</f>
        <v>6.7666666666666665E-3</v>
      </c>
      <c r="V93" s="7">
        <f t="shared" si="488"/>
        <v>6.7666666666666665E-3</v>
      </c>
      <c r="W93" s="7">
        <f t="shared" si="488"/>
        <v>6.7666666666666665E-3</v>
      </c>
      <c r="X93" s="7">
        <f t="shared" si="484"/>
        <v>6.7666666666666665E-3</v>
      </c>
      <c r="Y93" s="7">
        <f t="shared" ref="Y93:AA93" si="489">Y90/12</f>
        <v>6.7666666666666665E-3</v>
      </c>
      <c r="Z93" s="7">
        <f t="shared" si="489"/>
        <v>6.7666666666666665E-3</v>
      </c>
      <c r="AA93" s="7">
        <f t="shared" si="489"/>
        <v>6.7666666666666665E-3</v>
      </c>
      <c r="AB93" s="7">
        <f t="shared" si="484"/>
        <v>6.7666666666666665E-3</v>
      </c>
      <c r="AC93" s="7">
        <f t="shared" ref="AC93:AE93" si="490">AC90/12</f>
        <v>6.7666666666666665E-3</v>
      </c>
      <c r="AD93" s="7">
        <f t="shared" si="490"/>
        <v>6.7666666666666665E-3</v>
      </c>
      <c r="AE93" s="7">
        <f t="shared" si="490"/>
        <v>6.7666666666666665E-3</v>
      </c>
      <c r="AF93" s="7">
        <f t="shared" si="484"/>
        <v>6.7666666666666665E-3</v>
      </c>
      <c r="AG93" s="7">
        <f t="shared" ref="AG93:AI93" si="491">AG90/12</f>
        <v>6.7666666666666665E-3</v>
      </c>
      <c r="AH93" s="7">
        <f t="shared" si="491"/>
        <v>6.7666666666666665E-3</v>
      </c>
      <c r="AI93" s="7">
        <f t="shared" si="491"/>
        <v>6.7666666666666665E-3</v>
      </c>
      <c r="AJ93" s="7">
        <f t="shared" si="484"/>
        <v>6.7666666666666665E-3</v>
      </c>
      <c r="AK93" s="7">
        <f t="shared" ref="AK93:AM93" si="492">AK90/12</f>
        <v>6.7666666666666665E-3</v>
      </c>
      <c r="AL93" s="7">
        <f t="shared" si="492"/>
        <v>6.7666666666666665E-3</v>
      </c>
      <c r="AM93" s="7">
        <f t="shared" si="492"/>
        <v>6.7666666666666665E-3</v>
      </c>
      <c r="AN93" s="7">
        <f t="shared" si="484"/>
        <v>6.7666666666666665E-3</v>
      </c>
      <c r="AO93" s="7">
        <f t="shared" ref="AO93:AQ93" si="493">AO90/12</f>
        <v>6.7666666666666665E-3</v>
      </c>
      <c r="AP93" s="7">
        <f t="shared" si="493"/>
        <v>6.7666666666666665E-3</v>
      </c>
      <c r="AQ93" s="7">
        <f t="shared" si="493"/>
        <v>6.7666666666666665E-3</v>
      </c>
      <c r="AR93" s="7">
        <f t="shared" si="484"/>
        <v>6.7666666666666665E-3</v>
      </c>
      <c r="AS93" s="25"/>
      <c r="AT93" s="25"/>
      <c r="AU93" s="25"/>
    </row>
    <row r="94" spans="2:47">
      <c r="B94" t="s">
        <v>30</v>
      </c>
      <c r="C94" s="60">
        <f>C92*12</f>
        <v>24</v>
      </c>
      <c r="D94" s="60"/>
      <c r="E94" s="60">
        <f>E92*12</f>
        <v>24</v>
      </c>
      <c r="F94" s="60">
        <f>F92*12</f>
        <v>24</v>
      </c>
      <c r="G94" s="60">
        <f>G92*12</f>
        <v>24</v>
      </c>
      <c r="H94" s="60">
        <f>H92*12</f>
        <v>24</v>
      </c>
      <c r="I94" s="60">
        <f t="shared" ref="I94:J94" si="494">I92*12</f>
        <v>24</v>
      </c>
      <c r="J94" s="60">
        <f t="shared" si="494"/>
        <v>24</v>
      </c>
      <c r="K94" s="60">
        <f t="shared" ref="K94" si="495">K92*12</f>
        <v>24</v>
      </c>
      <c r="L94" s="60">
        <f t="shared" ref="L94:AR94" si="496">L92*12</f>
        <v>24</v>
      </c>
      <c r="M94" s="60">
        <f t="shared" ref="M94:O94" si="497">M92*12</f>
        <v>24</v>
      </c>
      <c r="N94" s="60">
        <f t="shared" si="497"/>
        <v>24</v>
      </c>
      <c r="O94" s="60">
        <f t="shared" si="497"/>
        <v>24</v>
      </c>
      <c r="P94" s="60">
        <f t="shared" si="496"/>
        <v>24</v>
      </c>
      <c r="Q94" s="60">
        <f t="shared" ref="Q94:R94" si="498">Q92*12</f>
        <v>24</v>
      </c>
      <c r="R94" s="60">
        <f t="shared" si="498"/>
        <v>24</v>
      </c>
      <c r="S94" s="60">
        <f t="shared" ref="S94" si="499">S92*12</f>
        <v>24</v>
      </c>
      <c r="T94" s="60">
        <f t="shared" si="496"/>
        <v>24</v>
      </c>
      <c r="U94" s="60">
        <f t="shared" ref="U94:W94" si="500">U92*12</f>
        <v>24</v>
      </c>
      <c r="V94" s="60">
        <f t="shared" si="500"/>
        <v>24</v>
      </c>
      <c r="W94" s="60">
        <f t="shared" si="500"/>
        <v>24</v>
      </c>
      <c r="X94" s="60">
        <f t="shared" si="496"/>
        <v>24</v>
      </c>
      <c r="Y94" s="60">
        <f t="shared" ref="Y94:AA94" si="501">Y92*12</f>
        <v>24</v>
      </c>
      <c r="Z94" s="60">
        <f t="shared" si="501"/>
        <v>24</v>
      </c>
      <c r="AA94" s="60">
        <f t="shared" si="501"/>
        <v>24</v>
      </c>
      <c r="AB94" s="60">
        <f t="shared" si="496"/>
        <v>24</v>
      </c>
      <c r="AC94" s="60">
        <f t="shared" ref="AC94:AE94" si="502">AC92*12</f>
        <v>24</v>
      </c>
      <c r="AD94" s="60">
        <f t="shared" si="502"/>
        <v>24</v>
      </c>
      <c r="AE94" s="60">
        <f t="shared" si="502"/>
        <v>24</v>
      </c>
      <c r="AF94" s="60">
        <f t="shared" si="496"/>
        <v>24</v>
      </c>
      <c r="AG94" s="60">
        <f t="shared" ref="AG94:AI94" si="503">AG92*12</f>
        <v>24</v>
      </c>
      <c r="AH94" s="60">
        <f t="shared" si="503"/>
        <v>24</v>
      </c>
      <c r="AI94" s="60">
        <f t="shared" si="503"/>
        <v>24</v>
      </c>
      <c r="AJ94" s="60">
        <f t="shared" si="496"/>
        <v>24</v>
      </c>
      <c r="AK94" s="60">
        <f t="shared" ref="AK94:AM94" si="504">AK92*12</f>
        <v>24</v>
      </c>
      <c r="AL94" s="60">
        <f t="shared" si="504"/>
        <v>24</v>
      </c>
      <c r="AM94" s="60">
        <f t="shared" si="504"/>
        <v>24</v>
      </c>
      <c r="AN94" s="60">
        <f t="shared" si="496"/>
        <v>24</v>
      </c>
      <c r="AO94" s="60">
        <f t="shared" ref="AO94:AQ94" si="505">AO92*12</f>
        <v>24</v>
      </c>
      <c r="AP94" s="60">
        <f t="shared" si="505"/>
        <v>24</v>
      </c>
      <c r="AQ94" s="60">
        <f t="shared" si="505"/>
        <v>24</v>
      </c>
      <c r="AR94" s="60">
        <f t="shared" si="496"/>
        <v>24</v>
      </c>
      <c r="AS94" s="71"/>
      <c r="AT94" s="71"/>
      <c r="AU94" s="71"/>
    </row>
    <row r="95" spans="2:47">
      <c r="C95" s="4"/>
      <c r="D95" s="4"/>
      <c r="E95" s="4"/>
      <c r="F95" s="4"/>
      <c r="G95" s="4"/>
      <c r="H95" s="4"/>
      <c r="I95" s="4"/>
      <c r="J95" s="4"/>
      <c r="K95" s="4"/>
      <c r="L95" s="4"/>
      <c r="M95" s="4"/>
      <c r="AB95" s="4"/>
      <c r="AC95" s="4"/>
      <c r="AD95" s="4"/>
      <c r="AE95" s="4"/>
      <c r="AF95" s="4"/>
      <c r="AG95" s="4"/>
      <c r="AH95" s="4"/>
      <c r="AI95" s="4"/>
      <c r="AJ95" s="4"/>
      <c r="AK95" s="4"/>
      <c r="AL95" s="4"/>
      <c r="AM95" s="4"/>
      <c r="AN95" s="4"/>
      <c r="AO95" s="4"/>
      <c r="AP95" s="4"/>
      <c r="AQ95" s="4"/>
      <c r="AR95" s="4"/>
      <c r="AS95" s="67"/>
      <c r="AT95" s="67"/>
      <c r="AU95" s="67"/>
    </row>
    <row r="96" spans="2:47">
      <c r="B96" t="s">
        <v>17</v>
      </c>
      <c r="C96" s="62">
        <f>(1+C93)^C94</f>
        <v>1.1756874176186256</v>
      </c>
      <c r="D96" s="62"/>
      <c r="E96" s="62">
        <f>(1+E93)^E94</f>
        <v>1.1756874176186256</v>
      </c>
      <c r="F96" s="62">
        <f>(1+F93)^F94</f>
        <v>1.1756874176186256</v>
      </c>
      <c r="G96" s="62">
        <f>(1+G93)^G94</f>
        <v>1.1756874176186256</v>
      </c>
      <c r="H96" s="62">
        <f>(1+H93)^H94</f>
        <v>1.1756874176186256</v>
      </c>
      <c r="I96" s="62">
        <f t="shared" ref="I96:J96" si="506">(1+I93)^I94</f>
        <v>1.1756874176186256</v>
      </c>
      <c r="J96" s="62">
        <f t="shared" si="506"/>
        <v>1.1756874176186256</v>
      </c>
      <c r="K96" s="62">
        <f t="shared" ref="K96" si="507">(1+K93)^K94</f>
        <v>1.1756874176186256</v>
      </c>
      <c r="L96" s="62">
        <f t="shared" ref="L96:AR96" si="508">(1+L93)^L94</f>
        <v>1.1756874176186256</v>
      </c>
      <c r="M96" s="62">
        <f t="shared" ref="M96:O96" si="509">(1+M93)^M94</f>
        <v>1.1756874176186256</v>
      </c>
      <c r="N96" s="62">
        <f t="shared" si="509"/>
        <v>1.1756874176186256</v>
      </c>
      <c r="O96" s="62">
        <f t="shared" si="509"/>
        <v>1.1756874176186256</v>
      </c>
      <c r="P96" s="62">
        <f t="shared" si="508"/>
        <v>1.1756874176186256</v>
      </c>
      <c r="Q96" s="62">
        <f t="shared" ref="Q96:R96" si="510">(1+Q93)^Q94</f>
        <v>1.1756874176186256</v>
      </c>
      <c r="R96" s="62">
        <f t="shared" si="510"/>
        <v>1.1756874176186256</v>
      </c>
      <c r="S96" s="62">
        <f t="shared" ref="S96" si="511">(1+S93)^S94</f>
        <v>1.1756874176186256</v>
      </c>
      <c r="T96" s="62">
        <f t="shared" si="508"/>
        <v>1.1756874176186256</v>
      </c>
      <c r="U96" s="62">
        <f t="shared" ref="U96:W96" si="512">(1+U93)^U94</f>
        <v>1.1756874176186256</v>
      </c>
      <c r="V96" s="62">
        <f t="shared" si="512"/>
        <v>1.1756874176186256</v>
      </c>
      <c r="W96" s="62">
        <f t="shared" si="512"/>
        <v>1.1756874176186256</v>
      </c>
      <c r="X96" s="62">
        <f t="shared" si="508"/>
        <v>1.1756874176186256</v>
      </c>
      <c r="Y96" s="62">
        <f t="shared" ref="Y96:AA96" si="513">(1+Y93)^Y94</f>
        <v>1.1756874176186256</v>
      </c>
      <c r="Z96" s="62">
        <f t="shared" si="513"/>
        <v>1.1756874176186256</v>
      </c>
      <c r="AA96" s="62">
        <f t="shared" si="513"/>
        <v>1.1756874176186256</v>
      </c>
      <c r="AB96" s="62">
        <f t="shared" si="508"/>
        <v>1.1756874176186256</v>
      </c>
      <c r="AC96" s="62">
        <f t="shared" ref="AC96:AE96" si="514">(1+AC93)^AC94</f>
        <v>1.1756874176186256</v>
      </c>
      <c r="AD96" s="62">
        <f t="shared" si="514"/>
        <v>1.1756874176186256</v>
      </c>
      <c r="AE96" s="62">
        <f t="shared" si="514"/>
        <v>1.1756874176186256</v>
      </c>
      <c r="AF96" s="62">
        <f t="shared" si="508"/>
        <v>1.1756874176186256</v>
      </c>
      <c r="AG96" s="62">
        <f t="shared" ref="AG96:AI96" si="515">(1+AG93)^AG94</f>
        <v>1.1756874176186256</v>
      </c>
      <c r="AH96" s="62">
        <f t="shared" si="515"/>
        <v>1.1756874176186256</v>
      </c>
      <c r="AI96" s="62">
        <f t="shared" si="515"/>
        <v>1.1756874176186256</v>
      </c>
      <c r="AJ96" s="62">
        <f t="shared" si="508"/>
        <v>1.1756874176186256</v>
      </c>
      <c r="AK96" s="62">
        <f t="shared" ref="AK96:AM96" si="516">(1+AK93)^AK94</f>
        <v>1.1756874176186256</v>
      </c>
      <c r="AL96" s="62">
        <f t="shared" si="516"/>
        <v>1.1756874176186256</v>
      </c>
      <c r="AM96" s="62">
        <f t="shared" si="516"/>
        <v>1.1756874176186256</v>
      </c>
      <c r="AN96" s="62">
        <f t="shared" si="508"/>
        <v>1.1756874176186256</v>
      </c>
      <c r="AO96" s="62">
        <f t="shared" ref="AO96:AQ96" si="517">(1+AO93)^AO94</f>
        <v>1.1756874176186256</v>
      </c>
      <c r="AP96" s="62">
        <f t="shared" si="517"/>
        <v>1.1756874176186256</v>
      </c>
      <c r="AQ96" s="62">
        <f t="shared" si="517"/>
        <v>1.1756874176186256</v>
      </c>
      <c r="AR96" s="62">
        <f t="shared" si="508"/>
        <v>1.1756874176186256</v>
      </c>
      <c r="AS96" s="72"/>
      <c r="AT96" s="72"/>
      <c r="AU96" s="72"/>
    </row>
    <row r="97" spans="2:47">
      <c r="C97" s="63">
        <f>C96*C93</f>
        <v>7.9554848592193663E-3</v>
      </c>
      <c r="D97" s="63"/>
      <c r="E97" s="63">
        <f>E96*E93</f>
        <v>7.9554848592193663E-3</v>
      </c>
      <c r="F97" s="63">
        <f>F96*F93</f>
        <v>7.9554848592193663E-3</v>
      </c>
      <c r="G97" s="63">
        <f>G96*G93</f>
        <v>7.9554848592193663E-3</v>
      </c>
      <c r="H97" s="63">
        <f>H96*H93</f>
        <v>7.9554848592193663E-3</v>
      </c>
      <c r="I97" s="63">
        <f t="shared" ref="I97:J97" si="518">I96*I93</f>
        <v>7.9554848592193663E-3</v>
      </c>
      <c r="J97" s="63">
        <f t="shared" si="518"/>
        <v>7.9554848592193663E-3</v>
      </c>
      <c r="K97" s="63">
        <f t="shared" ref="K97" si="519">K96*K93</f>
        <v>7.9554848592193663E-3</v>
      </c>
      <c r="L97" s="63">
        <f t="shared" ref="L97:AR97" si="520">L96*L93</f>
        <v>7.9554848592193663E-3</v>
      </c>
      <c r="M97" s="63">
        <f t="shared" ref="M97:O97" si="521">M96*M93</f>
        <v>7.9554848592193663E-3</v>
      </c>
      <c r="N97" s="63">
        <f t="shared" si="521"/>
        <v>7.9554848592193663E-3</v>
      </c>
      <c r="O97" s="63">
        <f t="shared" si="521"/>
        <v>7.9554848592193663E-3</v>
      </c>
      <c r="P97" s="63">
        <f t="shared" si="520"/>
        <v>7.9554848592193663E-3</v>
      </c>
      <c r="Q97" s="63">
        <f t="shared" ref="Q97:R97" si="522">Q96*Q93</f>
        <v>7.9554848592193663E-3</v>
      </c>
      <c r="R97" s="63">
        <f t="shared" si="522"/>
        <v>7.9554848592193663E-3</v>
      </c>
      <c r="S97" s="63">
        <f t="shared" ref="S97" si="523">S96*S93</f>
        <v>7.9554848592193663E-3</v>
      </c>
      <c r="T97" s="63">
        <f t="shared" si="520"/>
        <v>7.9554848592193663E-3</v>
      </c>
      <c r="U97" s="63">
        <f t="shared" ref="U97:W97" si="524">U96*U93</f>
        <v>7.9554848592193663E-3</v>
      </c>
      <c r="V97" s="63">
        <f t="shared" si="524"/>
        <v>7.9554848592193663E-3</v>
      </c>
      <c r="W97" s="63">
        <f t="shared" si="524"/>
        <v>7.9554848592193663E-3</v>
      </c>
      <c r="X97" s="63">
        <f t="shared" si="520"/>
        <v>7.9554848592193663E-3</v>
      </c>
      <c r="Y97" s="63">
        <f t="shared" ref="Y97:AA97" si="525">Y96*Y93</f>
        <v>7.9554848592193663E-3</v>
      </c>
      <c r="Z97" s="63">
        <f t="shared" si="525"/>
        <v>7.9554848592193663E-3</v>
      </c>
      <c r="AA97" s="63">
        <f t="shared" si="525"/>
        <v>7.9554848592193663E-3</v>
      </c>
      <c r="AB97" s="63">
        <f t="shared" si="520"/>
        <v>7.9554848592193663E-3</v>
      </c>
      <c r="AC97" s="63">
        <f t="shared" ref="AC97:AE97" si="526">AC96*AC93</f>
        <v>7.9554848592193663E-3</v>
      </c>
      <c r="AD97" s="63">
        <f t="shared" si="526"/>
        <v>7.9554848592193663E-3</v>
      </c>
      <c r="AE97" s="63">
        <f t="shared" si="526"/>
        <v>7.9554848592193663E-3</v>
      </c>
      <c r="AF97" s="63">
        <f t="shared" si="520"/>
        <v>7.9554848592193663E-3</v>
      </c>
      <c r="AG97" s="63">
        <f t="shared" ref="AG97:AI97" si="527">AG96*AG93</f>
        <v>7.9554848592193663E-3</v>
      </c>
      <c r="AH97" s="63">
        <f t="shared" si="527"/>
        <v>7.9554848592193663E-3</v>
      </c>
      <c r="AI97" s="63">
        <f t="shared" si="527"/>
        <v>7.9554848592193663E-3</v>
      </c>
      <c r="AJ97" s="63">
        <f t="shared" si="520"/>
        <v>7.9554848592193663E-3</v>
      </c>
      <c r="AK97" s="63">
        <f t="shared" ref="AK97:AM97" si="528">AK96*AK93</f>
        <v>7.9554848592193663E-3</v>
      </c>
      <c r="AL97" s="63">
        <f t="shared" si="528"/>
        <v>7.9554848592193663E-3</v>
      </c>
      <c r="AM97" s="63">
        <f t="shared" si="528"/>
        <v>7.9554848592193663E-3</v>
      </c>
      <c r="AN97" s="63">
        <f t="shared" si="520"/>
        <v>7.9554848592193663E-3</v>
      </c>
      <c r="AO97" s="63">
        <f t="shared" ref="AO97:AQ97" si="529">AO96*AO93</f>
        <v>7.9554848592193663E-3</v>
      </c>
      <c r="AP97" s="63">
        <f t="shared" si="529"/>
        <v>7.9554848592193663E-3</v>
      </c>
      <c r="AQ97" s="63">
        <f t="shared" si="529"/>
        <v>7.9554848592193663E-3</v>
      </c>
      <c r="AR97" s="63">
        <f t="shared" si="520"/>
        <v>7.9554848592193663E-3</v>
      </c>
      <c r="AS97" s="73"/>
      <c r="AT97" s="73"/>
      <c r="AU97" s="73"/>
    </row>
    <row r="98" spans="2:47">
      <c r="C98" s="64">
        <f>C96-1</f>
        <v>0.17568741761862561</v>
      </c>
      <c r="D98" s="64"/>
      <c r="E98" s="64">
        <f>E96-1</f>
        <v>0.17568741761862561</v>
      </c>
      <c r="F98" s="64">
        <f>F96-1</f>
        <v>0.17568741761862561</v>
      </c>
      <c r="G98" s="64">
        <f>G96-1</f>
        <v>0.17568741761862561</v>
      </c>
      <c r="H98" s="64">
        <f>H96-1</f>
        <v>0.17568741761862561</v>
      </c>
      <c r="I98" s="64">
        <f t="shared" ref="I98:J98" si="530">I96-1</f>
        <v>0.17568741761862561</v>
      </c>
      <c r="J98" s="64">
        <f t="shared" si="530"/>
        <v>0.17568741761862561</v>
      </c>
      <c r="K98" s="64">
        <f t="shared" ref="K98" si="531">K96-1</f>
        <v>0.17568741761862561</v>
      </c>
      <c r="L98" s="64">
        <f t="shared" ref="L98:AR98" si="532">L96-1</f>
        <v>0.17568741761862561</v>
      </c>
      <c r="M98" s="64">
        <f t="shared" ref="M98:O98" si="533">M96-1</f>
        <v>0.17568741761862561</v>
      </c>
      <c r="N98" s="64">
        <f t="shared" si="533"/>
        <v>0.17568741761862561</v>
      </c>
      <c r="O98" s="64">
        <f t="shared" si="533"/>
        <v>0.17568741761862561</v>
      </c>
      <c r="P98" s="64">
        <f t="shared" si="532"/>
        <v>0.17568741761862561</v>
      </c>
      <c r="Q98" s="64">
        <f t="shared" ref="Q98:R98" si="534">Q96-1</f>
        <v>0.17568741761862561</v>
      </c>
      <c r="R98" s="64">
        <f t="shared" si="534"/>
        <v>0.17568741761862561</v>
      </c>
      <c r="S98" s="64">
        <f t="shared" ref="S98" si="535">S96-1</f>
        <v>0.17568741761862561</v>
      </c>
      <c r="T98" s="64">
        <f t="shared" si="532"/>
        <v>0.17568741761862561</v>
      </c>
      <c r="U98" s="64">
        <f t="shared" ref="U98:W98" si="536">U96-1</f>
        <v>0.17568741761862561</v>
      </c>
      <c r="V98" s="64">
        <f t="shared" si="536"/>
        <v>0.17568741761862561</v>
      </c>
      <c r="W98" s="64">
        <f t="shared" si="536"/>
        <v>0.17568741761862561</v>
      </c>
      <c r="X98" s="64">
        <f t="shared" si="532"/>
        <v>0.17568741761862561</v>
      </c>
      <c r="Y98" s="64">
        <f t="shared" ref="Y98:AA98" si="537">Y96-1</f>
        <v>0.17568741761862561</v>
      </c>
      <c r="Z98" s="64">
        <f t="shared" si="537"/>
        <v>0.17568741761862561</v>
      </c>
      <c r="AA98" s="64">
        <f t="shared" si="537"/>
        <v>0.17568741761862561</v>
      </c>
      <c r="AB98" s="64">
        <f t="shared" si="532"/>
        <v>0.17568741761862561</v>
      </c>
      <c r="AC98" s="64">
        <f t="shared" ref="AC98:AE98" si="538">AC96-1</f>
        <v>0.17568741761862561</v>
      </c>
      <c r="AD98" s="64">
        <f t="shared" si="538"/>
        <v>0.17568741761862561</v>
      </c>
      <c r="AE98" s="64">
        <f t="shared" si="538"/>
        <v>0.17568741761862561</v>
      </c>
      <c r="AF98" s="64">
        <f t="shared" si="532"/>
        <v>0.17568741761862561</v>
      </c>
      <c r="AG98" s="64">
        <f t="shared" ref="AG98:AI98" si="539">AG96-1</f>
        <v>0.17568741761862561</v>
      </c>
      <c r="AH98" s="64">
        <f t="shared" si="539"/>
        <v>0.17568741761862561</v>
      </c>
      <c r="AI98" s="64">
        <f t="shared" si="539"/>
        <v>0.17568741761862561</v>
      </c>
      <c r="AJ98" s="64">
        <f t="shared" si="532"/>
        <v>0.17568741761862561</v>
      </c>
      <c r="AK98" s="64">
        <f t="shared" ref="AK98:AM98" si="540">AK96-1</f>
        <v>0.17568741761862561</v>
      </c>
      <c r="AL98" s="64">
        <f t="shared" si="540"/>
        <v>0.17568741761862561</v>
      </c>
      <c r="AM98" s="64">
        <f t="shared" si="540"/>
        <v>0.17568741761862561</v>
      </c>
      <c r="AN98" s="64">
        <f t="shared" si="532"/>
        <v>0.17568741761862561</v>
      </c>
      <c r="AO98" s="64">
        <f t="shared" ref="AO98:AQ98" si="541">AO96-1</f>
        <v>0.17568741761862561</v>
      </c>
      <c r="AP98" s="64">
        <f t="shared" si="541"/>
        <v>0.17568741761862561</v>
      </c>
      <c r="AQ98" s="64">
        <f t="shared" si="541"/>
        <v>0.17568741761862561</v>
      </c>
      <c r="AR98" s="64">
        <f t="shared" si="532"/>
        <v>0.17568741761862561</v>
      </c>
      <c r="AS98" s="74"/>
      <c r="AT98" s="74"/>
      <c r="AU98" s="74"/>
    </row>
    <row r="99" spans="2:47">
      <c r="C99" s="64">
        <f>C97/C98</f>
        <v>4.5282041065050981E-2</v>
      </c>
      <c r="D99" s="64"/>
      <c r="E99" s="64">
        <f>E97/E98</f>
        <v>4.5282041065050981E-2</v>
      </c>
      <c r="F99" s="64">
        <f>F97/F98</f>
        <v>4.5282041065050981E-2</v>
      </c>
      <c r="G99" s="64">
        <f>G97/G98</f>
        <v>4.5282041065050981E-2</v>
      </c>
      <c r="H99" s="64">
        <f>H97/H98</f>
        <v>4.5282041065050981E-2</v>
      </c>
      <c r="I99" s="64">
        <f t="shared" ref="I99:J99" si="542">I97/I98</f>
        <v>4.5282041065050981E-2</v>
      </c>
      <c r="J99" s="64">
        <f t="shared" si="542"/>
        <v>4.5282041065050981E-2</v>
      </c>
      <c r="K99" s="64">
        <f t="shared" ref="K99" si="543">K97/K98</f>
        <v>4.5282041065050981E-2</v>
      </c>
      <c r="L99" s="64">
        <f t="shared" ref="L99:AR99" si="544">L97/L98</f>
        <v>4.5282041065050981E-2</v>
      </c>
      <c r="M99" s="64">
        <f t="shared" ref="M99:O99" si="545">M97/M98</f>
        <v>4.5282041065050981E-2</v>
      </c>
      <c r="N99" s="64">
        <f t="shared" si="545"/>
        <v>4.5282041065050981E-2</v>
      </c>
      <c r="O99" s="64">
        <f t="shared" si="545"/>
        <v>4.5282041065050981E-2</v>
      </c>
      <c r="P99" s="64">
        <f t="shared" si="544"/>
        <v>4.5282041065050981E-2</v>
      </c>
      <c r="Q99" s="64">
        <f t="shared" ref="Q99:R99" si="546">Q97/Q98</f>
        <v>4.5282041065050981E-2</v>
      </c>
      <c r="R99" s="64">
        <f t="shared" si="546"/>
        <v>4.5282041065050981E-2</v>
      </c>
      <c r="S99" s="64">
        <f t="shared" ref="S99" si="547">S97/S98</f>
        <v>4.5282041065050981E-2</v>
      </c>
      <c r="T99" s="64">
        <f t="shared" si="544"/>
        <v>4.5282041065050981E-2</v>
      </c>
      <c r="U99" s="64">
        <f t="shared" ref="U99:W99" si="548">U97/U98</f>
        <v>4.5282041065050981E-2</v>
      </c>
      <c r="V99" s="64">
        <f t="shared" si="548"/>
        <v>4.5282041065050981E-2</v>
      </c>
      <c r="W99" s="64">
        <f t="shared" si="548"/>
        <v>4.5282041065050981E-2</v>
      </c>
      <c r="X99" s="64">
        <f t="shared" si="544"/>
        <v>4.5282041065050981E-2</v>
      </c>
      <c r="Y99" s="64">
        <f t="shared" ref="Y99:AA99" si="549">Y97/Y98</f>
        <v>4.5282041065050981E-2</v>
      </c>
      <c r="Z99" s="64">
        <f t="shared" si="549"/>
        <v>4.5282041065050981E-2</v>
      </c>
      <c r="AA99" s="64">
        <f t="shared" si="549"/>
        <v>4.5282041065050981E-2</v>
      </c>
      <c r="AB99" s="64">
        <f t="shared" si="544"/>
        <v>4.5282041065050981E-2</v>
      </c>
      <c r="AC99" s="64">
        <f t="shared" ref="AC99:AE99" si="550">AC97/AC98</f>
        <v>4.5282041065050981E-2</v>
      </c>
      <c r="AD99" s="64">
        <f t="shared" si="550"/>
        <v>4.5282041065050981E-2</v>
      </c>
      <c r="AE99" s="64">
        <f t="shared" si="550"/>
        <v>4.5282041065050981E-2</v>
      </c>
      <c r="AF99" s="64">
        <f t="shared" si="544"/>
        <v>4.5282041065050981E-2</v>
      </c>
      <c r="AG99" s="64">
        <f t="shared" ref="AG99:AI99" si="551">AG97/AG98</f>
        <v>4.5282041065050981E-2</v>
      </c>
      <c r="AH99" s="64">
        <f t="shared" si="551"/>
        <v>4.5282041065050981E-2</v>
      </c>
      <c r="AI99" s="64">
        <f t="shared" si="551"/>
        <v>4.5282041065050981E-2</v>
      </c>
      <c r="AJ99" s="64">
        <f t="shared" si="544"/>
        <v>4.5282041065050981E-2</v>
      </c>
      <c r="AK99" s="64">
        <f t="shared" ref="AK99:AM99" si="552">AK97/AK98</f>
        <v>4.5282041065050981E-2</v>
      </c>
      <c r="AL99" s="64">
        <f t="shared" si="552"/>
        <v>4.5282041065050981E-2</v>
      </c>
      <c r="AM99" s="64">
        <f t="shared" si="552"/>
        <v>4.5282041065050981E-2</v>
      </c>
      <c r="AN99" s="64">
        <f t="shared" si="544"/>
        <v>4.5282041065050981E-2</v>
      </c>
      <c r="AO99" s="64">
        <f t="shared" ref="AO99:AQ99" si="553">AO97/AO98</f>
        <v>4.5282041065050981E-2</v>
      </c>
      <c r="AP99" s="64">
        <f t="shared" si="553"/>
        <v>4.5282041065050981E-2</v>
      </c>
      <c r="AQ99" s="64">
        <f t="shared" si="553"/>
        <v>4.5282041065050981E-2</v>
      </c>
      <c r="AR99" s="64">
        <f t="shared" si="544"/>
        <v>4.5282041065050981E-2</v>
      </c>
      <c r="AS99" s="74"/>
      <c r="AT99" s="74"/>
      <c r="AU99" s="74"/>
    </row>
    <row r="100" spans="2:47" s="54" customFormat="1">
      <c r="B100" s="54" t="s">
        <v>17</v>
      </c>
      <c r="C100" s="57">
        <f>C99*C89</f>
        <v>4936.7326433885128</v>
      </c>
      <c r="D100" s="57"/>
      <c r="E100" s="57">
        <f>E99*E89</f>
        <v>1259.4445021559511</v>
      </c>
      <c r="F100" s="57">
        <f>F99*F89</f>
        <v>2745.2992096371572</v>
      </c>
      <c r="G100" s="57">
        <f>G99*G89</f>
        <v>3778.333506467854</v>
      </c>
      <c r="H100" s="57">
        <f>H99*H89</f>
        <v>5264.1882139490599</v>
      </c>
      <c r="I100" s="57">
        <f t="shared" ref="I100:J100" si="554">I99*I89</f>
        <v>6297.2225107797558</v>
      </c>
      <c r="J100" s="57">
        <f t="shared" si="554"/>
        <v>7783.0772182609626</v>
      </c>
      <c r="K100" s="57">
        <f t="shared" ref="K100" si="555">K99*K89</f>
        <v>8816.1115150916594</v>
      </c>
      <c r="L100" s="57">
        <f t="shared" ref="L100:AR100" si="556">L99*L89</f>
        <v>10301.966222572864</v>
      </c>
      <c r="M100" s="57">
        <f t="shared" ref="M100:O100" si="557">M99*M89</f>
        <v>11335.000519403562</v>
      </c>
      <c r="N100" s="57">
        <f t="shared" si="557"/>
        <v>12820.855226884767</v>
      </c>
      <c r="O100" s="57">
        <f t="shared" si="557"/>
        <v>13853.889523715465</v>
      </c>
      <c r="P100" s="57">
        <f t="shared" si="556"/>
        <v>15339.74423119667</v>
      </c>
      <c r="Q100" s="57">
        <f t="shared" ref="Q100:R100" si="558">Q99*Q89</f>
        <v>16372.778528027366</v>
      </c>
      <c r="R100" s="57">
        <f t="shared" si="558"/>
        <v>17858.633235508572</v>
      </c>
      <c r="S100" s="57">
        <f t="shared" ref="S100" si="559">S99*S89</f>
        <v>18891.66753233927</v>
      </c>
      <c r="T100" s="57">
        <f t="shared" si="556"/>
        <v>20377.522239820475</v>
      </c>
      <c r="U100" s="57">
        <f t="shared" ref="U100:W100" si="560">U99*U89</f>
        <v>21410.556536651173</v>
      </c>
      <c r="V100" s="57">
        <f t="shared" si="560"/>
        <v>22896.411244132378</v>
      </c>
      <c r="W100" s="57">
        <f t="shared" si="560"/>
        <v>23929.445540963075</v>
      </c>
      <c r="X100" s="57">
        <f t="shared" si="556"/>
        <v>25415.300248444277</v>
      </c>
      <c r="Y100" s="57">
        <f t="shared" ref="Y100:AA100" si="561">Y99*Y89</f>
        <v>26448.334545274978</v>
      </c>
      <c r="Z100" s="57">
        <f t="shared" si="561"/>
        <v>27934.189252756183</v>
      </c>
      <c r="AA100" s="57">
        <f t="shared" si="561"/>
        <v>28967.223549586877</v>
      </c>
      <c r="AB100" s="57">
        <f t="shared" si="556"/>
        <v>30453.078257068086</v>
      </c>
      <c r="AC100" s="57">
        <f t="shared" ref="AC100:AE100" si="562">AC99*AC89</f>
        <v>31486.112553898784</v>
      </c>
      <c r="AD100" s="57">
        <f t="shared" si="562"/>
        <v>32971.967261379985</v>
      </c>
      <c r="AE100" s="57">
        <f t="shared" si="562"/>
        <v>34005.001558210686</v>
      </c>
      <c r="AF100" s="57">
        <f t="shared" si="556"/>
        <v>35490.856265691895</v>
      </c>
      <c r="AG100" s="57">
        <f t="shared" ref="AG100:AI100" si="563">AG99*AG89</f>
        <v>36523.890562522582</v>
      </c>
      <c r="AH100" s="57">
        <f t="shared" si="563"/>
        <v>38009.74527000379</v>
      </c>
      <c r="AI100" s="57">
        <f t="shared" si="563"/>
        <v>39042.779566834492</v>
      </c>
      <c r="AJ100" s="57">
        <f t="shared" si="556"/>
        <v>40528.634274315693</v>
      </c>
      <c r="AK100" s="57">
        <f t="shared" ref="AK100:AM100" si="564">AK99*AK89</f>
        <v>41561.668571146394</v>
      </c>
      <c r="AL100" s="57">
        <f t="shared" si="564"/>
        <v>43047.523278627603</v>
      </c>
      <c r="AM100" s="57">
        <f t="shared" si="564"/>
        <v>44080.55757545829</v>
      </c>
      <c r="AN100" s="57">
        <f t="shared" si="556"/>
        <v>45566.412282939498</v>
      </c>
      <c r="AO100" s="57">
        <f t="shared" ref="AO100:AQ100" si="565">AO99*AO89</f>
        <v>46599.4465797702</v>
      </c>
      <c r="AP100" s="57">
        <f t="shared" si="565"/>
        <v>48085.301287251408</v>
      </c>
      <c r="AQ100" s="57">
        <f t="shared" si="565"/>
        <v>49118.335584082102</v>
      </c>
      <c r="AR100" s="57">
        <f t="shared" si="556"/>
        <v>50604.190291563304</v>
      </c>
      <c r="AS100" s="67"/>
      <c r="AT100" s="67"/>
      <c r="AU100" s="67"/>
    </row>
    <row r="101" spans="2:47">
      <c r="C101" s="4"/>
      <c r="D101" s="4"/>
      <c r="E101" s="4"/>
      <c r="F101" s="4"/>
      <c r="G101" s="4"/>
      <c r="H101" s="4"/>
      <c r="I101" s="4"/>
      <c r="J101" s="4"/>
      <c r="K101" s="4"/>
      <c r="L101" s="4"/>
      <c r="M101" s="4"/>
      <c r="AB101" s="4"/>
      <c r="AC101" s="4"/>
      <c r="AD101" s="4"/>
      <c r="AE101" s="4"/>
      <c r="AF101" s="4"/>
      <c r="AG101" s="4"/>
      <c r="AH101" s="4"/>
      <c r="AI101" s="4"/>
      <c r="AJ101" s="4"/>
      <c r="AK101" s="4"/>
      <c r="AL101" s="4"/>
      <c r="AM101" s="4"/>
      <c r="AN101" s="4"/>
      <c r="AO101" s="4"/>
      <c r="AP101" s="4"/>
      <c r="AQ101" s="4"/>
      <c r="AR101" s="4"/>
      <c r="AS101" s="67"/>
      <c r="AT101" s="67"/>
      <c r="AU101" s="67"/>
    </row>
    <row r="102" spans="2:47">
      <c r="B102" t="s">
        <v>31</v>
      </c>
      <c r="C102" s="4">
        <f>C82-C83</f>
        <v>24981.583441324299</v>
      </c>
      <c r="D102" s="4"/>
      <c r="E102" s="4">
        <f>E82-E83</f>
        <v>5226.6680517428249</v>
      </c>
      <c r="F102" s="4">
        <f>F82-F83</f>
        <v>15887.181031291781</v>
      </c>
      <c r="G102" s="4">
        <f>G82-G83</f>
        <v>15680.004155228497</v>
      </c>
      <c r="H102" s="4">
        <f>H82-H83</f>
        <v>26340.517134777445</v>
      </c>
      <c r="I102" s="4">
        <f t="shared" ref="I102:J102" si="566">I82-I83</f>
        <v>26133.340258714132</v>
      </c>
      <c r="J102" s="4">
        <f t="shared" si="566"/>
        <v>36793.853238263109</v>
      </c>
      <c r="K102" s="4">
        <f t="shared" ref="K102" si="567">K82-K83</f>
        <v>36586.676362199825</v>
      </c>
      <c r="L102" s="4">
        <f t="shared" ref="L102:AR102" si="568">L82-L83</f>
        <v>47247.189341748744</v>
      </c>
      <c r="M102" s="4">
        <f t="shared" ref="M102:O102" si="569">M82-M83</f>
        <v>47040.01246568549</v>
      </c>
      <c r="N102" s="4">
        <f t="shared" si="569"/>
        <v>57700.52544523438</v>
      </c>
      <c r="O102" s="4">
        <f t="shared" si="569"/>
        <v>57493.348569171154</v>
      </c>
      <c r="P102" s="4">
        <f t="shared" si="568"/>
        <v>68153.861548720044</v>
      </c>
      <c r="Q102" s="4">
        <f t="shared" ref="Q102:R102" si="570">Q82-Q83</f>
        <v>67946.68467265676</v>
      </c>
      <c r="R102" s="4">
        <f t="shared" si="570"/>
        <v>78607.197652205708</v>
      </c>
      <c r="S102" s="4">
        <f t="shared" ref="S102" si="571">S82-S83</f>
        <v>78400.020776142483</v>
      </c>
      <c r="T102" s="4">
        <f t="shared" si="568"/>
        <v>89060.533755691373</v>
      </c>
      <c r="U102" s="4">
        <f t="shared" ref="U102:W102" si="572">U82-U83</f>
        <v>88853.356879628147</v>
      </c>
      <c r="V102" s="4">
        <f t="shared" si="572"/>
        <v>99513.869859177037</v>
      </c>
      <c r="W102" s="4">
        <f t="shared" si="572"/>
        <v>99306.692983113811</v>
      </c>
      <c r="X102" s="4">
        <f t="shared" si="568"/>
        <v>109967.20596266259</v>
      </c>
      <c r="Y102" s="4">
        <f t="shared" ref="Y102:AA102" si="573">Y82-Y83</f>
        <v>109760.02908659948</v>
      </c>
      <c r="Z102" s="4">
        <f t="shared" si="573"/>
        <v>120420.54206614837</v>
      </c>
      <c r="AA102" s="4">
        <f t="shared" si="573"/>
        <v>120213.36519008502</v>
      </c>
      <c r="AB102" s="4">
        <f t="shared" si="568"/>
        <v>130873.87816963403</v>
      </c>
      <c r="AC102" s="4">
        <f t="shared" ref="AC102:AE102" si="574">AC82-AC83</f>
        <v>130666.7012935708</v>
      </c>
      <c r="AD102" s="4">
        <f t="shared" si="574"/>
        <v>141327.21427311958</v>
      </c>
      <c r="AE102" s="4">
        <f t="shared" si="574"/>
        <v>141120.03739705647</v>
      </c>
      <c r="AF102" s="4">
        <f t="shared" si="568"/>
        <v>151780.55037660548</v>
      </c>
      <c r="AG102" s="4">
        <f t="shared" ref="AG102:AI102" si="575">AG82-AG83</f>
        <v>151573.37350054202</v>
      </c>
      <c r="AH102" s="4">
        <f t="shared" si="575"/>
        <v>162233.88648009091</v>
      </c>
      <c r="AI102" s="4">
        <f t="shared" si="575"/>
        <v>162026.7096040278</v>
      </c>
      <c r="AJ102" s="4">
        <f t="shared" si="568"/>
        <v>172687.22258357657</v>
      </c>
      <c r="AK102" s="4">
        <f t="shared" ref="AK102:AM102" si="576">AK82-AK83</f>
        <v>172480.04570751346</v>
      </c>
      <c r="AL102" s="4">
        <f t="shared" si="576"/>
        <v>183140.55868706247</v>
      </c>
      <c r="AM102" s="4">
        <f t="shared" si="576"/>
        <v>182933.38181099901</v>
      </c>
      <c r="AN102" s="4">
        <f t="shared" si="568"/>
        <v>193593.8947905479</v>
      </c>
      <c r="AO102" s="4">
        <f t="shared" ref="AO102:AQ102" si="577">AO82-AO83</f>
        <v>193386.71791448491</v>
      </c>
      <c r="AP102" s="4">
        <f t="shared" si="577"/>
        <v>204047.2308940338</v>
      </c>
      <c r="AQ102" s="4">
        <f t="shared" si="577"/>
        <v>203840.05401797034</v>
      </c>
      <c r="AR102" s="4">
        <f t="shared" si="568"/>
        <v>214500.56699751923</v>
      </c>
      <c r="AS102" s="67"/>
      <c r="AT102" s="67"/>
      <c r="AU102" s="67"/>
    </row>
    <row r="103" spans="2:47">
      <c r="B103" t="s">
        <v>32</v>
      </c>
      <c r="C103" s="7">
        <f>C102/C82</f>
        <v>0.21084781884009798</v>
      </c>
      <c r="D103" s="7"/>
      <c r="E103" s="7">
        <f>E102/E82</f>
        <v>0.17291578558363344</v>
      </c>
      <c r="F103" s="7">
        <f>F102/F82</f>
        <v>0.24112704144599062</v>
      </c>
      <c r="G103" s="7">
        <f>G102/G82</f>
        <v>0.17291578558363363</v>
      </c>
      <c r="H103" s="7">
        <f>H102/H82</f>
        <v>0.20848828018234189</v>
      </c>
      <c r="I103" s="7">
        <f t="shared" ref="I103:J103" si="578">I102/I82</f>
        <v>0.17291578558363346</v>
      </c>
      <c r="J103" s="7">
        <f t="shared" si="578"/>
        <v>0.19697571735045832</v>
      </c>
      <c r="K103" s="7">
        <f t="shared" ref="K103" si="579">K102/K82</f>
        <v>0.17291578558363363</v>
      </c>
      <c r="L103" s="7">
        <f t="shared" ref="L103:AR103" si="580">L102/L82</f>
        <v>0.19109292796223853</v>
      </c>
      <c r="M103" s="7">
        <f t="shared" ref="M103:O103" si="581">M102/M82</f>
        <v>0.17291578558363363</v>
      </c>
      <c r="N103" s="7">
        <f t="shared" si="581"/>
        <v>0.18752169942428037</v>
      </c>
      <c r="O103" s="7">
        <f t="shared" si="581"/>
        <v>0.17291578558363363</v>
      </c>
      <c r="P103" s="7">
        <f t="shared" si="580"/>
        <v>0.18512331029753665</v>
      </c>
      <c r="Q103" s="7">
        <f t="shared" ref="Q103:R103" si="582">Q102/Q82</f>
        <v>0.17291578558363349</v>
      </c>
      <c r="R103" s="7">
        <f t="shared" si="582"/>
        <v>0.18340148761568792</v>
      </c>
      <c r="S103" s="7">
        <f t="shared" ref="S103" si="583">S102/S82</f>
        <v>0.17291578558363363</v>
      </c>
      <c r="T103" s="7">
        <f t="shared" si="580"/>
        <v>0.18210533790522807</v>
      </c>
      <c r="U103" s="7">
        <f t="shared" ref="U103:W103" si="584">U102/U82</f>
        <v>0.17291578558363363</v>
      </c>
      <c r="V103" s="7">
        <f t="shared" si="584"/>
        <v>0.18109437325882108</v>
      </c>
      <c r="W103" s="7">
        <f t="shared" si="584"/>
        <v>0.17291578558363363</v>
      </c>
      <c r="X103" s="7">
        <f t="shared" si="580"/>
        <v>0.18028380032187158</v>
      </c>
      <c r="Y103" s="7">
        <f t="shared" ref="Y103:AA103" si="585">Y102/Y82</f>
        <v>0.17291578558363363</v>
      </c>
      <c r="Z103" s="7">
        <f t="shared" si="585"/>
        <v>0.17961940977379365</v>
      </c>
      <c r="AA103" s="7">
        <f t="shared" si="585"/>
        <v>0.17291578558363349</v>
      </c>
      <c r="AB103" s="7">
        <f t="shared" si="580"/>
        <v>0.17906492772376595</v>
      </c>
      <c r="AC103" s="7">
        <f t="shared" ref="AC103:AE103" si="586">AC102/AC82</f>
        <v>0.17291578558363363</v>
      </c>
      <c r="AD103" s="7">
        <f t="shared" si="586"/>
        <v>0.17859516483700982</v>
      </c>
      <c r="AE103" s="7">
        <f t="shared" si="586"/>
        <v>0.17291578558363363</v>
      </c>
      <c r="AF103" s="7">
        <f t="shared" si="580"/>
        <v>0.17819208281933341</v>
      </c>
      <c r="AG103" s="7">
        <f t="shared" ref="AG103:AI103" si="587">AG102/AG82</f>
        <v>0.17291578558363352</v>
      </c>
      <c r="AH103" s="7">
        <f t="shared" si="587"/>
        <v>0.17784242493564897</v>
      </c>
      <c r="AI103" s="7">
        <f t="shared" si="587"/>
        <v>0.17291578558363363</v>
      </c>
      <c r="AJ103" s="7">
        <f t="shared" si="580"/>
        <v>0.17753623012020053</v>
      </c>
      <c r="AK103" s="7">
        <f t="shared" ref="AK103:AM103" si="588">AK102/AK82</f>
        <v>0.17291578558363363</v>
      </c>
      <c r="AL103" s="7">
        <f t="shared" si="588"/>
        <v>0.17726586876020189</v>
      </c>
      <c r="AM103" s="7">
        <f t="shared" si="588"/>
        <v>0.17291578558363352</v>
      </c>
      <c r="AN103" s="7">
        <f t="shared" si="580"/>
        <v>0.17702539828793232</v>
      </c>
      <c r="AO103" s="7">
        <f t="shared" ref="AO103:AQ103" si="589">AO102/AO82</f>
        <v>0.17291578558363371</v>
      </c>
      <c r="AP103" s="7">
        <f t="shared" si="589"/>
        <v>0.17681012131189774</v>
      </c>
      <c r="AQ103" s="7">
        <f t="shared" si="589"/>
        <v>0.17291578558363355</v>
      </c>
      <c r="AR103" s="7">
        <f t="shared" si="580"/>
        <v>0.1766162757155447</v>
      </c>
      <c r="AS103" s="25"/>
      <c r="AT103" s="25"/>
      <c r="AU103" s="25"/>
    </row>
    <row r="107" spans="2:47" ht="21">
      <c r="B107" s="56" t="s">
        <v>1</v>
      </c>
    </row>
    <row r="108" spans="2:47">
      <c r="B108" t="s">
        <v>22</v>
      </c>
      <c r="C108" s="4">
        <f>C126*C120</f>
        <v>112058.3956142808</v>
      </c>
      <c r="D108" s="4"/>
      <c r="E108" s="4">
        <f>E126*E120</f>
        <v>28486.797834323246</v>
      </c>
      <c r="F108" s="4">
        <f>F126*F120</f>
        <v>62491.367382558354</v>
      </c>
      <c r="G108" s="4">
        <f>G126*G120</f>
        <v>85460.393502969731</v>
      </c>
      <c r="H108" s="4">
        <f>H126*H120</f>
        <v>119464.96305120485</v>
      </c>
      <c r="I108" s="4">
        <f t="shared" ref="I108:J108" si="590">I126*I120</f>
        <v>142433.98917161624</v>
      </c>
      <c r="J108" s="4">
        <f t="shared" si="590"/>
        <v>176438.55871985137</v>
      </c>
      <c r="K108" s="4">
        <f t="shared" ref="K108" si="591">K126*K120</f>
        <v>199407.58484026272</v>
      </c>
      <c r="L108" s="4">
        <f t="shared" ref="L108:AR108" si="592">L126*L120</f>
        <v>233412.15438849787</v>
      </c>
      <c r="M108" s="4">
        <f t="shared" ref="M108:O108" si="593">M126*M120</f>
        <v>256381.18050890922</v>
      </c>
      <c r="N108" s="4">
        <f t="shared" si="593"/>
        <v>290385.75005714432</v>
      </c>
      <c r="O108" s="4">
        <f t="shared" si="593"/>
        <v>313354.77617755573</v>
      </c>
      <c r="P108" s="4">
        <f t="shared" si="592"/>
        <v>347359.34572579083</v>
      </c>
      <c r="Q108" s="4">
        <f t="shared" ref="Q108:R108" si="594">Q126*Q120</f>
        <v>370328.37184620218</v>
      </c>
      <c r="R108" s="4">
        <f t="shared" si="594"/>
        <v>404332.94139443734</v>
      </c>
      <c r="S108" s="4">
        <f t="shared" ref="S108" si="595">S126*S120</f>
        <v>427301.96751484869</v>
      </c>
      <c r="T108" s="4">
        <f t="shared" si="592"/>
        <v>461306.53706308384</v>
      </c>
      <c r="U108" s="4">
        <f t="shared" ref="U108:W108" si="596">U126*U120</f>
        <v>484275.56318349519</v>
      </c>
      <c r="V108" s="4">
        <f t="shared" si="596"/>
        <v>518280.13273173035</v>
      </c>
      <c r="W108" s="4">
        <f t="shared" si="596"/>
        <v>541249.1588521417</v>
      </c>
      <c r="X108" s="4">
        <f t="shared" si="592"/>
        <v>575253.72840037674</v>
      </c>
      <c r="Y108" s="4">
        <f t="shared" ref="Y108:AA108" si="597">Y126*Y120</f>
        <v>598222.75452078821</v>
      </c>
      <c r="Z108" s="4">
        <f t="shared" si="597"/>
        <v>632227.32406902325</v>
      </c>
      <c r="AA108" s="4">
        <f t="shared" si="597"/>
        <v>655196.3501894346</v>
      </c>
      <c r="AB108" s="4">
        <f t="shared" si="592"/>
        <v>689200.91973766976</v>
      </c>
      <c r="AC108" s="4">
        <f t="shared" ref="AC108:AE108" si="598">AC126*AC120</f>
        <v>712169.9458580811</v>
      </c>
      <c r="AD108" s="4">
        <f t="shared" si="598"/>
        <v>746174.51540631626</v>
      </c>
      <c r="AE108" s="4">
        <f t="shared" si="598"/>
        <v>769143.54152672761</v>
      </c>
      <c r="AF108" s="4">
        <f t="shared" si="592"/>
        <v>803148.11107496265</v>
      </c>
      <c r="AG108" s="4">
        <f t="shared" ref="AG108:AI108" si="599">AG126*AG120</f>
        <v>826117.13719537412</v>
      </c>
      <c r="AH108" s="4">
        <f t="shared" si="599"/>
        <v>860121.70674360916</v>
      </c>
      <c r="AI108" s="4">
        <f t="shared" si="599"/>
        <v>883090.73286402063</v>
      </c>
      <c r="AJ108" s="4">
        <f t="shared" si="592"/>
        <v>917095.30241225567</v>
      </c>
      <c r="AK108" s="4">
        <f t="shared" ref="AK108:AM108" si="600">AK126*AK120</f>
        <v>940064.32853266713</v>
      </c>
      <c r="AL108" s="4">
        <f t="shared" si="600"/>
        <v>974068.89808090217</v>
      </c>
      <c r="AM108" s="4">
        <f t="shared" si="600"/>
        <v>997037.92420131364</v>
      </c>
      <c r="AN108" s="4">
        <f t="shared" si="592"/>
        <v>1031042.4937495487</v>
      </c>
      <c r="AO108" s="4">
        <f t="shared" ref="AO108:AQ108" si="601">AO126*AO120</f>
        <v>1054011.5198699601</v>
      </c>
      <c r="AP108" s="4">
        <f t="shared" si="601"/>
        <v>1088016.0894181952</v>
      </c>
      <c r="AQ108" s="4">
        <f t="shared" si="601"/>
        <v>1110985.1155386067</v>
      </c>
      <c r="AR108" s="4">
        <f t="shared" si="592"/>
        <v>1144989.6850868417</v>
      </c>
      <c r="AS108" s="67"/>
      <c r="AT108" s="67"/>
      <c r="AU108" s="67"/>
    </row>
    <row r="109" spans="2:47" s="54" customFormat="1">
      <c r="B109" s="54" t="s">
        <v>23</v>
      </c>
      <c r="C109" s="57">
        <f>'DATA ENTRY'!C5</f>
        <v>93500</v>
      </c>
      <c r="D109" s="57"/>
      <c r="E109" s="57">
        <v>25000</v>
      </c>
      <c r="F109" s="57">
        <v>50000</v>
      </c>
      <c r="G109" s="57">
        <v>75000</v>
      </c>
      <c r="H109" s="57">
        <v>100000</v>
      </c>
      <c r="I109" s="57">
        <v>125000</v>
      </c>
      <c r="J109" s="57">
        <v>150000</v>
      </c>
      <c r="K109" s="57">
        <v>175000</v>
      </c>
      <c r="L109" s="57">
        <v>200000</v>
      </c>
      <c r="M109" s="57">
        <v>225000</v>
      </c>
      <c r="N109" s="57">
        <v>250000</v>
      </c>
      <c r="O109" s="57">
        <v>275000</v>
      </c>
      <c r="P109" s="57">
        <v>300000</v>
      </c>
      <c r="Q109" s="57">
        <v>325000</v>
      </c>
      <c r="R109" s="57">
        <v>350000</v>
      </c>
      <c r="S109" s="57">
        <v>375000</v>
      </c>
      <c r="T109" s="57">
        <v>400000</v>
      </c>
      <c r="U109" s="57">
        <v>425000</v>
      </c>
      <c r="V109" s="57">
        <v>450000</v>
      </c>
      <c r="W109" s="57">
        <v>475000</v>
      </c>
      <c r="X109" s="57">
        <v>500000</v>
      </c>
      <c r="Y109" s="57">
        <v>525000</v>
      </c>
      <c r="Z109" s="57">
        <v>550000</v>
      </c>
      <c r="AA109" s="57">
        <v>575000</v>
      </c>
      <c r="AB109" s="57">
        <v>600000</v>
      </c>
      <c r="AC109" s="57">
        <v>625000</v>
      </c>
      <c r="AD109" s="57">
        <v>650000</v>
      </c>
      <c r="AE109" s="57">
        <v>675000</v>
      </c>
      <c r="AF109" s="57">
        <v>700000</v>
      </c>
      <c r="AG109" s="57">
        <v>725000</v>
      </c>
      <c r="AH109" s="57">
        <v>750000</v>
      </c>
      <c r="AI109" s="57">
        <v>775000</v>
      </c>
      <c r="AJ109" s="57">
        <v>800000</v>
      </c>
      <c r="AK109" s="57">
        <v>825000</v>
      </c>
      <c r="AL109" s="57">
        <v>850000</v>
      </c>
      <c r="AM109" s="57">
        <v>875000</v>
      </c>
      <c r="AN109" s="57">
        <v>900000</v>
      </c>
      <c r="AO109" s="57">
        <v>925000</v>
      </c>
      <c r="AP109" s="57">
        <v>950000</v>
      </c>
      <c r="AQ109" s="57">
        <v>975000</v>
      </c>
      <c r="AR109" s="57">
        <v>1000000</v>
      </c>
      <c r="AS109" s="67"/>
      <c r="AT109" s="67"/>
      <c r="AU109" s="67"/>
    </row>
    <row r="110" spans="2:47">
      <c r="B110" t="s">
        <v>24</v>
      </c>
      <c r="C110" s="4">
        <f>C109*0.07</f>
        <v>6545.0000000000009</v>
      </c>
      <c r="D110" s="4"/>
      <c r="E110" s="4">
        <f>E109*0.07</f>
        <v>1750.0000000000002</v>
      </c>
      <c r="F110" s="4">
        <f t="shared" ref="F110:AR110" si="602">F109*0.07</f>
        <v>3500.0000000000005</v>
      </c>
      <c r="G110" s="4">
        <f t="shared" si="602"/>
        <v>5250.0000000000009</v>
      </c>
      <c r="H110" s="4">
        <f t="shared" si="602"/>
        <v>7000.0000000000009</v>
      </c>
      <c r="I110" s="4">
        <f t="shared" si="602"/>
        <v>8750</v>
      </c>
      <c r="J110" s="4">
        <f t="shared" si="602"/>
        <v>10500.000000000002</v>
      </c>
      <c r="K110" s="4">
        <f t="shared" si="602"/>
        <v>12250.000000000002</v>
      </c>
      <c r="L110" s="4">
        <f t="shared" si="602"/>
        <v>14000.000000000002</v>
      </c>
      <c r="M110" s="4">
        <f t="shared" si="602"/>
        <v>15750.000000000002</v>
      </c>
      <c r="N110" s="4">
        <f t="shared" si="602"/>
        <v>17500</v>
      </c>
      <c r="O110" s="4">
        <f t="shared" si="602"/>
        <v>19250.000000000004</v>
      </c>
      <c r="P110" s="4">
        <f t="shared" si="602"/>
        <v>21000.000000000004</v>
      </c>
      <c r="Q110" s="4">
        <f t="shared" si="602"/>
        <v>22750.000000000004</v>
      </c>
      <c r="R110" s="4">
        <f t="shared" si="602"/>
        <v>24500.000000000004</v>
      </c>
      <c r="S110" s="4">
        <f t="shared" si="602"/>
        <v>26250.000000000004</v>
      </c>
      <c r="T110" s="4">
        <f t="shared" si="602"/>
        <v>28000.000000000004</v>
      </c>
      <c r="U110" s="4">
        <f t="shared" si="602"/>
        <v>29750.000000000004</v>
      </c>
      <c r="V110" s="4">
        <f t="shared" si="602"/>
        <v>31500.000000000004</v>
      </c>
      <c r="W110" s="4">
        <f t="shared" si="602"/>
        <v>33250</v>
      </c>
      <c r="X110" s="4">
        <f t="shared" si="602"/>
        <v>35000</v>
      </c>
      <c r="Y110" s="4">
        <f t="shared" si="602"/>
        <v>36750</v>
      </c>
      <c r="Z110" s="4">
        <f t="shared" si="602"/>
        <v>38500.000000000007</v>
      </c>
      <c r="AA110" s="4">
        <f t="shared" si="602"/>
        <v>40250.000000000007</v>
      </c>
      <c r="AB110" s="4">
        <f t="shared" si="602"/>
        <v>42000.000000000007</v>
      </c>
      <c r="AC110" s="4">
        <f t="shared" si="602"/>
        <v>43750.000000000007</v>
      </c>
      <c r="AD110" s="4">
        <f t="shared" si="602"/>
        <v>45500.000000000007</v>
      </c>
      <c r="AE110" s="4">
        <f t="shared" si="602"/>
        <v>47250.000000000007</v>
      </c>
      <c r="AF110" s="4">
        <f t="shared" si="602"/>
        <v>49000.000000000007</v>
      </c>
      <c r="AG110" s="4">
        <f t="shared" si="602"/>
        <v>50750.000000000007</v>
      </c>
      <c r="AH110" s="4">
        <f t="shared" si="602"/>
        <v>52500.000000000007</v>
      </c>
      <c r="AI110" s="4">
        <f t="shared" si="602"/>
        <v>54250.000000000007</v>
      </c>
      <c r="AJ110" s="4">
        <f t="shared" si="602"/>
        <v>56000.000000000007</v>
      </c>
      <c r="AK110" s="4">
        <f t="shared" si="602"/>
        <v>57750.000000000007</v>
      </c>
      <c r="AL110" s="4">
        <f t="shared" si="602"/>
        <v>59500.000000000007</v>
      </c>
      <c r="AM110" s="4">
        <f t="shared" si="602"/>
        <v>61250.000000000007</v>
      </c>
      <c r="AN110" s="4">
        <f t="shared" si="602"/>
        <v>63000.000000000007</v>
      </c>
      <c r="AO110" s="4">
        <f t="shared" si="602"/>
        <v>64750.000000000007</v>
      </c>
      <c r="AP110" s="4">
        <f t="shared" si="602"/>
        <v>66500</v>
      </c>
      <c r="AQ110" s="4">
        <f t="shared" si="602"/>
        <v>68250</v>
      </c>
      <c r="AR110" s="4">
        <f t="shared" si="602"/>
        <v>70000</v>
      </c>
      <c r="AS110" s="67"/>
      <c r="AT110" s="67"/>
      <c r="AU110" s="67"/>
    </row>
    <row r="111" spans="2:47">
      <c r="B111" t="s">
        <v>10</v>
      </c>
      <c r="C111" s="4">
        <f>(C109/1000)*C120</f>
        <v>1122</v>
      </c>
      <c r="D111" s="4"/>
      <c r="E111" s="4">
        <f>(E109/1000)*E120</f>
        <v>300</v>
      </c>
      <c r="F111" s="4">
        <f>(F109/1000)*F120</f>
        <v>600</v>
      </c>
      <c r="G111" s="4">
        <f>(G109/1000)*G120</f>
        <v>900</v>
      </c>
      <c r="H111" s="4">
        <f>(H109/1000)*H120</f>
        <v>1200</v>
      </c>
      <c r="I111" s="4">
        <f t="shared" ref="I111:J111" si="603">(I109/1000)*I120</f>
        <v>1500</v>
      </c>
      <c r="J111" s="4">
        <f t="shared" si="603"/>
        <v>1800</v>
      </c>
      <c r="K111" s="4">
        <f t="shared" ref="K111" si="604">(K109/1000)*K120</f>
        <v>2100</v>
      </c>
      <c r="L111" s="4">
        <f t="shared" ref="L111:AR111" si="605">(L109/1000)*L120</f>
        <v>2400</v>
      </c>
      <c r="M111" s="4">
        <f t="shared" ref="M111:O111" si="606">(M109/1000)*M120</f>
        <v>2700</v>
      </c>
      <c r="N111" s="4">
        <f t="shared" si="606"/>
        <v>3000</v>
      </c>
      <c r="O111" s="4">
        <f t="shared" si="606"/>
        <v>3300</v>
      </c>
      <c r="P111" s="4">
        <f t="shared" si="605"/>
        <v>3600</v>
      </c>
      <c r="Q111" s="4">
        <f t="shared" ref="Q111:R111" si="607">(Q109/1000)*Q120</f>
        <v>3900</v>
      </c>
      <c r="R111" s="4">
        <f t="shared" si="607"/>
        <v>4200</v>
      </c>
      <c r="S111" s="4">
        <f t="shared" ref="S111" si="608">(S109/1000)*S120</f>
        <v>4500</v>
      </c>
      <c r="T111" s="4">
        <f t="shared" si="605"/>
        <v>4800</v>
      </c>
      <c r="U111" s="4">
        <f t="shared" ref="U111:W111" si="609">(U109/1000)*U120</f>
        <v>5100</v>
      </c>
      <c r="V111" s="4">
        <f t="shared" si="609"/>
        <v>5400</v>
      </c>
      <c r="W111" s="4">
        <f t="shared" si="609"/>
        <v>5700</v>
      </c>
      <c r="X111" s="4">
        <f t="shared" si="605"/>
        <v>6000</v>
      </c>
      <c r="Y111" s="4">
        <f t="shared" ref="Y111:AA111" si="610">(Y109/1000)*Y120</f>
        <v>6300</v>
      </c>
      <c r="Z111" s="4">
        <f t="shared" si="610"/>
        <v>6600</v>
      </c>
      <c r="AA111" s="4">
        <f t="shared" si="610"/>
        <v>6900</v>
      </c>
      <c r="AB111" s="4">
        <f t="shared" si="605"/>
        <v>7200</v>
      </c>
      <c r="AC111" s="4">
        <f t="shared" ref="AC111:AE111" si="611">(AC109/1000)*AC120</f>
        <v>7500</v>
      </c>
      <c r="AD111" s="4">
        <f t="shared" si="611"/>
        <v>7800</v>
      </c>
      <c r="AE111" s="4">
        <f t="shared" si="611"/>
        <v>8100</v>
      </c>
      <c r="AF111" s="4">
        <f t="shared" si="605"/>
        <v>8400</v>
      </c>
      <c r="AG111" s="4">
        <f t="shared" ref="AG111:AI111" si="612">(AG109/1000)*AG120</f>
        <v>8700</v>
      </c>
      <c r="AH111" s="4">
        <f t="shared" si="612"/>
        <v>9000</v>
      </c>
      <c r="AI111" s="4">
        <f t="shared" si="612"/>
        <v>9300</v>
      </c>
      <c r="AJ111" s="4">
        <f t="shared" si="605"/>
        <v>9600</v>
      </c>
      <c r="AK111" s="4">
        <f t="shared" ref="AK111:AM111" si="613">(AK109/1000)*AK120</f>
        <v>9900</v>
      </c>
      <c r="AL111" s="4">
        <f t="shared" si="613"/>
        <v>10200</v>
      </c>
      <c r="AM111" s="4">
        <f t="shared" si="613"/>
        <v>10500</v>
      </c>
      <c r="AN111" s="4">
        <f t="shared" si="605"/>
        <v>10800</v>
      </c>
      <c r="AO111" s="4">
        <f t="shared" ref="AO111:AQ111" si="614">(AO109/1000)*AO120</f>
        <v>11100</v>
      </c>
      <c r="AP111" s="4">
        <f t="shared" si="614"/>
        <v>11400</v>
      </c>
      <c r="AQ111" s="4">
        <f t="shared" si="614"/>
        <v>11700</v>
      </c>
      <c r="AR111" s="4">
        <f t="shared" si="605"/>
        <v>12000</v>
      </c>
      <c r="AS111" s="67"/>
      <c r="AT111" s="67"/>
      <c r="AU111" s="67"/>
    </row>
    <row r="112" spans="2:47">
      <c r="B112" t="s">
        <v>11</v>
      </c>
      <c r="C112" s="4">
        <f>'DATA ENTRY'!C9</f>
        <v>5000</v>
      </c>
      <c r="D112" s="4"/>
      <c r="E112" s="4"/>
      <c r="F112" s="4">
        <f>C112</f>
        <v>5000</v>
      </c>
      <c r="G112" s="4">
        <f t="shared" ref="G112:AR112" si="615">E112</f>
        <v>0</v>
      </c>
      <c r="H112" s="4">
        <f t="shared" si="615"/>
        <v>5000</v>
      </c>
      <c r="I112" s="4">
        <f t="shared" si="615"/>
        <v>0</v>
      </c>
      <c r="J112" s="4">
        <f t="shared" si="615"/>
        <v>5000</v>
      </c>
      <c r="K112" s="4">
        <f t="shared" si="615"/>
        <v>0</v>
      </c>
      <c r="L112" s="4">
        <f t="shared" si="615"/>
        <v>5000</v>
      </c>
      <c r="M112" s="4">
        <f t="shared" si="615"/>
        <v>0</v>
      </c>
      <c r="N112" s="4">
        <f t="shared" si="615"/>
        <v>5000</v>
      </c>
      <c r="O112" s="4">
        <f t="shared" si="615"/>
        <v>0</v>
      </c>
      <c r="P112" s="4">
        <f t="shared" si="615"/>
        <v>5000</v>
      </c>
      <c r="Q112" s="4">
        <f t="shared" si="615"/>
        <v>0</v>
      </c>
      <c r="R112" s="4">
        <f t="shared" si="615"/>
        <v>5000</v>
      </c>
      <c r="S112" s="4">
        <f t="shared" si="615"/>
        <v>0</v>
      </c>
      <c r="T112" s="4">
        <f t="shared" si="615"/>
        <v>5000</v>
      </c>
      <c r="U112" s="4">
        <f t="shared" si="615"/>
        <v>0</v>
      </c>
      <c r="V112" s="4">
        <f t="shared" si="615"/>
        <v>5000</v>
      </c>
      <c r="W112" s="4">
        <f t="shared" si="615"/>
        <v>0</v>
      </c>
      <c r="X112" s="4">
        <f t="shared" si="615"/>
        <v>5000</v>
      </c>
      <c r="Y112" s="4">
        <f t="shared" si="615"/>
        <v>0</v>
      </c>
      <c r="Z112" s="4">
        <f t="shared" si="615"/>
        <v>5000</v>
      </c>
      <c r="AA112" s="4">
        <f t="shared" si="615"/>
        <v>0</v>
      </c>
      <c r="AB112" s="4">
        <f t="shared" si="615"/>
        <v>5000</v>
      </c>
      <c r="AC112" s="4">
        <f t="shared" si="615"/>
        <v>0</v>
      </c>
      <c r="AD112" s="4">
        <f t="shared" si="615"/>
        <v>5000</v>
      </c>
      <c r="AE112" s="4">
        <f t="shared" si="615"/>
        <v>0</v>
      </c>
      <c r="AF112" s="4">
        <f t="shared" si="615"/>
        <v>5000</v>
      </c>
      <c r="AG112" s="4">
        <f t="shared" si="615"/>
        <v>0</v>
      </c>
      <c r="AH112" s="4">
        <f t="shared" si="615"/>
        <v>5000</v>
      </c>
      <c r="AI112" s="4">
        <f t="shared" si="615"/>
        <v>0</v>
      </c>
      <c r="AJ112" s="4">
        <f t="shared" si="615"/>
        <v>5000</v>
      </c>
      <c r="AK112" s="4">
        <f t="shared" si="615"/>
        <v>0</v>
      </c>
      <c r="AL112" s="4">
        <f t="shared" si="615"/>
        <v>5000</v>
      </c>
      <c r="AM112" s="4">
        <f t="shared" si="615"/>
        <v>0</v>
      </c>
      <c r="AN112" s="4">
        <f t="shared" si="615"/>
        <v>5000</v>
      </c>
      <c r="AO112" s="4">
        <f t="shared" si="615"/>
        <v>0</v>
      </c>
      <c r="AP112" s="4">
        <f t="shared" si="615"/>
        <v>5000</v>
      </c>
      <c r="AQ112" s="4">
        <f t="shared" si="615"/>
        <v>0</v>
      </c>
      <c r="AR112" s="4">
        <f t="shared" si="615"/>
        <v>5000</v>
      </c>
      <c r="AS112" s="67"/>
      <c r="AT112" s="67"/>
      <c r="AU112" s="67"/>
    </row>
    <row r="113" spans="2:47">
      <c r="B113" t="s">
        <v>12</v>
      </c>
      <c r="C113" s="4">
        <f>'DATA ENTRY'!C10</f>
        <v>300</v>
      </c>
      <c r="D113" s="4"/>
      <c r="E113" s="4"/>
      <c r="F113" s="4">
        <f>C113</f>
        <v>300</v>
      </c>
      <c r="G113" s="4">
        <f t="shared" ref="G113:AR113" si="616">E113</f>
        <v>0</v>
      </c>
      <c r="H113" s="4">
        <f t="shared" si="616"/>
        <v>300</v>
      </c>
      <c r="I113" s="4">
        <f t="shared" si="616"/>
        <v>0</v>
      </c>
      <c r="J113" s="4">
        <f t="shared" si="616"/>
        <v>300</v>
      </c>
      <c r="K113" s="4">
        <f t="shared" si="616"/>
        <v>0</v>
      </c>
      <c r="L113" s="4">
        <f t="shared" si="616"/>
        <v>300</v>
      </c>
      <c r="M113" s="4">
        <f t="shared" si="616"/>
        <v>0</v>
      </c>
      <c r="N113" s="4">
        <f t="shared" si="616"/>
        <v>300</v>
      </c>
      <c r="O113" s="4">
        <f t="shared" si="616"/>
        <v>0</v>
      </c>
      <c r="P113" s="4">
        <f t="shared" si="616"/>
        <v>300</v>
      </c>
      <c r="Q113" s="4">
        <f t="shared" si="616"/>
        <v>0</v>
      </c>
      <c r="R113" s="4">
        <f t="shared" si="616"/>
        <v>300</v>
      </c>
      <c r="S113" s="4">
        <f t="shared" si="616"/>
        <v>0</v>
      </c>
      <c r="T113" s="4">
        <f t="shared" si="616"/>
        <v>300</v>
      </c>
      <c r="U113" s="4">
        <f t="shared" si="616"/>
        <v>0</v>
      </c>
      <c r="V113" s="4">
        <f t="shared" si="616"/>
        <v>300</v>
      </c>
      <c r="W113" s="4">
        <f t="shared" si="616"/>
        <v>0</v>
      </c>
      <c r="X113" s="4">
        <f t="shared" si="616"/>
        <v>300</v>
      </c>
      <c r="Y113" s="4">
        <f t="shared" si="616"/>
        <v>0</v>
      </c>
      <c r="Z113" s="4">
        <f t="shared" si="616"/>
        <v>300</v>
      </c>
      <c r="AA113" s="4">
        <f t="shared" si="616"/>
        <v>0</v>
      </c>
      <c r="AB113" s="4">
        <f t="shared" si="616"/>
        <v>300</v>
      </c>
      <c r="AC113" s="4">
        <f t="shared" si="616"/>
        <v>0</v>
      </c>
      <c r="AD113" s="4">
        <f t="shared" si="616"/>
        <v>300</v>
      </c>
      <c r="AE113" s="4">
        <f t="shared" si="616"/>
        <v>0</v>
      </c>
      <c r="AF113" s="4">
        <f t="shared" si="616"/>
        <v>300</v>
      </c>
      <c r="AG113" s="4">
        <f t="shared" si="616"/>
        <v>0</v>
      </c>
      <c r="AH113" s="4">
        <f t="shared" si="616"/>
        <v>300</v>
      </c>
      <c r="AI113" s="4">
        <f t="shared" si="616"/>
        <v>0</v>
      </c>
      <c r="AJ113" s="4">
        <f t="shared" si="616"/>
        <v>300</v>
      </c>
      <c r="AK113" s="4">
        <f t="shared" si="616"/>
        <v>0</v>
      </c>
      <c r="AL113" s="4">
        <f t="shared" si="616"/>
        <v>300</v>
      </c>
      <c r="AM113" s="4">
        <f t="shared" si="616"/>
        <v>0</v>
      </c>
      <c r="AN113" s="4">
        <f t="shared" si="616"/>
        <v>300</v>
      </c>
      <c r="AO113" s="4">
        <f t="shared" si="616"/>
        <v>0</v>
      </c>
      <c r="AP113" s="4">
        <f t="shared" si="616"/>
        <v>300</v>
      </c>
      <c r="AQ113" s="4">
        <f t="shared" si="616"/>
        <v>0</v>
      </c>
      <c r="AR113" s="4">
        <f t="shared" si="616"/>
        <v>300</v>
      </c>
      <c r="AS113" s="67"/>
      <c r="AT113" s="67"/>
      <c r="AU113" s="67"/>
    </row>
    <row r="114" spans="2:47">
      <c r="B114" t="s">
        <v>13</v>
      </c>
      <c r="C114" s="4">
        <f>C119*C109*2</f>
        <v>1168.75</v>
      </c>
      <c r="D114" s="4"/>
      <c r="E114" s="4">
        <f>E119*E109*2</f>
        <v>312.5</v>
      </c>
      <c r="F114" s="4">
        <f t="shared" ref="F114:AR114" si="617">F119*F109*2</f>
        <v>625</v>
      </c>
      <c r="G114" s="4">
        <f t="shared" si="617"/>
        <v>937.49999999999989</v>
      </c>
      <c r="H114" s="4">
        <f t="shared" si="617"/>
        <v>1250</v>
      </c>
      <c r="I114" s="4">
        <f t="shared" si="617"/>
        <v>1562.4999999999998</v>
      </c>
      <c r="J114" s="4">
        <f t="shared" si="617"/>
        <v>1874.9999999999998</v>
      </c>
      <c r="K114" s="4">
        <f t="shared" si="617"/>
        <v>2187.5</v>
      </c>
      <c r="L114" s="4">
        <f t="shared" si="617"/>
        <v>2500</v>
      </c>
      <c r="M114" s="4">
        <f t="shared" si="617"/>
        <v>2812.4999999999995</v>
      </c>
      <c r="N114" s="4">
        <f t="shared" si="617"/>
        <v>3124.9999999999995</v>
      </c>
      <c r="O114" s="4">
        <f t="shared" si="617"/>
        <v>3437.4999999999995</v>
      </c>
      <c r="P114" s="4">
        <f t="shared" si="617"/>
        <v>3749.9999999999995</v>
      </c>
      <c r="Q114" s="4">
        <f t="shared" si="617"/>
        <v>4062.4999999999995</v>
      </c>
      <c r="R114" s="4">
        <f t="shared" si="617"/>
        <v>4375</v>
      </c>
      <c r="S114" s="4">
        <f t="shared" si="617"/>
        <v>4687.5</v>
      </c>
      <c r="T114" s="4">
        <f t="shared" si="617"/>
        <v>5000</v>
      </c>
      <c r="U114" s="4">
        <f t="shared" si="617"/>
        <v>5312.5</v>
      </c>
      <c r="V114" s="4">
        <f t="shared" si="617"/>
        <v>5624.9999999999991</v>
      </c>
      <c r="W114" s="4">
        <f t="shared" si="617"/>
        <v>5937.4999999999991</v>
      </c>
      <c r="X114" s="4">
        <f t="shared" si="617"/>
        <v>6249.9999999999991</v>
      </c>
      <c r="Y114" s="4">
        <f t="shared" si="617"/>
        <v>6562.4999999999991</v>
      </c>
      <c r="Z114" s="4">
        <f t="shared" si="617"/>
        <v>6874.9999999999991</v>
      </c>
      <c r="AA114" s="4">
        <f t="shared" si="617"/>
        <v>7187.4999999999991</v>
      </c>
      <c r="AB114" s="4">
        <f t="shared" si="617"/>
        <v>7499.9999999999991</v>
      </c>
      <c r="AC114" s="4">
        <f t="shared" si="617"/>
        <v>7812.4999999999991</v>
      </c>
      <c r="AD114" s="4">
        <f t="shared" si="617"/>
        <v>8124.9999999999991</v>
      </c>
      <c r="AE114" s="4">
        <f t="shared" si="617"/>
        <v>8437.5</v>
      </c>
      <c r="AF114" s="4">
        <f t="shared" si="617"/>
        <v>8750</v>
      </c>
      <c r="AG114" s="4">
        <f t="shared" si="617"/>
        <v>9062.5</v>
      </c>
      <c r="AH114" s="4">
        <f t="shared" si="617"/>
        <v>9375</v>
      </c>
      <c r="AI114" s="4">
        <f t="shared" si="617"/>
        <v>9687.5</v>
      </c>
      <c r="AJ114" s="4">
        <f t="shared" si="617"/>
        <v>10000</v>
      </c>
      <c r="AK114" s="4">
        <f t="shared" si="617"/>
        <v>10312.5</v>
      </c>
      <c r="AL114" s="4">
        <f t="shared" si="617"/>
        <v>10625</v>
      </c>
      <c r="AM114" s="4">
        <f t="shared" si="617"/>
        <v>10937.499999999998</v>
      </c>
      <c r="AN114" s="4">
        <f t="shared" si="617"/>
        <v>11249.999999999998</v>
      </c>
      <c r="AO114" s="4">
        <f t="shared" si="617"/>
        <v>11562.499999999998</v>
      </c>
      <c r="AP114" s="4">
        <f t="shared" si="617"/>
        <v>11874.999999999998</v>
      </c>
      <c r="AQ114" s="4">
        <f t="shared" si="617"/>
        <v>12187.499999999998</v>
      </c>
      <c r="AR114" s="4">
        <f t="shared" si="617"/>
        <v>12499.999999999998</v>
      </c>
      <c r="AS114" s="67"/>
      <c r="AT114" s="67"/>
      <c r="AU114" s="67"/>
    </row>
    <row r="115" spans="2:47">
      <c r="B115" t="s">
        <v>25</v>
      </c>
      <c r="C115" s="4">
        <f>SUM(C109:C114)</f>
        <v>107635.75</v>
      </c>
      <c r="D115" s="4"/>
      <c r="E115" s="4">
        <f>SUM(E109:E114)</f>
        <v>27362.5</v>
      </c>
      <c r="F115" s="4">
        <f>SUM(F109:F114)</f>
        <v>60025</v>
      </c>
      <c r="G115" s="4">
        <f>SUM(G109:G114)</f>
        <v>82087.5</v>
      </c>
      <c r="H115" s="4">
        <f>SUM(H109:H114)</f>
        <v>114750</v>
      </c>
      <c r="I115" s="4">
        <f t="shared" ref="I115:J115" si="618">SUM(I109:I114)</f>
        <v>136812.5</v>
      </c>
      <c r="J115" s="4">
        <f t="shared" si="618"/>
        <v>169475</v>
      </c>
      <c r="K115" s="4">
        <f t="shared" ref="K115" si="619">SUM(K109:K114)</f>
        <v>191537.5</v>
      </c>
      <c r="L115" s="4">
        <f t="shared" ref="L115:AR115" si="620">SUM(L109:L114)</f>
        <v>224200</v>
      </c>
      <c r="M115" s="4">
        <f t="shared" ref="M115:O115" si="621">SUM(M109:M114)</f>
        <v>246262.5</v>
      </c>
      <c r="N115" s="4">
        <f t="shared" si="621"/>
        <v>278925</v>
      </c>
      <c r="O115" s="4">
        <f t="shared" si="621"/>
        <v>300987.5</v>
      </c>
      <c r="P115" s="4">
        <f t="shared" si="620"/>
        <v>333650</v>
      </c>
      <c r="Q115" s="4">
        <f t="shared" ref="Q115:R115" si="622">SUM(Q109:Q114)</f>
        <v>355712.5</v>
      </c>
      <c r="R115" s="4">
        <f t="shared" si="622"/>
        <v>388375</v>
      </c>
      <c r="S115" s="4">
        <f t="shared" ref="S115" si="623">SUM(S109:S114)</f>
        <v>410437.5</v>
      </c>
      <c r="T115" s="4">
        <f t="shared" si="620"/>
        <v>443100</v>
      </c>
      <c r="U115" s="4">
        <f t="shared" ref="U115:W115" si="624">SUM(U109:U114)</f>
        <v>465162.5</v>
      </c>
      <c r="V115" s="4">
        <f t="shared" si="624"/>
        <v>497825</v>
      </c>
      <c r="W115" s="4">
        <f t="shared" si="624"/>
        <v>519887.5</v>
      </c>
      <c r="X115" s="4">
        <f t="shared" si="620"/>
        <v>552550</v>
      </c>
      <c r="Y115" s="4">
        <f t="shared" ref="Y115:AA115" si="625">SUM(Y109:Y114)</f>
        <v>574612.5</v>
      </c>
      <c r="Z115" s="4">
        <f t="shared" si="625"/>
        <v>607275</v>
      </c>
      <c r="AA115" s="4">
        <f t="shared" si="625"/>
        <v>629337.5</v>
      </c>
      <c r="AB115" s="4">
        <f t="shared" si="620"/>
        <v>662000</v>
      </c>
      <c r="AC115" s="4">
        <f t="shared" ref="AC115:AE115" si="626">SUM(AC109:AC114)</f>
        <v>684062.5</v>
      </c>
      <c r="AD115" s="4">
        <f t="shared" si="626"/>
        <v>716725</v>
      </c>
      <c r="AE115" s="4">
        <f t="shared" si="626"/>
        <v>738787.5</v>
      </c>
      <c r="AF115" s="4">
        <f t="shared" si="620"/>
        <v>771450</v>
      </c>
      <c r="AG115" s="4">
        <f t="shared" ref="AG115:AI115" si="627">SUM(AG109:AG114)</f>
        <v>793512.5</v>
      </c>
      <c r="AH115" s="4">
        <f t="shared" si="627"/>
        <v>826175</v>
      </c>
      <c r="AI115" s="4">
        <f t="shared" si="627"/>
        <v>848237.5</v>
      </c>
      <c r="AJ115" s="4">
        <f t="shared" si="620"/>
        <v>880900</v>
      </c>
      <c r="AK115" s="4">
        <f t="shared" ref="AK115:AM115" si="628">SUM(AK109:AK114)</f>
        <v>902962.5</v>
      </c>
      <c r="AL115" s="4">
        <f t="shared" si="628"/>
        <v>935625</v>
      </c>
      <c r="AM115" s="4">
        <f t="shared" si="628"/>
        <v>957687.5</v>
      </c>
      <c r="AN115" s="4">
        <f t="shared" si="620"/>
        <v>990350</v>
      </c>
      <c r="AO115" s="4">
        <f t="shared" ref="AO115:AQ115" si="629">SUM(AO109:AO114)</f>
        <v>1012412.5</v>
      </c>
      <c r="AP115" s="4">
        <f t="shared" si="629"/>
        <v>1045075</v>
      </c>
      <c r="AQ115" s="4">
        <f t="shared" si="629"/>
        <v>1067137.5</v>
      </c>
      <c r="AR115" s="4">
        <f t="shared" si="620"/>
        <v>1099800</v>
      </c>
      <c r="AS115" s="67"/>
      <c r="AT115" s="67"/>
      <c r="AU115" s="67"/>
    </row>
    <row r="116" spans="2:47">
      <c r="B116" s="65" t="s">
        <v>26</v>
      </c>
      <c r="C116" s="66">
        <v>7.4999999999999997E-2</v>
      </c>
      <c r="D116" s="66"/>
      <c r="E116" s="66">
        <f>C116</f>
        <v>7.4999999999999997E-2</v>
      </c>
      <c r="F116" s="66">
        <f>E116</f>
        <v>7.4999999999999997E-2</v>
      </c>
      <c r="G116" s="66">
        <f t="shared" ref="G116:AR116" si="630">E116</f>
        <v>7.4999999999999997E-2</v>
      </c>
      <c r="H116" s="66">
        <f t="shared" si="630"/>
        <v>7.4999999999999997E-2</v>
      </c>
      <c r="I116" s="66">
        <f t="shared" si="630"/>
        <v>7.4999999999999997E-2</v>
      </c>
      <c r="J116" s="66">
        <f t="shared" si="630"/>
        <v>7.4999999999999997E-2</v>
      </c>
      <c r="K116" s="66">
        <f t="shared" si="630"/>
        <v>7.4999999999999997E-2</v>
      </c>
      <c r="L116" s="66">
        <f t="shared" si="630"/>
        <v>7.4999999999999997E-2</v>
      </c>
      <c r="M116" s="66">
        <f t="shared" si="630"/>
        <v>7.4999999999999997E-2</v>
      </c>
      <c r="N116" s="66">
        <f t="shared" si="630"/>
        <v>7.4999999999999997E-2</v>
      </c>
      <c r="O116" s="66">
        <f t="shared" si="630"/>
        <v>7.4999999999999997E-2</v>
      </c>
      <c r="P116" s="66">
        <f t="shared" si="630"/>
        <v>7.4999999999999997E-2</v>
      </c>
      <c r="Q116" s="66">
        <f t="shared" si="630"/>
        <v>7.4999999999999997E-2</v>
      </c>
      <c r="R116" s="66">
        <f t="shared" si="630"/>
        <v>7.4999999999999997E-2</v>
      </c>
      <c r="S116" s="66">
        <f t="shared" si="630"/>
        <v>7.4999999999999997E-2</v>
      </c>
      <c r="T116" s="66">
        <f t="shared" si="630"/>
        <v>7.4999999999999997E-2</v>
      </c>
      <c r="U116" s="66">
        <f t="shared" si="630"/>
        <v>7.4999999999999997E-2</v>
      </c>
      <c r="V116" s="66">
        <f t="shared" si="630"/>
        <v>7.4999999999999997E-2</v>
      </c>
      <c r="W116" s="66">
        <f t="shared" si="630"/>
        <v>7.4999999999999997E-2</v>
      </c>
      <c r="X116" s="66">
        <f t="shared" si="630"/>
        <v>7.4999999999999997E-2</v>
      </c>
      <c r="Y116" s="66">
        <f t="shared" si="630"/>
        <v>7.4999999999999997E-2</v>
      </c>
      <c r="Z116" s="66">
        <f t="shared" si="630"/>
        <v>7.4999999999999997E-2</v>
      </c>
      <c r="AA116" s="66">
        <f t="shared" si="630"/>
        <v>7.4999999999999997E-2</v>
      </c>
      <c r="AB116" s="66">
        <f t="shared" si="630"/>
        <v>7.4999999999999997E-2</v>
      </c>
      <c r="AC116" s="66">
        <f t="shared" si="630"/>
        <v>7.4999999999999997E-2</v>
      </c>
      <c r="AD116" s="66">
        <f t="shared" si="630"/>
        <v>7.4999999999999997E-2</v>
      </c>
      <c r="AE116" s="66">
        <f t="shared" si="630"/>
        <v>7.4999999999999997E-2</v>
      </c>
      <c r="AF116" s="66">
        <f t="shared" si="630"/>
        <v>7.4999999999999997E-2</v>
      </c>
      <c r="AG116" s="66">
        <f t="shared" si="630"/>
        <v>7.4999999999999997E-2</v>
      </c>
      <c r="AH116" s="66">
        <f t="shared" si="630"/>
        <v>7.4999999999999997E-2</v>
      </c>
      <c r="AI116" s="66">
        <f t="shared" si="630"/>
        <v>7.4999999999999997E-2</v>
      </c>
      <c r="AJ116" s="66">
        <f t="shared" si="630"/>
        <v>7.4999999999999997E-2</v>
      </c>
      <c r="AK116" s="66">
        <f t="shared" si="630"/>
        <v>7.4999999999999997E-2</v>
      </c>
      <c r="AL116" s="66">
        <f t="shared" si="630"/>
        <v>7.4999999999999997E-2</v>
      </c>
      <c r="AM116" s="66">
        <f t="shared" si="630"/>
        <v>7.4999999999999997E-2</v>
      </c>
      <c r="AN116" s="66">
        <f t="shared" si="630"/>
        <v>7.4999999999999997E-2</v>
      </c>
      <c r="AO116" s="66">
        <f t="shared" si="630"/>
        <v>7.4999999999999997E-2</v>
      </c>
      <c r="AP116" s="66">
        <f t="shared" si="630"/>
        <v>7.4999999999999997E-2</v>
      </c>
      <c r="AQ116" s="66">
        <f t="shared" si="630"/>
        <v>7.4999999999999997E-2</v>
      </c>
      <c r="AR116" s="66">
        <f t="shared" si="630"/>
        <v>7.4999999999999997E-2</v>
      </c>
      <c r="AS116" s="68"/>
      <c r="AT116" s="68"/>
      <c r="AU116" s="68"/>
    </row>
    <row r="117" spans="2:47">
      <c r="B117" s="59" t="s">
        <v>27</v>
      </c>
      <c r="C117" s="59">
        <f>(1+C116/C120)^C120-1</f>
        <v>7.7632598856030688E-2</v>
      </c>
      <c r="D117" s="59"/>
      <c r="E117" s="59">
        <f>(1+E116/E120)^E120-1</f>
        <v>7.7632598856030688E-2</v>
      </c>
      <c r="F117" s="59">
        <f>(1+F116/F120)^F120-1</f>
        <v>7.7632598856030688E-2</v>
      </c>
      <c r="G117" s="59">
        <f>(1+G116/G120)^G120-1</f>
        <v>7.7632598856030688E-2</v>
      </c>
      <c r="H117" s="59">
        <f t="shared" ref="H117:AR117" si="631">(1+H116/H120)^H120-1</f>
        <v>7.7632598856030688E-2</v>
      </c>
      <c r="I117" s="59">
        <f t="shared" si="631"/>
        <v>7.7632598856030688E-2</v>
      </c>
      <c r="J117" s="59">
        <f t="shared" si="631"/>
        <v>7.7632598856030688E-2</v>
      </c>
      <c r="K117" s="59">
        <f t="shared" si="631"/>
        <v>7.7632598856030688E-2</v>
      </c>
      <c r="L117" s="59">
        <f t="shared" si="631"/>
        <v>7.7632598856030688E-2</v>
      </c>
      <c r="M117" s="59">
        <f t="shared" si="631"/>
        <v>7.7632598856030688E-2</v>
      </c>
      <c r="N117" s="59">
        <f t="shared" si="631"/>
        <v>7.7632598856030688E-2</v>
      </c>
      <c r="O117" s="59">
        <f t="shared" si="631"/>
        <v>7.7632598856030688E-2</v>
      </c>
      <c r="P117" s="59">
        <f t="shared" si="631"/>
        <v>7.7632598856030688E-2</v>
      </c>
      <c r="Q117" s="59">
        <f t="shared" si="631"/>
        <v>7.7632598856030688E-2</v>
      </c>
      <c r="R117" s="59">
        <f t="shared" si="631"/>
        <v>7.7632598856030688E-2</v>
      </c>
      <c r="S117" s="59">
        <f t="shared" si="631"/>
        <v>7.7632598856030688E-2</v>
      </c>
      <c r="T117" s="59">
        <f t="shared" si="631"/>
        <v>7.7632598856030688E-2</v>
      </c>
      <c r="U117" s="59">
        <f t="shared" si="631"/>
        <v>7.7632598856030688E-2</v>
      </c>
      <c r="V117" s="59">
        <f t="shared" si="631"/>
        <v>7.7632598856030688E-2</v>
      </c>
      <c r="W117" s="59">
        <f t="shared" si="631"/>
        <v>7.7632598856030688E-2</v>
      </c>
      <c r="X117" s="59">
        <f t="shared" si="631"/>
        <v>7.7632598856030688E-2</v>
      </c>
      <c r="Y117" s="59">
        <f t="shared" si="631"/>
        <v>7.7632598856030688E-2</v>
      </c>
      <c r="Z117" s="59">
        <f t="shared" si="631"/>
        <v>7.7632598856030688E-2</v>
      </c>
      <c r="AA117" s="59">
        <f t="shared" si="631"/>
        <v>7.7632598856030688E-2</v>
      </c>
      <c r="AB117" s="59">
        <f t="shared" si="631"/>
        <v>7.7632598856030688E-2</v>
      </c>
      <c r="AC117" s="59">
        <f t="shared" si="631"/>
        <v>7.7632598856030688E-2</v>
      </c>
      <c r="AD117" s="59">
        <f t="shared" si="631"/>
        <v>7.7632598856030688E-2</v>
      </c>
      <c r="AE117" s="59">
        <f t="shared" si="631"/>
        <v>7.7632598856030688E-2</v>
      </c>
      <c r="AF117" s="59">
        <f t="shared" si="631"/>
        <v>7.7632598856030688E-2</v>
      </c>
      <c r="AG117" s="59">
        <f t="shared" si="631"/>
        <v>7.7632598856030688E-2</v>
      </c>
      <c r="AH117" s="59">
        <f t="shared" si="631"/>
        <v>7.7632598856030688E-2</v>
      </c>
      <c r="AI117" s="59">
        <f t="shared" si="631"/>
        <v>7.7632598856030688E-2</v>
      </c>
      <c r="AJ117" s="59">
        <f t="shared" si="631"/>
        <v>7.7632598856030688E-2</v>
      </c>
      <c r="AK117" s="59">
        <f t="shared" si="631"/>
        <v>7.7632598856030688E-2</v>
      </c>
      <c r="AL117" s="59">
        <f t="shared" si="631"/>
        <v>7.7632598856030688E-2</v>
      </c>
      <c r="AM117" s="59">
        <f t="shared" si="631"/>
        <v>7.7632598856030688E-2</v>
      </c>
      <c r="AN117" s="59">
        <f t="shared" si="631"/>
        <v>7.7632598856030688E-2</v>
      </c>
      <c r="AO117" s="59">
        <f t="shared" si="631"/>
        <v>7.7632598856030688E-2</v>
      </c>
      <c r="AP117" s="59">
        <f t="shared" si="631"/>
        <v>7.7632598856030688E-2</v>
      </c>
      <c r="AQ117" s="59">
        <f t="shared" si="631"/>
        <v>7.7632598856030688E-2</v>
      </c>
      <c r="AR117" s="69">
        <f t="shared" si="631"/>
        <v>7.7632598856030688E-2</v>
      </c>
      <c r="AS117" s="70"/>
      <c r="AT117" s="70"/>
      <c r="AU117" s="70"/>
    </row>
    <row r="118" spans="2:47">
      <c r="B118" t="s">
        <v>28</v>
      </c>
      <c r="C118" s="60">
        <v>1</v>
      </c>
      <c r="D118" s="60"/>
      <c r="E118" s="60">
        <v>1</v>
      </c>
      <c r="F118" s="60">
        <v>1</v>
      </c>
      <c r="G118" s="60">
        <v>1</v>
      </c>
      <c r="H118" s="60">
        <v>1</v>
      </c>
      <c r="I118" s="60">
        <v>1</v>
      </c>
      <c r="J118" s="60">
        <v>1</v>
      </c>
      <c r="K118" s="60">
        <v>1</v>
      </c>
      <c r="L118" s="60">
        <f>H118</f>
        <v>1</v>
      </c>
      <c r="M118" s="60">
        <f>I118</f>
        <v>1</v>
      </c>
      <c r="N118" s="60">
        <f>K118</f>
        <v>1</v>
      </c>
      <c r="O118" s="60">
        <f t="shared" ref="O118:AR118" si="632">K118</f>
        <v>1</v>
      </c>
      <c r="P118" s="60">
        <f t="shared" si="632"/>
        <v>1</v>
      </c>
      <c r="Q118" s="60">
        <f t="shared" si="632"/>
        <v>1</v>
      </c>
      <c r="R118" s="60">
        <f t="shared" si="632"/>
        <v>1</v>
      </c>
      <c r="S118" s="60">
        <f t="shared" si="632"/>
        <v>1</v>
      </c>
      <c r="T118" s="60">
        <f t="shared" si="632"/>
        <v>1</v>
      </c>
      <c r="U118" s="60">
        <f t="shared" si="632"/>
        <v>1</v>
      </c>
      <c r="V118" s="60">
        <f t="shared" si="632"/>
        <v>1</v>
      </c>
      <c r="W118" s="60">
        <f t="shared" si="632"/>
        <v>1</v>
      </c>
      <c r="X118" s="60">
        <f t="shared" si="632"/>
        <v>1</v>
      </c>
      <c r="Y118" s="60">
        <f t="shared" si="632"/>
        <v>1</v>
      </c>
      <c r="Z118" s="60">
        <f t="shared" si="632"/>
        <v>1</v>
      </c>
      <c r="AA118" s="60">
        <f t="shared" si="632"/>
        <v>1</v>
      </c>
      <c r="AB118" s="60">
        <f t="shared" si="632"/>
        <v>1</v>
      </c>
      <c r="AC118" s="60">
        <f t="shared" si="632"/>
        <v>1</v>
      </c>
      <c r="AD118" s="60">
        <f t="shared" si="632"/>
        <v>1</v>
      </c>
      <c r="AE118" s="60">
        <f t="shared" si="632"/>
        <v>1</v>
      </c>
      <c r="AF118" s="60">
        <f t="shared" si="632"/>
        <v>1</v>
      </c>
      <c r="AG118" s="60">
        <f t="shared" si="632"/>
        <v>1</v>
      </c>
      <c r="AH118" s="60">
        <f t="shared" si="632"/>
        <v>1</v>
      </c>
      <c r="AI118" s="60">
        <f t="shared" si="632"/>
        <v>1</v>
      </c>
      <c r="AJ118" s="60">
        <f t="shared" si="632"/>
        <v>1</v>
      </c>
      <c r="AK118" s="60">
        <f t="shared" si="632"/>
        <v>1</v>
      </c>
      <c r="AL118" s="60">
        <f t="shared" si="632"/>
        <v>1</v>
      </c>
      <c r="AM118" s="60">
        <f t="shared" si="632"/>
        <v>1</v>
      </c>
      <c r="AN118" s="60">
        <f t="shared" si="632"/>
        <v>1</v>
      </c>
      <c r="AO118" s="60">
        <f t="shared" si="632"/>
        <v>1</v>
      </c>
      <c r="AP118" s="60">
        <f t="shared" si="632"/>
        <v>1</v>
      </c>
      <c r="AQ118" s="60">
        <f t="shared" si="632"/>
        <v>1</v>
      </c>
      <c r="AR118" s="60">
        <f t="shared" si="632"/>
        <v>1</v>
      </c>
      <c r="AS118" s="71"/>
      <c r="AT118" s="71"/>
      <c r="AU118" s="71"/>
    </row>
    <row r="119" spans="2:47">
      <c r="B119" t="s">
        <v>29</v>
      </c>
      <c r="C119" s="7">
        <f>C116/12</f>
        <v>6.2499999999999995E-3</v>
      </c>
      <c r="D119" s="7"/>
      <c r="E119" s="7">
        <f>E116/12</f>
        <v>6.2499999999999995E-3</v>
      </c>
      <c r="F119" s="7">
        <f>F116/12</f>
        <v>6.2499999999999995E-3</v>
      </c>
      <c r="G119" s="7">
        <f>G116/12</f>
        <v>6.2499999999999995E-3</v>
      </c>
      <c r="H119" s="7">
        <f>H116/12</f>
        <v>6.2499999999999995E-3</v>
      </c>
      <c r="I119" s="7">
        <f t="shared" ref="I119:J119" si="633">I116/12</f>
        <v>6.2499999999999995E-3</v>
      </c>
      <c r="J119" s="7">
        <f t="shared" si="633"/>
        <v>6.2499999999999995E-3</v>
      </c>
      <c r="K119" s="7">
        <f t="shared" ref="K119" si="634">K116/12</f>
        <v>6.2499999999999995E-3</v>
      </c>
      <c r="L119" s="7">
        <f t="shared" ref="L119:AR119" si="635">L116/12</f>
        <v>6.2499999999999995E-3</v>
      </c>
      <c r="M119" s="7">
        <f t="shared" ref="M119:O119" si="636">M116/12</f>
        <v>6.2499999999999995E-3</v>
      </c>
      <c r="N119" s="7">
        <f t="shared" si="636"/>
        <v>6.2499999999999995E-3</v>
      </c>
      <c r="O119" s="7">
        <f t="shared" si="636"/>
        <v>6.2499999999999995E-3</v>
      </c>
      <c r="P119" s="7">
        <f t="shared" si="635"/>
        <v>6.2499999999999995E-3</v>
      </c>
      <c r="Q119" s="7">
        <f t="shared" ref="Q119:R119" si="637">Q116/12</f>
        <v>6.2499999999999995E-3</v>
      </c>
      <c r="R119" s="7">
        <f t="shared" si="637"/>
        <v>6.2499999999999995E-3</v>
      </c>
      <c r="S119" s="7">
        <f t="shared" ref="S119" si="638">S116/12</f>
        <v>6.2499999999999995E-3</v>
      </c>
      <c r="T119" s="7">
        <f t="shared" si="635"/>
        <v>6.2499999999999995E-3</v>
      </c>
      <c r="U119" s="7">
        <f t="shared" ref="U119:W119" si="639">U116/12</f>
        <v>6.2499999999999995E-3</v>
      </c>
      <c r="V119" s="7">
        <f t="shared" si="639"/>
        <v>6.2499999999999995E-3</v>
      </c>
      <c r="W119" s="7">
        <f t="shared" si="639"/>
        <v>6.2499999999999995E-3</v>
      </c>
      <c r="X119" s="7">
        <f t="shared" si="635"/>
        <v>6.2499999999999995E-3</v>
      </c>
      <c r="Y119" s="7">
        <f t="shared" ref="Y119:AA119" si="640">Y116/12</f>
        <v>6.2499999999999995E-3</v>
      </c>
      <c r="Z119" s="7">
        <f t="shared" si="640"/>
        <v>6.2499999999999995E-3</v>
      </c>
      <c r="AA119" s="7">
        <f t="shared" si="640"/>
        <v>6.2499999999999995E-3</v>
      </c>
      <c r="AB119" s="7">
        <f t="shared" si="635"/>
        <v>6.2499999999999995E-3</v>
      </c>
      <c r="AC119" s="7">
        <f t="shared" ref="AC119:AE119" si="641">AC116/12</f>
        <v>6.2499999999999995E-3</v>
      </c>
      <c r="AD119" s="7">
        <f t="shared" si="641"/>
        <v>6.2499999999999995E-3</v>
      </c>
      <c r="AE119" s="7">
        <f t="shared" si="641"/>
        <v>6.2499999999999995E-3</v>
      </c>
      <c r="AF119" s="7">
        <f t="shared" si="635"/>
        <v>6.2499999999999995E-3</v>
      </c>
      <c r="AG119" s="7">
        <f t="shared" ref="AG119:AI119" si="642">AG116/12</f>
        <v>6.2499999999999995E-3</v>
      </c>
      <c r="AH119" s="7">
        <f t="shared" si="642"/>
        <v>6.2499999999999995E-3</v>
      </c>
      <c r="AI119" s="7">
        <f t="shared" si="642"/>
        <v>6.2499999999999995E-3</v>
      </c>
      <c r="AJ119" s="7">
        <f t="shared" si="635"/>
        <v>6.2499999999999995E-3</v>
      </c>
      <c r="AK119" s="7">
        <f t="shared" ref="AK119:AM119" si="643">AK116/12</f>
        <v>6.2499999999999995E-3</v>
      </c>
      <c r="AL119" s="7">
        <f t="shared" si="643"/>
        <v>6.2499999999999995E-3</v>
      </c>
      <c r="AM119" s="7">
        <f t="shared" si="643"/>
        <v>6.2499999999999995E-3</v>
      </c>
      <c r="AN119" s="7">
        <f t="shared" si="635"/>
        <v>6.2499999999999995E-3</v>
      </c>
      <c r="AO119" s="7">
        <f t="shared" ref="AO119:AQ119" si="644">AO116/12</f>
        <v>6.2499999999999995E-3</v>
      </c>
      <c r="AP119" s="7">
        <f t="shared" si="644"/>
        <v>6.2499999999999995E-3</v>
      </c>
      <c r="AQ119" s="7">
        <f t="shared" si="644"/>
        <v>6.2499999999999995E-3</v>
      </c>
      <c r="AR119" s="7">
        <f t="shared" si="635"/>
        <v>6.2499999999999995E-3</v>
      </c>
      <c r="AS119" s="25"/>
      <c r="AT119" s="25"/>
      <c r="AU119" s="25"/>
    </row>
    <row r="120" spans="2:47">
      <c r="B120" t="s">
        <v>30</v>
      </c>
      <c r="C120" s="60">
        <f>C118*12</f>
        <v>12</v>
      </c>
      <c r="D120" s="60"/>
      <c r="E120" s="60">
        <f>E118*12</f>
        <v>12</v>
      </c>
      <c r="F120" s="60">
        <f>F118*12</f>
        <v>12</v>
      </c>
      <c r="G120" s="60">
        <f>G118*12</f>
        <v>12</v>
      </c>
      <c r="H120" s="60">
        <f>H118*12</f>
        <v>12</v>
      </c>
      <c r="I120" s="60">
        <f t="shared" ref="I120:J120" si="645">I118*12</f>
        <v>12</v>
      </c>
      <c r="J120" s="60">
        <f t="shared" si="645"/>
        <v>12</v>
      </c>
      <c r="K120" s="60">
        <f t="shared" ref="K120" si="646">K118*12</f>
        <v>12</v>
      </c>
      <c r="L120" s="60">
        <f t="shared" ref="L120:AR120" si="647">L118*12</f>
        <v>12</v>
      </c>
      <c r="M120" s="60">
        <f t="shared" ref="M120:O120" si="648">M118*12</f>
        <v>12</v>
      </c>
      <c r="N120" s="60">
        <f t="shared" si="648"/>
        <v>12</v>
      </c>
      <c r="O120" s="60">
        <f t="shared" si="648"/>
        <v>12</v>
      </c>
      <c r="P120" s="60">
        <f t="shared" si="647"/>
        <v>12</v>
      </c>
      <c r="Q120" s="60">
        <f t="shared" ref="Q120:R120" si="649">Q118*12</f>
        <v>12</v>
      </c>
      <c r="R120" s="60">
        <f t="shared" si="649"/>
        <v>12</v>
      </c>
      <c r="S120" s="60">
        <f t="shared" ref="S120" si="650">S118*12</f>
        <v>12</v>
      </c>
      <c r="T120" s="60">
        <f t="shared" si="647"/>
        <v>12</v>
      </c>
      <c r="U120" s="60">
        <f t="shared" ref="U120:W120" si="651">U118*12</f>
        <v>12</v>
      </c>
      <c r="V120" s="60">
        <f t="shared" si="651"/>
        <v>12</v>
      </c>
      <c r="W120" s="60">
        <f t="shared" si="651"/>
        <v>12</v>
      </c>
      <c r="X120" s="60">
        <f t="shared" si="647"/>
        <v>12</v>
      </c>
      <c r="Y120" s="60">
        <f t="shared" ref="Y120:AA120" si="652">Y118*12</f>
        <v>12</v>
      </c>
      <c r="Z120" s="60">
        <f t="shared" si="652"/>
        <v>12</v>
      </c>
      <c r="AA120" s="60">
        <f t="shared" si="652"/>
        <v>12</v>
      </c>
      <c r="AB120" s="60">
        <f t="shared" si="647"/>
        <v>12</v>
      </c>
      <c r="AC120" s="60">
        <f t="shared" ref="AC120:AE120" si="653">AC118*12</f>
        <v>12</v>
      </c>
      <c r="AD120" s="60">
        <f t="shared" si="653"/>
        <v>12</v>
      </c>
      <c r="AE120" s="60">
        <f t="shared" si="653"/>
        <v>12</v>
      </c>
      <c r="AF120" s="60">
        <f t="shared" si="647"/>
        <v>12</v>
      </c>
      <c r="AG120" s="60">
        <f t="shared" ref="AG120:AI120" si="654">AG118*12</f>
        <v>12</v>
      </c>
      <c r="AH120" s="60">
        <f t="shared" si="654"/>
        <v>12</v>
      </c>
      <c r="AI120" s="60">
        <f t="shared" si="654"/>
        <v>12</v>
      </c>
      <c r="AJ120" s="60">
        <f t="shared" si="647"/>
        <v>12</v>
      </c>
      <c r="AK120" s="60">
        <f t="shared" ref="AK120:AM120" si="655">AK118*12</f>
        <v>12</v>
      </c>
      <c r="AL120" s="60">
        <f t="shared" si="655"/>
        <v>12</v>
      </c>
      <c r="AM120" s="60">
        <f t="shared" si="655"/>
        <v>12</v>
      </c>
      <c r="AN120" s="60">
        <f t="shared" si="647"/>
        <v>12</v>
      </c>
      <c r="AO120" s="60">
        <f t="shared" ref="AO120:AQ120" si="656">AO118*12</f>
        <v>12</v>
      </c>
      <c r="AP120" s="60">
        <f t="shared" si="656"/>
        <v>12</v>
      </c>
      <c r="AQ120" s="60">
        <f t="shared" si="656"/>
        <v>12</v>
      </c>
      <c r="AR120" s="60">
        <f t="shared" si="647"/>
        <v>12</v>
      </c>
      <c r="AS120" s="71"/>
      <c r="AT120" s="71"/>
      <c r="AU120" s="71"/>
    </row>
    <row r="121" spans="2:47">
      <c r="C121" s="4"/>
      <c r="D121" s="4"/>
      <c r="E121" s="4"/>
      <c r="F121" s="4"/>
      <c r="G121" s="4"/>
      <c r="H121" s="4"/>
      <c r="I121" s="4"/>
      <c r="J121" s="4"/>
      <c r="K121" s="4"/>
      <c r="L121" s="4"/>
      <c r="M121" s="4"/>
      <c r="AB121" s="4"/>
      <c r="AC121" s="4"/>
      <c r="AD121" s="4"/>
      <c r="AE121" s="4"/>
      <c r="AF121" s="4"/>
      <c r="AG121" s="4"/>
      <c r="AH121" s="4"/>
      <c r="AI121" s="4"/>
      <c r="AJ121" s="4"/>
      <c r="AK121" s="4"/>
      <c r="AL121" s="4"/>
      <c r="AM121" s="4"/>
      <c r="AN121" s="4"/>
      <c r="AO121" s="4"/>
      <c r="AP121" s="4"/>
      <c r="AQ121" s="4"/>
      <c r="AR121" s="4"/>
      <c r="AS121" s="67"/>
      <c r="AT121" s="67"/>
      <c r="AU121" s="67"/>
    </row>
    <row r="122" spans="2:47">
      <c r="B122" t="s">
        <v>17</v>
      </c>
      <c r="C122" s="62">
        <f>(1+C119)^C120</f>
        <v>1.0776325988560307</v>
      </c>
      <c r="D122" s="62"/>
      <c r="E122" s="62">
        <f>(1+E119)^E120</f>
        <v>1.0776325988560307</v>
      </c>
      <c r="F122" s="62">
        <f>(1+F119)^F120</f>
        <v>1.0776325988560307</v>
      </c>
      <c r="G122" s="62">
        <f>(1+G119)^G120</f>
        <v>1.0776325988560307</v>
      </c>
      <c r="H122" s="62">
        <f>(1+H119)^H120</f>
        <v>1.0776325988560307</v>
      </c>
      <c r="I122" s="62">
        <f t="shared" ref="I122:J122" si="657">(1+I119)^I120</f>
        <v>1.0776325988560307</v>
      </c>
      <c r="J122" s="62">
        <f t="shared" si="657"/>
        <v>1.0776325988560307</v>
      </c>
      <c r="K122" s="62">
        <f t="shared" ref="K122" si="658">(1+K119)^K120</f>
        <v>1.0776325988560307</v>
      </c>
      <c r="L122" s="62">
        <f t="shared" ref="L122:AR122" si="659">(1+L119)^L120</f>
        <v>1.0776325988560307</v>
      </c>
      <c r="M122" s="62">
        <f t="shared" ref="M122:O122" si="660">(1+M119)^M120</f>
        <v>1.0776325988560307</v>
      </c>
      <c r="N122" s="62">
        <f t="shared" si="660"/>
        <v>1.0776325988560307</v>
      </c>
      <c r="O122" s="62">
        <f t="shared" si="660"/>
        <v>1.0776325988560307</v>
      </c>
      <c r="P122" s="62">
        <f t="shared" si="659"/>
        <v>1.0776325988560307</v>
      </c>
      <c r="Q122" s="62">
        <f t="shared" ref="Q122:R122" si="661">(1+Q119)^Q120</f>
        <v>1.0776325988560307</v>
      </c>
      <c r="R122" s="62">
        <f t="shared" si="661"/>
        <v>1.0776325988560307</v>
      </c>
      <c r="S122" s="62">
        <f t="shared" ref="S122" si="662">(1+S119)^S120</f>
        <v>1.0776325988560307</v>
      </c>
      <c r="T122" s="62">
        <f t="shared" si="659"/>
        <v>1.0776325988560307</v>
      </c>
      <c r="U122" s="62">
        <f t="shared" ref="U122:W122" si="663">(1+U119)^U120</f>
        <v>1.0776325988560307</v>
      </c>
      <c r="V122" s="62">
        <f t="shared" si="663"/>
        <v>1.0776325988560307</v>
      </c>
      <c r="W122" s="62">
        <f t="shared" si="663"/>
        <v>1.0776325988560307</v>
      </c>
      <c r="X122" s="62">
        <f t="shared" si="659"/>
        <v>1.0776325988560307</v>
      </c>
      <c r="Y122" s="62">
        <f t="shared" ref="Y122:AA122" si="664">(1+Y119)^Y120</f>
        <v>1.0776325988560307</v>
      </c>
      <c r="Z122" s="62">
        <f t="shared" si="664"/>
        <v>1.0776325988560307</v>
      </c>
      <c r="AA122" s="62">
        <f t="shared" si="664"/>
        <v>1.0776325988560307</v>
      </c>
      <c r="AB122" s="62">
        <f t="shared" si="659"/>
        <v>1.0776325988560307</v>
      </c>
      <c r="AC122" s="62">
        <f t="shared" ref="AC122:AE122" si="665">(1+AC119)^AC120</f>
        <v>1.0776325988560307</v>
      </c>
      <c r="AD122" s="62">
        <f t="shared" si="665"/>
        <v>1.0776325988560307</v>
      </c>
      <c r="AE122" s="62">
        <f t="shared" si="665"/>
        <v>1.0776325988560307</v>
      </c>
      <c r="AF122" s="62">
        <f t="shared" si="659"/>
        <v>1.0776325988560307</v>
      </c>
      <c r="AG122" s="62">
        <f t="shared" ref="AG122:AI122" si="666">(1+AG119)^AG120</f>
        <v>1.0776325988560307</v>
      </c>
      <c r="AH122" s="62">
        <f t="shared" si="666"/>
        <v>1.0776325988560307</v>
      </c>
      <c r="AI122" s="62">
        <f t="shared" si="666"/>
        <v>1.0776325988560307</v>
      </c>
      <c r="AJ122" s="62">
        <f t="shared" si="659"/>
        <v>1.0776325988560307</v>
      </c>
      <c r="AK122" s="62">
        <f t="shared" ref="AK122:AM122" si="667">(1+AK119)^AK120</f>
        <v>1.0776325988560307</v>
      </c>
      <c r="AL122" s="62">
        <f t="shared" si="667"/>
        <v>1.0776325988560307</v>
      </c>
      <c r="AM122" s="62">
        <f t="shared" si="667"/>
        <v>1.0776325988560307</v>
      </c>
      <c r="AN122" s="62">
        <f t="shared" si="659"/>
        <v>1.0776325988560307</v>
      </c>
      <c r="AO122" s="62">
        <f t="shared" ref="AO122:AQ122" si="668">(1+AO119)^AO120</f>
        <v>1.0776325988560307</v>
      </c>
      <c r="AP122" s="62">
        <f t="shared" si="668"/>
        <v>1.0776325988560307</v>
      </c>
      <c r="AQ122" s="62">
        <f t="shared" si="668"/>
        <v>1.0776325988560307</v>
      </c>
      <c r="AR122" s="62">
        <f t="shared" si="659"/>
        <v>1.0776325988560307</v>
      </c>
      <c r="AS122" s="72"/>
      <c r="AT122" s="72"/>
      <c r="AU122" s="72"/>
    </row>
    <row r="123" spans="2:47">
      <c r="C123" s="63">
        <f>C122*C119</f>
        <v>6.7352037428501915E-3</v>
      </c>
      <c r="D123" s="63"/>
      <c r="E123" s="63">
        <f>E122*E119</f>
        <v>6.7352037428501915E-3</v>
      </c>
      <c r="F123" s="63">
        <f>F122*F119</f>
        <v>6.7352037428501915E-3</v>
      </c>
      <c r="G123" s="63">
        <f>G122*G119</f>
        <v>6.7352037428501915E-3</v>
      </c>
      <c r="H123" s="63">
        <f>H122*H119</f>
        <v>6.7352037428501915E-3</v>
      </c>
      <c r="I123" s="63">
        <f t="shared" ref="I123:J123" si="669">I122*I119</f>
        <v>6.7352037428501915E-3</v>
      </c>
      <c r="J123" s="63">
        <f t="shared" si="669"/>
        <v>6.7352037428501915E-3</v>
      </c>
      <c r="K123" s="63">
        <f t="shared" ref="K123" si="670">K122*K119</f>
        <v>6.7352037428501915E-3</v>
      </c>
      <c r="L123" s="63">
        <f t="shared" ref="L123:AR123" si="671">L122*L119</f>
        <v>6.7352037428501915E-3</v>
      </c>
      <c r="M123" s="63">
        <f t="shared" ref="M123:O123" si="672">M122*M119</f>
        <v>6.7352037428501915E-3</v>
      </c>
      <c r="N123" s="63">
        <f t="shared" si="672"/>
        <v>6.7352037428501915E-3</v>
      </c>
      <c r="O123" s="63">
        <f t="shared" si="672"/>
        <v>6.7352037428501915E-3</v>
      </c>
      <c r="P123" s="63">
        <f t="shared" si="671"/>
        <v>6.7352037428501915E-3</v>
      </c>
      <c r="Q123" s="63">
        <f t="shared" ref="Q123:R123" si="673">Q122*Q119</f>
        <v>6.7352037428501915E-3</v>
      </c>
      <c r="R123" s="63">
        <f t="shared" si="673"/>
        <v>6.7352037428501915E-3</v>
      </c>
      <c r="S123" s="63">
        <f t="shared" ref="S123" si="674">S122*S119</f>
        <v>6.7352037428501915E-3</v>
      </c>
      <c r="T123" s="63">
        <f t="shared" si="671"/>
        <v>6.7352037428501915E-3</v>
      </c>
      <c r="U123" s="63">
        <f t="shared" ref="U123:W123" si="675">U122*U119</f>
        <v>6.7352037428501915E-3</v>
      </c>
      <c r="V123" s="63">
        <f t="shared" si="675"/>
        <v>6.7352037428501915E-3</v>
      </c>
      <c r="W123" s="63">
        <f t="shared" si="675"/>
        <v>6.7352037428501915E-3</v>
      </c>
      <c r="X123" s="63">
        <f t="shared" si="671"/>
        <v>6.7352037428501915E-3</v>
      </c>
      <c r="Y123" s="63">
        <f t="shared" ref="Y123:AA123" si="676">Y122*Y119</f>
        <v>6.7352037428501915E-3</v>
      </c>
      <c r="Z123" s="63">
        <f t="shared" si="676"/>
        <v>6.7352037428501915E-3</v>
      </c>
      <c r="AA123" s="63">
        <f t="shared" si="676"/>
        <v>6.7352037428501915E-3</v>
      </c>
      <c r="AB123" s="63">
        <f t="shared" si="671"/>
        <v>6.7352037428501915E-3</v>
      </c>
      <c r="AC123" s="63">
        <f t="shared" ref="AC123:AE123" si="677">AC122*AC119</f>
        <v>6.7352037428501915E-3</v>
      </c>
      <c r="AD123" s="63">
        <f t="shared" si="677"/>
        <v>6.7352037428501915E-3</v>
      </c>
      <c r="AE123" s="63">
        <f t="shared" si="677"/>
        <v>6.7352037428501915E-3</v>
      </c>
      <c r="AF123" s="63">
        <f t="shared" si="671"/>
        <v>6.7352037428501915E-3</v>
      </c>
      <c r="AG123" s="63">
        <f t="shared" ref="AG123:AI123" si="678">AG122*AG119</f>
        <v>6.7352037428501915E-3</v>
      </c>
      <c r="AH123" s="63">
        <f t="shared" si="678"/>
        <v>6.7352037428501915E-3</v>
      </c>
      <c r="AI123" s="63">
        <f t="shared" si="678"/>
        <v>6.7352037428501915E-3</v>
      </c>
      <c r="AJ123" s="63">
        <f t="shared" si="671"/>
        <v>6.7352037428501915E-3</v>
      </c>
      <c r="AK123" s="63">
        <f t="shared" ref="AK123:AM123" si="679">AK122*AK119</f>
        <v>6.7352037428501915E-3</v>
      </c>
      <c r="AL123" s="63">
        <f t="shared" si="679"/>
        <v>6.7352037428501915E-3</v>
      </c>
      <c r="AM123" s="63">
        <f t="shared" si="679"/>
        <v>6.7352037428501915E-3</v>
      </c>
      <c r="AN123" s="63">
        <f t="shared" si="671"/>
        <v>6.7352037428501915E-3</v>
      </c>
      <c r="AO123" s="63">
        <f t="shared" ref="AO123:AQ123" si="680">AO122*AO119</f>
        <v>6.7352037428501915E-3</v>
      </c>
      <c r="AP123" s="63">
        <f t="shared" si="680"/>
        <v>6.7352037428501915E-3</v>
      </c>
      <c r="AQ123" s="63">
        <f t="shared" si="680"/>
        <v>6.7352037428501915E-3</v>
      </c>
      <c r="AR123" s="63">
        <f t="shared" si="671"/>
        <v>6.7352037428501915E-3</v>
      </c>
      <c r="AS123" s="73"/>
      <c r="AT123" s="73"/>
      <c r="AU123" s="73"/>
    </row>
    <row r="124" spans="2:47">
      <c r="C124" s="64">
        <f>C122-1</f>
        <v>7.7632598856030688E-2</v>
      </c>
      <c r="D124" s="64"/>
      <c r="E124" s="64">
        <f>E122-1</f>
        <v>7.7632598856030688E-2</v>
      </c>
      <c r="F124" s="64">
        <f>F122-1</f>
        <v>7.7632598856030688E-2</v>
      </c>
      <c r="G124" s="64">
        <f>G122-1</f>
        <v>7.7632598856030688E-2</v>
      </c>
      <c r="H124" s="64">
        <f>H122-1</f>
        <v>7.7632598856030688E-2</v>
      </c>
      <c r="I124" s="64">
        <f t="shared" ref="I124:J124" si="681">I122-1</f>
        <v>7.7632598856030688E-2</v>
      </c>
      <c r="J124" s="64">
        <f t="shared" si="681"/>
        <v>7.7632598856030688E-2</v>
      </c>
      <c r="K124" s="64">
        <f t="shared" ref="K124" si="682">K122-1</f>
        <v>7.7632598856030688E-2</v>
      </c>
      <c r="L124" s="64">
        <f t="shared" ref="L124:AR124" si="683">L122-1</f>
        <v>7.7632598856030688E-2</v>
      </c>
      <c r="M124" s="64">
        <f t="shared" ref="M124:O124" si="684">M122-1</f>
        <v>7.7632598856030688E-2</v>
      </c>
      <c r="N124" s="64">
        <f t="shared" si="684"/>
        <v>7.7632598856030688E-2</v>
      </c>
      <c r="O124" s="64">
        <f t="shared" si="684"/>
        <v>7.7632598856030688E-2</v>
      </c>
      <c r="P124" s="64">
        <f t="shared" si="683"/>
        <v>7.7632598856030688E-2</v>
      </c>
      <c r="Q124" s="64">
        <f t="shared" ref="Q124:R124" si="685">Q122-1</f>
        <v>7.7632598856030688E-2</v>
      </c>
      <c r="R124" s="64">
        <f t="shared" si="685"/>
        <v>7.7632598856030688E-2</v>
      </c>
      <c r="S124" s="64">
        <f t="shared" ref="S124" si="686">S122-1</f>
        <v>7.7632598856030688E-2</v>
      </c>
      <c r="T124" s="64">
        <f t="shared" si="683"/>
        <v>7.7632598856030688E-2</v>
      </c>
      <c r="U124" s="64">
        <f t="shared" ref="U124:W124" si="687">U122-1</f>
        <v>7.7632598856030688E-2</v>
      </c>
      <c r="V124" s="64">
        <f t="shared" si="687"/>
        <v>7.7632598856030688E-2</v>
      </c>
      <c r="W124" s="64">
        <f t="shared" si="687"/>
        <v>7.7632598856030688E-2</v>
      </c>
      <c r="X124" s="64">
        <f t="shared" si="683"/>
        <v>7.7632598856030688E-2</v>
      </c>
      <c r="Y124" s="64">
        <f t="shared" ref="Y124:AA124" si="688">Y122-1</f>
        <v>7.7632598856030688E-2</v>
      </c>
      <c r="Z124" s="64">
        <f t="shared" si="688"/>
        <v>7.7632598856030688E-2</v>
      </c>
      <c r="AA124" s="64">
        <f t="shared" si="688"/>
        <v>7.7632598856030688E-2</v>
      </c>
      <c r="AB124" s="64">
        <f t="shared" si="683"/>
        <v>7.7632598856030688E-2</v>
      </c>
      <c r="AC124" s="64">
        <f t="shared" ref="AC124:AE124" si="689">AC122-1</f>
        <v>7.7632598856030688E-2</v>
      </c>
      <c r="AD124" s="64">
        <f t="shared" si="689"/>
        <v>7.7632598856030688E-2</v>
      </c>
      <c r="AE124" s="64">
        <f t="shared" si="689"/>
        <v>7.7632598856030688E-2</v>
      </c>
      <c r="AF124" s="64">
        <f t="shared" si="683"/>
        <v>7.7632598856030688E-2</v>
      </c>
      <c r="AG124" s="64">
        <f t="shared" ref="AG124:AI124" si="690">AG122-1</f>
        <v>7.7632598856030688E-2</v>
      </c>
      <c r="AH124" s="64">
        <f t="shared" si="690"/>
        <v>7.7632598856030688E-2</v>
      </c>
      <c r="AI124" s="64">
        <f t="shared" si="690"/>
        <v>7.7632598856030688E-2</v>
      </c>
      <c r="AJ124" s="64">
        <f t="shared" si="683"/>
        <v>7.7632598856030688E-2</v>
      </c>
      <c r="AK124" s="64">
        <f t="shared" ref="AK124:AM124" si="691">AK122-1</f>
        <v>7.7632598856030688E-2</v>
      </c>
      <c r="AL124" s="64">
        <f t="shared" si="691"/>
        <v>7.7632598856030688E-2</v>
      </c>
      <c r="AM124" s="64">
        <f t="shared" si="691"/>
        <v>7.7632598856030688E-2</v>
      </c>
      <c r="AN124" s="64">
        <f t="shared" si="683"/>
        <v>7.7632598856030688E-2</v>
      </c>
      <c r="AO124" s="64">
        <f t="shared" ref="AO124:AQ124" si="692">AO122-1</f>
        <v>7.7632598856030688E-2</v>
      </c>
      <c r="AP124" s="64">
        <f t="shared" si="692"/>
        <v>7.7632598856030688E-2</v>
      </c>
      <c r="AQ124" s="64">
        <f t="shared" si="692"/>
        <v>7.7632598856030688E-2</v>
      </c>
      <c r="AR124" s="64">
        <f t="shared" si="683"/>
        <v>7.7632598856030688E-2</v>
      </c>
      <c r="AS124" s="74"/>
      <c r="AT124" s="74"/>
      <c r="AU124" s="74"/>
    </row>
    <row r="125" spans="2:47">
      <c r="C125" s="64">
        <f>C123/C124</f>
        <v>8.6757416885406571E-2</v>
      </c>
      <c r="D125" s="64"/>
      <c r="E125" s="64">
        <f>E123/E124</f>
        <v>8.6757416885406571E-2</v>
      </c>
      <c r="F125" s="64">
        <f>F123/F124</f>
        <v>8.6757416885406571E-2</v>
      </c>
      <c r="G125" s="64">
        <f>G123/G124</f>
        <v>8.6757416885406571E-2</v>
      </c>
      <c r="H125" s="64">
        <f>H123/H124</f>
        <v>8.6757416885406571E-2</v>
      </c>
      <c r="I125" s="64">
        <f t="shared" ref="I125:J125" si="693">I123/I124</f>
        <v>8.6757416885406571E-2</v>
      </c>
      <c r="J125" s="64">
        <f t="shared" si="693"/>
        <v>8.6757416885406571E-2</v>
      </c>
      <c r="K125" s="64">
        <f t="shared" ref="K125" si="694">K123/K124</f>
        <v>8.6757416885406571E-2</v>
      </c>
      <c r="L125" s="64">
        <f t="shared" ref="L125:AR125" si="695">L123/L124</f>
        <v>8.6757416885406571E-2</v>
      </c>
      <c r="M125" s="64">
        <f t="shared" ref="M125:O125" si="696">M123/M124</f>
        <v>8.6757416885406571E-2</v>
      </c>
      <c r="N125" s="64">
        <f t="shared" si="696"/>
        <v>8.6757416885406571E-2</v>
      </c>
      <c r="O125" s="64">
        <f t="shared" si="696"/>
        <v>8.6757416885406571E-2</v>
      </c>
      <c r="P125" s="64">
        <f t="shared" si="695"/>
        <v>8.6757416885406571E-2</v>
      </c>
      <c r="Q125" s="64">
        <f t="shared" ref="Q125:R125" si="697">Q123/Q124</f>
        <v>8.6757416885406571E-2</v>
      </c>
      <c r="R125" s="64">
        <f t="shared" si="697"/>
        <v>8.6757416885406571E-2</v>
      </c>
      <c r="S125" s="64">
        <f t="shared" ref="S125" si="698">S123/S124</f>
        <v>8.6757416885406571E-2</v>
      </c>
      <c r="T125" s="64">
        <f t="shared" si="695"/>
        <v>8.6757416885406571E-2</v>
      </c>
      <c r="U125" s="64">
        <f t="shared" ref="U125:W125" si="699">U123/U124</f>
        <v>8.6757416885406571E-2</v>
      </c>
      <c r="V125" s="64">
        <f t="shared" si="699"/>
        <v>8.6757416885406571E-2</v>
      </c>
      <c r="W125" s="64">
        <f t="shared" si="699"/>
        <v>8.6757416885406571E-2</v>
      </c>
      <c r="X125" s="64">
        <f t="shared" si="695"/>
        <v>8.6757416885406571E-2</v>
      </c>
      <c r="Y125" s="64">
        <f t="shared" ref="Y125:AA125" si="700">Y123/Y124</f>
        <v>8.6757416885406571E-2</v>
      </c>
      <c r="Z125" s="64">
        <f t="shared" si="700"/>
        <v>8.6757416885406571E-2</v>
      </c>
      <c r="AA125" s="64">
        <f t="shared" si="700"/>
        <v>8.6757416885406571E-2</v>
      </c>
      <c r="AB125" s="64">
        <f t="shared" si="695"/>
        <v>8.6757416885406571E-2</v>
      </c>
      <c r="AC125" s="64">
        <f t="shared" ref="AC125:AE125" si="701">AC123/AC124</f>
        <v>8.6757416885406571E-2</v>
      </c>
      <c r="AD125" s="64">
        <f t="shared" si="701"/>
        <v>8.6757416885406571E-2</v>
      </c>
      <c r="AE125" s="64">
        <f t="shared" si="701"/>
        <v>8.6757416885406571E-2</v>
      </c>
      <c r="AF125" s="64">
        <f t="shared" si="695"/>
        <v>8.6757416885406571E-2</v>
      </c>
      <c r="AG125" s="64">
        <f t="shared" ref="AG125:AI125" si="702">AG123/AG124</f>
        <v>8.6757416885406571E-2</v>
      </c>
      <c r="AH125" s="64">
        <f t="shared" si="702"/>
        <v>8.6757416885406571E-2</v>
      </c>
      <c r="AI125" s="64">
        <f t="shared" si="702"/>
        <v>8.6757416885406571E-2</v>
      </c>
      <c r="AJ125" s="64">
        <f t="shared" si="695"/>
        <v>8.6757416885406571E-2</v>
      </c>
      <c r="AK125" s="64">
        <f t="shared" ref="AK125:AM125" si="703">AK123/AK124</f>
        <v>8.6757416885406571E-2</v>
      </c>
      <c r="AL125" s="64">
        <f t="shared" si="703"/>
        <v>8.6757416885406571E-2</v>
      </c>
      <c r="AM125" s="64">
        <f t="shared" si="703"/>
        <v>8.6757416885406571E-2</v>
      </c>
      <c r="AN125" s="64">
        <f t="shared" si="695"/>
        <v>8.6757416885406571E-2</v>
      </c>
      <c r="AO125" s="64">
        <f t="shared" ref="AO125:AQ125" si="704">AO123/AO124</f>
        <v>8.6757416885406571E-2</v>
      </c>
      <c r="AP125" s="64">
        <f t="shared" si="704"/>
        <v>8.6757416885406571E-2</v>
      </c>
      <c r="AQ125" s="64">
        <f t="shared" si="704"/>
        <v>8.6757416885406571E-2</v>
      </c>
      <c r="AR125" s="64">
        <f t="shared" si="695"/>
        <v>8.6757416885406571E-2</v>
      </c>
      <c r="AS125" s="74"/>
      <c r="AT125" s="74"/>
      <c r="AU125" s="74"/>
    </row>
    <row r="126" spans="2:47" s="54" customFormat="1">
      <c r="B126" s="54" t="s">
        <v>17</v>
      </c>
      <c r="C126" s="57">
        <f>C125*C115</f>
        <v>9338.1996345234002</v>
      </c>
      <c r="D126" s="57"/>
      <c r="E126" s="57">
        <f>E125*E115</f>
        <v>2373.8998195269373</v>
      </c>
      <c r="F126" s="57">
        <f t="shared" ref="F126:K126" si="705">F125*F115</f>
        <v>5207.6139485465292</v>
      </c>
      <c r="G126" s="57">
        <f t="shared" si="705"/>
        <v>7121.6994585808116</v>
      </c>
      <c r="H126" s="57">
        <f t="shared" si="705"/>
        <v>9955.4135876004038</v>
      </c>
      <c r="I126" s="57">
        <f t="shared" si="705"/>
        <v>11869.499097634687</v>
      </c>
      <c r="J126" s="57">
        <f t="shared" si="705"/>
        <v>14703.213226654279</v>
      </c>
      <c r="K126" s="57">
        <f t="shared" si="705"/>
        <v>16617.298736688561</v>
      </c>
      <c r="L126" s="57">
        <f t="shared" ref="L126:AR126" si="706">L125*L115</f>
        <v>19451.012865708155</v>
      </c>
      <c r="M126" s="57">
        <f t="shared" ref="M126:O126" si="707">M125*M115</f>
        <v>21365.098375742436</v>
      </c>
      <c r="N126" s="57">
        <f t="shared" si="707"/>
        <v>24198.812504762027</v>
      </c>
      <c r="O126" s="57">
        <f t="shared" si="707"/>
        <v>26112.898014796312</v>
      </c>
      <c r="P126" s="57">
        <f t="shared" si="706"/>
        <v>28946.612143815903</v>
      </c>
      <c r="Q126" s="57">
        <f t="shared" ref="Q126:R126" si="708">Q125*Q115</f>
        <v>30860.697653850184</v>
      </c>
      <c r="R126" s="57">
        <f t="shared" si="708"/>
        <v>33694.411782869778</v>
      </c>
      <c r="S126" s="57">
        <f t="shared" ref="S126" si="709">S125*S115</f>
        <v>35608.49729290406</v>
      </c>
      <c r="T126" s="57">
        <f t="shared" si="706"/>
        <v>38442.211421923654</v>
      </c>
      <c r="U126" s="57">
        <f t="shared" ref="U126:W126" si="710">U125*U115</f>
        <v>40356.296931957935</v>
      </c>
      <c r="V126" s="57">
        <f t="shared" si="710"/>
        <v>43190.011060977529</v>
      </c>
      <c r="W126" s="57">
        <f t="shared" si="710"/>
        <v>45104.096571011811</v>
      </c>
      <c r="X126" s="57">
        <f t="shared" si="706"/>
        <v>47937.810700031398</v>
      </c>
      <c r="Y126" s="57">
        <f t="shared" ref="Y126:AA126" si="711">Y125*Y115</f>
        <v>49851.896210065686</v>
      </c>
      <c r="Z126" s="57">
        <f t="shared" si="711"/>
        <v>52685.610339085273</v>
      </c>
      <c r="AA126" s="57">
        <f t="shared" si="711"/>
        <v>54599.695849119555</v>
      </c>
      <c r="AB126" s="57">
        <f t="shared" si="706"/>
        <v>57433.409978139149</v>
      </c>
      <c r="AC126" s="57">
        <f t="shared" ref="AC126:AE126" si="712">AC125*AC115</f>
        <v>59347.49548817343</v>
      </c>
      <c r="AD126" s="57">
        <f t="shared" si="712"/>
        <v>62181.209617193024</v>
      </c>
      <c r="AE126" s="57">
        <f t="shared" si="712"/>
        <v>64095.295127227306</v>
      </c>
      <c r="AF126" s="57">
        <f t="shared" si="706"/>
        <v>66929.009256246893</v>
      </c>
      <c r="AG126" s="57">
        <f t="shared" ref="AG126:AI126" si="713">AG125*AG115</f>
        <v>68843.094766281181</v>
      </c>
      <c r="AH126" s="57">
        <f t="shared" si="713"/>
        <v>71676.808895300768</v>
      </c>
      <c r="AI126" s="57">
        <f t="shared" si="713"/>
        <v>73590.894405335057</v>
      </c>
      <c r="AJ126" s="57">
        <f t="shared" si="706"/>
        <v>76424.608534354644</v>
      </c>
      <c r="AK126" s="57">
        <f t="shared" ref="AK126:AM126" si="714">AK125*AK115</f>
        <v>78338.694044388933</v>
      </c>
      <c r="AL126" s="57">
        <f t="shared" si="714"/>
        <v>81172.408173408519</v>
      </c>
      <c r="AM126" s="57">
        <f t="shared" si="714"/>
        <v>83086.493683442808</v>
      </c>
      <c r="AN126" s="57">
        <f t="shared" si="706"/>
        <v>85920.207812462395</v>
      </c>
      <c r="AO126" s="57">
        <f t="shared" ref="AO126:AQ126" si="715">AO125*AO115</f>
        <v>87834.293322496684</v>
      </c>
      <c r="AP126" s="57">
        <f t="shared" si="715"/>
        <v>90668.007451516271</v>
      </c>
      <c r="AQ126" s="57">
        <f t="shared" si="715"/>
        <v>92582.092961550559</v>
      </c>
      <c r="AR126" s="57">
        <f t="shared" si="706"/>
        <v>95415.807090570146</v>
      </c>
      <c r="AS126" s="67"/>
      <c r="AT126" s="67"/>
      <c r="AU126" s="67"/>
    </row>
    <row r="127" spans="2:47">
      <c r="C127" s="4"/>
      <c r="D127" s="4"/>
      <c r="E127" s="4"/>
      <c r="F127" s="4"/>
      <c r="G127" s="4"/>
      <c r="H127" s="4"/>
      <c r="I127" s="4"/>
      <c r="J127" s="4"/>
      <c r="K127" s="4"/>
      <c r="L127" s="4"/>
      <c r="M127" s="4"/>
      <c r="AB127" s="4"/>
      <c r="AC127" s="4"/>
      <c r="AD127" s="4"/>
      <c r="AE127" s="4"/>
      <c r="AF127" s="4"/>
      <c r="AG127" s="4"/>
      <c r="AH127" s="4"/>
      <c r="AI127" s="4"/>
      <c r="AJ127" s="4"/>
      <c r="AK127" s="4"/>
      <c r="AL127" s="4"/>
      <c r="AM127" s="4"/>
      <c r="AN127" s="4"/>
      <c r="AO127" s="4"/>
      <c r="AP127" s="4"/>
      <c r="AQ127" s="4"/>
      <c r="AR127" s="4"/>
      <c r="AS127" s="67"/>
      <c r="AT127" s="67"/>
      <c r="AU127" s="67"/>
    </row>
    <row r="128" spans="2:47">
      <c r="B128" t="s">
        <v>31</v>
      </c>
      <c r="C128" s="4">
        <f>C108-C109</f>
        <v>18558.395614280802</v>
      </c>
      <c r="D128" s="4"/>
      <c r="E128" s="4">
        <f>E108-E109</f>
        <v>3486.7978343232462</v>
      </c>
      <c r="F128" s="4">
        <f>F108-F109</f>
        <v>12491.367382558354</v>
      </c>
      <c r="G128" s="4">
        <f>G108-G109</f>
        <v>10460.393502969731</v>
      </c>
      <c r="H128" s="4">
        <f>H108-H109</f>
        <v>19464.963051204846</v>
      </c>
      <c r="I128" s="4">
        <f t="shared" ref="I128:J128" si="716">I108-I109</f>
        <v>17433.989171616238</v>
      </c>
      <c r="J128" s="4">
        <f t="shared" si="716"/>
        <v>26438.558719851368</v>
      </c>
      <c r="K128" s="4">
        <f t="shared" ref="K128" si="717">K108-K109</f>
        <v>24407.584840262716</v>
      </c>
      <c r="L128" s="4">
        <f t="shared" ref="L128:AR128" si="718">L108-L109</f>
        <v>33412.154388497875</v>
      </c>
      <c r="M128" s="4">
        <f t="shared" ref="M128:O128" si="719">M108-M109</f>
        <v>31381.180508909223</v>
      </c>
      <c r="N128" s="4">
        <f t="shared" si="719"/>
        <v>40385.750057144323</v>
      </c>
      <c r="O128" s="4">
        <f t="shared" si="719"/>
        <v>38354.77617755573</v>
      </c>
      <c r="P128" s="4">
        <f t="shared" si="718"/>
        <v>47359.34572579083</v>
      </c>
      <c r="Q128" s="4">
        <f t="shared" ref="Q128:R128" si="720">Q108-Q109</f>
        <v>45328.371846202179</v>
      </c>
      <c r="R128" s="4">
        <f t="shared" si="720"/>
        <v>54332.941394437337</v>
      </c>
      <c r="S128" s="4">
        <f t="shared" ref="S128" si="721">S108-S109</f>
        <v>52301.967514848686</v>
      </c>
      <c r="T128" s="4">
        <f t="shared" si="718"/>
        <v>61306.537063083844</v>
      </c>
      <c r="U128" s="4">
        <f t="shared" ref="U128:W128" si="722">U108-U109</f>
        <v>59275.563183495193</v>
      </c>
      <c r="V128" s="4">
        <f t="shared" si="722"/>
        <v>68280.132731730351</v>
      </c>
      <c r="W128" s="4">
        <f t="shared" si="722"/>
        <v>66249.1588521417</v>
      </c>
      <c r="X128" s="4">
        <f t="shared" si="718"/>
        <v>75253.728400376742</v>
      </c>
      <c r="Y128" s="4">
        <f t="shared" ref="Y128:AA128" si="723">Y108-Y109</f>
        <v>73222.754520788207</v>
      </c>
      <c r="Z128" s="4">
        <f t="shared" si="723"/>
        <v>82227.324069023249</v>
      </c>
      <c r="AA128" s="4">
        <f t="shared" si="723"/>
        <v>80196.350189434597</v>
      </c>
      <c r="AB128" s="4">
        <f t="shared" si="718"/>
        <v>89200.919737669756</v>
      </c>
      <c r="AC128" s="4">
        <f t="shared" ref="AC128:AE128" si="724">AC108-AC109</f>
        <v>87169.945858081104</v>
      </c>
      <c r="AD128" s="4">
        <f t="shared" si="724"/>
        <v>96174.515406316263</v>
      </c>
      <c r="AE128" s="4">
        <f t="shared" si="724"/>
        <v>94143.541526727611</v>
      </c>
      <c r="AF128" s="4">
        <f t="shared" si="718"/>
        <v>103148.11107496265</v>
      </c>
      <c r="AG128" s="4">
        <f t="shared" ref="AG128:AI128" si="725">AG108-AG109</f>
        <v>101117.13719537412</v>
      </c>
      <c r="AH128" s="4">
        <f t="shared" si="725"/>
        <v>110121.70674360916</v>
      </c>
      <c r="AI128" s="4">
        <f t="shared" si="725"/>
        <v>108090.73286402063</v>
      </c>
      <c r="AJ128" s="4">
        <f t="shared" si="718"/>
        <v>117095.30241225567</v>
      </c>
      <c r="AK128" s="4">
        <f t="shared" ref="AK128:AM128" si="726">AK108-AK109</f>
        <v>115064.32853266713</v>
      </c>
      <c r="AL128" s="4">
        <f t="shared" si="726"/>
        <v>124068.89808090217</v>
      </c>
      <c r="AM128" s="4">
        <f t="shared" si="726"/>
        <v>122037.92420131364</v>
      </c>
      <c r="AN128" s="4">
        <f t="shared" si="718"/>
        <v>131042.49374954868</v>
      </c>
      <c r="AO128" s="4">
        <f t="shared" ref="AO128:AQ128" si="727">AO108-AO109</f>
        <v>129011.51986996015</v>
      </c>
      <c r="AP128" s="4">
        <f t="shared" si="727"/>
        <v>138016.08941819519</v>
      </c>
      <c r="AQ128" s="4">
        <f t="shared" si="727"/>
        <v>135985.11553860665</v>
      </c>
      <c r="AR128" s="4">
        <f t="shared" si="718"/>
        <v>144989.6850868417</v>
      </c>
      <c r="AS128" s="67"/>
      <c r="AT128" s="67"/>
      <c r="AU128" s="67"/>
    </row>
    <row r="129" spans="2:47">
      <c r="B129" t="s">
        <v>32</v>
      </c>
      <c r="C129" s="7">
        <f>C128/C108</f>
        <v>0.16561361165798902</v>
      </c>
      <c r="D129" s="7"/>
      <c r="E129" s="7">
        <f>E128/E108</f>
        <v>0.12240048371186403</v>
      </c>
      <c r="F129" s="7">
        <f>F128/F108</f>
        <v>0.19988948723251582</v>
      </c>
      <c r="G129" s="7">
        <f>G128/G108</f>
        <v>0.12240048371186396</v>
      </c>
      <c r="H129" s="7">
        <f>H128/H108</f>
        <v>0.16293449187157752</v>
      </c>
      <c r="I129" s="7">
        <f t="shared" ref="I129:J129" si="728">I128/I108</f>
        <v>0.12240048371186409</v>
      </c>
      <c r="J129" s="7">
        <f t="shared" si="728"/>
        <v>0.14984569649444052</v>
      </c>
      <c r="K129" s="7">
        <f t="shared" ref="K129" si="729">K128/K108</f>
        <v>0.122400483711864</v>
      </c>
      <c r="L129" s="7">
        <f t="shared" ref="L129:AR129" si="730">L128/L108</f>
        <v>0.14314659181323405</v>
      </c>
      <c r="M129" s="7">
        <f t="shared" ref="M129:O129" si="731">M128/M108</f>
        <v>0.12240048371186406</v>
      </c>
      <c r="N129" s="7">
        <f t="shared" si="731"/>
        <v>0.13907621172594353</v>
      </c>
      <c r="O129" s="7">
        <f t="shared" si="731"/>
        <v>0.1224004837118641</v>
      </c>
      <c r="P129" s="7">
        <f t="shared" si="730"/>
        <v>0.13634107246153326</v>
      </c>
      <c r="Q129" s="7">
        <f t="shared" ref="Q129:R129" si="732">Q128/Q108</f>
        <v>0.12240048371186399</v>
      </c>
      <c r="R129" s="7">
        <f t="shared" si="732"/>
        <v>0.13437673716877332</v>
      </c>
      <c r="S129" s="7">
        <f t="shared" ref="S129" si="733">S128/S108</f>
        <v>0.12240048371186402</v>
      </c>
      <c r="T129" s="7">
        <f t="shared" si="730"/>
        <v>0.13289761175593345</v>
      </c>
      <c r="U129" s="7">
        <f t="shared" ref="U129:W129" si="734">U128/U108</f>
        <v>0.12240048371186404</v>
      </c>
      <c r="V129" s="7">
        <f t="shared" si="734"/>
        <v>0.13174368149487448</v>
      </c>
      <c r="W129" s="7">
        <f t="shared" si="734"/>
        <v>0.12240048371186407</v>
      </c>
      <c r="X129" s="7">
        <f t="shared" si="730"/>
        <v>0.13081832361110771</v>
      </c>
      <c r="Y129" s="7">
        <f t="shared" ref="Y129:AA129" si="735">Y128/Y108</f>
        <v>0.12240048371186409</v>
      </c>
      <c r="Z129" s="7">
        <f t="shared" si="735"/>
        <v>0.13005974423852346</v>
      </c>
      <c r="AA129" s="7">
        <f t="shared" si="735"/>
        <v>0.12240048371186395</v>
      </c>
      <c r="AB129" s="7">
        <f t="shared" si="730"/>
        <v>0.1294265825582796</v>
      </c>
      <c r="AC129" s="7">
        <f t="shared" ref="AC129:AE129" si="736">AC128/AC108</f>
        <v>0.12240048371186397</v>
      </c>
      <c r="AD129" s="7">
        <f t="shared" si="736"/>
        <v>0.12889011004878143</v>
      </c>
      <c r="AE129" s="7">
        <f t="shared" si="736"/>
        <v>0.12240048371186399</v>
      </c>
      <c r="AF129" s="7">
        <f t="shared" si="730"/>
        <v>0.1284297499460037</v>
      </c>
      <c r="AG129" s="7">
        <f t="shared" ref="AG129:AI129" si="737">AG128/AG108</f>
        <v>0.12240048371186402</v>
      </c>
      <c r="AH129" s="7">
        <f t="shared" si="737"/>
        <v>0.12803037742243026</v>
      </c>
      <c r="AI129" s="7">
        <f t="shared" si="737"/>
        <v>0.12240048371186403</v>
      </c>
      <c r="AJ129" s="7">
        <f t="shared" si="730"/>
        <v>0.12768062610751288</v>
      </c>
      <c r="AK129" s="7">
        <f t="shared" ref="AK129:AM129" si="738">AK128/AK108</f>
        <v>0.12240048371186404</v>
      </c>
      <c r="AL129" s="7">
        <f t="shared" si="738"/>
        <v>0.12737178892103124</v>
      </c>
      <c r="AM129" s="7">
        <f t="shared" si="738"/>
        <v>0.12240048371186406</v>
      </c>
      <c r="AN129" s="7">
        <f t="shared" si="730"/>
        <v>0.12709708333455005</v>
      </c>
      <c r="AO129" s="7">
        <f t="shared" ref="AO129:AQ129" si="739">AO128/AO108</f>
        <v>0.12240048371186407</v>
      </c>
      <c r="AP129" s="7">
        <f t="shared" si="739"/>
        <v>0.12685114747889234</v>
      </c>
      <c r="AQ129" s="7">
        <f t="shared" si="739"/>
        <v>0.12240048371186407</v>
      </c>
      <c r="AR129" s="7">
        <f t="shared" si="730"/>
        <v>0.12662968669088487</v>
      </c>
      <c r="AS129" s="25"/>
      <c r="AT129" s="25"/>
      <c r="AU129" s="25"/>
    </row>
    <row r="133" spans="2:47" ht="21">
      <c r="B133" s="56"/>
      <c r="C133" s="56"/>
      <c r="D133" s="56"/>
      <c r="E133" s="56"/>
      <c r="F133" s="56"/>
      <c r="G133" s="56"/>
      <c r="H133" s="75"/>
      <c r="I133" s="75"/>
      <c r="J133" s="75"/>
      <c r="K133" s="75"/>
      <c r="L133" s="75"/>
      <c r="M133" s="75"/>
      <c r="N133" s="81"/>
      <c r="O133" s="81"/>
      <c r="P133" s="81"/>
      <c r="Q133" s="81"/>
      <c r="R133" s="81"/>
      <c r="S133" s="81"/>
      <c r="T133" s="81"/>
      <c r="U133" s="81"/>
      <c r="V133" s="81"/>
      <c r="W133" s="81"/>
      <c r="X133" s="81"/>
      <c r="Y133" s="81"/>
      <c r="Z133" s="81"/>
      <c r="AA133" s="81"/>
      <c r="AB133" s="75"/>
      <c r="AC133" s="75"/>
      <c r="AD133" s="75"/>
      <c r="AE133" s="75"/>
      <c r="AF133" s="75"/>
      <c r="AG133" s="75"/>
      <c r="AH133" s="75"/>
      <c r="AI133" s="75"/>
      <c r="AJ133" s="75"/>
      <c r="AK133" s="75"/>
      <c r="AL133" s="75"/>
      <c r="AM133" s="75"/>
      <c r="AN133" s="75"/>
      <c r="AO133" s="75"/>
      <c r="AP133" s="75"/>
      <c r="AQ133" s="75"/>
      <c r="AR133" s="75"/>
      <c r="AS133" s="75"/>
      <c r="AT133" s="75"/>
      <c r="AU133" s="75"/>
    </row>
    <row r="134" spans="2:47">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67"/>
      <c r="AT134" s="67"/>
      <c r="AU134" s="67"/>
    </row>
    <row r="135" spans="2:47">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67"/>
      <c r="AT135" s="67"/>
      <c r="AU135" s="67"/>
    </row>
    <row r="136" spans="2:47">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67"/>
      <c r="AT136" s="67"/>
      <c r="AU136" s="67"/>
    </row>
    <row r="137" spans="2:47">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67"/>
      <c r="AT137" s="67"/>
      <c r="AU137" s="67"/>
    </row>
    <row r="138" spans="2:47">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67"/>
      <c r="AT138" s="67"/>
      <c r="AU138" s="67"/>
    </row>
    <row r="139" spans="2:47">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67"/>
      <c r="AT139" s="67"/>
      <c r="AU139" s="67"/>
    </row>
    <row r="140" spans="2:47">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67"/>
      <c r="AT140" s="67"/>
      <c r="AU140" s="67"/>
    </row>
    <row r="141" spans="2:47">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6"/>
      <c r="AN141" s="76"/>
      <c r="AO141" s="76"/>
      <c r="AP141" s="76"/>
      <c r="AQ141" s="76"/>
      <c r="AR141" s="76"/>
      <c r="AS141" s="68"/>
      <c r="AT141" s="68"/>
      <c r="AU141" s="68"/>
    </row>
    <row r="142" spans="2:4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c r="AK142" s="77"/>
      <c r="AL142" s="77"/>
      <c r="AM142" s="77"/>
      <c r="AN142" s="77"/>
      <c r="AO142" s="77"/>
      <c r="AP142" s="77"/>
      <c r="AQ142" s="77"/>
      <c r="AR142" s="77"/>
      <c r="AS142" s="71"/>
      <c r="AT142" s="71"/>
      <c r="AU142" s="71"/>
    </row>
    <row r="143" spans="2:47">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25"/>
      <c r="AT143" s="25"/>
      <c r="AU143" s="25"/>
    </row>
    <row r="144" spans="2:4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c r="AK144" s="77"/>
      <c r="AL144" s="77"/>
      <c r="AM144" s="77"/>
      <c r="AN144" s="77"/>
      <c r="AO144" s="77"/>
      <c r="AP144" s="77"/>
      <c r="AQ144" s="77"/>
      <c r="AR144" s="77"/>
      <c r="AS144" s="71"/>
      <c r="AT144" s="71"/>
      <c r="AU144" s="71"/>
    </row>
    <row r="145" spans="8:47">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67"/>
      <c r="AT145" s="67"/>
      <c r="AU145" s="67"/>
    </row>
    <row r="146" spans="8:47">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2"/>
      <c r="AT146" s="72"/>
      <c r="AU146" s="72"/>
    </row>
    <row r="147" spans="8:47">
      <c r="H147" s="79"/>
      <c r="I147" s="79"/>
      <c r="J147" s="79"/>
      <c r="K147" s="79"/>
      <c r="L147" s="79"/>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3"/>
      <c r="AT147" s="73"/>
      <c r="AU147" s="73"/>
    </row>
    <row r="148" spans="8:47">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c r="AI148" s="80"/>
      <c r="AJ148" s="80"/>
      <c r="AK148" s="80"/>
      <c r="AL148" s="80"/>
      <c r="AM148" s="80"/>
      <c r="AN148" s="80"/>
      <c r="AO148" s="80"/>
      <c r="AP148" s="80"/>
      <c r="AQ148" s="80"/>
      <c r="AR148" s="80"/>
      <c r="AS148" s="74"/>
      <c r="AT148" s="74"/>
      <c r="AU148" s="74"/>
    </row>
    <row r="149" spans="8:47">
      <c r="H149" s="80"/>
      <c r="I149" s="80"/>
      <c r="J149" s="80"/>
      <c r="K149" s="80"/>
      <c r="L149" s="80"/>
      <c r="M149" s="80"/>
      <c r="N149" s="80"/>
      <c r="O149" s="80"/>
      <c r="P149" s="80"/>
      <c r="Q149" s="80"/>
      <c r="R149" s="80"/>
      <c r="S149" s="80"/>
      <c r="T149" s="80"/>
      <c r="U149" s="80"/>
      <c r="V149" s="80"/>
      <c r="W149" s="80"/>
      <c r="X149" s="80"/>
      <c r="Y149" s="80"/>
      <c r="Z149" s="80"/>
      <c r="AA149" s="80"/>
      <c r="AB149" s="80"/>
      <c r="AC149" s="80"/>
      <c r="AD149" s="80"/>
      <c r="AE149" s="80"/>
      <c r="AF149" s="80"/>
      <c r="AG149" s="80"/>
      <c r="AH149" s="80"/>
      <c r="AI149" s="80"/>
      <c r="AJ149" s="80"/>
      <c r="AK149" s="80"/>
      <c r="AL149" s="80"/>
      <c r="AM149" s="80"/>
      <c r="AN149" s="80"/>
      <c r="AO149" s="80"/>
      <c r="AP149" s="80"/>
      <c r="AQ149" s="80"/>
      <c r="AR149" s="80"/>
      <c r="AS149" s="74"/>
      <c r="AT149" s="74"/>
      <c r="AU149" s="74"/>
    </row>
    <row r="150" spans="8:47">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67"/>
      <c r="AT150" s="67"/>
      <c r="AU150" s="67"/>
    </row>
    <row r="151" spans="8:47">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67"/>
      <c r="AT151" s="67"/>
      <c r="AU151" s="67"/>
    </row>
    <row r="152" spans="8:47">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67"/>
      <c r="AT152" s="67"/>
      <c r="AU152" s="67"/>
    </row>
    <row r="153" spans="8:47">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25"/>
      <c r="AT153" s="25"/>
      <c r="AU153" s="2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K130"/>
  <sheetViews>
    <sheetView zoomScale="85" zoomScaleNormal="85" workbookViewId="0">
      <selection activeCell="C36" sqref="C36"/>
    </sheetView>
  </sheetViews>
  <sheetFormatPr defaultColWidth="8.88671875" defaultRowHeight="14.4"/>
  <cols>
    <col min="1" max="1" width="2.88671875" customWidth="1"/>
    <col min="2" max="2" width="27.33203125" customWidth="1"/>
    <col min="3" max="3" width="13.44140625" customWidth="1"/>
    <col min="4" max="9" width="15.6640625" customWidth="1"/>
    <col min="10" max="10" width="4.6640625" customWidth="1"/>
    <col min="11" max="20" width="10.6640625" customWidth="1"/>
    <col min="21" max="21" width="4.6640625" customWidth="1"/>
    <col min="22" max="63" width="15.6640625" customWidth="1"/>
  </cols>
  <sheetData>
    <row r="1" spans="2:63">
      <c r="B1" t="s">
        <v>34</v>
      </c>
      <c r="C1" s="1">
        <f>'DATA ENTRY'!E15</f>
        <v>1499.9958369144247</v>
      </c>
    </row>
    <row r="2" spans="2:63">
      <c r="B2" s="2" t="s">
        <v>35</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c r="AB2" s="3">
        <v>25</v>
      </c>
      <c r="AC2" s="3">
        <v>26</v>
      </c>
      <c r="AD2" s="3">
        <v>27</v>
      </c>
      <c r="AE2" s="3">
        <v>28</v>
      </c>
      <c r="AF2" s="3">
        <v>29</v>
      </c>
      <c r="AG2" s="3">
        <v>30</v>
      </c>
      <c r="AH2" s="3">
        <v>31</v>
      </c>
      <c r="AI2" s="3">
        <v>32</v>
      </c>
      <c r="AJ2" s="3">
        <v>33</v>
      </c>
      <c r="AK2" s="3">
        <v>34</v>
      </c>
      <c r="AL2" s="3">
        <v>35</v>
      </c>
      <c r="AM2" s="3">
        <v>36</v>
      </c>
      <c r="AN2" s="3">
        <v>37</v>
      </c>
      <c r="AO2" s="3">
        <v>38</v>
      </c>
      <c r="AP2" s="3">
        <v>39</v>
      </c>
      <c r="AQ2" s="3">
        <v>40</v>
      </c>
      <c r="AR2" s="3">
        <v>41</v>
      </c>
      <c r="AS2" s="3">
        <v>42</v>
      </c>
      <c r="AT2" s="3">
        <v>43</v>
      </c>
      <c r="AU2" s="3">
        <v>44</v>
      </c>
      <c r="AV2" s="3">
        <v>45</v>
      </c>
      <c r="AW2" s="3">
        <v>46</v>
      </c>
      <c r="AX2" s="3">
        <v>47</v>
      </c>
      <c r="AY2" s="3">
        <v>48</v>
      </c>
      <c r="AZ2" s="3">
        <v>49</v>
      </c>
      <c r="BA2" s="3">
        <v>50</v>
      </c>
      <c r="BB2" s="3">
        <v>51</v>
      </c>
      <c r="BC2" s="3">
        <v>52</v>
      </c>
      <c r="BD2" s="3">
        <v>53</v>
      </c>
      <c r="BE2" s="3">
        <v>54</v>
      </c>
      <c r="BF2" s="3">
        <v>55</v>
      </c>
      <c r="BG2" s="3">
        <v>56</v>
      </c>
      <c r="BH2" s="3">
        <v>57</v>
      </c>
      <c r="BI2" s="3">
        <v>58</v>
      </c>
      <c r="BJ2" s="3">
        <v>59</v>
      </c>
      <c r="BK2" s="3">
        <v>60</v>
      </c>
    </row>
    <row r="3" spans="2:63">
      <c r="B3" s="2" t="s">
        <v>6</v>
      </c>
      <c r="C3" s="4">
        <f>'DATA ENTRY'!E4</f>
        <v>53999.850128919286</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row>
    <row r="4" spans="2:63">
      <c r="B4" s="2" t="s">
        <v>14</v>
      </c>
      <c r="C4" s="4">
        <f>'DATA ENTRY'!D12</f>
        <v>109021.86666666667</v>
      </c>
      <c r="D4" s="4">
        <f t="shared" ref="D4:AY4" si="0">D10</f>
        <v>-1499.9958369144247</v>
      </c>
      <c r="E4" s="4">
        <f t="shared" si="0"/>
        <v>-1499.9958369144247</v>
      </c>
      <c r="F4" s="4">
        <f t="shared" si="0"/>
        <v>-1499.9958369144247</v>
      </c>
      <c r="G4" s="4">
        <f t="shared" si="0"/>
        <v>-1499.9958369144247</v>
      </c>
      <c r="H4" s="4">
        <f t="shared" si="0"/>
        <v>-1499.9958369144247</v>
      </c>
      <c r="I4" s="4">
        <f t="shared" si="0"/>
        <v>-1499.9958369144247</v>
      </c>
      <c r="J4" s="4">
        <f t="shared" si="0"/>
        <v>-1499.9958369144247</v>
      </c>
      <c r="K4" s="4">
        <f t="shared" si="0"/>
        <v>-1499.9958369144247</v>
      </c>
      <c r="L4" s="4">
        <f t="shared" si="0"/>
        <v>-1499.9958369144247</v>
      </c>
      <c r="M4" s="4">
        <f t="shared" si="0"/>
        <v>-1499.9958369144247</v>
      </c>
      <c r="N4" s="4">
        <f t="shared" si="0"/>
        <v>-1499.9958369144247</v>
      </c>
      <c r="O4" s="4">
        <f t="shared" si="0"/>
        <v>-1499.9958369144247</v>
      </c>
      <c r="P4" s="4">
        <f t="shared" si="0"/>
        <v>-1499.9958369144247</v>
      </c>
      <c r="Q4" s="4">
        <f t="shared" si="0"/>
        <v>-1499.9958369144247</v>
      </c>
      <c r="R4" s="4">
        <f t="shared" si="0"/>
        <v>-1499.9958369144247</v>
      </c>
      <c r="S4" s="4">
        <f t="shared" si="0"/>
        <v>-1499.9958369144247</v>
      </c>
      <c r="T4" s="4">
        <f t="shared" si="0"/>
        <v>-1499.9958369144247</v>
      </c>
      <c r="U4" s="4">
        <f t="shared" si="0"/>
        <v>-1499.9958369144247</v>
      </c>
      <c r="V4" s="4">
        <f t="shared" si="0"/>
        <v>-1499.9958369144247</v>
      </c>
      <c r="W4" s="4">
        <f t="shared" si="0"/>
        <v>-1499.9958369144247</v>
      </c>
      <c r="X4" s="4">
        <f t="shared" si="0"/>
        <v>-1499.9958369144247</v>
      </c>
      <c r="Y4" s="4">
        <f t="shared" si="0"/>
        <v>-1499.9958369144247</v>
      </c>
      <c r="Z4" s="4">
        <f t="shared" si="0"/>
        <v>-1499.9958369144247</v>
      </c>
      <c r="AA4" s="4">
        <f t="shared" si="0"/>
        <v>-1499.9958369144247</v>
      </c>
      <c r="AB4" s="4">
        <f t="shared" si="0"/>
        <v>-1499.9958369144247</v>
      </c>
      <c r="AC4" s="4">
        <f t="shared" si="0"/>
        <v>-1499.9958369144247</v>
      </c>
      <c r="AD4" s="4">
        <f t="shared" si="0"/>
        <v>-1499.9958369144247</v>
      </c>
      <c r="AE4" s="4">
        <f t="shared" si="0"/>
        <v>-1499.9958369144247</v>
      </c>
      <c r="AF4" s="4">
        <f t="shared" si="0"/>
        <v>-1499.9958369144247</v>
      </c>
      <c r="AG4" s="4">
        <f t="shared" si="0"/>
        <v>-1499.9958369144247</v>
      </c>
      <c r="AH4" s="4">
        <f t="shared" si="0"/>
        <v>-1499.9958369144247</v>
      </c>
      <c r="AI4" s="4">
        <f t="shared" si="0"/>
        <v>-1499.9958369144247</v>
      </c>
      <c r="AJ4" s="4">
        <f t="shared" si="0"/>
        <v>-1499.9958369144247</v>
      </c>
      <c r="AK4" s="4">
        <f t="shared" si="0"/>
        <v>-1499.9958369144247</v>
      </c>
      <c r="AL4" s="4">
        <f t="shared" si="0"/>
        <v>-1499.9958369144247</v>
      </c>
      <c r="AM4" s="4">
        <f t="shared" si="0"/>
        <v>-1499.9958369144247</v>
      </c>
      <c r="AN4" s="4">
        <f t="shared" si="0"/>
        <v>-1499.9958369144247</v>
      </c>
      <c r="AO4" s="4">
        <f t="shared" si="0"/>
        <v>-1499.9958369144247</v>
      </c>
      <c r="AP4" s="4">
        <f t="shared" si="0"/>
        <v>-1499.9958369144247</v>
      </c>
      <c r="AQ4" s="4">
        <f t="shared" si="0"/>
        <v>-1499.9958369144247</v>
      </c>
      <c r="AR4" s="4">
        <f t="shared" si="0"/>
        <v>-1499.9958369144247</v>
      </c>
      <c r="AS4" s="4">
        <f t="shared" si="0"/>
        <v>-1499.9958369144247</v>
      </c>
      <c r="AT4" s="4">
        <f t="shared" si="0"/>
        <v>-1499.9958369144247</v>
      </c>
      <c r="AU4" s="4">
        <f t="shared" si="0"/>
        <v>-1499.9958369144247</v>
      </c>
      <c r="AV4" s="4">
        <f t="shared" si="0"/>
        <v>-1499.9958369144247</v>
      </c>
      <c r="AW4" s="4">
        <f t="shared" si="0"/>
        <v>-1499.9958369144247</v>
      </c>
      <c r="AX4" s="4">
        <f t="shared" si="0"/>
        <v>-1499.9958369144247</v>
      </c>
      <c r="AY4" s="4">
        <f t="shared" si="0"/>
        <v>-1499.9958369144247</v>
      </c>
      <c r="AZ4" s="4"/>
      <c r="BA4" s="4"/>
      <c r="BB4" s="4"/>
      <c r="BC4" s="4"/>
      <c r="BD4" s="4"/>
      <c r="BE4" s="4"/>
      <c r="BF4" s="4"/>
      <c r="BG4" s="4"/>
      <c r="BH4" s="4"/>
      <c r="BI4" s="4"/>
      <c r="BJ4" s="4"/>
      <c r="BK4" s="4"/>
    </row>
    <row r="5" spans="2:63">
      <c r="B5" s="2" t="s">
        <v>9</v>
      </c>
      <c r="C5" s="4">
        <f>'DATA ENTRY'!E7</f>
        <v>2988.3759999999997</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row>
    <row r="6" spans="2:63">
      <c r="B6" s="2" t="s">
        <v>10</v>
      </c>
      <c r="C6" s="4">
        <f>'DATA ENTRY'!E8</f>
        <v>1344.7691999999997</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row>
    <row r="7" spans="2:63">
      <c r="B7" s="2" t="s">
        <v>11</v>
      </c>
      <c r="C7" s="4">
        <f>'DATA ENTRY'!E9</f>
        <v>5000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row>
    <row r="8" spans="2:63">
      <c r="B8" s="2" t="s">
        <v>12</v>
      </c>
      <c r="C8" s="4">
        <f>'DATA ENTRY'!E10</f>
        <v>300</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2:63">
      <c r="B9" s="2" t="s">
        <v>13</v>
      </c>
      <c r="C9" s="4">
        <f>'DATA ENTRY'!E11</f>
        <v>529.19158333333337</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row>
    <row r="10" spans="2:63">
      <c r="B10" s="5" t="s">
        <v>36</v>
      </c>
      <c r="C10" s="6">
        <f>C4-C5-C6-C7-C8-C9-C13</f>
        <v>57135.550326869576</v>
      </c>
      <c r="D10" s="6">
        <f t="shared" ref="D10:AI10" si="1">-$C1</f>
        <v>-1499.9958369144247</v>
      </c>
      <c r="E10" s="6">
        <f t="shared" si="1"/>
        <v>-1499.9958369144247</v>
      </c>
      <c r="F10" s="6">
        <f t="shared" si="1"/>
        <v>-1499.9958369144247</v>
      </c>
      <c r="G10" s="6">
        <f t="shared" si="1"/>
        <v>-1499.9958369144247</v>
      </c>
      <c r="H10" s="6">
        <f t="shared" si="1"/>
        <v>-1499.9958369144247</v>
      </c>
      <c r="I10" s="6">
        <f t="shared" si="1"/>
        <v>-1499.9958369144247</v>
      </c>
      <c r="J10" s="6">
        <f t="shared" si="1"/>
        <v>-1499.9958369144247</v>
      </c>
      <c r="K10" s="6">
        <f t="shared" si="1"/>
        <v>-1499.9958369144247</v>
      </c>
      <c r="L10" s="6">
        <f t="shared" si="1"/>
        <v>-1499.9958369144247</v>
      </c>
      <c r="M10" s="6">
        <f t="shared" si="1"/>
        <v>-1499.9958369144247</v>
      </c>
      <c r="N10" s="6">
        <f t="shared" si="1"/>
        <v>-1499.9958369144247</v>
      </c>
      <c r="O10" s="6">
        <f t="shared" si="1"/>
        <v>-1499.9958369144247</v>
      </c>
      <c r="P10" s="6">
        <f t="shared" si="1"/>
        <v>-1499.9958369144247</v>
      </c>
      <c r="Q10" s="6">
        <f t="shared" si="1"/>
        <v>-1499.9958369144247</v>
      </c>
      <c r="R10" s="6">
        <f t="shared" si="1"/>
        <v>-1499.9958369144247</v>
      </c>
      <c r="S10" s="6">
        <f t="shared" si="1"/>
        <v>-1499.9958369144247</v>
      </c>
      <c r="T10" s="6">
        <f t="shared" si="1"/>
        <v>-1499.9958369144247</v>
      </c>
      <c r="U10" s="6">
        <f t="shared" si="1"/>
        <v>-1499.9958369144247</v>
      </c>
      <c r="V10" s="6">
        <f t="shared" si="1"/>
        <v>-1499.9958369144247</v>
      </c>
      <c r="W10" s="6">
        <f t="shared" si="1"/>
        <v>-1499.9958369144247</v>
      </c>
      <c r="X10" s="6">
        <f t="shared" si="1"/>
        <v>-1499.9958369144247</v>
      </c>
      <c r="Y10" s="6">
        <f t="shared" si="1"/>
        <v>-1499.9958369144247</v>
      </c>
      <c r="Z10" s="6">
        <f t="shared" si="1"/>
        <v>-1499.9958369144247</v>
      </c>
      <c r="AA10" s="6">
        <f t="shared" si="1"/>
        <v>-1499.9958369144247</v>
      </c>
      <c r="AB10" s="6">
        <f t="shared" si="1"/>
        <v>-1499.9958369144247</v>
      </c>
      <c r="AC10" s="6">
        <f t="shared" si="1"/>
        <v>-1499.9958369144247</v>
      </c>
      <c r="AD10" s="6">
        <f t="shared" si="1"/>
        <v>-1499.9958369144247</v>
      </c>
      <c r="AE10" s="6">
        <f t="shared" si="1"/>
        <v>-1499.9958369144247</v>
      </c>
      <c r="AF10" s="6">
        <f t="shared" si="1"/>
        <v>-1499.9958369144247</v>
      </c>
      <c r="AG10" s="6">
        <f t="shared" si="1"/>
        <v>-1499.9958369144247</v>
      </c>
      <c r="AH10" s="6">
        <f t="shared" si="1"/>
        <v>-1499.9958369144247</v>
      </c>
      <c r="AI10" s="6">
        <f t="shared" si="1"/>
        <v>-1499.9958369144247</v>
      </c>
      <c r="AJ10" s="6">
        <f t="shared" ref="AJ10:BK10" si="2">-$C1</f>
        <v>-1499.9958369144247</v>
      </c>
      <c r="AK10" s="6">
        <f t="shared" si="2"/>
        <v>-1499.9958369144247</v>
      </c>
      <c r="AL10" s="6">
        <f t="shared" si="2"/>
        <v>-1499.9958369144247</v>
      </c>
      <c r="AM10" s="6">
        <f t="shared" si="2"/>
        <v>-1499.9958369144247</v>
      </c>
      <c r="AN10" s="6">
        <f t="shared" si="2"/>
        <v>-1499.9958369144247</v>
      </c>
      <c r="AO10" s="6">
        <f t="shared" si="2"/>
        <v>-1499.9958369144247</v>
      </c>
      <c r="AP10" s="6">
        <f t="shared" si="2"/>
        <v>-1499.9958369144247</v>
      </c>
      <c r="AQ10" s="6">
        <f t="shared" si="2"/>
        <v>-1499.9958369144247</v>
      </c>
      <c r="AR10" s="6">
        <f t="shared" si="2"/>
        <v>-1499.9958369144247</v>
      </c>
      <c r="AS10" s="6">
        <f t="shared" si="2"/>
        <v>-1499.9958369144247</v>
      </c>
      <c r="AT10" s="6">
        <f t="shared" si="2"/>
        <v>-1499.9958369144247</v>
      </c>
      <c r="AU10" s="6">
        <f t="shared" si="2"/>
        <v>-1499.9958369144247</v>
      </c>
      <c r="AV10" s="6">
        <f t="shared" si="2"/>
        <v>-1499.9958369144247</v>
      </c>
      <c r="AW10" s="6">
        <f t="shared" si="2"/>
        <v>-1499.9958369144247</v>
      </c>
      <c r="AX10" s="6">
        <f t="shared" si="2"/>
        <v>-1499.9958369144247</v>
      </c>
      <c r="AY10" s="6">
        <f t="shared" si="2"/>
        <v>-1499.9958369144247</v>
      </c>
      <c r="AZ10" s="6">
        <f t="shared" si="2"/>
        <v>-1499.9958369144247</v>
      </c>
      <c r="BA10" s="6">
        <f t="shared" si="2"/>
        <v>-1499.9958369144247</v>
      </c>
      <c r="BB10" s="6">
        <f t="shared" si="2"/>
        <v>-1499.9958369144247</v>
      </c>
      <c r="BC10" s="6">
        <f t="shared" si="2"/>
        <v>-1499.9958369144247</v>
      </c>
      <c r="BD10" s="6">
        <f t="shared" si="2"/>
        <v>-1499.9958369144247</v>
      </c>
      <c r="BE10" s="6">
        <f t="shared" si="2"/>
        <v>-1499.9958369144247</v>
      </c>
      <c r="BF10" s="6">
        <f t="shared" si="2"/>
        <v>-1499.9958369144247</v>
      </c>
      <c r="BG10" s="6">
        <f t="shared" si="2"/>
        <v>-1499.9958369144247</v>
      </c>
      <c r="BH10" s="6">
        <f t="shared" si="2"/>
        <v>-1499.9958369144247</v>
      </c>
      <c r="BI10" s="6">
        <f t="shared" si="2"/>
        <v>-1499.9958369144247</v>
      </c>
      <c r="BJ10" s="6">
        <f t="shared" si="2"/>
        <v>-1499.9958369144247</v>
      </c>
      <c r="BK10" s="6">
        <f t="shared" si="2"/>
        <v>-1499.9958369144247</v>
      </c>
    </row>
    <row r="12" spans="2:63">
      <c r="B12" t="s">
        <v>37</v>
      </c>
      <c r="C12" s="7">
        <f>IRR(C4:AY4)</f>
        <v>-1.5816904895720518E-2</v>
      </c>
      <c r="D12">
        <f>C12/5</f>
        <v>-3.1633809791441038E-3</v>
      </c>
    </row>
    <row r="13" spans="2:63">
      <c r="B13" s="189" t="s">
        <v>249</v>
      </c>
      <c r="C13" s="8">
        <f>'[1]ACTIVE CIV.'!$D$41</f>
        <v>41723.979556463761</v>
      </c>
    </row>
    <row r="14" spans="2:63">
      <c r="B14" s="2" t="s">
        <v>15</v>
      </c>
      <c r="C14" s="9">
        <f>'[2]AMORTIZATION '!$D$26</f>
        <v>1.6E-2</v>
      </c>
    </row>
    <row r="15" spans="2:63">
      <c r="B15" s="2" t="s">
        <v>16</v>
      </c>
      <c r="C15" s="9">
        <f>'DATA ENTRY'!F14</f>
        <v>9.1682186949581634E-2</v>
      </c>
    </row>
    <row r="19" spans="2:9" ht="15" thickBot="1">
      <c r="H19" s="10"/>
    </row>
    <row r="20" spans="2:9">
      <c r="B20" s="1"/>
      <c r="C20" s="323" t="s">
        <v>38</v>
      </c>
      <c r="D20" s="324"/>
      <c r="E20" s="324"/>
      <c r="F20" s="324"/>
      <c r="G20" s="324"/>
      <c r="H20" s="325"/>
      <c r="I20" s="24"/>
    </row>
    <row r="21" spans="2:9">
      <c r="C21" s="326"/>
      <c r="D21" s="327"/>
      <c r="E21" s="327"/>
      <c r="F21" s="327"/>
      <c r="G21" s="327"/>
      <c r="H21" s="328"/>
    </row>
    <row r="22" spans="2:9">
      <c r="C22" s="11" t="s">
        <v>39</v>
      </c>
      <c r="D22" s="12" t="s">
        <v>104</v>
      </c>
      <c r="E22" s="13"/>
      <c r="F22" s="14"/>
      <c r="G22" s="2" t="s">
        <v>40</v>
      </c>
      <c r="H22" s="15" t="s">
        <v>105</v>
      </c>
    </row>
    <row r="23" spans="2:9">
      <c r="C23" s="16" t="s">
        <v>41</v>
      </c>
      <c r="D23" s="12">
        <v>637617</v>
      </c>
      <c r="E23" s="17" t="s">
        <v>42</v>
      </c>
      <c r="F23" s="18" t="s">
        <v>106</v>
      </c>
      <c r="G23" s="2" t="s">
        <v>43</v>
      </c>
      <c r="H23" s="19">
        <f>C10</f>
        <v>57135.550326869576</v>
      </c>
    </row>
    <row r="24" spans="2:9">
      <c r="C24" s="322" t="s">
        <v>44</v>
      </c>
      <c r="D24" s="11" t="s">
        <v>45</v>
      </c>
      <c r="E24" s="20">
        <v>45846</v>
      </c>
      <c r="F24" s="2" t="s">
        <v>46</v>
      </c>
      <c r="G24" s="20">
        <f>B75</f>
        <v>47430</v>
      </c>
      <c r="H24" s="15"/>
    </row>
    <row r="25" spans="2:9">
      <c r="C25" s="322"/>
      <c r="D25" s="2" t="s">
        <v>47</v>
      </c>
      <c r="E25" s="2">
        <v>48</v>
      </c>
      <c r="F25" s="2" t="s">
        <v>48</v>
      </c>
      <c r="G25" s="2"/>
      <c r="H25" s="15"/>
    </row>
    <row r="26" spans="2:9">
      <c r="C26" s="322"/>
      <c r="D26" s="2" t="s">
        <v>49</v>
      </c>
      <c r="E26" s="92" t="s">
        <v>50</v>
      </c>
      <c r="F26" s="92" t="s">
        <v>51</v>
      </c>
      <c r="G26" s="92" t="s">
        <v>52</v>
      </c>
      <c r="H26" s="107" t="s">
        <v>53</v>
      </c>
    </row>
    <row r="27" spans="2:9">
      <c r="C27" s="322"/>
      <c r="D27" s="2"/>
      <c r="E27" s="2"/>
      <c r="F27" s="2"/>
      <c r="G27" s="2"/>
      <c r="H27" s="21">
        <f>C4</f>
        <v>109021.86666666667</v>
      </c>
    </row>
    <row r="28" spans="2:9">
      <c r="B28" s="22">
        <f>DATE(YEAR($E$24),MONTH($E$24)+D28+4,DAY($E$24))</f>
        <v>45999</v>
      </c>
      <c r="C28" s="23" t="str">
        <f t="shared" ref="C28:C75" si="3">TEXT(B28,"mmm-yyyy")</f>
        <v>Dec-2025</v>
      </c>
      <c r="D28" s="2">
        <v>1</v>
      </c>
      <c r="E28" s="93">
        <f>C$1</f>
        <v>1499.9958369144247</v>
      </c>
      <c r="F28" s="104">
        <f>E28-G28</f>
        <v>3224.3843335350143</v>
      </c>
      <c r="G28" s="105">
        <f>H27*C$12</f>
        <v>-1724.3884966205896</v>
      </c>
      <c r="H28" s="21">
        <f>H27-F28</f>
        <v>105797.48233313166</v>
      </c>
    </row>
    <row r="29" spans="2:9">
      <c r="B29" s="22">
        <f t="shared" ref="B29:B75" si="4">DATE(YEAR($E$24),MONTH($E$24)+D29+4,DAY($E$24))</f>
        <v>46030</v>
      </c>
      <c r="C29" s="23" t="str">
        <f t="shared" si="3"/>
        <v>Jan-2026</v>
      </c>
      <c r="D29" s="2">
        <v>2</v>
      </c>
      <c r="E29" s="93">
        <f t="shared" ref="E29:E59" si="5">C$1</f>
        <v>1499.9958369144247</v>
      </c>
      <c r="F29" s="104">
        <f t="shared" ref="F29:F60" si="6">E29-G29</f>
        <v>3173.3845531842398</v>
      </c>
      <c r="G29" s="105">
        <f t="shared" ref="G29:G75" si="7">H28*C$12</f>
        <v>-1673.3887162698152</v>
      </c>
      <c r="H29" s="21">
        <f t="shared" ref="H29:H60" si="8">H28-F29</f>
        <v>102624.09777994742</v>
      </c>
    </row>
    <row r="30" spans="2:9">
      <c r="B30" s="22">
        <f t="shared" si="4"/>
        <v>46061</v>
      </c>
      <c r="C30" s="23" t="str">
        <f t="shared" si="3"/>
        <v>Feb-2026</v>
      </c>
      <c r="D30" s="2">
        <v>3</v>
      </c>
      <c r="E30" s="93">
        <f t="shared" si="5"/>
        <v>1499.9958369144247</v>
      </c>
      <c r="F30" s="104">
        <f t="shared" si="6"/>
        <v>3123.1914315089762</v>
      </c>
      <c r="G30" s="105">
        <f t="shared" si="7"/>
        <v>-1623.1955945945515</v>
      </c>
      <c r="H30" s="21">
        <f t="shared" si="8"/>
        <v>99500.906348438439</v>
      </c>
    </row>
    <row r="31" spans="2:9">
      <c r="B31" s="22">
        <f t="shared" si="4"/>
        <v>46089</v>
      </c>
      <c r="C31" s="23" t="str">
        <f t="shared" si="3"/>
        <v>Mar-2026</v>
      </c>
      <c r="D31" s="108">
        <v>4</v>
      </c>
      <c r="E31" s="93">
        <f t="shared" si="5"/>
        <v>1499.9958369144247</v>
      </c>
      <c r="F31" s="104">
        <f t="shared" si="6"/>
        <v>3073.7922096656694</v>
      </c>
      <c r="G31" s="105">
        <f t="shared" si="7"/>
        <v>-1573.7963727512447</v>
      </c>
      <c r="H31" s="21">
        <f t="shared" si="8"/>
        <v>96427.114138772769</v>
      </c>
    </row>
    <row r="32" spans="2:9">
      <c r="B32" s="22">
        <f t="shared" si="4"/>
        <v>46120</v>
      </c>
      <c r="C32" s="23" t="str">
        <f t="shared" si="3"/>
        <v>Apr-2026</v>
      </c>
      <c r="D32" s="2">
        <v>5</v>
      </c>
      <c r="E32" s="93">
        <f t="shared" si="5"/>
        <v>1499.9958369144247</v>
      </c>
      <c r="F32" s="104">
        <f t="shared" si="6"/>
        <v>3025.1743306161807</v>
      </c>
      <c r="G32" s="105">
        <f t="shared" si="7"/>
        <v>-1525.1784937017562</v>
      </c>
      <c r="H32" s="21">
        <f t="shared" si="8"/>
        <v>93401.939808156589</v>
      </c>
    </row>
    <row r="33" spans="2:8">
      <c r="B33" s="22">
        <f t="shared" si="4"/>
        <v>46150</v>
      </c>
      <c r="C33" s="23" t="str">
        <f t="shared" si="3"/>
        <v>May-2026</v>
      </c>
      <c r="D33" s="2">
        <v>6</v>
      </c>
      <c r="E33" s="93">
        <f t="shared" si="5"/>
        <v>1499.9958369144247</v>
      </c>
      <c r="F33" s="104">
        <f t="shared" si="6"/>
        <v>2977.3254359358498</v>
      </c>
      <c r="G33" s="105">
        <f t="shared" si="7"/>
        <v>-1477.3295990214251</v>
      </c>
      <c r="H33" s="21">
        <f t="shared" si="8"/>
        <v>90424.614372220734</v>
      </c>
    </row>
    <row r="34" spans="2:8">
      <c r="B34" s="22">
        <f t="shared" si="4"/>
        <v>46181</v>
      </c>
      <c r="C34" s="23" t="str">
        <f t="shared" si="3"/>
        <v>Jun-2026</v>
      </c>
      <c r="D34" s="2">
        <v>7</v>
      </c>
      <c r="E34" s="93">
        <f t="shared" si="5"/>
        <v>1499.9958369144247</v>
      </c>
      <c r="F34" s="104">
        <f t="shared" si="6"/>
        <v>2930.2333626720429</v>
      </c>
      <c r="G34" s="105">
        <f t="shared" si="7"/>
        <v>-1430.237525757618</v>
      </c>
      <c r="H34" s="21">
        <f t="shared" si="8"/>
        <v>87494.381009548699</v>
      </c>
    </row>
    <row r="35" spans="2:8">
      <c r="B35" s="22">
        <f t="shared" si="4"/>
        <v>46211</v>
      </c>
      <c r="C35" s="23" t="str">
        <f t="shared" si="3"/>
        <v>Jul-2026</v>
      </c>
      <c r="D35" s="2">
        <v>8</v>
      </c>
      <c r="E35" s="93">
        <f t="shared" si="5"/>
        <v>1499.9958369144247</v>
      </c>
      <c r="F35" s="104">
        <f t="shared" si="6"/>
        <v>2883.8861402523917</v>
      </c>
      <c r="G35" s="105">
        <f t="shared" si="7"/>
        <v>-1383.8903033379672</v>
      </c>
      <c r="H35" s="21">
        <f t="shared" si="8"/>
        <v>84610.494869296308</v>
      </c>
    </row>
    <row r="36" spans="2:8">
      <c r="B36" s="22">
        <f t="shared" si="4"/>
        <v>46242</v>
      </c>
      <c r="C36" s="23" t="str">
        <f t="shared" si="3"/>
        <v>Aug-2026</v>
      </c>
      <c r="D36" s="2">
        <v>9</v>
      </c>
      <c r="E36" s="93">
        <f t="shared" si="5"/>
        <v>1499.9958369144247</v>
      </c>
      <c r="F36" s="104">
        <f t="shared" si="6"/>
        <v>2838.2719874419336</v>
      </c>
      <c r="G36" s="105">
        <f t="shared" si="7"/>
        <v>-1338.2761505275087</v>
      </c>
      <c r="H36" s="21">
        <f t="shared" si="8"/>
        <v>81772.222881854381</v>
      </c>
    </row>
    <row r="37" spans="2:8">
      <c r="B37" s="22">
        <f t="shared" si="4"/>
        <v>46273</v>
      </c>
      <c r="C37" s="23" t="str">
        <f t="shared" si="3"/>
        <v>Sep-2026</v>
      </c>
      <c r="D37" s="2">
        <v>10</v>
      </c>
      <c r="E37" s="93">
        <f t="shared" si="5"/>
        <v>1499.9958369144247</v>
      </c>
      <c r="F37" s="104">
        <f t="shared" si="6"/>
        <v>2793.3793093483764</v>
      </c>
      <c r="G37" s="105">
        <f t="shared" si="7"/>
        <v>-1293.383472433952</v>
      </c>
      <c r="H37" s="21">
        <f t="shared" si="8"/>
        <v>78978.843572506012</v>
      </c>
    </row>
    <row r="38" spans="2:8">
      <c r="B38" s="22">
        <f t="shared" si="4"/>
        <v>46303</v>
      </c>
      <c r="C38" s="23" t="str">
        <f t="shared" si="3"/>
        <v>Oct-2026</v>
      </c>
      <c r="D38" s="2">
        <v>11</v>
      </c>
      <c r="E38" s="93">
        <f t="shared" si="5"/>
        <v>1499.9958369144247</v>
      </c>
      <c r="F38" s="104">
        <f t="shared" si="6"/>
        <v>2749.1966944747401</v>
      </c>
      <c r="G38" s="105">
        <f t="shared" si="7"/>
        <v>-1249.2008575603154</v>
      </c>
      <c r="H38" s="21">
        <f t="shared" si="8"/>
        <v>76229.646878031272</v>
      </c>
    </row>
    <row r="39" spans="2:8">
      <c r="B39" s="22">
        <f t="shared" si="4"/>
        <v>46334</v>
      </c>
      <c r="C39" s="23" t="str">
        <f t="shared" si="3"/>
        <v>Nov-2026</v>
      </c>
      <c r="D39" s="2">
        <v>12</v>
      </c>
      <c r="E39" s="93">
        <f t="shared" si="5"/>
        <v>1499.9958369144247</v>
      </c>
      <c r="F39" s="104">
        <f t="shared" si="6"/>
        <v>2705.712911818604</v>
      </c>
      <c r="G39" s="105">
        <f t="shared" si="7"/>
        <v>-1205.7170749041791</v>
      </c>
      <c r="H39" s="21">
        <f t="shared" si="8"/>
        <v>73523.933966212673</v>
      </c>
    </row>
    <row r="40" spans="2:8">
      <c r="B40" s="22">
        <f t="shared" si="4"/>
        <v>46364</v>
      </c>
      <c r="C40" s="23" t="str">
        <f t="shared" si="3"/>
        <v>Dec-2026</v>
      </c>
      <c r="D40" s="2">
        <v>13</v>
      </c>
      <c r="E40" s="93">
        <f t="shared" si="5"/>
        <v>1499.9958369144247</v>
      </c>
      <c r="F40" s="104">
        <f t="shared" si="6"/>
        <v>2662.916908017246</v>
      </c>
      <c r="G40" s="105">
        <f t="shared" si="7"/>
        <v>-1162.9210711028213</v>
      </c>
      <c r="H40" s="21">
        <f t="shared" si="8"/>
        <v>70861.01705819543</v>
      </c>
    </row>
    <row r="41" spans="2:8">
      <c r="B41" s="22">
        <f t="shared" si="4"/>
        <v>46395</v>
      </c>
      <c r="C41" s="23" t="str">
        <f t="shared" si="3"/>
        <v>Jan-2027</v>
      </c>
      <c r="D41" s="2">
        <v>14</v>
      </c>
      <c r="E41" s="93">
        <f t="shared" si="5"/>
        <v>1499.9958369144247</v>
      </c>
      <c r="F41" s="104">
        <f t="shared" si="6"/>
        <v>2620.7978045379314</v>
      </c>
      <c r="G41" s="105">
        <f t="shared" si="7"/>
        <v>-1120.8019676235065</v>
      </c>
      <c r="H41" s="21">
        <f t="shared" si="8"/>
        <v>68240.219253657502</v>
      </c>
    </row>
    <row r="42" spans="2:8">
      <c r="B42" s="22">
        <f t="shared" si="4"/>
        <v>46426</v>
      </c>
      <c r="C42" s="23" t="str">
        <f t="shared" si="3"/>
        <v>Feb-2027</v>
      </c>
      <c r="D42" s="2">
        <v>15</v>
      </c>
      <c r="E42" s="93">
        <f t="shared" si="5"/>
        <v>1499.9958369144247</v>
      </c>
      <c r="F42" s="104">
        <f t="shared" si="6"/>
        <v>2579.3448949126414</v>
      </c>
      <c r="G42" s="105">
        <f t="shared" si="7"/>
        <v>-1079.3490579982169</v>
      </c>
      <c r="H42" s="21">
        <f t="shared" si="8"/>
        <v>65660.874358744855</v>
      </c>
    </row>
    <row r="43" spans="2:8">
      <c r="B43" s="22">
        <f t="shared" si="4"/>
        <v>46454</v>
      </c>
      <c r="C43" s="23" t="str">
        <f t="shared" si="3"/>
        <v>Mar-2027</v>
      </c>
      <c r="D43" s="2">
        <v>16</v>
      </c>
      <c r="E43" s="93">
        <f t="shared" si="5"/>
        <v>1499.9958369144247</v>
      </c>
      <c r="F43" s="104">
        <f t="shared" si="6"/>
        <v>2538.547642016546</v>
      </c>
      <c r="G43" s="105">
        <f t="shared" si="7"/>
        <v>-1038.5518051021213</v>
      </c>
      <c r="H43" s="21">
        <f t="shared" si="8"/>
        <v>63122.326716728312</v>
      </c>
    </row>
    <row r="44" spans="2:8">
      <c r="B44" s="22">
        <f t="shared" si="4"/>
        <v>46485</v>
      </c>
      <c r="C44" s="23" t="str">
        <f t="shared" si="3"/>
        <v>Apr-2027</v>
      </c>
      <c r="D44" s="2">
        <v>17</v>
      </c>
      <c r="E44" s="93">
        <f t="shared" si="5"/>
        <v>1499.9958369144247</v>
      </c>
      <c r="F44" s="104">
        <f t="shared" si="6"/>
        <v>2498.3956753895145</v>
      </c>
      <c r="G44" s="105">
        <f t="shared" si="7"/>
        <v>-998.39983847509006</v>
      </c>
      <c r="H44" s="21">
        <f t="shared" si="8"/>
        <v>60623.931041338801</v>
      </c>
    </row>
    <row r="45" spans="2:8">
      <c r="B45" s="22">
        <f t="shared" si="4"/>
        <v>46515</v>
      </c>
      <c r="C45" s="23" t="str">
        <f t="shared" si="3"/>
        <v>May-2027</v>
      </c>
      <c r="D45" s="2">
        <v>18</v>
      </c>
      <c r="E45" s="93">
        <f t="shared" si="5"/>
        <v>1499.9958369144247</v>
      </c>
      <c r="F45" s="104">
        <f t="shared" si="6"/>
        <v>2458.8787885999996</v>
      </c>
      <c r="G45" s="105">
        <f t="shared" si="7"/>
        <v>-958.88295168557477</v>
      </c>
      <c r="H45" s="21">
        <f t="shared" si="8"/>
        <v>58165.052252738802</v>
      </c>
    </row>
    <row r="46" spans="2:8">
      <c r="B46" s="22">
        <f t="shared" si="4"/>
        <v>46546</v>
      </c>
      <c r="C46" s="23" t="str">
        <f t="shared" si="3"/>
        <v>Jun-2027</v>
      </c>
      <c r="D46" s="2">
        <v>19</v>
      </c>
      <c r="E46" s="93">
        <f t="shared" si="5"/>
        <v>1499.9958369144247</v>
      </c>
      <c r="F46" s="104">
        <f t="shared" si="6"/>
        <v>2419.9869366506086</v>
      </c>
      <c r="G46" s="105">
        <f t="shared" si="7"/>
        <v>-919.99109973618408</v>
      </c>
      <c r="H46" s="21">
        <f t="shared" si="8"/>
        <v>55745.065316088192</v>
      </c>
    </row>
    <row r="47" spans="2:8">
      <c r="B47" s="22">
        <f t="shared" si="4"/>
        <v>46576</v>
      </c>
      <c r="C47" s="23" t="str">
        <f t="shared" si="3"/>
        <v>Jul-2027</v>
      </c>
      <c r="D47" s="2">
        <v>20</v>
      </c>
      <c r="E47" s="93">
        <f t="shared" si="5"/>
        <v>1499.9958369144247</v>
      </c>
      <c r="F47" s="104">
        <f t="shared" si="6"/>
        <v>2381.7102334247202</v>
      </c>
      <c r="G47" s="105">
        <f t="shared" si="7"/>
        <v>-881.71439651029539</v>
      </c>
      <c r="H47" s="21">
        <f t="shared" si="8"/>
        <v>53363.355082663475</v>
      </c>
    </row>
    <row r="48" spans="2:8">
      <c r="B48" s="22">
        <f t="shared" si="4"/>
        <v>46607</v>
      </c>
      <c r="C48" s="23" t="str">
        <f t="shared" si="3"/>
        <v>Aug-2027</v>
      </c>
      <c r="D48" s="2">
        <v>21</v>
      </c>
      <c r="E48" s="93">
        <f t="shared" si="5"/>
        <v>1499.9958369144247</v>
      </c>
      <c r="F48" s="104">
        <f t="shared" si="6"/>
        <v>2344.0389491734768</v>
      </c>
      <c r="G48" s="105">
        <f t="shared" si="7"/>
        <v>-844.04311225905235</v>
      </c>
      <c r="H48" s="21">
        <f t="shared" si="8"/>
        <v>51019.31613349</v>
      </c>
    </row>
    <row r="49" spans="2:8">
      <c r="B49" s="22">
        <f t="shared" si="4"/>
        <v>46638</v>
      </c>
      <c r="C49" s="23" t="str">
        <f t="shared" si="3"/>
        <v>Sep-2027</v>
      </c>
      <c r="D49" s="2">
        <v>22</v>
      </c>
      <c r="E49" s="93">
        <f t="shared" si="5"/>
        <v>1499.9958369144247</v>
      </c>
      <c r="F49" s="104">
        <f t="shared" si="6"/>
        <v>2306.9635080425355</v>
      </c>
      <c r="G49" s="105">
        <f t="shared" si="7"/>
        <v>-806.96767112811085</v>
      </c>
      <c r="H49" s="21">
        <f t="shared" si="8"/>
        <v>48712.352625447464</v>
      </c>
    </row>
    <row r="50" spans="2:8">
      <c r="B50" s="22">
        <f t="shared" si="4"/>
        <v>46668</v>
      </c>
      <c r="C50" s="23" t="str">
        <f t="shared" si="3"/>
        <v>Oct-2027</v>
      </c>
      <c r="D50" s="2">
        <v>23</v>
      </c>
      <c r="E50" s="93">
        <f t="shared" si="5"/>
        <v>1499.9958369144247</v>
      </c>
      <c r="F50" s="104">
        <f t="shared" si="6"/>
        <v>2270.4744856379289</v>
      </c>
      <c r="G50" s="105">
        <f t="shared" si="7"/>
        <v>-770.47864872350419</v>
      </c>
      <c r="H50" s="21">
        <f t="shared" si="8"/>
        <v>46441.878139809538</v>
      </c>
    </row>
    <row r="51" spans="2:8">
      <c r="B51" s="22">
        <f t="shared" si="4"/>
        <v>46699</v>
      </c>
      <c r="C51" s="23" t="str">
        <f t="shared" si="3"/>
        <v>Nov-2027</v>
      </c>
      <c r="D51" s="2">
        <v>24</v>
      </c>
      <c r="E51" s="93">
        <f t="shared" si="5"/>
        <v>1499.9958369144247</v>
      </c>
      <c r="F51" s="104">
        <f t="shared" si="6"/>
        <v>2234.5626066304339</v>
      </c>
      <c r="G51" s="105">
        <f t="shared" si="7"/>
        <v>-734.56676971600916</v>
      </c>
      <c r="H51" s="21">
        <f t="shared" si="8"/>
        <v>44207.315533179106</v>
      </c>
    </row>
    <row r="52" spans="2:8">
      <c r="B52" s="22">
        <f t="shared" si="4"/>
        <v>46729</v>
      </c>
      <c r="C52" s="23" t="str">
        <f t="shared" si="3"/>
        <v>Dec-2027</v>
      </c>
      <c r="D52" s="2">
        <v>25</v>
      </c>
      <c r="E52" s="93">
        <f t="shared" si="5"/>
        <v>1499.9958369144247</v>
      </c>
      <c r="F52" s="104">
        <f t="shared" si="6"/>
        <v>2199.2187423978271</v>
      </c>
      <c r="G52" s="105">
        <f t="shared" si="7"/>
        <v>-699.22290548340231</v>
      </c>
      <c r="H52" s="21">
        <f t="shared" si="8"/>
        <v>42008.096790781281</v>
      </c>
    </row>
    <row r="53" spans="2:8">
      <c r="B53" s="22">
        <f t="shared" si="4"/>
        <v>46760</v>
      </c>
      <c r="C53" s="23" t="str">
        <f t="shared" si="3"/>
        <v>Jan-2028</v>
      </c>
      <c r="D53" s="2">
        <v>26</v>
      </c>
      <c r="E53" s="93">
        <f t="shared" si="5"/>
        <v>1499.9958369144247</v>
      </c>
      <c r="F53" s="104">
        <f t="shared" si="6"/>
        <v>2164.4339087044345</v>
      </c>
      <c r="G53" s="105">
        <f t="shared" si="7"/>
        <v>-664.43807179000987</v>
      </c>
      <c r="H53" s="21">
        <f t="shared" si="8"/>
        <v>39843.662882076846</v>
      </c>
    </row>
    <row r="54" spans="2:8">
      <c r="B54" s="22">
        <f t="shared" si="4"/>
        <v>46791</v>
      </c>
      <c r="C54" s="23" t="str">
        <f t="shared" si="3"/>
        <v>Feb-2028</v>
      </c>
      <c r="D54" s="2">
        <v>27</v>
      </c>
      <c r="E54" s="93">
        <f t="shared" si="5"/>
        <v>1499.9958369144247</v>
      </c>
      <c r="F54" s="104">
        <f t="shared" si="6"/>
        <v>2130.1992634173839</v>
      </c>
      <c r="G54" s="105">
        <f t="shared" si="7"/>
        <v>-630.20342650295913</v>
      </c>
      <c r="H54" s="21">
        <f t="shared" si="8"/>
        <v>37713.463618659458</v>
      </c>
    </row>
    <row r="55" spans="2:8">
      <c r="B55" s="22">
        <f t="shared" si="4"/>
        <v>46820</v>
      </c>
      <c r="C55" s="23" t="str">
        <f t="shared" si="3"/>
        <v>Mar-2028</v>
      </c>
      <c r="D55" s="2">
        <v>28</v>
      </c>
      <c r="E55" s="93">
        <f t="shared" si="5"/>
        <v>1499.9958369144247</v>
      </c>
      <c r="F55" s="104">
        <f t="shared" si="6"/>
        <v>2096.5061042589768</v>
      </c>
      <c r="G55" s="105">
        <f t="shared" si="7"/>
        <v>-596.5102673445524</v>
      </c>
      <c r="H55" s="21">
        <f t="shared" si="8"/>
        <v>35616.957514400478</v>
      </c>
    </row>
    <row r="56" spans="2:8">
      <c r="B56" s="22">
        <f t="shared" si="4"/>
        <v>46851</v>
      </c>
      <c r="C56" s="23" t="str">
        <f t="shared" si="3"/>
        <v>Apr-2028</v>
      </c>
      <c r="D56" s="2">
        <v>29</v>
      </c>
      <c r="E56" s="93">
        <f t="shared" si="5"/>
        <v>1499.9958369144247</v>
      </c>
      <c r="F56" s="104">
        <f t="shared" si="6"/>
        <v>2063.3458665946155</v>
      </c>
      <c r="G56" s="105">
        <f t="shared" si="7"/>
        <v>-563.35002968019057</v>
      </c>
      <c r="H56" s="21">
        <f t="shared" si="8"/>
        <v>33553.611647805861</v>
      </c>
    </row>
    <row r="57" spans="2:8">
      <c r="B57" s="22">
        <f t="shared" si="4"/>
        <v>46881</v>
      </c>
      <c r="C57" s="23" t="str">
        <f t="shared" si="3"/>
        <v>May-2028</v>
      </c>
      <c r="D57" s="2">
        <v>30</v>
      </c>
      <c r="E57" s="93">
        <f t="shared" si="5"/>
        <v>1499.9958369144247</v>
      </c>
      <c r="F57" s="104">
        <f t="shared" si="6"/>
        <v>2030.7101212557102</v>
      </c>
      <c r="G57" s="105">
        <f t="shared" si="7"/>
        <v>-530.71428434128552</v>
      </c>
      <c r="H57" s="21">
        <f t="shared" si="8"/>
        <v>31522.901526550151</v>
      </c>
    </row>
    <row r="58" spans="2:8">
      <c r="B58" s="22">
        <f t="shared" si="4"/>
        <v>46912</v>
      </c>
      <c r="C58" s="23" t="str">
        <f t="shared" si="3"/>
        <v>Jun-2028</v>
      </c>
      <c r="D58" s="2">
        <v>31</v>
      </c>
      <c r="E58" s="93">
        <f t="shared" si="5"/>
        <v>1499.9958369144247</v>
      </c>
      <c r="F58" s="104">
        <f t="shared" si="6"/>
        <v>1998.5905723970316</v>
      </c>
      <c r="G58" s="105">
        <f t="shared" si="7"/>
        <v>-498.59473548260689</v>
      </c>
      <c r="H58" s="21">
        <f t="shared" si="8"/>
        <v>29524.310954153119</v>
      </c>
    </row>
    <row r="59" spans="2:8">
      <c r="B59" s="22">
        <f t="shared" si="4"/>
        <v>46942</v>
      </c>
      <c r="C59" s="23" t="str">
        <f t="shared" si="3"/>
        <v>Jul-2028</v>
      </c>
      <c r="D59" s="2">
        <v>32</v>
      </c>
      <c r="E59" s="93">
        <f t="shared" si="5"/>
        <v>1499.9958369144247</v>
      </c>
      <c r="F59" s="104">
        <f t="shared" si="6"/>
        <v>1966.9790553879441</v>
      </c>
      <c r="G59" s="105">
        <f t="shared" si="7"/>
        <v>-466.9832184735194</v>
      </c>
      <c r="H59" s="21">
        <f t="shared" si="8"/>
        <v>27557.331898765176</v>
      </c>
    </row>
    <row r="60" spans="2:8">
      <c r="B60" s="22">
        <f t="shared" si="4"/>
        <v>46973</v>
      </c>
      <c r="C60" s="23" t="str">
        <f t="shared" si="3"/>
        <v>Aug-2028</v>
      </c>
      <c r="D60" s="2">
        <v>33</v>
      </c>
      <c r="E60" s="93">
        <f t="shared" ref="E60:E75" si="9">C$1</f>
        <v>1499.9958369144247</v>
      </c>
      <c r="F60" s="104">
        <f t="shared" si="6"/>
        <v>1935.8675347369988</v>
      </c>
      <c r="G60" s="105">
        <f t="shared" si="7"/>
        <v>-435.87169782257411</v>
      </c>
      <c r="H60" s="21">
        <f t="shared" si="8"/>
        <v>25621.464364028179</v>
      </c>
    </row>
    <row r="61" spans="2:8">
      <c r="B61" s="22">
        <f t="shared" si="4"/>
        <v>47004</v>
      </c>
      <c r="C61" s="23" t="str">
        <f t="shared" si="3"/>
        <v>Sep-2028</v>
      </c>
      <c r="D61" s="2">
        <v>34</v>
      </c>
      <c r="E61" s="93">
        <f t="shared" si="9"/>
        <v>1499.9958369144247</v>
      </c>
      <c r="F61" s="104">
        <f t="shared" ref="F61:F75" si="10">E61-G61</f>
        <v>1905.2481020493508</v>
      </c>
      <c r="G61" s="105">
        <f t="shared" si="7"/>
        <v>-405.25226513492612</v>
      </c>
      <c r="H61" s="21">
        <f t="shared" ref="H61:H75" si="11">H60-F61</f>
        <v>23716.216261978829</v>
      </c>
    </row>
    <row r="62" spans="2:8">
      <c r="B62" s="22">
        <f t="shared" si="4"/>
        <v>47034</v>
      </c>
      <c r="C62" s="23" t="str">
        <f t="shared" si="3"/>
        <v>Oct-2028</v>
      </c>
      <c r="D62" s="2">
        <v>35</v>
      </c>
      <c r="E62" s="93">
        <f t="shared" si="9"/>
        <v>1499.9958369144247</v>
      </c>
      <c r="F62" s="104">
        <f t="shared" si="10"/>
        <v>1875.1129740164843</v>
      </c>
      <c r="G62" s="105">
        <f t="shared" si="7"/>
        <v>-375.11713710205953</v>
      </c>
      <c r="H62" s="21">
        <f t="shared" si="11"/>
        <v>21841.103287962345</v>
      </c>
    </row>
    <row r="63" spans="2:8">
      <c r="B63" s="22">
        <f t="shared" si="4"/>
        <v>47065</v>
      </c>
      <c r="C63" s="23" t="str">
        <f t="shared" si="3"/>
        <v>Nov-2028</v>
      </c>
      <c r="D63" s="2">
        <v>36</v>
      </c>
      <c r="E63" s="93">
        <f t="shared" si="9"/>
        <v>1499.9958369144247</v>
      </c>
      <c r="F63" s="104">
        <f t="shared" si="10"/>
        <v>1845.4544904377337</v>
      </c>
      <c r="G63" s="105">
        <f t="shared" si="7"/>
        <v>-345.45865352330912</v>
      </c>
      <c r="H63" s="21">
        <f t="shared" si="11"/>
        <v>19995.648797524613</v>
      </c>
    </row>
    <row r="64" spans="2:8">
      <c r="B64" s="22">
        <f t="shared" si="4"/>
        <v>47095</v>
      </c>
      <c r="C64" s="23" t="str">
        <f t="shared" si="3"/>
        <v>Dec-2028</v>
      </c>
      <c r="D64" s="2">
        <v>37</v>
      </c>
      <c r="E64" s="93">
        <f t="shared" si="9"/>
        <v>1499.9958369144247</v>
      </c>
      <c r="F64" s="104">
        <f t="shared" si="10"/>
        <v>1816.2651122730999</v>
      </c>
      <c r="G64" s="105">
        <f>H63*C$12</f>
        <v>-316.26927535867515</v>
      </c>
      <c r="H64" s="21">
        <f t="shared" si="11"/>
        <v>18179.383685251512</v>
      </c>
    </row>
    <row r="65" spans="1:22">
      <c r="A65" t="s">
        <v>103</v>
      </c>
      <c r="B65" s="22">
        <f t="shared" si="4"/>
        <v>47126</v>
      </c>
      <c r="C65" s="23" t="str">
        <f t="shared" si="3"/>
        <v>Jan-2029</v>
      </c>
      <c r="D65" s="2">
        <v>38</v>
      </c>
      <c r="E65" s="93">
        <f t="shared" si="9"/>
        <v>1499.9958369144247</v>
      </c>
      <c r="F65" s="104">
        <f t="shared" si="10"/>
        <v>1787.5374197268611</v>
      </c>
      <c r="G65" s="105">
        <f t="shared" si="7"/>
        <v>-287.54158281243639</v>
      </c>
      <c r="H65" s="21">
        <f t="shared" si="11"/>
        <v>16391.846265524651</v>
      </c>
    </row>
    <row r="66" spans="1:22">
      <c r="B66" s="22">
        <f t="shared" si="4"/>
        <v>47157</v>
      </c>
      <c r="C66" s="23" t="str">
        <f t="shared" si="3"/>
        <v>Feb-2029</v>
      </c>
      <c r="D66" s="2">
        <v>39</v>
      </c>
      <c r="E66" s="93">
        <f t="shared" si="9"/>
        <v>1499.9958369144247</v>
      </c>
      <c r="F66" s="104">
        <f t="shared" si="10"/>
        <v>1759.2641103614997</v>
      </c>
      <c r="G66" s="105">
        <f t="shared" si="7"/>
        <v>-259.26827344707493</v>
      </c>
      <c r="H66" s="21">
        <f t="shared" si="11"/>
        <v>14632.582155163152</v>
      </c>
    </row>
    <row r="67" spans="1:22">
      <c r="B67" s="22">
        <f t="shared" si="4"/>
        <v>47185</v>
      </c>
      <c r="C67" s="23" t="str">
        <f t="shared" si="3"/>
        <v>Mar-2029</v>
      </c>
      <c r="D67" s="2">
        <v>40</v>
      </c>
      <c r="E67" s="93">
        <f t="shared" si="9"/>
        <v>1499.9958369144247</v>
      </c>
      <c r="F67" s="104">
        <f t="shared" si="10"/>
        <v>1731.4379972414574</v>
      </c>
      <c r="G67" s="105">
        <f t="shared" si="7"/>
        <v>-231.44216032703275</v>
      </c>
      <c r="H67" s="21">
        <f t="shared" si="11"/>
        <v>12901.144157921695</v>
      </c>
    </row>
    <row r="68" spans="1:22">
      <c r="B68" s="22">
        <f t="shared" si="4"/>
        <v>47216</v>
      </c>
      <c r="C68" s="23" t="str">
        <f t="shared" si="3"/>
        <v>Apr-2029</v>
      </c>
      <c r="D68" s="2">
        <v>41</v>
      </c>
      <c r="E68" s="93">
        <f t="shared" si="9"/>
        <v>1499.9958369144247</v>
      </c>
      <c r="F68" s="104">
        <f t="shared" si="10"/>
        <v>1704.0520071062524</v>
      </c>
      <c r="G68" s="105">
        <f t="shared" si="7"/>
        <v>-204.05617019182782</v>
      </c>
      <c r="H68" s="21">
        <f t="shared" si="11"/>
        <v>11197.092150815442</v>
      </c>
    </row>
    <row r="69" spans="1:22">
      <c r="B69" s="22">
        <f t="shared" si="4"/>
        <v>47246</v>
      </c>
      <c r="C69" s="23" t="str">
        <f t="shared" si="3"/>
        <v>May-2029</v>
      </c>
      <c r="D69" s="2">
        <v>42</v>
      </c>
      <c r="E69" s="93">
        <f t="shared" si="9"/>
        <v>1499.9958369144247</v>
      </c>
      <c r="F69" s="104">
        <f t="shared" si="10"/>
        <v>1677.0991785724912</v>
      </c>
      <c r="G69" s="105">
        <f t="shared" si="7"/>
        <v>-177.10334165806657</v>
      </c>
      <c r="H69" s="21">
        <f t="shared" si="11"/>
        <v>9519.9929722429515</v>
      </c>
    </row>
    <row r="70" spans="1:22">
      <c r="B70" s="22">
        <f t="shared" si="4"/>
        <v>47277</v>
      </c>
      <c r="C70" s="23" t="str">
        <f t="shared" si="3"/>
        <v>Jun-2029</v>
      </c>
      <c r="D70" s="2">
        <v>43</v>
      </c>
      <c r="E70" s="93">
        <f t="shared" si="9"/>
        <v>1499.9958369144247</v>
      </c>
      <c r="F70" s="104">
        <f t="shared" si="10"/>
        <v>1650.5726603643191</v>
      </c>
      <c r="G70" s="105">
        <f t="shared" si="7"/>
        <v>-150.57682344989448</v>
      </c>
      <c r="H70" s="21">
        <f t="shared" si="11"/>
        <v>7869.4203118786327</v>
      </c>
    </row>
    <row r="71" spans="1:22">
      <c r="A71" t="s">
        <v>103</v>
      </c>
      <c r="B71" s="22">
        <f t="shared" si="4"/>
        <v>47307</v>
      </c>
      <c r="C71" s="23" t="str">
        <f t="shared" si="3"/>
        <v>Jul-2029</v>
      </c>
      <c r="D71" s="2">
        <v>44</v>
      </c>
      <c r="E71" s="93">
        <f t="shared" si="9"/>
        <v>1499.9958369144247</v>
      </c>
      <c r="F71" s="104">
        <f t="shared" si="10"/>
        <v>1624.4657095718603</v>
      </c>
      <c r="G71" s="105">
        <f t="shared" si="7"/>
        <v>-124.46987265743563</v>
      </c>
      <c r="H71" s="21">
        <f t="shared" si="11"/>
        <v>6244.9546023067724</v>
      </c>
    </row>
    <row r="72" spans="1:22">
      <c r="B72" s="22">
        <f t="shared" si="4"/>
        <v>47338</v>
      </c>
      <c r="C72" s="23" t="str">
        <f t="shared" si="3"/>
        <v>Aug-2029</v>
      </c>
      <c r="D72" s="2">
        <v>45</v>
      </c>
      <c r="E72" s="93">
        <f t="shared" si="9"/>
        <v>1499.9958369144247</v>
      </c>
      <c r="F72" s="104">
        <f t="shared" si="10"/>
        <v>1598.7716899372031</v>
      </c>
      <c r="G72" s="105">
        <f t="shared" si="7"/>
        <v>-98.775853022778364</v>
      </c>
      <c r="H72" s="21">
        <f t="shared" si="11"/>
        <v>4646.1829123695697</v>
      </c>
    </row>
    <row r="73" spans="1:22">
      <c r="A73" t="s">
        <v>103</v>
      </c>
      <c r="B73" s="22">
        <f t="shared" si="4"/>
        <v>47369</v>
      </c>
      <c r="C73" s="23" t="str">
        <f t="shared" si="3"/>
        <v>Sep-2029</v>
      </c>
      <c r="D73" s="2">
        <v>46</v>
      </c>
      <c r="E73" s="93">
        <f t="shared" si="9"/>
        <v>1499.9958369144247</v>
      </c>
      <c r="F73" s="104">
        <f t="shared" si="10"/>
        <v>1573.4840701674959</v>
      </c>
      <c r="G73" s="105">
        <f t="shared" si="7"/>
        <v>-73.488233253071257</v>
      </c>
      <c r="H73" s="21">
        <f t="shared" si="11"/>
        <v>3072.698842202074</v>
      </c>
    </row>
    <row r="74" spans="1:22">
      <c r="B74" s="22">
        <f t="shared" si="4"/>
        <v>47399</v>
      </c>
      <c r="C74" s="23" t="str">
        <f t="shared" si="3"/>
        <v>Oct-2029</v>
      </c>
      <c r="D74" s="2">
        <v>47</v>
      </c>
      <c r="E74" s="93">
        <f t="shared" si="9"/>
        <v>1499.9958369144247</v>
      </c>
      <c r="F74" s="104">
        <f t="shared" si="10"/>
        <v>1548.5964222747255</v>
      </c>
      <c r="G74" s="105">
        <f t="shared" si="7"/>
        <v>-48.600585360300755</v>
      </c>
      <c r="H74" s="21">
        <f t="shared" si="11"/>
        <v>1524.1024199273486</v>
      </c>
    </row>
    <row r="75" spans="1:22">
      <c r="B75" s="22">
        <f t="shared" si="4"/>
        <v>47430</v>
      </c>
      <c r="C75" s="23" t="str">
        <f t="shared" si="3"/>
        <v>Nov-2029</v>
      </c>
      <c r="D75" s="2">
        <v>48</v>
      </c>
      <c r="E75" s="93">
        <f t="shared" si="9"/>
        <v>1499.9958369144247</v>
      </c>
      <c r="F75" s="104">
        <f t="shared" si="10"/>
        <v>1524.1024199417529</v>
      </c>
      <c r="G75" s="105">
        <f t="shared" si="7"/>
        <v>-24.106583027328369</v>
      </c>
      <c r="H75" s="21">
        <f t="shared" si="11"/>
        <v>-1.4404349713004194E-8</v>
      </c>
    </row>
    <row r="76" spans="1:22" ht="15" thickBot="1">
      <c r="C76" s="109"/>
      <c r="D76" s="110"/>
      <c r="E76" s="110">
        <f>SUM(E28:E75)</f>
        <v>71999.800171892362</v>
      </c>
      <c r="F76" s="110">
        <f>SUM(F28:F75)</f>
        <v>109021.86666668113</v>
      </c>
      <c r="G76" s="110">
        <f>SUM(G28:G75)</f>
        <v>-37022.06649478872</v>
      </c>
      <c r="H76" s="111"/>
      <c r="I76" s="25"/>
      <c r="J76" s="25"/>
    </row>
    <row r="79" spans="1:22">
      <c r="J79" s="26"/>
      <c r="K79" s="27"/>
      <c r="L79" s="27"/>
      <c r="M79" s="27"/>
      <c r="N79" s="27"/>
      <c r="O79" s="28"/>
      <c r="P79" s="27"/>
      <c r="Q79" s="27"/>
      <c r="R79" s="27"/>
      <c r="S79" s="27"/>
      <c r="T79" s="27"/>
      <c r="U79" s="45"/>
      <c r="V79" s="30"/>
    </row>
    <row r="80" spans="1:22">
      <c r="J80" s="29"/>
      <c r="K80" s="30"/>
      <c r="L80" s="30"/>
      <c r="M80" s="30"/>
      <c r="N80" s="30"/>
      <c r="O80" s="31"/>
      <c r="P80" s="30"/>
      <c r="Q80" s="30"/>
      <c r="R80" s="30"/>
      <c r="S80" s="30"/>
      <c r="T80" s="30"/>
      <c r="U80" s="46"/>
      <c r="V80" s="30"/>
    </row>
    <row r="81" spans="10:22">
      <c r="J81" s="29"/>
      <c r="K81" s="30"/>
      <c r="L81" s="30"/>
      <c r="M81" s="30"/>
      <c r="N81" s="30"/>
      <c r="O81" s="32"/>
      <c r="P81" s="30"/>
      <c r="Q81" s="30"/>
      <c r="R81" s="30"/>
      <c r="S81" s="30"/>
      <c r="T81" s="30"/>
      <c r="U81" s="46"/>
      <c r="V81" s="30"/>
    </row>
    <row r="82" spans="10:22">
      <c r="J82" s="29"/>
      <c r="K82" s="30"/>
      <c r="L82" s="30"/>
      <c r="M82" s="30"/>
      <c r="N82" s="30"/>
      <c r="O82" s="32"/>
      <c r="P82" s="30"/>
      <c r="Q82" s="30"/>
      <c r="R82" s="30"/>
      <c r="S82" s="30"/>
      <c r="T82" s="30"/>
      <c r="U82" s="46"/>
      <c r="V82" s="30"/>
    </row>
    <row r="83" spans="10:22" ht="21">
      <c r="J83" s="29"/>
      <c r="K83" s="334" t="s">
        <v>55</v>
      </c>
      <c r="L83" s="334"/>
      <c r="M83" s="334"/>
      <c r="N83" s="334"/>
      <c r="O83" s="334"/>
      <c r="P83" s="334"/>
      <c r="Q83" s="334"/>
      <c r="R83" s="334"/>
      <c r="S83" s="334"/>
      <c r="T83" s="334"/>
      <c r="U83" s="46"/>
      <c r="V83" s="30"/>
    </row>
    <row r="84" spans="10:22">
      <c r="J84" s="29"/>
      <c r="K84" s="335" t="s">
        <v>95</v>
      </c>
      <c r="L84" s="335"/>
      <c r="M84" s="335"/>
      <c r="N84" s="335"/>
      <c r="O84" s="335"/>
      <c r="P84" s="335"/>
      <c r="Q84" s="335"/>
      <c r="R84" s="335"/>
      <c r="S84" s="335"/>
      <c r="T84" s="335"/>
      <c r="U84" s="46"/>
      <c r="V84" s="30"/>
    </row>
    <row r="85" spans="10:22">
      <c r="J85" s="29"/>
      <c r="K85" s="30"/>
      <c r="L85" s="30"/>
      <c r="M85" s="30"/>
      <c r="N85" s="30"/>
      <c r="O85" s="32"/>
      <c r="P85" s="30"/>
      <c r="Q85" s="30"/>
      <c r="R85" s="30"/>
      <c r="S85" s="30"/>
      <c r="T85" s="30"/>
      <c r="U85" s="46"/>
      <c r="V85" s="30"/>
    </row>
    <row r="86" spans="10:22" ht="17.399999999999999">
      <c r="J86" s="29"/>
      <c r="K86" s="336" t="s">
        <v>57</v>
      </c>
      <c r="L86" s="336"/>
      <c r="M86" s="336"/>
      <c r="N86" s="336"/>
      <c r="O86" s="336"/>
      <c r="P86" s="336"/>
      <c r="Q86" s="336"/>
      <c r="R86" s="336"/>
      <c r="S86" s="336"/>
      <c r="T86" s="336"/>
      <c r="U86" s="46"/>
      <c r="V86" s="30"/>
    </row>
    <row r="87" spans="10:22">
      <c r="J87" s="29"/>
      <c r="K87" s="33"/>
      <c r="L87" s="33"/>
      <c r="M87" s="33"/>
      <c r="N87" s="33"/>
      <c r="O87" s="31"/>
      <c r="P87" s="33"/>
      <c r="Q87" s="30"/>
      <c r="R87" s="30"/>
      <c r="S87" s="30"/>
      <c r="T87" s="30"/>
      <c r="U87" s="46"/>
      <c r="V87" s="30"/>
    </row>
    <row r="88" spans="10:22" ht="15.6">
      <c r="J88" s="29"/>
      <c r="K88" s="33"/>
      <c r="L88" s="33"/>
      <c r="M88" s="33"/>
      <c r="N88" s="33"/>
      <c r="O88" s="31"/>
      <c r="P88" s="33"/>
      <c r="Q88" s="30"/>
      <c r="R88" s="35" t="s">
        <v>58</v>
      </c>
      <c r="S88" s="337">
        <f>E24</f>
        <v>45846</v>
      </c>
      <c r="T88" s="337"/>
      <c r="U88" s="46"/>
      <c r="V88" s="30"/>
    </row>
    <row r="89" spans="10:22" ht="15.6">
      <c r="J89" s="29"/>
      <c r="K89" s="33"/>
      <c r="L89" s="33"/>
      <c r="M89" s="33"/>
      <c r="N89" s="33"/>
      <c r="O89" s="31"/>
      <c r="P89" s="33"/>
      <c r="Q89" s="30"/>
      <c r="R89" s="35" t="s">
        <v>59</v>
      </c>
      <c r="S89" s="338" t="str">
        <f>H22</f>
        <v>LV- 047</v>
      </c>
      <c r="T89" s="338"/>
      <c r="U89" s="46"/>
      <c r="V89" s="30"/>
    </row>
    <row r="90" spans="10:22" ht="15.6">
      <c r="J90" s="29"/>
      <c r="K90" s="33"/>
      <c r="L90" s="33"/>
      <c r="M90" s="33"/>
      <c r="N90" s="33"/>
      <c r="O90" s="31"/>
      <c r="P90" s="33"/>
      <c r="Q90" s="30"/>
      <c r="R90" s="35"/>
      <c r="S90" s="47"/>
      <c r="T90" s="30"/>
      <c r="U90" s="46"/>
      <c r="V90" s="30"/>
    </row>
    <row r="91" spans="10:22" ht="16.2" thickBot="1">
      <c r="J91" s="34"/>
      <c r="K91" s="35" t="s">
        <v>60</v>
      </c>
      <c r="L91" s="35"/>
      <c r="M91" s="35"/>
      <c r="N91" s="339" t="str">
        <f>D22</f>
        <v>CARLITO VASQUEZ GARCIA</v>
      </c>
      <c r="O91" s="339"/>
      <c r="P91" s="339"/>
      <c r="Q91" s="339"/>
      <c r="R91" s="339"/>
      <c r="S91" s="339"/>
      <c r="T91" s="339"/>
      <c r="U91" s="48"/>
      <c r="V91" s="38"/>
    </row>
    <row r="92" spans="10:22" ht="16.2" thickBot="1">
      <c r="J92" s="34"/>
      <c r="K92" s="35" t="s">
        <v>61</v>
      </c>
      <c r="L92" s="35"/>
      <c r="M92" s="35"/>
      <c r="N92" s="340">
        <f>D23</f>
        <v>637617</v>
      </c>
      <c r="O92" s="340"/>
      <c r="P92" s="340"/>
      <c r="Q92" s="340"/>
      <c r="R92" s="340"/>
      <c r="S92" s="340"/>
      <c r="T92" s="340"/>
      <c r="U92" s="48"/>
      <c r="V92" s="38"/>
    </row>
    <row r="93" spans="10:22" ht="16.2" thickBot="1">
      <c r="J93" s="34"/>
      <c r="K93" s="35" t="s">
        <v>42</v>
      </c>
      <c r="L93" s="35"/>
      <c r="M93" s="35"/>
      <c r="N93" s="340" t="str">
        <f>F23</f>
        <v>PEMBO, MAKATI CITY , METRO MANILA</v>
      </c>
      <c r="O93" s="340"/>
      <c r="P93" s="340"/>
      <c r="Q93" s="340"/>
      <c r="R93" s="340"/>
      <c r="S93" s="340"/>
      <c r="T93" s="340"/>
      <c r="U93" s="48"/>
      <c r="V93" s="38"/>
    </row>
    <row r="94" spans="10:22">
      <c r="J94" s="29"/>
      <c r="K94" s="33"/>
      <c r="L94" s="33"/>
      <c r="M94" s="33"/>
      <c r="N94" s="30"/>
      <c r="O94" s="30"/>
      <c r="P94" s="30"/>
      <c r="Q94" s="30"/>
      <c r="R94" s="30"/>
      <c r="S94" s="30"/>
      <c r="T94" s="30"/>
      <c r="U94" s="46"/>
      <c r="V94" s="30"/>
    </row>
    <row r="95" spans="10:22" ht="15.6">
      <c r="J95" s="29"/>
      <c r="K95" s="33"/>
      <c r="L95" s="35" t="s">
        <v>62</v>
      </c>
      <c r="M95" s="33"/>
      <c r="N95" s="33"/>
      <c r="O95" s="31"/>
      <c r="P95" s="33"/>
      <c r="Q95" s="49"/>
      <c r="R95" s="331">
        <f>H27</f>
        <v>109021.86666666667</v>
      </c>
      <c r="S95" s="331"/>
      <c r="T95" s="331"/>
      <c r="U95" s="46"/>
      <c r="V95" s="30"/>
    </row>
    <row r="96" spans="10:22" ht="15.6">
      <c r="J96" s="29"/>
      <c r="K96" s="33"/>
      <c r="L96" s="35"/>
      <c r="M96" s="33"/>
      <c r="N96" s="33"/>
      <c r="O96" s="31"/>
      <c r="P96" s="33"/>
      <c r="Q96" s="49"/>
      <c r="R96" s="333"/>
      <c r="S96" s="333"/>
      <c r="T96" s="333"/>
      <c r="U96" s="46"/>
      <c r="V96" s="30"/>
    </row>
    <row r="97" spans="10:22" ht="15.6">
      <c r="J97" s="39"/>
      <c r="K97" s="40"/>
      <c r="L97" s="41" t="s">
        <v>63</v>
      </c>
      <c r="M97" s="40" t="s">
        <v>64</v>
      </c>
      <c r="N97" s="40"/>
      <c r="O97" s="42"/>
      <c r="P97" s="40"/>
      <c r="Q97" s="36"/>
      <c r="R97" s="331">
        <v>0</v>
      </c>
      <c r="S97" s="331"/>
      <c r="T97" s="331"/>
      <c r="U97" s="37"/>
      <c r="V97" s="36"/>
    </row>
    <row r="98" spans="10:22" ht="15.6">
      <c r="J98" s="39"/>
      <c r="K98" s="40"/>
      <c r="L98" s="41" t="s">
        <v>63</v>
      </c>
      <c r="M98" s="40" t="s">
        <v>65</v>
      </c>
      <c r="N98" s="40"/>
      <c r="O98" s="42"/>
      <c r="P98" s="40"/>
      <c r="Q98" s="36"/>
      <c r="R98" s="331">
        <f>-C8</f>
        <v>-300</v>
      </c>
      <c r="S98" s="331"/>
      <c r="T98" s="331"/>
      <c r="U98" s="37"/>
      <c r="V98" s="36"/>
    </row>
    <row r="99" spans="10:22" ht="15.6">
      <c r="J99" s="39"/>
      <c r="K99" s="40"/>
      <c r="L99" s="41" t="s">
        <v>63</v>
      </c>
      <c r="M99" s="40" t="s">
        <v>66</v>
      </c>
      <c r="N99" s="40"/>
      <c r="O99" s="42"/>
      <c r="P99" s="40"/>
      <c r="Q99" s="36"/>
      <c r="R99" s="332">
        <f>-C7</f>
        <v>-5000</v>
      </c>
      <c r="S99" s="332"/>
      <c r="T99" s="332"/>
      <c r="U99" s="37"/>
      <c r="V99" s="36"/>
    </row>
    <row r="100" spans="10:22" ht="15.6">
      <c r="J100" s="39"/>
      <c r="K100" s="40"/>
      <c r="L100" s="41" t="s">
        <v>63</v>
      </c>
      <c r="M100" s="40" t="s">
        <v>9</v>
      </c>
      <c r="N100" s="40"/>
      <c r="O100" s="42"/>
      <c r="P100" s="40"/>
      <c r="Q100" s="36"/>
      <c r="R100" s="332">
        <f>-C5</f>
        <v>-2988.3759999999997</v>
      </c>
      <c r="S100" s="332"/>
      <c r="T100" s="332"/>
      <c r="U100" s="37"/>
      <c r="V100" s="36"/>
    </row>
    <row r="101" spans="10:22" ht="15.6">
      <c r="J101" s="39"/>
      <c r="K101" s="40"/>
      <c r="L101" s="41" t="s">
        <v>63</v>
      </c>
      <c r="M101" s="40" t="s">
        <v>92</v>
      </c>
      <c r="N101" s="40"/>
      <c r="O101" s="42"/>
      <c r="P101" s="40"/>
      <c r="Q101" s="36"/>
      <c r="R101" s="332">
        <f>-C9</f>
        <v>-529.19158333333337</v>
      </c>
      <c r="S101" s="332"/>
      <c r="T101" s="332"/>
      <c r="U101" s="37"/>
      <c r="V101" s="36"/>
    </row>
    <row r="102" spans="10:22" ht="15.6">
      <c r="J102" s="39"/>
      <c r="K102" s="40"/>
      <c r="L102" s="41" t="s">
        <v>63</v>
      </c>
      <c r="M102" s="40" t="s">
        <v>67</v>
      </c>
      <c r="N102" s="40"/>
      <c r="O102" s="42"/>
      <c r="P102" s="40"/>
      <c r="Q102" s="36"/>
      <c r="R102" s="332">
        <f>-C6</f>
        <v>-1344.7691999999997</v>
      </c>
      <c r="S102" s="332"/>
      <c r="T102" s="332"/>
      <c r="U102" s="37"/>
      <c r="V102" s="36"/>
    </row>
    <row r="103" spans="10:22" ht="15.6">
      <c r="J103" s="29"/>
      <c r="K103" s="33"/>
      <c r="L103" s="35" t="s">
        <v>68</v>
      </c>
      <c r="M103" s="33"/>
      <c r="N103" s="33"/>
      <c r="O103" s="31"/>
      <c r="P103" s="33"/>
      <c r="Q103" s="30"/>
      <c r="R103" s="331">
        <f>SUM(R95:T102)</f>
        <v>98859.529883333336</v>
      </c>
      <c r="S103" s="331"/>
      <c r="T103" s="331"/>
      <c r="U103" s="46"/>
      <c r="V103" s="30"/>
    </row>
    <row r="104" spans="10:22" ht="15.6">
      <c r="J104" s="29"/>
      <c r="K104" s="33"/>
      <c r="L104" s="35"/>
      <c r="M104" s="33"/>
      <c r="N104" s="33"/>
      <c r="O104" s="31"/>
      <c r="P104" s="33"/>
      <c r="Q104" s="30"/>
      <c r="R104" s="112"/>
      <c r="S104" s="112"/>
      <c r="T104" s="112"/>
      <c r="U104" s="46"/>
      <c r="V104" s="30"/>
    </row>
    <row r="105" spans="10:22">
      <c r="J105" s="29"/>
      <c r="K105" s="30"/>
      <c r="L105" s="30"/>
      <c r="M105" s="30"/>
      <c r="N105" s="30"/>
      <c r="O105" s="32"/>
      <c r="P105" s="30"/>
      <c r="Q105" s="30"/>
      <c r="R105" s="30"/>
      <c r="S105" s="30"/>
      <c r="T105" s="30"/>
      <c r="U105" s="46"/>
      <c r="V105" s="30"/>
    </row>
    <row r="106" spans="10:22">
      <c r="J106" s="29"/>
      <c r="K106" s="341" t="s">
        <v>69</v>
      </c>
      <c r="L106" s="342"/>
      <c r="M106" s="342"/>
      <c r="N106" s="342"/>
      <c r="O106" s="342"/>
      <c r="P106" s="342"/>
      <c r="Q106" s="342"/>
      <c r="R106" s="342"/>
      <c r="S106" s="342"/>
      <c r="T106" s="342"/>
      <c r="U106" s="46"/>
      <c r="V106" s="30"/>
    </row>
    <row r="107" spans="10:22">
      <c r="J107" s="29"/>
      <c r="K107" s="30"/>
      <c r="L107" s="30"/>
      <c r="M107" s="30"/>
      <c r="N107" s="30"/>
      <c r="O107" s="32"/>
      <c r="P107" s="30"/>
      <c r="Q107" s="30"/>
      <c r="R107" s="30"/>
      <c r="S107" s="30"/>
      <c r="T107" s="30"/>
      <c r="U107" s="46"/>
      <c r="V107" s="30"/>
    </row>
    <row r="108" spans="10:22">
      <c r="J108" s="29"/>
      <c r="K108" s="30"/>
      <c r="L108" s="30"/>
      <c r="M108" s="30"/>
      <c r="N108" s="30"/>
      <c r="O108" s="32"/>
      <c r="P108" s="30"/>
      <c r="Q108" s="30"/>
      <c r="R108" s="30"/>
      <c r="S108" s="30"/>
      <c r="T108" s="30"/>
      <c r="U108" s="46"/>
      <c r="V108" s="30"/>
    </row>
    <row r="109" spans="10:22">
      <c r="J109" s="29"/>
      <c r="K109" s="30"/>
      <c r="L109" s="30"/>
      <c r="M109" s="30"/>
      <c r="N109" s="30"/>
      <c r="O109" s="32"/>
      <c r="P109" s="30"/>
      <c r="Q109" s="30"/>
      <c r="R109" s="30"/>
      <c r="S109" s="30"/>
      <c r="T109" s="30"/>
      <c r="U109" s="46"/>
      <c r="V109" s="30"/>
    </row>
    <row r="110" spans="10:22">
      <c r="J110" s="29"/>
      <c r="K110" s="30"/>
      <c r="L110" s="30"/>
      <c r="M110" s="30"/>
      <c r="N110" s="30"/>
      <c r="O110" s="32"/>
      <c r="P110" s="30"/>
      <c r="Q110" s="30"/>
      <c r="R110" s="30"/>
      <c r="S110" s="30"/>
      <c r="T110" s="30"/>
      <c r="U110" s="46"/>
      <c r="V110" s="30"/>
    </row>
    <row r="111" spans="10:22" ht="15">
      <c r="J111" s="29"/>
      <c r="K111" s="30"/>
      <c r="L111" s="40" t="s">
        <v>47</v>
      </c>
      <c r="M111" s="40"/>
      <c r="N111" s="40"/>
      <c r="O111" s="40"/>
      <c r="P111" s="40"/>
      <c r="Q111" s="40"/>
      <c r="R111" s="343" t="s">
        <v>107</v>
      </c>
      <c r="S111" s="343"/>
      <c r="T111" s="343"/>
      <c r="U111" s="46"/>
      <c r="V111" s="30"/>
    </row>
    <row r="112" spans="10:22" ht="15">
      <c r="J112" s="29"/>
      <c r="K112" s="30"/>
      <c r="L112" s="40" t="s">
        <v>70</v>
      </c>
      <c r="M112" s="40"/>
      <c r="N112" s="40"/>
      <c r="O112" s="40"/>
      <c r="P112" s="40"/>
      <c r="Q112" s="40"/>
      <c r="R112" s="330">
        <f>C1</f>
        <v>1499.9958369144247</v>
      </c>
      <c r="S112" s="330"/>
      <c r="T112" s="330"/>
      <c r="U112" s="46"/>
      <c r="V112" s="30"/>
    </row>
    <row r="113" spans="10:22" ht="15">
      <c r="J113" s="29"/>
      <c r="K113" s="30"/>
      <c r="L113" s="40" t="s">
        <v>71</v>
      </c>
      <c r="M113" s="40"/>
      <c r="N113" s="40"/>
      <c r="O113" s="40"/>
      <c r="P113" s="40"/>
      <c r="Q113" s="40"/>
      <c r="R113" s="344">
        <f>B28</f>
        <v>45999</v>
      </c>
      <c r="S113" s="345"/>
      <c r="T113" s="345"/>
      <c r="U113" s="46"/>
      <c r="V113" s="30"/>
    </row>
    <row r="114" spans="10:22" ht="15">
      <c r="J114" s="29"/>
      <c r="K114" s="30"/>
      <c r="L114" s="40" t="s">
        <v>72</v>
      </c>
      <c r="M114" s="40"/>
      <c r="N114" s="40"/>
      <c r="O114" s="40"/>
      <c r="P114" s="40"/>
      <c r="Q114" s="40"/>
      <c r="R114" s="344">
        <f>G24</f>
        <v>47430</v>
      </c>
      <c r="S114" s="345"/>
      <c r="T114" s="345"/>
      <c r="U114" s="46"/>
      <c r="V114" s="30"/>
    </row>
    <row r="115" spans="10:22" ht="15">
      <c r="J115" s="29"/>
      <c r="K115" s="30"/>
      <c r="L115" s="40" t="s">
        <v>73</v>
      </c>
      <c r="M115" s="40"/>
      <c r="N115" s="40"/>
      <c r="O115" s="40"/>
      <c r="P115" s="40"/>
      <c r="Q115" s="40"/>
      <c r="R115" s="329">
        <f>C14</f>
        <v>1.6E-2</v>
      </c>
      <c r="S115" s="329"/>
      <c r="T115" s="329"/>
      <c r="U115" s="46"/>
      <c r="V115" s="30"/>
    </row>
    <row r="116" spans="10:22" ht="15.75" customHeight="1">
      <c r="J116" s="29"/>
      <c r="K116" s="30"/>
      <c r="L116" s="40" t="s">
        <v>74</v>
      </c>
      <c r="M116" s="40"/>
      <c r="N116" s="40"/>
      <c r="O116" s="40"/>
      <c r="P116" s="40"/>
      <c r="Q116" s="40"/>
      <c r="R116" s="329">
        <f>C15</f>
        <v>9.1682186949581634E-2</v>
      </c>
      <c r="S116" s="330"/>
      <c r="T116" s="330"/>
      <c r="U116" s="46"/>
      <c r="V116" s="30"/>
    </row>
    <row r="117" spans="10:22" ht="15">
      <c r="J117" s="29"/>
      <c r="K117" s="30"/>
      <c r="L117" s="40"/>
      <c r="M117" s="40"/>
      <c r="N117" s="40"/>
      <c r="O117" s="40"/>
      <c r="P117" s="40"/>
      <c r="Q117" s="40"/>
      <c r="R117" s="113"/>
      <c r="S117" s="114"/>
      <c r="T117" s="114"/>
      <c r="U117" s="46"/>
      <c r="V117" s="30"/>
    </row>
    <row r="118" spans="10:22" ht="15" thickBot="1">
      <c r="J118" s="29"/>
      <c r="K118" s="43"/>
      <c r="L118" s="43"/>
      <c r="M118" s="43"/>
      <c r="N118" s="43"/>
      <c r="O118" s="44"/>
      <c r="P118" s="43"/>
      <c r="Q118" s="43"/>
      <c r="R118" s="43"/>
      <c r="S118" s="43"/>
      <c r="T118" s="43"/>
      <c r="U118" s="46"/>
      <c r="V118" s="30"/>
    </row>
    <row r="119" spans="10:22" ht="15" thickTop="1">
      <c r="J119" s="29"/>
      <c r="K119" s="30"/>
      <c r="L119" s="30"/>
      <c r="M119" s="30"/>
      <c r="N119" s="30"/>
      <c r="O119" s="32"/>
      <c r="P119" s="30"/>
      <c r="Q119" s="30"/>
      <c r="R119" s="30"/>
      <c r="S119" s="30"/>
      <c r="T119" s="30"/>
      <c r="U119" s="46"/>
      <c r="V119" s="30"/>
    </row>
    <row r="120" spans="10:22">
      <c r="J120" s="29"/>
      <c r="K120" s="30" t="s">
        <v>75</v>
      </c>
      <c r="L120" s="30"/>
      <c r="M120" s="30"/>
      <c r="N120" s="30"/>
      <c r="O120" s="30"/>
      <c r="P120" s="30"/>
      <c r="Q120" s="30" t="s">
        <v>76</v>
      </c>
      <c r="R120" s="30"/>
      <c r="S120" s="30"/>
      <c r="T120" s="30"/>
      <c r="U120" s="46"/>
      <c r="V120" s="30"/>
    </row>
    <row r="121" spans="10:22">
      <c r="J121" s="29"/>
      <c r="K121" s="30"/>
      <c r="L121" s="30"/>
      <c r="M121" s="30"/>
      <c r="N121" s="30"/>
      <c r="O121" s="30"/>
      <c r="P121" s="30"/>
      <c r="Q121" s="30"/>
      <c r="R121" s="30"/>
      <c r="S121" s="30"/>
      <c r="T121" s="30"/>
      <c r="U121" s="46"/>
      <c r="V121" s="30"/>
    </row>
    <row r="122" spans="10:22" ht="15" thickBot="1">
      <c r="J122" s="29"/>
      <c r="K122" s="346"/>
      <c r="L122" s="346"/>
      <c r="M122" s="346"/>
      <c r="N122" s="346"/>
      <c r="O122" s="33"/>
      <c r="P122" s="346" t="s">
        <v>89</v>
      </c>
      <c r="Q122" s="346"/>
      <c r="R122" s="346"/>
      <c r="S122" s="346"/>
      <c r="T122" s="346"/>
      <c r="U122" s="46"/>
      <c r="V122" s="30"/>
    </row>
    <row r="123" spans="10:22">
      <c r="J123" s="29"/>
      <c r="K123" s="349" t="s">
        <v>94</v>
      </c>
      <c r="L123" s="349"/>
      <c r="M123" s="349"/>
      <c r="N123" s="349"/>
      <c r="O123" s="32"/>
      <c r="P123" s="30"/>
      <c r="Q123" s="347" t="s">
        <v>93</v>
      </c>
      <c r="R123" s="347"/>
      <c r="S123" s="347"/>
      <c r="T123" s="30"/>
      <c r="U123" s="46"/>
      <c r="V123" s="30"/>
    </row>
    <row r="124" spans="10:22">
      <c r="J124" s="29"/>
      <c r="K124" s="106"/>
      <c r="L124" s="106"/>
      <c r="M124" s="106"/>
      <c r="N124" s="106"/>
      <c r="O124" s="32"/>
      <c r="P124" s="30"/>
      <c r="Q124" s="106"/>
      <c r="R124" s="106"/>
      <c r="S124" s="106"/>
      <c r="T124" s="30"/>
      <c r="U124" s="46"/>
      <c r="V124" s="30"/>
    </row>
    <row r="125" spans="10:22">
      <c r="J125" s="29"/>
      <c r="K125" s="30"/>
      <c r="L125" s="30"/>
      <c r="M125" s="30"/>
      <c r="N125" s="30"/>
      <c r="O125" s="32"/>
      <c r="P125" s="30"/>
      <c r="Q125" s="30"/>
      <c r="R125" s="30"/>
      <c r="S125" s="30"/>
      <c r="T125" s="30"/>
      <c r="U125" s="46"/>
      <c r="V125" s="30"/>
    </row>
    <row r="126" spans="10:22">
      <c r="J126" s="29"/>
      <c r="K126" s="30" t="s">
        <v>79</v>
      </c>
      <c r="L126" s="30"/>
      <c r="M126" s="30"/>
      <c r="N126" s="30"/>
      <c r="O126" s="32"/>
      <c r="P126" s="30"/>
      <c r="Q126" s="30"/>
      <c r="R126" s="30"/>
      <c r="S126" s="30"/>
      <c r="T126" s="30"/>
      <c r="U126" s="46"/>
      <c r="V126" s="30"/>
    </row>
    <row r="127" spans="10:22" ht="15" thickBot="1">
      <c r="J127" s="29"/>
      <c r="K127" s="348" t="str">
        <f>N91</f>
        <v>CARLITO VASQUEZ GARCIA</v>
      </c>
      <c r="L127" s="348"/>
      <c r="M127" s="348"/>
      <c r="N127" s="348"/>
      <c r="O127" s="32"/>
      <c r="P127" s="346" t="s">
        <v>91</v>
      </c>
      <c r="Q127" s="346"/>
      <c r="R127" s="346"/>
      <c r="S127" s="346"/>
      <c r="T127" s="346"/>
      <c r="U127" s="46"/>
      <c r="V127" s="30"/>
    </row>
    <row r="128" spans="10:22">
      <c r="J128" s="29"/>
      <c r="K128" s="33" t="s">
        <v>80</v>
      </c>
      <c r="L128" s="33"/>
      <c r="M128" s="33"/>
      <c r="N128" s="30"/>
      <c r="O128" s="32"/>
      <c r="P128" s="30"/>
      <c r="Q128" s="347" t="s">
        <v>78</v>
      </c>
      <c r="R128" s="347"/>
      <c r="S128" s="347"/>
      <c r="T128" s="30"/>
      <c r="U128" s="46"/>
      <c r="V128" s="30"/>
    </row>
    <row r="129" spans="10:22" ht="15" thickBot="1">
      <c r="J129" s="50"/>
      <c r="K129" s="51"/>
      <c r="L129" s="51"/>
      <c r="M129" s="51"/>
      <c r="N129" s="51"/>
      <c r="O129" s="52"/>
      <c r="P129" s="51"/>
      <c r="Q129" s="51"/>
      <c r="R129" s="51"/>
      <c r="S129" s="51"/>
      <c r="T129" s="51"/>
      <c r="U129" s="53"/>
      <c r="V129" s="30"/>
    </row>
    <row r="130" spans="10:22">
      <c r="J130" s="30"/>
      <c r="K130" s="30"/>
      <c r="L130" s="30"/>
      <c r="M130" s="30"/>
      <c r="N130" s="30"/>
      <c r="O130" s="32"/>
      <c r="P130" s="30"/>
      <c r="Q130" s="30"/>
      <c r="R130" s="30"/>
      <c r="S130" s="30"/>
      <c r="T130" s="30"/>
      <c r="U130" s="30"/>
      <c r="V130" s="30"/>
    </row>
  </sheetData>
  <protectedRanges>
    <protectedRange sqref="E25" name="Range20"/>
    <protectedRange sqref="G24" name="Range19"/>
    <protectedRange sqref="E24" name="Range18"/>
    <protectedRange sqref="D23" name="Range17"/>
    <protectedRange sqref="F23" name="Range16"/>
    <protectedRange sqref="G24" name="Range15"/>
    <protectedRange sqref="H22" name="Range14"/>
    <protectedRange sqref="D22" name="Range13"/>
    <protectedRange sqref="C1" name="Range12"/>
    <protectedRange sqref="C3:C9" name="Range11"/>
    <protectedRange sqref="C10:BK10" name="Range21"/>
    <protectedRange sqref="C12" name="Range22"/>
    <protectedRange sqref="C28:C75" name="Range23"/>
    <protectedRange sqref="B28:B75" name="Range23_1"/>
  </protectedRanges>
  <mergeCells count="33">
    <mergeCell ref="P127:T127"/>
    <mergeCell ref="Q128:S128"/>
    <mergeCell ref="K127:N127"/>
    <mergeCell ref="K122:N122"/>
    <mergeCell ref="K123:N123"/>
    <mergeCell ref="Q123:S123"/>
    <mergeCell ref="P122:T122"/>
    <mergeCell ref="K106:T106"/>
    <mergeCell ref="R111:T111"/>
    <mergeCell ref="R112:T112"/>
    <mergeCell ref="R113:T113"/>
    <mergeCell ref="R114:T114"/>
    <mergeCell ref="S89:T89"/>
    <mergeCell ref="N91:T91"/>
    <mergeCell ref="N92:T92"/>
    <mergeCell ref="N93:T93"/>
    <mergeCell ref="R101:T101"/>
    <mergeCell ref="C24:C27"/>
    <mergeCell ref="C20:H21"/>
    <mergeCell ref="R115:T115"/>
    <mergeCell ref="R116:T116"/>
    <mergeCell ref="R98:T98"/>
    <mergeCell ref="R99:T99"/>
    <mergeCell ref="R100:T100"/>
    <mergeCell ref="R102:T102"/>
    <mergeCell ref="R103:T103"/>
    <mergeCell ref="R95:T95"/>
    <mergeCell ref="R96:T96"/>
    <mergeCell ref="R97:T97"/>
    <mergeCell ref="K83:T83"/>
    <mergeCell ref="K84:T84"/>
    <mergeCell ref="K86:T86"/>
    <mergeCell ref="S88:T88"/>
  </mergeCells>
  <conditionalFormatting sqref="B28:B75">
    <cfRule type="timePeriod" dxfId="1" priority="1" timePeriod="lastMonth">
      <formula>AND(MONTH(B28)=MONTH(EDATE(TODAY(),0-1)),YEAR(B28)=YEAR(EDATE(TODAY(),0-1)))</formula>
    </cfRule>
  </conditionalFormatting>
  <printOptions horizontalCentered="1" verticalCentered="1"/>
  <pageMargins left="0" right="0" top="0" bottom="0" header="0" footer="0"/>
  <pageSetup scale="67"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BK143"/>
  <sheetViews>
    <sheetView zoomScale="85" zoomScaleNormal="85" workbookViewId="0">
      <selection activeCell="N21" sqref="N21"/>
    </sheetView>
  </sheetViews>
  <sheetFormatPr defaultColWidth="8.88671875" defaultRowHeight="14.4"/>
  <cols>
    <col min="1" max="1" width="2.88671875" customWidth="1"/>
    <col min="2" max="2" width="27.33203125" customWidth="1"/>
    <col min="3" max="3" width="13.44140625" customWidth="1"/>
    <col min="4" max="9" width="15.6640625" customWidth="1"/>
    <col min="10" max="10" width="5.33203125" customWidth="1"/>
    <col min="11" max="20" width="10.6640625" customWidth="1"/>
    <col min="21" max="21" width="4.6640625" customWidth="1"/>
    <col min="22" max="63" width="15.6640625" customWidth="1"/>
  </cols>
  <sheetData>
    <row r="1" spans="2:63">
      <c r="B1" t="s">
        <v>34</v>
      </c>
      <c r="C1" s="1">
        <f>'DATA ENTRY'!G15</f>
        <v>15000.248169988199</v>
      </c>
    </row>
    <row r="2" spans="2:63">
      <c r="B2" s="2" t="s">
        <v>35</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c r="AB2" s="3">
        <v>25</v>
      </c>
      <c r="AC2" s="3">
        <v>26</v>
      </c>
      <c r="AD2" s="3">
        <v>27</v>
      </c>
      <c r="AE2" s="3">
        <v>28</v>
      </c>
      <c r="AF2" s="3">
        <v>29</v>
      </c>
      <c r="AG2" s="3">
        <v>30</v>
      </c>
      <c r="AH2" s="3">
        <v>31</v>
      </c>
      <c r="AI2" s="3">
        <v>32</v>
      </c>
      <c r="AJ2" s="3">
        <v>33</v>
      </c>
      <c r="AK2" s="3">
        <v>34</v>
      </c>
      <c r="AL2" s="3">
        <v>35</v>
      </c>
      <c r="AM2" s="3">
        <v>36</v>
      </c>
      <c r="AN2" s="3">
        <v>37</v>
      </c>
      <c r="AO2" s="3">
        <v>38</v>
      </c>
      <c r="AP2" s="3">
        <v>39</v>
      </c>
      <c r="AQ2" s="3">
        <v>40</v>
      </c>
      <c r="AR2" s="3">
        <v>41</v>
      </c>
      <c r="AS2" s="3">
        <v>42</v>
      </c>
      <c r="AT2" s="3">
        <v>43</v>
      </c>
      <c r="AU2" s="3">
        <v>44</v>
      </c>
      <c r="AV2" s="3">
        <v>45</v>
      </c>
      <c r="AW2" s="3">
        <v>46</v>
      </c>
      <c r="AX2" s="3">
        <v>47</v>
      </c>
      <c r="AY2" s="3">
        <v>48</v>
      </c>
      <c r="AZ2" s="3">
        <v>49</v>
      </c>
      <c r="BA2" s="3">
        <v>50</v>
      </c>
      <c r="BB2" s="3">
        <v>51</v>
      </c>
      <c r="BC2" s="3">
        <v>52</v>
      </c>
      <c r="BD2" s="3">
        <v>53</v>
      </c>
      <c r="BE2" s="3">
        <v>54</v>
      </c>
      <c r="BF2" s="3">
        <v>55</v>
      </c>
      <c r="BG2" s="3">
        <v>56</v>
      </c>
      <c r="BH2" s="3">
        <v>57</v>
      </c>
      <c r="BI2" s="3">
        <v>58</v>
      </c>
      <c r="BJ2" s="3">
        <v>59</v>
      </c>
      <c r="BK2" s="3">
        <v>60</v>
      </c>
    </row>
    <row r="3" spans="2:63">
      <c r="B3" s="2" t="s">
        <v>6</v>
      </c>
      <c r="C3" s="4">
        <f>'DATA ENTRY'!G4</f>
        <v>900014.89019929199</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row>
    <row r="4" spans="2:63">
      <c r="B4" s="2" t="s">
        <v>14</v>
      </c>
      <c r="C4" s="4">
        <f>'DATA ENTRY'!G12</f>
        <v>722612.55799999996</v>
      </c>
      <c r="D4" s="4">
        <f t="shared" ref="D4:AI4" si="0">D10</f>
        <v>-15000.248169988199</v>
      </c>
      <c r="E4" s="4">
        <f t="shared" si="0"/>
        <v>-15000.248169988199</v>
      </c>
      <c r="F4" s="4">
        <f t="shared" si="0"/>
        <v>-15000.248169988199</v>
      </c>
      <c r="G4" s="4">
        <f t="shared" si="0"/>
        <v>-15000.248169988199</v>
      </c>
      <c r="H4" s="4">
        <f t="shared" si="0"/>
        <v>-15000.248169988199</v>
      </c>
      <c r="I4" s="4">
        <f t="shared" si="0"/>
        <v>-15000.248169988199</v>
      </c>
      <c r="J4" s="4">
        <f t="shared" si="0"/>
        <v>-15000.248169988199</v>
      </c>
      <c r="K4" s="4">
        <f t="shared" si="0"/>
        <v>-15000.248169988199</v>
      </c>
      <c r="L4" s="4">
        <f t="shared" si="0"/>
        <v>-15000.248169988199</v>
      </c>
      <c r="M4" s="4">
        <f t="shared" si="0"/>
        <v>-15000.248169988199</v>
      </c>
      <c r="N4" s="4">
        <f t="shared" si="0"/>
        <v>-15000.248169988199</v>
      </c>
      <c r="O4" s="4">
        <f t="shared" si="0"/>
        <v>-15000.248169988199</v>
      </c>
      <c r="P4" s="4">
        <f t="shared" si="0"/>
        <v>-15000.248169988199</v>
      </c>
      <c r="Q4" s="4">
        <f t="shared" si="0"/>
        <v>-15000.248169988199</v>
      </c>
      <c r="R4" s="4">
        <f t="shared" si="0"/>
        <v>-15000.248169988199</v>
      </c>
      <c r="S4" s="4">
        <f t="shared" si="0"/>
        <v>-15000.248169988199</v>
      </c>
      <c r="T4" s="4">
        <f t="shared" si="0"/>
        <v>-15000.248169988199</v>
      </c>
      <c r="U4" s="4">
        <f t="shared" si="0"/>
        <v>-15000.248169988199</v>
      </c>
      <c r="V4" s="4">
        <f t="shared" si="0"/>
        <v>-15000.248169988199</v>
      </c>
      <c r="W4" s="4">
        <f t="shared" si="0"/>
        <v>-15000.248169988199</v>
      </c>
      <c r="X4" s="4">
        <f t="shared" si="0"/>
        <v>-15000.248169988199</v>
      </c>
      <c r="Y4" s="4">
        <f t="shared" si="0"/>
        <v>-15000.248169988199</v>
      </c>
      <c r="Z4" s="4">
        <f t="shared" si="0"/>
        <v>-15000.248169988199</v>
      </c>
      <c r="AA4" s="4">
        <f t="shared" si="0"/>
        <v>-15000.248169988199</v>
      </c>
      <c r="AB4" s="4">
        <f t="shared" si="0"/>
        <v>-15000.248169988199</v>
      </c>
      <c r="AC4" s="4">
        <f t="shared" si="0"/>
        <v>-15000.248169988199</v>
      </c>
      <c r="AD4" s="4">
        <f t="shared" si="0"/>
        <v>-15000.248169988199</v>
      </c>
      <c r="AE4" s="4">
        <f t="shared" si="0"/>
        <v>-15000.248169988199</v>
      </c>
      <c r="AF4" s="4">
        <f t="shared" si="0"/>
        <v>-15000.248169988199</v>
      </c>
      <c r="AG4" s="4">
        <f t="shared" si="0"/>
        <v>-15000.248169988199</v>
      </c>
      <c r="AH4" s="4">
        <f t="shared" si="0"/>
        <v>-15000.248169988199</v>
      </c>
      <c r="AI4" s="4">
        <f t="shared" si="0"/>
        <v>-15000.248169988199</v>
      </c>
      <c r="AJ4" s="4">
        <f t="shared" ref="AJ4:BK4" si="1">AJ10</f>
        <v>-15000.248169988199</v>
      </c>
      <c r="AK4" s="4">
        <f t="shared" si="1"/>
        <v>-15000.248169988199</v>
      </c>
      <c r="AL4" s="4">
        <f t="shared" si="1"/>
        <v>-15000.248169988199</v>
      </c>
      <c r="AM4" s="4">
        <f t="shared" si="1"/>
        <v>-15000.248169988199</v>
      </c>
      <c r="AN4" s="4">
        <f t="shared" si="1"/>
        <v>-15000.248169988199</v>
      </c>
      <c r="AO4" s="4">
        <f t="shared" si="1"/>
        <v>-15000.248169988199</v>
      </c>
      <c r="AP4" s="4">
        <f t="shared" si="1"/>
        <v>-15000.248169988199</v>
      </c>
      <c r="AQ4" s="4">
        <f t="shared" si="1"/>
        <v>-15000.248169988199</v>
      </c>
      <c r="AR4" s="4">
        <f t="shared" si="1"/>
        <v>-15000.248169988199</v>
      </c>
      <c r="AS4" s="4">
        <f t="shared" si="1"/>
        <v>-15000.248169988199</v>
      </c>
      <c r="AT4" s="4">
        <f t="shared" si="1"/>
        <v>-15000.248169988199</v>
      </c>
      <c r="AU4" s="4">
        <f t="shared" si="1"/>
        <v>-15000.248169988199</v>
      </c>
      <c r="AV4" s="4">
        <f t="shared" si="1"/>
        <v>-15000.248169988199</v>
      </c>
      <c r="AW4" s="4">
        <f t="shared" si="1"/>
        <v>-15000.248169988199</v>
      </c>
      <c r="AX4" s="4">
        <f t="shared" si="1"/>
        <v>-15000.248169988199</v>
      </c>
      <c r="AY4" s="4">
        <f t="shared" si="1"/>
        <v>-15000.248169988199</v>
      </c>
      <c r="AZ4" s="4">
        <f t="shared" si="1"/>
        <v>-15000.248169988199</v>
      </c>
      <c r="BA4" s="4">
        <f t="shared" si="1"/>
        <v>-15000.248169988199</v>
      </c>
      <c r="BB4" s="4">
        <f t="shared" si="1"/>
        <v>-15000.248169988199</v>
      </c>
      <c r="BC4" s="4">
        <f t="shared" si="1"/>
        <v>-15000.248169988199</v>
      </c>
      <c r="BD4" s="4">
        <f t="shared" si="1"/>
        <v>-15000.248169988199</v>
      </c>
      <c r="BE4" s="4">
        <f t="shared" si="1"/>
        <v>-15000.248169988199</v>
      </c>
      <c r="BF4" s="4">
        <f t="shared" si="1"/>
        <v>-15000.248169988199</v>
      </c>
      <c r="BG4" s="4">
        <f t="shared" si="1"/>
        <v>-15000.248169988199</v>
      </c>
      <c r="BH4" s="4">
        <f t="shared" si="1"/>
        <v>-15000.248169988199</v>
      </c>
      <c r="BI4" s="4">
        <f t="shared" si="1"/>
        <v>-15000.248169988199</v>
      </c>
      <c r="BJ4" s="4">
        <f t="shared" si="1"/>
        <v>-15000.248169988199</v>
      </c>
      <c r="BK4" s="4">
        <f t="shared" si="1"/>
        <v>-15000.248169988199</v>
      </c>
    </row>
    <row r="5" spans="2:63">
      <c r="B5" s="2" t="s">
        <v>9</v>
      </c>
      <c r="C5" s="103">
        <f>'DATA ENTRY'!G7</f>
        <v>72601.270499999999</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row>
    <row r="6" spans="2:63">
      <c r="B6" s="2" t="s">
        <v>10</v>
      </c>
      <c r="C6" s="4">
        <f>'DATA ENTRY'!G8</f>
        <v>36000.629999999997</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row>
    <row r="7" spans="2:63">
      <c r="B7" s="2" t="s">
        <v>11</v>
      </c>
      <c r="C7" s="4">
        <f>'DATA ENTRY'!G9</f>
        <v>5000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row>
    <row r="8" spans="2:63">
      <c r="B8" s="2" t="s">
        <v>12</v>
      </c>
      <c r="C8" s="4">
        <f>'DATA ENTRY'!G10</f>
        <v>0</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2:63">
      <c r="B9" s="2" t="s">
        <v>13</v>
      </c>
      <c r="C9" s="4">
        <f>'DATA ENTRY'!G11</f>
        <v>9000.1574999999993</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row>
    <row r="10" spans="2:63">
      <c r="B10" s="5" t="s">
        <v>36</v>
      </c>
      <c r="C10" s="6">
        <f>C4-C5-C6-C7-C8-C9</f>
        <v>600010.5</v>
      </c>
      <c r="D10" s="6">
        <f t="shared" ref="D10:AI10" si="2">-$C1</f>
        <v>-15000.248169988199</v>
      </c>
      <c r="E10" s="6">
        <f t="shared" si="2"/>
        <v>-15000.248169988199</v>
      </c>
      <c r="F10" s="6">
        <f t="shared" si="2"/>
        <v>-15000.248169988199</v>
      </c>
      <c r="G10" s="6">
        <f t="shared" si="2"/>
        <v>-15000.248169988199</v>
      </c>
      <c r="H10" s="6">
        <f t="shared" si="2"/>
        <v>-15000.248169988199</v>
      </c>
      <c r="I10" s="6">
        <f t="shared" si="2"/>
        <v>-15000.248169988199</v>
      </c>
      <c r="J10" s="6">
        <f t="shared" si="2"/>
        <v>-15000.248169988199</v>
      </c>
      <c r="K10" s="6">
        <f t="shared" si="2"/>
        <v>-15000.248169988199</v>
      </c>
      <c r="L10" s="6">
        <f t="shared" si="2"/>
        <v>-15000.248169988199</v>
      </c>
      <c r="M10" s="6">
        <f t="shared" si="2"/>
        <v>-15000.248169988199</v>
      </c>
      <c r="N10" s="6">
        <f t="shared" si="2"/>
        <v>-15000.248169988199</v>
      </c>
      <c r="O10" s="6">
        <f t="shared" si="2"/>
        <v>-15000.248169988199</v>
      </c>
      <c r="P10" s="6">
        <f t="shared" si="2"/>
        <v>-15000.248169988199</v>
      </c>
      <c r="Q10" s="6">
        <f t="shared" si="2"/>
        <v>-15000.248169988199</v>
      </c>
      <c r="R10" s="6">
        <f t="shared" si="2"/>
        <v>-15000.248169988199</v>
      </c>
      <c r="S10" s="6">
        <f t="shared" si="2"/>
        <v>-15000.248169988199</v>
      </c>
      <c r="T10" s="6">
        <f t="shared" si="2"/>
        <v>-15000.248169988199</v>
      </c>
      <c r="U10" s="6">
        <f t="shared" si="2"/>
        <v>-15000.248169988199</v>
      </c>
      <c r="V10" s="6">
        <f t="shared" si="2"/>
        <v>-15000.248169988199</v>
      </c>
      <c r="W10" s="6">
        <f t="shared" si="2"/>
        <v>-15000.248169988199</v>
      </c>
      <c r="X10" s="6">
        <f t="shared" si="2"/>
        <v>-15000.248169988199</v>
      </c>
      <c r="Y10" s="6">
        <f t="shared" si="2"/>
        <v>-15000.248169988199</v>
      </c>
      <c r="Z10" s="6">
        <f t="shared" si="2"/>
        <v>-15000.248169988199</v>
      </c>
      <c r="AA10" s="6">
        <f t="shared" si="2"/>
        <v>-15000.248169988199</v>
      </c>
      <c r="AB10" s="6">
        <f t="shared" si="2"/>
        <v>-15000.248169988199</v>
      </c>
      <c r="AC10" s="6">
        <f t="shared" si="2"/>
        <v>-15000.248169988199</v>
      </c>
      <c r="AD10" s="6">
        <f t="shared" si="2"/>
        <v>-15000.248169988199</v>
      </c>
      <c r="AE10" s="6">
        <f t="shared" si="2"/>
        <v>-15000.248169988199</v>
      </c>
      <c r="AF10" s="6">
        <f t="shared" si="2"/>
        <v>-15000.248169988199</v>
      </c>
      <c r="AG10" s="6">
        <f t="shared" si="2"/>
        <v>-15000.248169988199</v>
      </c>
      <c r="AH10" s="6">
        <f t="shared" si="2"/>
        <v>-15000.248169988199</v>
      </c>
      <c r="AI10" s="6">
        <f t="shared" si="2"/>
        <v>-15000.248169988199</v>
      </c>
      <c r="AJ10" s="6">
        <f t="shared" ref="AJ10:BK10" si="3">-$C1</f>
        <v>-15000.248169988199</v>
      </c>
      <c r="AK10" s="6">
        <f t="shared" si="3"/>
        <v>-15000.248169988199</v>
      </c>
      <c r="AL10" s="6">
        <f t="shared" si="3"/>
        <v>-15000.248169988199</v>
      </c>
      <c r="AM10" s="6">
        <f t="shared" si="3"/>
        <v>-15000.248169988199</v>
      </c>
      <c r="AN10" s="6">
        <f t="shared" si="3"/>
        <v>-15000.248169988199</v>
      </c>
      <c r="AO10" s="6">
        <f t="shared" si="3"/>
        <v>-15000.248169988199</v>
      </c>
      <c r="AP10" s="6">
        <f t="shared" si="3"/>
        <v>-15000.248169988199</v>
      </c>
      <c r="AQ10" s="6">
        <f t="shared" si="3"/>
        <v>-15000.248169988199</v>
      </c>
      <c r="AR10" s="6">
        <f t="shared" si="3"/>
        <v>-15000.248169988199</v>
      </c>
      <c r="AS10" s="6">
        <f t="shared" si="3"/>
        <v>-15000.248169988199</v>
      </c>
      <c r="AT10" s="6">
        <f t="shared" si="3"/>
        <v>-15000.248169988199</v>
      </c>
      <c r="AU10" s="6">
        <f t="shared" si="3"/>
        <v>-15000.248169988199</v>
      </c>
      <c r="AV10" s="6">
        <f t="shared" si="3"/>
        <v>-15000.248169988199</v>
      </c>
      <c r="AW10" s="6">
        <f t="shared" si="3"/>
        <v>-15000.248169988199</v>
      </c>
      <c r="AX10" s="6">
        <f t="shared" si="3"/>
        <v>-15000.248169988199</v>
      </c>
      <c r="AY10" s="6">
        <f t="shared" si="3"/>
        <v>-15000.248169988199</v>
      </c>
      <c r="AZ10" s="6">
        <f t="shared" si="3"/>
        <v>-15000.248169988199</v>
      </c>
      <c r="BA10" s="6">
        <f t="shared" si="3"/>
        <v>-15000.248169988199</v>
      </c>
      <c r="BB10" s="6">
        <f t="shared" si="3"/>
        <v>-15000.248169988199</v>
      </c>
      <c r="BC10" s="6">
        <f t="shared" si="3"/>
        <v>-15000.248169988199</v>
      </c>
      <c r="BD10" s="6">
        <f t="shared" si="3"/>
        <v>-15000.248169988199</v>
      </c>
      <c r="BE10" s="6">
        <f t="shared" si="3"/>
        <v>-15000.248169988199</v>
      </c>
      <c r="BF10" s="6">
        <f t="shared" si="3"/>
        <v>-15000.248169988199</v>
      </c>
      <c r="BG10" s="6">
        <f t="shared" si="3"/>
        <v>-15000.248169988199</v>
      </c>
      <c r="BH10" s="6">
        <f t="shared" si="3"/>
        <v>-15000.248169988199</v>
      </c>
      <c r="BI10" s="6">
        <f t="shared" si="3"/>
        <v>-15000.248169988199</v>
      </c>
      <c r="BJ10" s="6">
        <f t="shared" si="3"/>
        <v>-15000.248169988199</v>
      </c>
      <c r="BK10" s="6">
        <f t="shared" si="3"/>
        <v>-15000.248169988199</v>
      </c>
    </row>
    <row r="12" spans="2:63">
      <c r="B12" t="s">
        <v>37</v>
      </c>
      <c r="C12" s="7">
        <f>IRR(C4:BK4)</f>
        <v>7.4999999999996181E-3</v>
      </c>
      <c r="D12">
        <f>C12/5</f>
        <v>1.4999999999999237E-3</v>
      </c>
    </row>
    <row r="13" spans="2:63">
      <c r="C13" s="8"/>
    </row>
    <row r="14" spans="2:63">
      <c r="B14" t="str">
        <f>'DATA ENTRY'!B13</f>
        <v>Annual Interest Rate</v>
      </c>
      <c r="C14" s="115">
        <f>'DATA ENTRY'!G13</f>
        <v>0.09</v>
      </c>
    </row>
    <row r="15" spans="2:63">
      <c r="B15" t="str">
        <f>'DATA ENTRY'!B14</f>
        <v>Effective Interest Rate</v>
      </c>
      <c r="C15" s="9">
        <f>'DATA ENTRY'!G14</f>
        <v>9.4100503202476204E-2</v>
      </c>
    </row>
    <row r="19" spans="2:9" ht="15" thickBot="1">
      <c r="H19" s="10"/>
    </row>
    <row r="20" spans="2:9">
      <c r="B20" s="1"/>
      <c r="C20" s="350" t="s">
        <v>38</v>
      </c>
      <c r="D20" s="351"/>
      <c r="E20" s="351"/>
      <c r="F20" s="351"/>
      <c r="G20" s="351"/>
      <c r="H20" s="352"/>
      <c r="I20" s="24"/>
    </row>
    <row r="21" spans="2:9">
      <c r="C21" s="353"/>
      <c r="D21" s="354"/>
      <c r="E21" s="354"/>
      <c r="F21" s="354"/>
      <c r="G21" s="354"/>
      <c r="H21" s="355"/>
    </row>
    <row r="22" spans="2:9">
      <c r="C22" s="11" t="s">
        <v>39</v>
      </c>
      <c r="D22" s="361" t="s">
        <v>96</v>
      </c>
      <c r="E22" s="361"/>
      <c r="F22" s="361"/>
      <c r="G22" s="2" t="s">
        <v>40</v>
      </c>
      <c r="H22" s="117" t="s">
        <v>97</v>
      </c>
    </row>
    <row r="23" spans="2:9">
      <c r="C23" s="11" t="s">
        <v>41</v>
      </c>
      <c r="D23" s="20" t="s">
        <v>98</v>
      </c>
      <c r="E23" s="20" t="s">
        <v>42</v>
      </c>
      <c r="F23" s="20" t="s">
        <v>99</v>
      </c>
      <c r="G23" s="2" t="s">
        <v>43</v>
      </c>
      <c r="H23" s="19">
        <f>C10</f>
        <v>600010.5</v>
      </c>
    </row>
    <row r="24" spans="2:9">
      <c r="C24" s="322" t="s">
        <v>44</v>
      </c>
      <c r="D24" s="2" t="s">
        <v>45</v>
      </c>
      <c r="E24" s="20">
        <v>45722</v>
      </c>
      <c r="F24" s="2" t="s">
        <v>46</v>
      </c>
      <c r="G24" s="20">
        <f>B87</f>
        <v>47579</v>
      </c>
      <c r="H24" s="15"/>
    </row>
    <row r="25" spans="2:9">
      <c r="C25" s="322"/>
      <c r="D25" s="2" t="s">
        <v>47</v>
      </c>
      <c r="E25" s="2">
        <v>60</v>
      </c>
      <c r="F25" s="2" t="s">
        <v>48</v>
      </c>
      <c r="G25" s="2"/>
      <c r="H25" s="15"/>
    </row>
    <row r="26" spans="2:9">
      <c r="C26" s="322"/>
      <c r="D26" s="2" t="s">
        <v>49</v>
      </c>
      <c r="E26" s="92" t="s">
        <v>50</v>
      </c>
      <c r="F26" s="92" t="s">
        <v>51</v>
      </c>
      <c r="G26" s="92" t="s">
        <v>52</v>
      </c>
      <c r="H26" s="107" t="s">
        <v>53</v>
      </c>
    </row>
    <row r="27" spans="2:9">
      <c r="C27" s="322"/>
      <c r="D27" s="2" t="s">
        <v>54</v>
      </c>
      <c r="E27" s="2"/>
      <c r="F27" s="2"/>
      <c r="G27" s="2"/>
      <c r="H27" s="21">
        <f>C4</f>
        <v>722612.55799999996</v>
      </c>
    </row>
    <row r="28" spans="2:9">
      <c r="B28" s="22">
        <f>DATE(YEAR($E$24),MONTH($E$24)+D28+1,DAY($E$24))</f>
        <v>45783</v>
      </c>
      <c r="C28" s="23" t="str">
        <f t="shared" ref="C28:C87" si="4">TEXT(B28,"mmm-yyyy")</f>
        <v>May-2025</v>
      </c>
      <c r="D28" s="2">
        <v>1</v>
      </c>
      <c r="E28" s="93">
        <f>C$1</f>
        <v>15000.248169988199</v>
      </c>
      <c r="F28" s="104">
        <f>E28-G28</f>
        <v>9580.6539849884757</v>
      </c>
      <c r="G28" s="105">
        <f t="shared" ref="G28:G87" si="5">H27*C$12</f>
        <v>5419.5941849997234</v>
      </c>
      <c r="H28" s="21">
        <f t="shared" ref="H28:H87" si="6">H27-F28</f>
        <v>713031.9040150115</v>
      </c>
    </row>
    <row r="29" spans="2:9">
      <c r="B29" s="22">
        <f t="shared" ref="B29:B87" si="7">DATE(YEAR($E$24),MONTH($E$24)+D29+1,DAY($E$24))</f>
        <v>45814</v>
      </c>
      <c r="C29" s="23" t="str">
        <f t="shared" si="4"/>
        <v>Jun-2025</v>
      </c>
      <c r="D29" s="2">
        <v>2</v>
      </c>
      <c r="E29" s="93">
        <f t="shared" ref="E29:E87" si="8">C$1</f>
        <v>15000.248169988199</v>
      </c>
      <c r="F29" s="104">
        <f t="shared" ref="F29:F87" si="9">E29-G29</f>
        <v>9652.5088898758841</v>
      </c>
      <c r="G29" s="105">
        <f>H28*C$12</f>
        <v>5347.7392801123142</v>
      </c>
      <c r="H29" s="21">
        <f t="shared" si="6"/>
        <v>703379.39512513566</v>
      </c>
    </row>
    <row r="30" spans="2:9">
      <c r="B30" s="22">
        <f t="shared" si="7"/>
        <v>45844</v>
      </c>
      <c r="C30" s="23" t="str">
        <f t="shared" si="4"/>
        <v>Jul-2025</v>
      </c>
      <c r="D30" s="2">
        <v>3</v>
      </c>
      <c r="E30" s="93">
        <f t="shared" si="8"/>
        <v>15000.248169988199</v>
      </c>
      <c r="F30" s="104">
        <f t="shared" si="9"/>
        <v>9724.9027065499504</v>
      </c>
      <c r="G30" s="105">
        <f t="shared" si="5"/>
        <v>5275.3454634382488</v>
      </c>
      <c r="H30" s="21">
        <f t="shared" si="6"/>
        <v>693654.49241858569</v>
      </c>
    </row>
    <row r="31" spans="2:9">
      <c r="B31" s="22">
        <f t="shared" si="7"/>
        <v>45875</v>
      </c>
      <c r="C31" s="23" t="str">
        <f t="shared" si="4"/>
        <v>Aug-2025</v>
      </c>
      <c r="D31" s="116">
        <v>4</v>
      </c>
      <c r="E31" s="93">
        <f t="shared" si="8"/>
        <v>15000.248169988199</v>
      </c>
      <c r="F31" s="104">
        <f t="shared" si="9"/>
        <v>9797.8394768490725</v>
      </c>
      <c r="G31" s="105">
        <f t="shared" si="5"/>
        <v>5202.4086931391275</v>
      </c>
      <c r="H31" s="21">
        <f t="shared" si="6"/>
        <v>683856.65294173663</v>
      </c>
    </row>
    <row r="32" spans="2:9">
      <c r="B32" s="22">
        <f t="shared" si="7"/>
        <v>45906</v>
      </c>
      <c r="C32" s="23" t="str">
        <f t="shared" si="4"/>
        <v>Sep-2025</v>
      </c>
      <c r="D32" s="2">
        <v>5</v>
      </c>
      <c r="E32" s="93">
        <f t="shared" si="8"/>
        <v>15000.248169988199</v>
      </c>
      <c r="F32" s="104">
        <f t="shared" si="9"/>
        <v>9871.323272925436</v>
      </c>
      <c r="G32" s="105">
        <f t="shared" si="5"/>
        <v>5128.9248970627632</v>
      </c>
      <c r="H32" s="21">
        <f t="shared" si="6"/>
        <v>673985.32966881117</v>
      </c>
    </row>
    <row r="33" spans="2:8">
      <c r="B33" s="22">
        <f t="shared" si="7"/>
        <v>45936</v>
      </c>
      <c r="C33" s="23" t="str">
        <f t="shared" si="4"/>
        <v>Oct-2025</v>
      </c>
      <c r="D33" s="2">
        <v>6</v>
      </c>
      <c r="E33" s="93">
        <f t="shared" si="8"/>
        <v>15000.248169988199</v>
      </c>
      <c r="F33" s="104">
        <f t="shared" si="9"/>
        <v>9945.3581974723729</v>
      </c>
      <c r="G33" s="105">
        <f t="shared" si="5"/>
        <v>5054.8899725158262</v>
      </c>
      <c r="H33" s="21">
        <f t="shared" si="6"/>
        <v>664039.97147133877</v>
      </c>
    </row>
    <row r="34" spans="2:8">
      <c r="B34" s="22">
        <f t="shared" si="7"/>
        <v>45967</v>
      </c>
      <c r="C34" s="23" t="str">
        <f t="shared" si="4"/>
        <v>Nov-2025</v>
      </c>
      <c r="D34" s="2">
        <v>7</v>
      </c>
      <c r="E34" s="93">
        <f t="shared" si="8"/>
        <v>15000.248169988199</v>
      </c>
      <c r="F34" s="104">
        <f t="shared" si="9"/>
        <v>10019.948383953411</v>
      </c>
      <c r="G34" s="105">
        <f t="shared" si="5"/>
        <v>4980.2997860347868</v>
      </c>
      <c r="H34" s="21">
        <f t="shared" si="6"/>
        <v>654020.02308738534</v>
      </c>
    </row>
    <row r="35" spans="2:8">
      <c r="B35" s="22">
        <f t="shared" si="7"/>
        <v>45997</v>
      </c>
      <c r="C35" s="23" t="str">
        <f t="shared" si="4"/>
        <v>Dec-2025</v>
      </c>
      <c r="D35" s="2">
        <v>8</v>
      </c>
      <c r="E35" s="93">
        <f t="shared" si="8"/>
        <v>15000.248169988199</v>
      </c>
      <c r="F35" s="104">
        <f t="shared" si="9"/>
        <v>10095.097996833058</v>
      </c>
      <c r="G35" s="105">
        <f t="shared" si="5"/>
        <v>4905.1501731551407</v>
      </c>
      <c r="H35" s="21">
        <f t="shared" si="6"/>
        <v>643924.92509055231</v>
      </c>
    </row>
    <row r="36" spans="2:8">
      <c r="B36" s="22">
        <f t="shared" si="7"/>
        <v>46028</v>
      </c>
      <c r="C36" s="23" t="str">
        <f t="shared" si="4"/>
        <v>Jan-2026</v>
      </c>
      <c r="D36" s="2">
        <v>9</v>
      </c>
      <c r="E36" s="93">
        <f t="shared" si="8"/>
        <v>15000.248169988199</v>
      </c>
      <c r="F36" s="104">
        <f t="shared" si="9"/>
        <v>10170.811231809303</v>
      </c>
      <c r="G36" s="105">
        <f t="shared" si="5"/>
        <v>4829.4369381788965</v>
      </c>
      <c r="H36" s="21">
        <f t="shared" si="6"/>
        <v>633754.11385874299</v>
      </c>
    </row>
    <row r="37" spans="2:8">
      <c r="B37" s="22">
        <f t="shared" si="7"/>
        <v>46059</v>
      </c>
      <c r="C37" s="23" t="str">
        <f t="shared" si="4"/>
        <v>Feb-2026</v>
      </c>
      <c r="D37" s="2">
        <v>10</v>
      </c>
      <c r="E37" s="93">
        <f t="shared" si="8"/>
        <v>15000.248169988199</v>
      </c>
      <c r="F37" s="104">
        <f t="shared" si="9"/>
        <v>10247.092316047869</v>
      </c>
      <c r="G37" s="105">
        <f t="shared" si="5"/>
        <v>4753.1558539403304</v>
      </c>
      <c r="H37" s="21">
        <f t="shared" si="6"/>
        <v>623507.02154269512</v>
      </c>
    </row>
    <row r="38" spans="2:8">
      <c r="B38" s="22">
        <f t="shared" si="7"/>
        <v>46087</v>
      </c>
      <c r="C38" s="23" t="str">
        <f t="shared" si="4"/>
        <v>Mar-2026</v>
      </c>
      <c r="D38" s="2">
        <v>11</v>
      </c>
      <c r="E38" s="93">
        <f t="shared" si="8"/>
        <v>15000.248169988199</v>
      </c>
      <c r="F38" s="104">
        <f t="shared" si="9"/>
        <v>10323.945508418223</v>
      </c>
      <c r="G38" s="105">
        <f t="shared" si="5"/>
        <v>4676.3026615699755</v>
      </c>
      <c r="H38" s="21">
        <f t="shared" si="6"/>
        <v>613183.07603427686</v>
      </c>
    </row>
    <row r="39" spans="2:8">
      <c r="B39" s="22">
        <f t="shared" si="7"/>
        <v>46118</v>
      </c>
      <c r="C39" s="23" t="str">
        <f t="shared" si="4"/>
        <v>Apr-2026</v>
      </c>
      <c r="D39" s="2">
        <v>12</v>
      </c>
      <c r="E39" s="93">
        <f t="shared" si="8"/>
        <v>15000.248169988199</v>
      </c>
      <c r="F39" s="104">
        <f t="shared" si="9"/>
        <v>10401.375099731358</v>
      </c>
      <c r="G39" s="105">
        <f t="shared" si="5"/>
        <v>4598.8730702568419</v>
      </c>
      <c r="H39" s="21">
        <f t="shared" si="6"/>
        <v>602781.70093454549</v>
      </c>
    </row>
    <row r="40" spans="2:8">
      <c r="B40" s="22">
        <f t="shared" si="7"/>
        <v>46148</v>
      </c>
      <c r="C40" s="23" t="str">
        <f t="shared" si="4"/>
        <v>May-2026</v>
      </c>
      <c r="D40" s="2">
        <v>13</v>
      </c>
      <c r="E40" s="93">
        <f t="shared" si="8"/>
        <v>15000.248169988199</v>
      </c>
      <c r="F40" s="104">
        <f t="shared" si="9"/>
        <v>10479.385412979338</v>
      </c>
      <c r="G40" s="105">
        <f t="shared" si="5"/>
        <v>4520.8627570088611</v>
      </c>
      <c r="H40" s="21">
        <f t="shared" si="6"/>
        <v>592302.3155215662</v>
      </c>
    </row>
    <row r="41" spans="2:8">
      <c r="B41" s="22">
        <f t="shared" si="7"/>
        <v>46179</v>
      </c>
      <c r="C41" s="23" t="str">
        <f t="shared" si="4"/>
        <v>Jun-2026</v>
      </c>
      <c r="D41" s="2">
        <v>14</v>
      </c>
      <c r="E41" s="93">
        <f t="shared" si="8"/>
        <v>15000.248169988199</v>
      </c>
      <c r="F41" s="104">
        <f t="shared" si="9"/>
        <v>10557.98080357668</v>
      </c>
      <c r="G41" s="105">
        <f t="shared" si="5"/>
        <v>4442.26736641152</v>
      </c>
      <c r="H41" s="21">
        <f t="shared" si="6"/>
        <v>581744.33471798955</v>
      </c>
    </row>
    <row r="42" spans="2:8">
      <c r="B42" s="22">
        <f t="shared" si="7"/>
        <v>46209</v>
      </c>
      <c r="C42" s="23" t="str">
        <f t="shared" si="4"/>
        <v>Jul-2026</v>
      </c>
      <c r="D42" s="2">
        <v>15</v>
      </c>
      <c r="E42" s="93">
        <f t="shared" si="8"/>
        <v>15000.248169988199</v>
      </c>
      <c r="F42" s="104">
        <f t="shared" si="9"/>
        <v>10637.165659603499</v>
      </c>
      <c r="G42" s="105">
        <f t="shared" si="5"/>
        <v>4363.0825103846992</v>
      </c>
      <c r="H42" s="21">
        <f t="shared" si="6"/>
        <v>571107.169058386</v>
      </c>
    </row>
    <row r="43" spans="2:8">
      <c r="B43" s="22">
        <f t="shared" si="7"/>
        <v>46240</v>
      </c>
      <c r="C43" s="23" t="str">
        <f t="shared" si="4"/>
        <v>Aug-2026</v>
      </c>
      <c r="D43" s="2">
        <v>16</v>
      </c>
      <c r="E43" s="93">
        <f t="shared" si="8"/>
        <v>15000.248169988199</v>
      </c>
      <c r="F43" s="104">
        <f t="shared" si="9"/>
        <v>10716.944402050522</v>
      </c>
      <c r="G43" s="105">
        <f t="shared" si="5"/>
        <v>4283.3037679376766</v>
      </c>
      <c r="H43" s="21">
        <f t="shared" si="6"/>
        <v>560390.22465633543</v>
      </c>
    </row>
    <row r="44" spans="2:8">
      <c r="B44" s="22">
        <f t="shared" si="7"/>
        <v>46271</v>
      </c>
      <c r="C44" s="23" t="str">
        <f t="shared" si="4"/>
        <v>Sep-2026</v>
      </c>
      <c r="D44" s="2">
        <v>17</v>
      </c>
      <c r="E44" s="93">
        <f t="shared" si="8"/>
        <v>15000.248169988199</v>
      </c>
      <c r="F44" s="104">
        <f t="shared" si="9"/>
        <v>10797.321485065899</v>
      </c>
      <c r="G44" s="105">
        <f t="shared" si="5"/>
        <v>4202.9266849223013</v>
      </c>
      <c r="H44" s="21">
        <f t="shared" si="6"/>
        <v>549592.90317126957</v>
      </c>
    </row>
    <row r="45" spans="2:8">
      <c r="B45" s="22">
        <f t="shared" si="7"/>
        <v>46301</v>
      </c>
      <c r="C45" s="23" t="str">
        <f t="shared" si="4"/>
        <v>Oct-2026</v>
      </c>
      <c r="D45" s="2">
        <v>18</v>
      </c>
      <c r="E45" s="93">
        <f t="shared" si="8"/>
        <v>15000.248169988199</v>
      </c>
      <c r="F45" s="104">
        <f t="shared" si="9"/>
        <v>10878.301396203888</v>
      </c>
      <c r="G45" s="105">
        <f t="shared" si="5"/>
        <v>4121.9467737843115</v>
      </c>
      <c r="H45" s="21">
        <f t="shared" si="6"/>
        <v>538714.60177506565</v>
      </c>
    </row>
    <row r="46" spans="2:8">
      <c r="B46" s="22">
        <f t="shared" si="7"/>
        <v>46332</v>
      </c>
      <c r="C46" s="23" t="str">
        <f t="shared" si="4"/>
        <v>Nov-2026</v>
      </c>
      <c r="D46" s="2">
        <v>19</v>
      </c>
      <c r="E46" s="93">
        <f t="shared" si="8"/>
        <v>15000.248169988199</v>
      </c>
      <c r="F46" s="104">
        <f t="shared" si="9"/>
        <v>10959.888656675412</v>
      </c>
      <c r="G46" s="105">
        <f t="shared" si="5"/>
        <v>4040.3595133127865</v>
      </c>
      <c r="H46" s="21">
        <f t="shared" si="6"/>
        <v>527754.71311839018</v>
      </c>
    </row>
    <row r="47" spans="2:8">
      <c r="B47" s="22">
        <f t="shared" si="7"/>
        <v>46362</v>
      </c>
      <c r="C47" s="23" t="str">
        <f t="shared" si="4"/>
        <v>Dec-2026</v>
      </c>
      <c r="D47" s="2">
        <v>20</v>
      </c>
      <c r="E47" s="93">
        <f t="shared" si="8"/>
        <v>15000.248169988199</v>
      </c>
      <c r="F47" s="104">
        <f t="shared" si="9"/>
        <v>11042.087821600475</v>
      </c>
      <c r="G47" s="105">
        <f t="shared" si="5"/>
        <v>3958.1603483877248</v>
      </c>
      <c r="H47" s="21">
        <f t="shared" si="6"/>
        <v>516712.62529678969</v>
      </c>
    </row>
    <row r="48" spans="2:8">
      <c r="B48" s="22">
        <f t="shared" si="7"/>
        <v>46393</v>
      </c>
      <c r="C48" s="23" t="str">
        <f t="shared" si="4"/>
        <v>Jan-2027</v>
      </c>
      <c r="D48" s="2">
        <v>21</v>
      </c>
      <c r="E48" s="93">
        <f t="shared" si="8"/>
        <v>15000.248169988199</v>
      </c>
      <c r="F48" s="104">
        <f t="shared" si="9"/>
        <v>11124.903480262474</v>
      </c>
      <c r="G48" s="105">
        <f t="shared" si="5"/>
        <v>3875.3446897257254</v>
      </c>
      <c r="H48" s="21">
        <f t="shared" si="6"/>
        <v>505587.72181652719</v>
      </c>
    </row>
    <row r="49" spans="2:8">
      <c r="B49" s="22">
        <f t="shared" si="7"/>
        <v>46424</v>
      </c>
      <c r="C49" s="23" t="str">
        <f t="shared" si="4"/>
        <v>Feb-2027</v>
      </c>
      <c r="D49" s="2">
        <v>22</v>
      </c>
      <c r="E49" s="93">
        <f t="shared" si="8"/>
        <v>15000.248169988199</v>
      </c>
      <c r="F49" s="104">
        <f t="shared" si="9"/>
        <v>11208.340256364438</v>
      </c>
      <c r="G49" s="105">
        <f t="shared" si="5"/>
        <v>3791.907913623761</v>
      </c>
      <c r="H49" s="21">
        <f t="shared" si="6"/>
        <v>494379.38156016276</v>
      </c>
    </row>
    <row r="50" spans="2:8">
      <c r="B50" s="22">
        <f t="shared" si="7"/>
        <v>46452</v>
      </c>
      <c r="C50" s="23" t="str">
        <f t="shared" si="4"/>
        <v>Mar-2027</v>
      </c>
      <c r="D50" s="2">
        <v>23</v>
      </c>
      <c r="E50" s="93">
        <f t="shared" si="8"/>
        <v>15000.248169988199</v>
      </c>
      <c r="F50" s="104">
        <f t="shared" si="9"/>
        <v>11292.402808287166</v>
      </c>
      <c r="G50" s="105">
        <f t="shared" si="5"/>
        <v>3707.8453617010318</v>
      </c>
      <c r="H50" s="21">
        <f t="shared" si="6"/>
        <v>483086.97875187558</v>
      </c>
    </row>
    <row r="51" spans="2:8">
      <c r="B51" s="22">
        <f t="shared" si="7"/>
        <v>46483</v>
      </c>
      <c r="C51" s="23" t="str">
        <f t="shared" si="4"/>
        <v>Apr-2027</v>
      </c>
      <c r="D51" s="2">
        <v>24</v>
      </c>
      <c r="E51" s="93">
        <f t="shared" si="8"/>
        <v>15000.248169988199</v>
      </c>
      <c r="F51" s="104">
        <f t="shared" si="9"/>
        <v>11377.095829349317</v>
      </c>
      <c r="G51" s="105">
        <f t="shared" si="5"/>
        <v>3623.1523406388824</v>
      </c>
      <c r="H51" s="21">
        <f t="shared" si="6"/>
        <v>471709.88292252627</v>
      </c>
    </row>
    <row r="52" spans="2:8">
      <c r="B52" s="22">
        <f t="shared" si="7"/>
        <v>46513</v>
      </c>
      <c r="C52" s="23" t="str">
        <f t="shared" si="4"/>
        <v>May-2027</v>
      </c>
      <c r="D52" s="2">
        <v>25</v>
      </c>
      <c r="E52" s="93">
        <f t="shared" si="8"/>
        <v>15000.248169988199</v>
      </c>
      <c r="F52" s="104">
        <f t="shared" si="9"/>
        <v>11462.424048069432</v>
      </c>
      <c r="G52" s="105">
        <f t="shared" si="5"/>
        <v>3537.8241219187671</v>
      </c>
      <c r="H52" s="21">
        <f t="shared" si="6"/>
        <v>460247.45887445682</v>
      </c>
    </row>
    <row r="53" spans="2:8">
      <c r="B53" s="22">
        <f t="shared" si="7"/>
        <v>46544</v>
      </c>
      <c r="C53" s="23" t="str">
        <f t="shared" si="4"/>
        <v>Jun-2027</v>
      </c>
      <c r="D53" s="2">
        <v>26</v>
      </c>
      <c r="E53" s="93">
        <f t="shared" si="8"/>
        <v>15000.248169988199</v>
      </c>
      <c r="F53" s="104">
        <f t="shared" si="9"/>
        <v>11548.392228429948</v>
      </c>
      <c r="G53" s="105">
        <f t="shared" si="5"/>
        <v>3451.8559415582504</v>
      </c>
      <c r="H53" s="21">
        <f t="shared" si="6"/>
        <v>448699.06664602685</v>
      </c>
    </row>
    <row r="54" spans="2:8">
      <c r="B54" s="22">
        <f t="shared" si="7"/>
        <v>46574</v>
      </c>
      <c r="C54" s="23" t="str">
        <f t="shared" si="4"/>
        <v>Jul-2027</v>
      </c>
      <c r="D54" s="2">
        <v>27</v>
      </c>
      <c r="E54" s="93">
        <f t="shared" si="8"/>
        <v>15000.248169988199</v>
      </c>
      <c r="F54" s="104">
        <f t="shared" si="9"/>
        <v>11635.005170143169</v>
      </c>
      <c r="G54" s="105">
        <f t="shared" si="5"/>
        <v>3365.2429998450302</v>
      </c>
      <c r="H54" s="21">
        <f t="shared" si="6"/>
        <v>437064.0614758837</v>
      </c>
    </row>
    <row r="55" spans="2:8">
      <c r="B55" s="22">
        <f t="shared" si="7"/>
        <v>46605</v>
      </c>
      <c r="C55" s="23" t="str">
        <f t="shared" si="4"/>
        <v>Aug-2027</v>
      </c>
      <c r="D55" s="2">
        <v>28</v>
      </c>
      <c r="E55" s="93">
        <f t="shared" si="8"/>
        <v>15000.248169988199</v>
      </c>
      <c r="F55" s="104">
        <f t="shared" si="9"/>
        <v>11722.267708919238</v>
      </c>
      <c r="G55" s="105">
        <f t="shared" si="5"/>
        <v>3277.9804610689607</v>
      </c>
      <c r="H55" s="21">
        <f t="shared" si="6"/>
        <v>425341.79376696446</v>
      </c>
    </row>
    <row r="56" spans="2:8">
      <c r="B56" s="22">
        <f t="shared" si="7"/>
        <v>46636</v>
      </c>
      <c r="C56" s="23" t="str">
        <f t="shared" si="4"/>
        <v>Sep-2027</v>
      </c>
      <c r="D56" s="2">
        <v>29</v>
      </c>
      <c r="E56" s="93">
        <f t="shared" si="8"/>
        <v>15000.248169988199</v>
      </c>
      <c r="F56" s="104">
        <f t="shared" si="9"/>
        <v>11810.184716736128</v>
      </c>
      <c r="G56" s="105">
        <f t="shared" si="5"/>
        <v>3190.0634532520712</v>
      </c>
      <c r="H56" s="21">
        <f t="shared" si="6"/>
        <v>413531.60905022832</v>
      </c>
    </row>
    <row r="57" spans="2:8">
      <c r="B57" s="22">
        <f t="shared" si="7"/>
        <v>46666</v>
      </c>
      <c r="C57" s="23" t="str">
        <f t="shared" si="4"/>
        <v>Oct-2027</v>
      </c>
      <c r="D57" s="2">
        <v>30</v>
      </c>
      <c r="E57" s="93">
        <f t="shared" si="8"/>
        <v>15000.248169988199</v>
      </c>
      <c r="F57" s="104">
        <f t="shared" si="9"/>
        <v>11898.761102111645</v>
      </c>
      <c r="G57" s="105">
        <f t="shared" si="5"/>
        <v>3101.4870678765546</v>
      </c>
      <c r="H57" s="21">
        <f t="shared" si="6"/>
        <v>401632.84794811666</v>
      </c>
    </row>
    <row r="58" spans="2:8">
      <c r="B58" s="22">
        <f t="shared" si="7"/>
        <v>46697</v>
      </c>
      <c r="C58" s="23" t="str">
        <f t="shared" si="4"/>
        <v>Nov-2027</v>
      </c>
      <c r="D58" s="2">
        <v>31</v>
      </c>
      <c r="E58" s="93">
        <f t="shared" si="8"/>
        <v>15000.248169988199</v>
      </c>
      <c r="F58" s="104">
        <f t="shared" si="9"/>
        <v>11988.001810377478</v>
      </c>
      <c r="G58" s="105">
        <f t="shared" si="5"/>
        <v>3012.2463596107214</v>
      </c>
      <c r="H58" s="21">
        <f t="shared" si="6"/>
        <v>389644.84613773919</v>
      </c>
    </row>
    <row r="59" spans="2:8">
      <c r="B59" s="22">
        <f t="shared" si="7"/>
        <v>46727</v>
      </c>
      <c r="C59" s="23" t="str">
        <f t="shared" si="4"/>
        <v>Dec-2027</v>
      </c>
      <c r="D59" s="2">
        <v>32</v>
      </c>
      <c r="E59" s="93">
        <f t="shared" si="8"/>
        <v>15000.248169988199</v>
      </c>
      <c r="F59" s="104">
        <f t="shared" si="9"/>
        <v>12077.911823955304</v>
      </c>
      <c r="G59" s="105">
        <f t="shared" si="5"/>
        <v>2922.3363460328951</v>
      </c>
      <c r="H59" s="21">
        <f t="shared" si="6"/>
        <v>377566.93431378389</v>
      </c>
    </row>
    <row r="60" spans="2:8">
      <c r="B60" s="22">
        <f t="shared" si="7"/>
        <v>46758</v>
      </c>
      <c r="C60" s="23" t="str">
        <f t="shared" si="4"/>
        <v>Jan-2028</v>
      </c>
      <c r="D60" s="2">
        <v>33</v>
      </c>
      <c r="E60" s="93">
        <f t="shared" si="8"/>
        <v>15000.248169988199</v>
      </c>
      <c r="F60" s="104">
        <f t="shared" si="9"/>
        <v>12168.496162634965</v>
      </c>
      <c r="G60" s="105">
        <f t="shared" si="5"/>
        <v>2831.7520073532351</v>
      </c>
      <c r="H60" s="21">
        <f t="shared" si="6"/>
        <v>365398.4381511489</v>
      </c>
    </row>
    <row r="61" spans="2:8">
      <c r="B61" s="22">
        <f t="shared" si="7"/>
        <v>46789</v>
      </c>
      <c r="C61" s="23" t="str">
        <f t="shared" si="4"/>
        <v>Feb-2028</v>
      </c>
      <c r="D61" s="2">
        <v>34</v>
      </c>
      <c r="E61" s="93">
        <f t="shared" si="8"/>
        <v>15000.248169988199</v>
      </c>
      <c r="F61" s="104">
        <f t="shared" si="9"/>
        <v>12259.759883854722</v>
      </c>
      <c r="G61" s="105">
        <f t="shared" si="5"/>
        <v>2740.4882861334772</v>
      </c>
      <c r="H61" s="21">
        <f t="shared" si="6"/>
        <v>353138.67826729419</v>
      </c>
    </row>
    <row r="62" spans="2:8">
      <c r="B62" s="22">
        <f t="shared" si="7"/>
        <v>46818</v>
      </c>
      <c r="C62" s="23" t="str">
        <f t="shared" si="4"/>
        <v>Mar-2028</v>
      </c>
      <c r="D62" s="2">
        <v>35</v>
      </c>
      <c r="E62" s="93">
        <f t="shared" si="8"/>
        <v>15000.248169988199</v>
      </c>
      <c r="F62" s="104">
        <f t="shared" si="9"/>
        <v>12351.708082983627</v>
      </c>
      <c r="G62" s="105">
        <f t="shared" si="5"/>
        <v>2648.5400870045714</v>
      </c>
      <c r="H62" s="21">
        <f t="shared" si="6"/>
        <v>340786.97018431057</v>
      </c>
    </row>
    <row r="63" spans="2:8">
      <c r="B63" s="22">
        <f t="shared" si="7"/>
        <v>46849</v>
      </c>
      <c r="C63" s="23" t="str">
        <f t="shared" si="4"/>
        <v>Apr-2028</v>
      </c>
      <c r="D63" s="2">
        <v>36</v>
      </c>
      <c r="E63" s="93">
        <f t="shared" si="8"/>
        <v>15000.248169988199</v>
      </c>
      <c r="F63" s="104">
        <f t="shared" si="9"/>
        <v>12444.345893606</v>
      </c>
      <c r="G63" s="105">
        <f t="shared" si="5"/>
        <v>2555.902276382199</v>
      </c>
      <c r="H63" s="21">
        <f t="shared" si="6"/>
        <v>328342.62429070455</v>
      </c>
    </row>
    <row r="64" spans="2:8">
      <c r="B64" s="22">
        <f t="shared" si="7"/>
        <v>46879</v>
      </c>
      <c r="C64" s="23" t="str">
        <f t="shared" si="4"/>
        <v>May-2028</v>
      </c>
      <c r="D64" s="2">
        <v>37</v>
      </c>
      <c r="E64" s="93">
        <f t="shared" si="8"/>
        <v>15000.248169988199</v>
      </c>
      <c r="F64" s="104">
        <f t="shared" si="9"/>
        <v>12537.67848780804</v>
      </c>
      <c r="G64" s="105">
        <f t="shared" si="5"/>
        <v>2462.5696821801589</v>
      </c>
      <c r="H64" s="21">
        <f t="shared" si="6"/>
        <v>315804.94580289652</v>
      </c>
    </row>
    <row r="65" spans="2:8">
      <c r="B65" s="22">
        <f t="shared" si="7"/>
        <v>46910</v>
      </c>
      <c r="C65" s="23" t="str">
        <f t="shared" si="4"/>
        <v>Jun-2028</v>
      </c>
      <c r="D65" s="2">
        <v>38</v>
      </c>
      <c r="E65" s="93">
        <f t="shared" si="8"/>
        <v>15000.248169988199</v>
      </c>
      <c r="F65" s="104">
        <f t="shared" si="9"/>
        <v>12631.711076466596</v>
      </c>
      <c r="G65" s="105">
        <f t="shared" si="5"/>
        <v>2368.5370935216033</v>
      </c>
      <c r="H65" s="21">
        <f t="shared" si="6"/>
        <v>303173.23472642992</v>
      </c>
    </row>
    <row r="66" spans="2:8">
      <c r="B66" s="22">
        <f t="shared" si="7"/>
        <v>46940</v>
      </c>
      <c r="C66" s="23" t="str">
        <f t="shared" si="4"/>
        <v>Jul-2028</v>
      </c>
      <c r="D66" s="2">
        <v>39</v>
      </c>
      <c r="E66" s="93">
        <f t="shared" si="8"/>
        <v>15000.248169988199</v>
      </c>
      <c r="F66" s="104">
        <f t="shared" si="9"/>
        <v>12726.44890954009</v>
      </c>
      <c r="G66" s="105">
        <f t="shared" si="5"/>
        <v>2273.7992604481087</v>
      </c>
      <c r="H66" s="21">
        <f t="shared" si="6"/>
        <v>290446.78581688984</v>
      </c>
    </row>
    <row r="67" spans="2:8">
      <c r="B67" s="22">
        <f t="shared" si="7"/>
        <v>46971</v>
      </c>
      <c r="C67" s="23" t="str">
        <f t="shared" si="4"/>
        <v>Aug-2028</v>
      </c>
      <c r="D67" s="2">
        <v>40</v>
      </c>
      <c r="E67" s="93">
        <f t="shared" si="8"/>
        <v>15000.248169988199</v>
      </c>
      <c r="F67" s="104">
        <f t="shared" si="9"/>
        <v>12821.897276361637</v>
      </c>
      <c r="G67" s="105">
        <f t="shared" si="5"/>
        <v>2178.350893626563</v>
      </c>
      <c r="H67" s="21">
        <f t="shared" si="6"/>
        <v>277624.88854052819</v>
      </c>
    </row>
    <row r="68" spans="2:8">
      <c r="B68" s="22">
        <f t="shared" si="7"/>
        <v>47002</v>
      </c>
      <c r="C68" s="23" t="str">
        <f t="shared" si="4"/>
        <v>Sep-2028</v>
      </c>
      <c r="D68" s="2">
        <v>41</v>
      </c>
      <c r="E68" s="93">
        <f t="shared" si="8"/>
        <v>15000.248169988199</v>
      </c>
      <c r="F68" s="104">
        <f t="shared" si="9"/>
        <v>12918.061505934344</v>
      </c>
      <c r="G68" s="105">
        <f t="shared" si="5"/>
        <v>2082.1866640538556</v>
      </c>
      <c r="H68" s="21">
        <f t="shared" si="6"/>
        <v>264706.82703459385</v>
      </c>
    </row>
    <row r="69" spans="2:8">
      <c r="B69" s="22">
        <f t="shared" si="7"/>
        <v>47032</v>
      </c>
      <c r="C69" s="23" t="str">
        <f t="shared" si="4"/>
        <v>Oct-2028</v>
      </c>
      <c r="D69" s="2">
        <v>42</v>
      </c>
      <c r="E69" s="93">
        <f t="shared" si="8"/>
        <v>15000.248169988199</v>
      </c>
      <c r="F69" s="104">
        <f t="shared" si="9"/>
        <v>13014.946967228847</v>
      </c>
      <c r="G69" s="105">
        <f t="shared" si="5"/>
        <v>1985.3012027593527</v>
      </c>
      <c r="H69" s="21">
        <f t="shared" si="6"/>
        <v>251691.88006736501</v>
      </c>
    </row>
    <row r="70" spans="2:8">
      <c r="B70" s="22">
        <f t="shared" si="7"/>
        <v>47063</v>
      </c>
      <c r="C70" s="23" t="str">
        <f t="shared" si="4"/>
        <v>Nov-2028</v>
      </c>
      <c r="D70" s="2">
        <v>43</v>
      </c>
      <c r="E70" s="93">
        <f t="shared" si="8"/>
        <v>15000.248169988199</v>
      </c>
      <c r="F70" s="104">
        <f t="shared" si="9"/>
        <v>13112.559069483057</v>
      </c>
      <c r="G70" s="105">
        <f t="shared" si="5"/>
        <v>1887.6891005051414</v>
      </c>
      <c r="H70" s="21">
        <f t="shared" si="6"/>
        <v>238579.32099788197</v>
      </c>
    </row>
    <row r="71" spans="2:8">
      <c r="B71" s="22">
        <f t="shared" si="7"/>
        <v>47093</v>
      </c>
      <c r="C71" s="23" t="str">
        <f t="shared" si="4"/>
        <v>Dec-2028</v>
      </c>
      <c r="D71" s="2">
        <v>44</v>
      </c>
      <c r="E71" s="93">
        <f t="shared" si="8"/>
        <v>15000.248169988199</v>
      </c>
      <c r="F71" s="104">
        <f t="shared" si="9"/>
        <v>13210.903262504176</v>
      </c>
      <c r="G71" s="105">
        <f t="shared" si="5"/>
        <v>1789.3449074840237</v>
      </c>
      <c r="H71" s="21">
        <f t="shared" si="6"/>
        <v>225368.41773537779</v>
      </c>
    </row>
    <row r="72" spans="2:8">
      <c r="B72" s="22">
        <f t="shared" si="7"/>
        <v>47124</v>
      </c>
      <c r="C72" s="23" t="str">
        <f t="shared" si="4"/>
        <v>Jan-2029</v>
      </c>
      <c r="D72" s="2">
        <v>45</v>
      </c>
      <c r="E72" s="93">
        <f t="shared" si="8"/>
        <v>15000.248169988199</v>
      </c>
      <c r="F72" s="104">
        <f t="shared" si="9"/>
        <v>13309.985036972952</v>
      </c>
      <c r="G72" s="105">
        <f t="shared" si="5"/>
        <v>1690.2631330152474</v>
      </c>
      <c r="H72" s="21">
        <f t="shared" si="6"/>
        <v>212058.43269840485</v>
      </c>
    </row>
    <row r="73" spans="2:8">
      <c r="B73" s="22">
        <f t="shared" si="7"/>
        <v>47155</v>
      </c>
      <c r="C73" s="23" t="str">
        <f t="shared" si="4"/>
        <v>Feb-2029</v>
      </c>
      <c r="D73" s="2">
        <v>46</v>
      </c>
      <c r="E73" s="93">
        <f t="shared" si="8"/>
        <v>15000.248169988199</v>
      </c>
      <c r="F73" s="104">
        <f t="shared" si="9"/>
        <v>13409.809924750243</v>
      </c>
      <c r="G73" s="105">
        <f t="shared" si="5"/>
        <v>1590.4382452379555</v>
      </c>
      <c r="H73" s="21">
        <f t="shared" si="6"/>
        <v>198648.62277365461</v>
      </c>
    </row>
    <row r="74" spans="2:8">
      <c r="B74" s="22">
        <f t="shared" si="7"/>
        <v>47183</v>
      </c>
      <c r="C74" s="23" t="str">
        <f t="shared" si="4"/>
        <v>Mar-2029</v>
      </c>
      <c r="D74" s="2">
        <v>47</v>
      </c>
      <c r="E74" s="93">
        <f t="shared" si="8"/>
        <v>15000.248169988199</v>
      </c>
      <c r="F74" s="104">
        <f t="shared" si="9"/>
        <v>13510.383499185866</v>
      </c>
      <c r="G74" s="105">
        <f t="shared" si="5"/>
        <v>1489.8646708023336</v>
      </c>
      <c r="H74" s="21">
        <f t="shared" si="6"/>
        <v>185138.23927446874</v>
      </c>
    </row>
    <row r="75" spans="2:8">
      <c r="B75" s="22">
        <f t="shared" si="7"/>
        <v>47214</v>
      </c>
      <c r="C75" s="23" t="str">
        <f t="shared" si="4"/>
        <v>Apr-2029</v>
      </c>
      <c r="D75" s="2">
        <v>48</v>
      </c>
      <c r="E75" s="93">
        <f t="shared" si="8"/>
        <v>15000.248169988199</v>
      </c>
      <c r="F75" s="104">
        <f t="shared" si="9"/>
        <v>13611.711375429753</v>
      </c>
      <c r="G75" s="105">
        <f t="shared" si="5"/>
        <v>1388.5367945584449</v>
      </c>
      <c r="H75" s="21">
        <f t="shared" si="6"/>
        <v>171526.52789903898</v>
      </c>
    </row>
    <row r="76" spans="2:8">
      <c r="B76" s="22">
        <f t="shared" si="7"/>
        <v>47244</v>
      </c>
      <c r="C76" s="23" t="str">
        <f t="shared" si="4"/>
        <v>May-2029</v>
      </c>
      <c r="D76" s="2">
        <v>49</v>
      </c>
      <c r="E76" s="93">
        <f>C$1</f>
        <v>15000.248169988199</v>
      </c>
      <c r="F76" s="104">
        <f t="shared" si="9"/>
        <v>13713.799210745472</v>
      </c>
      <c r="G76" s="105">
        <f t="shared" si="5"/>
        <v>1286.4489592427269</v>
      </c>
      <c r="H76" s="21">
        <f t="shared" si="6"/>
        <v>157812.72868829352</v>
      </c>
    </row>
    <row r="77" spans="2:8">
      <c r="B77" s="22">
        <f t="shared" si="7"/>
        <v>47275</v>
      </c>
      <c r="C77" s="23" t="str">
        <f t="shared" si="4"/>
        <v>Jun-2029</v>
      </c>
      <c r="D77" s="2">
        <v>50</v>
      </c>
      <c r="E77" s="93">
        <f t="shared" si="8"/>
        <v>15000.248169988199</v>
      </c>
      <c r="F77" s="104">
        <f t="shared" si="9"/>
        <v>13816.652704826058</v>
      </c>
      <c r="G77" s="105">
        <f t="shared" si="5"/>
        <v>1183.5954651621412</v>
      </c>
      <c r="H77" s="21">
        <f t="shared" si="6"/>
        <v>143996.07598346745</v>
      </c>
    </row>
    <row r="78" spans="2:8">
      <c r="B78" s="22">
        <f t="shared" si="7"/>
        <v>47305</v>
      </c>
      <c r="C78" s="23" t="str">
        <f t="shared" si="4"/>
        <v>Jul-2029</v>
      </c>
      <c r="D78" s="2">
        <v>51</v>
      </c>
      <c r="E78" s="93">
        <f t="shared" si="8"/>
        <v>15000.248169988199</v>
      </c>
      <c r="F78" s="104">
        <f t="shared" si="9"/>
        <v>13920.277600112247</v>
      </c>
      <c r="G78" s="105">
        <f t="shared" si="5"/>
        <v>1079.970569875951</v>
      </c>
      <c r="H78" s="21">
        <f t="shared" si="6"/>
        <v>130075.7983833552</v>
      </c>
    </row>
    <row r="79" spans="2:8">
      <c r="B79" s="22">
        <f t="shared" si="7"/>
        <v>47336</v>
      </c>
      <c r="C79" s="23" t="str">
        <f t="shared" si="4"/>
        <v>Aug-2029</v>
      </c>
      <c r="D79" s="2">
        <v>52</v>
      </c>
      <c r="E79" s="93">
        <f t="shared" si="8"/>
        <v>15000.248169988199</v>
      </c>
      <c r="F79" s="104">
        <f t="shared" si="9"/>
        <v>14024.679682113085</v>
      </c>
      <c r="G79" s="105">
        <f t="shared" si="5"/>
        <v>975.56848787511433</v>
      </c>
      <c r="H79" s="21">
        <f t="shared" si="6"/>
        <v>116051.11870124211</v>
      </c>
    </row>
    <row r="80" spans="2:8">
      <c r="B80" s="22">
        <f t="shared" si="7"/>
        <v>47367</v>
      </c>
      <c r="C80" s="23" t="str">
        <f t="shared" si="4"/>
        <v>Sep-2029</v>
      </c>
      <c r="D80" s="2">
        <v>53</v>
      </c>
      <c r="E80" s="93">
        <f t="shared" si="8"/>
        <v>15000.248169988199</v>
      </c>
      <c r="F80" s="104">
        <f t="shared" si="9"/>
        <v>14129.864779728927</v>
      </c>
      <c r="G80" s="105">
        <f t="shared" si="5"/>
        <v>870.38339025927155</v>
      </c>
      <c r="H80" s="21">
        <f t="shared" si="6"/>
        <v>101921.25392151318</v>
      </c>
    </row>
    <row r="81" spans="2:22">
      <c r="B81" s="22">
        <f t="shared" si="7"/>
        <v>47397</v>
      </c>
      <c r="C81" s="23" t="str">
        <f t="shared" si="4"/>
        <v>Oct-2029</v>
      </c>
      <c r="D81" s="2">
        <v>54</v>
      </c>
      <c r="E81" s="93">
        <f t="shared" si="8"/>
        <v>15000.248169988199</v>
      </c>
      <c r="F81" s="104">
        <f t="shared" si="9"/>
        <v>14235.838765576889</v>
      </c>
      <c r="G81" s="105">
        <f t="shared" si="5"/>
        <v>764.40940441130999</v>
      </c>
      <c r="H81" s="21">
        <f t="shared" si="6"/>
        <v>87685.415155936294</v>
      </c>
    </row>
    <row r="82" spans="2:22">
      <c r="B82" s="22">
        <f t="shared" si="7"/>
        <v>47428</v>
      </c>
      <c r="C82" s="23" t="str">
        <f t="shared" si="4"/>
        <v>Nov-2029</v>
      </c>
      <c r="D82" s="2">
        <v>55</v>
      </c>
      <c r="E82" s="93">
        <f t="shared" si="8"/>
        <v>15000.248169988199</v>
      </c>
      <c r="F82" s="104">
        <f t="shared" si="9"/>
        <v>14342.60755631871</v>
      </c>
      <c r="G82" s="105">
        <f t="shared" si="5"/>
        <v>657.64061366948874</v>
      </c>
      <c r="H82" s="21">
        <f t="shared" si="6"/>
        <v>73342.80759961759</v>
      </c>
    </row>
    <row r="83" spans="2:22">
      <c r="B83" s="22">
        <f t="shared" si="7"/>
        <v>47458</v>
      </c>
      <c r="C83" s="23" t="str">
        <f t="shared" si="4"/>
        <v>Dec-2029</v>
      </c>
      <c r="D83" s="2">
        <v>56</v>
      </c>
      <c r="E83" s="93">
        <f t="shared" si="8"/>
        <v>15000.248169988199</v>
      </c>
      <c r="F83" s="104">
        <f t="shared" si="9"/>
        <v>14450.177112991096</v>
      </c>
      <c r="G83" s="105">
        <f t="shared" si="5"/>
        <v>550.07105699710394</v>
      </c>
      <c r="H83" s="21">
        <f t="shared" si="6"/>
        <v>58892.630486626498</v>
      </c>
    </row>
    <row r="84" spans="2:22">
      <c r="B84" s="22">
        <f t="shared" si="7"/>
        <v>47489</v>
      </c>
      <c r="C84" s="23" t="str">
        <f t="shared" si="4"/>
        <v>Jan-2030</v>
      </c>
      <c r="D84" s="2">
        <v>57</v>
      </c>
      <c r="E84" s="93">
        <f t="shared" si="8"/>
        <v>15000.248169988199</v>
      </c>
      <c r="F84" s="104">
        <f t="shared" si="9"/>
        <v>14558.553441338523</v>
      </c>
      <c r="G84" s="105">
        <f t="shared" si="5"/>
        <v>441.69472864967622</v>
      </c>
      <c r="H84" s="21">
        <f t="shared" si="6"/>
        <v>44334.077045287973</v>
      </c>
    </row>
    <row r="85" spans="2:22">
      <c r="B85" s="22">
        <f t="shared" si="7"/>
        <v>47520</v>
      </c>
      <c r="C85" s="23" t="str">
        <f t="shared" si="4"/>
        <v>Feb-2030</v>
      </c>
      <c r="D85" s="2">
        <v>58</v>
      </c>
      <c r="E85" s="93">
        <f t="shared" si="8"/>
        <v>15000.248169988199</v>
      </c>
      <c r="F85" s="104">
        <f t="shared" si="9"/>
        <v>14667.742592148556</v>
      </c>
      <c r="G85" s="105">
        <f t="shared" si="5"/>
        <v>332.50557783964285</v>
      </c>
      <c r="H85" s="21">
        <f t="shared" si="6"/>
        <v>29666.334453139418</v>
      </c>
    </row>
    <row r="86" spans="2:22">
      <c r="B86" s="22">
        <f t="shared" si="7"/>
        <v>47548</v>
      </c>
      <c r="C86" s="23" t="str">
        <f t="shared" si="4"/>
        <v>Mar-2030</v>
      </c>
      <c r="D86" s="2">
        <v>59</v>
      </c>
      <c r="E86" s="93">
        <f t="shared" si="8"/>
        <v>15000.248169988199</v>
      </c>
      <c r="F86" s="104">
        <f t="shared" si="9"/>
        <v>14777.750661589665</v>
      </c>
      <c r="G86" s="105">
        <f t="shared" si="5"/>
        <v>222.49750839853431</v>
      </c>
      <c r="H86" s="21">
        <f t="shared" si="6"/>
        <v>14888.583791549752</v>
      </c>
    </row>
    <row r="87" spans="2:22">
      <c r="B87" s="22">
        <f t="shared" si="7"/>
        <v>47579</v>
      </c>
      <c r="C87" s="23" t="str">
        <f t="shared" si="4"/>
        <v>Apr-2030</v>
      </c>
      <c r="D87" s="2">
        <v>60</v>
      </c>
      <c r="E87" s="93">
        <f t="shared" si="8"/>
        <v>15000.248169988199</v>
      </c>
      <c r="F87" s="104">
        <f t="shared" si="9"/>
        <v>14888.583791551582</v>
      </c>
      <c r="G87" s="105">
        <f t="shared" si="5"/>
        <v>111.66437843661745</v>
      </c>
      <c r="H87" s="21">
        <f t="shared" si="6"/>
        <v>-1.8299033399671316E-9</v>
      </c>
    </row>
    <row r="88" spans="2:22" ht="15" thickBot="1">
      <c r="C88" s="118"/>
      <c r="D88" s="110"/>
      <c r="E88" s="110">
        <f t="shared" ref="E88:F88" si="10">SUM(E28:E87)</f>
        <v>900014.89019929129</v>
      </c>
      <c r="F88" s="110">
        <f t="shared" si="10"/>
        <v>722612.55800000182</v>
      </c>
      <c r="G88" s="110"/>
      <c r="H88" s="111"/>
      <c r="I88" s="25"/>
      <c r="J88" s="25"/>
    </row>
    <row r="91" spans="2:22">
      <c r="J91" s="26"/>
      <c r="K91" s="27"/>
      <c r="L91" s="27"/>
      <c r="M91" s="27"/>
      <c r="N91" s="27"/>
      <c r="O91" s="28"/>
      <c r="P91" s="27"/>
      <c r="Q91" s="27"/>
      <c r="R91" s="27"/>
      <c r="S91" s="27"/>
      <c r="T91" s="27"/>
      <c r="U91" s="45"/>
      <c r="V91" s="30"/>
    </row>
    <row r="92" spans="2:22">
      <c r="J92" s="29"/>
      <c r="K92" s="30"/>
      <c r="L92" s="30"/>
      <c r="M92" s="30"/>
      <c r="N92" s="30"/>
      <c r="O92" s="31"/>
      <c r="P92" s="30"/>
      <c r="Q92" s="30"/>
      <c r="R92" s="30"/>
      <c r="S92" s="30"/>
      <c r="T92" s="30"/>
      <c r="U92" s="46"/>
      <c r="V92" s="30"/>
    </row>
    <row r="93" spans="2:22">
      <c r="J93" s="29"/>
      <c r="K93" s="30"/>
      <c r="L93" s="30"/>
      <c r="M93" s="30"/>
      <c r="N93" s="30"/>
      <c r="O93" s="32"/>
      <c r="P93" s="30"/>
      <c r="Q93" s="30"/>
      <c r="R93" s="30"/>
      <c r="S93" s="30"/>
      <c r="T93" s="30"/>
      <c r="U93" s="46"/>
      <c r="V93" s="30"/>
    </row>
    <row r="94" spans="2:22">
      <c r="J94" s="29"/>
      <c r="K94" s="30"/>
      <c r="L94" s="30"/>
      <c r="M94" s="30"/>
      <c r="N94" s="30"/>
      <c r="O94" s="32"/>
      <c r="P94" s="30"/>
      <c r="Q94" s="30"/>
      <c r="R94" s="30"/>
      <c r="S94" s="30"/>
      <c r="T94" s="30"/>
      <c r="U94" s="46"/>
      <c r="V94" s="30"/>
    </row>
    <row r="95" spans="2:22" ht="21">
      <c r="J95" s="29"/>
      <c r="K95" s="334" t="s">
        <v>55</v>
      </c>
      <c r="L95" s="334"/>
      <c r="M95" s="334"/>
      <c r="N95" s="334"/>
      <c r="O95" s="334"/>
      <c r="P95" s="334"/>
      <c r="Q95" s="334"/>
      <c r="R95" s="334"/>
      <c r="S95" s="334"/>
      <c r="T95" s="334"/>
      <c r="U95" s="46"/>
      <c r="V95" s="30"/>
    </row>
    <row r="96" spans="2:22">
      <c r="J96" s="29"/>
      <c r="K96" s="335" t="s">
        <v>56</v>
      </c>
      <c r="L96" s="335"/>
      <c r="M96" s="335"/>
      <c r="N96" s="335"/>
      <c r="O96" s="335"/>
      <c r="P96" s="335"/>
      <c r="Q96" s="335"/>
      <c r="R96" s="335"/>
      <c r="S96" s="335"/>
      <c r="T96" s="335"/>
      <c r="U96" s="46"/>
      <c r="V96" s="30"/>
    </row>
    <row r="97" spans="10:22">
      <c r="J97" s="29"/>
      <c r="K97" s="30"/>
      <c r="L97" s="30"/>
      <c r="M97" s="30"/>
      <c r="N97" s="30"/>
      <c r="O97" s="32"/>
      <c r="P97" s="30"/>
      <c r="Q97" s="30"/>
      <c r="R97" s="30"/>
      <c r="S97" s="30"/>
      <c r="T97" s="30"/>
      <c r="U97" s="46"/>
      <c r="V97" s="30"/>
    </row>
    <row r="98" spans="10:22" ht="17.399999999999999">
      <c r="J98" s="29"/>
      <c r="K98" s="336" t="s">
        <v>57</v>
      </c>
      <c r="L98" s="336"/>
      <c r="M98" s="336"/>
      <c r="N98" s="336"/>
      <c r="O98" s="336"/>
      <c r="P98" s="336"/>
      <c r="Q98" s="336"/>
      <c r="R98" s="336"/>
      <c r="S98" s="336"/>
      <c r="T98" s="336"/>
      <c r="U98" s="46"/>
      <c r="V98" s="30"/>
    </row>
    <row r="99" spans="10:22">
      <c r="J99" s="29"/>
      <c r="K99" s="33"/>
      <c r="L99" s="33"/>
      <c r="M99" s="33"/>
      <c r="N99" s="33"/>
      <c r="O99" s="31"/>
      <c r="P99" s="33"/>
      <c r="Q99" s="30"/>
      <c r="R99" s="30"/>
      <c r="S99" s="30"/>
      <c r="T99" s="30"/>
      <c r="U99" s="46"/>
      <c r="V99" s="30"/>
    </row>
    <row r="100" spans="10:22" ht="15.6">
      <c r="J100" s="29"/>
      <c r="K100" s="33"/>
      <c r="L100" s="33"/>
      <c r="M100" s="33"/>
      <c r="N100" s="33"/>
      <c r="O100" s="31"/>
      <c r="P100" s="33"/>
      <c r="Q100" s="30"/>
      <c r="R100" s="35" t="s">
        <v>58</v>
      </c>
      <c r="S100" s="337">
        <f>E24</f>
        <v>45722</v>
      </c>
      <c r="T100" s="337"/>
      <c r="U100" s="46"/>
      <c r="V100" s="30"/>
    </row>
    <row r="101" spans="10:22" ht="15.6">
      <c r="J101" s="29"/>
      <c r="K101" s="33"/>
      <c r="L101" s="33"/>
      <c r="M101" s="33"/>
      <c r="N101" s="33"/>
      <c r="O101" s="31"/>
      <c r="P101" s="33"/>
      <c r="Q101" s="30"/>
      <c r="R101" s="35" t="s">
        <v>59</v>
      </c>
      <c r="S101" s="362" t="str">
        <f>H22</f>
        <v>LV - 047</v>
      </c>
      <c r="T101" s="338"/>
      <c r="U101" s="46"/>
      <c r="V101" s="30"/>
    </row>
    <row r="102" spans="10:22" ht="15.6">
      <c r="J102" s="29"/>
      <c r="K102" s="33"/>
      <c r="L102" s="33"/>
      <c r="M102" s="33"/>
      <c r="N102" s="33"/>
      <c r="O102" s="31"/>
      <c r="P102" s="33"/>
      <c r="Q102" s="30"/>
      <c r="R102" s="35"/>
      <c r="S102" s="119"/>
      <c r="T102" s="106"/>
      <c r="U102" s="46"/>
      <c r="V102" s="30"/>
    </row>
    <row r="103" spans="10:22" ht="15.6">
      <c r="J103" s="29"/>
      <c r="K103" s="33"/>
      <c r="L103" s="33"/>
      <c r="M103" s="33"/>
      <c r="N103" s="33"/>
      <c r="O103" s="31"/>
      <c r="P103" s="33"/>
      <c r="Q103" s="30"/>
      <c r="R103" s="35"/>
      <c r="S103" s="47"/>
      <c r="T103" s="30"/>
      <c r="U103" s="46"/>
      <c r="V103" s="30"/>
    </row>
    <row r="104" spans="10:22" ht="15.6">
      <c r="J104" s="34"/>
      <c r="K104" s="35" t="s">
        <v>60</v>
      </c>
      <c r="L104" s="35"/>
      <c r="M104" s="35"/>
      <c r="N104" s="356" t="str">
        <f>D22</f>
        <v xml:space="preserve">MARTIN BARROGA RICARDO </v>
      </c>
      <c r="O104" s="357"/>
      <c r="P104" s="357"/>
      <c r="Q104" s="357"/>
      <c r="R104" s="357"/>
      <c r="S104" s="357"/>
      <c r="T104" s="38"/>
      <c r="U104" s="48"/>
      <c r="V104" s="38"/>
    </row>
    <row r="105" spans="10:22" ht="15.6">
      <c r="J105" s="34"/>
      <c r="K105" s="35" t="s">
        <v>61</v>
      </c>
      <c r="L105" s="35"/>
      <c r="M105" s="35"/>
      <c r="N105" s="356" t="str">
        <f>D23</f>
        <v>O- 127212</v>
      </c>
      <c r="O105" s="358"/>
      <c r="P105" s="358"/>
      <c r="Q105" s="358"/>
      <c r="R105" s="358"/>
      <c r="S105" s="358"/>
      <c r="T105" s="38"/>
      <c r="U105" s="48"/>
      <c r="V105" s="38"/>
    </row>
    <row r="106" spans="10:22" ht="15.6">
      <c r="J106" s="34"/>
      <c r="K106" s="35" t="s">
        <v>42</v>
      </c>
      <c r="L106" s="35"/>
      <c r="M106" s="35"/>
      <c r="N106" s="359" t="str">
        <f>F23</f>
        <v>B4 L14 DEROSA ST. MS2, LNC, BRGY NAVARRO, CITY OF GENERAL TRIAS, CAVITE</v>
      </c>
      <c r="O106" s="360"/>
      <c r="P106" s="360"/>
      <c r="Q106" s="360"/>
      <c r="R106" s="360"/>
      <c r="S106" s="360"/>
      <c r="T106" s="360"/>
      <c r="U106" s="48"/>
      <c r="V106" s="38"/>
    </row>
    <row r="107" spans="10:22" ht="15.6">
      <c r="J107" s="29"/>
      <c r="K107" s="33"/>
      <c r="L107" s="33"/>
      <c r="M107" s="33"/>
      <c r="N107" s="38"/>
      <c r="O107" s="38"/>
      <c r="P107" s="38"/>
      <c r="Q107" s="30"/>
      <c r="R107" s="30"/>
      <c r="S107" s="30"/>
      <c r="T107" s="30"/>
      <c r="U107" s="46"/>
      <c r="V107" s="30"/>
    </row>
    <row r="108" spans="10:22" ht="15.6">
      <c r="J108" s="29"/>
      <c r="K108" s="33"/>
      <c r="L108" s="35" t="s">
        <v>62</v>
      </c>
      <c r="M108" s="33"/>
      <c r="N108" s="33"/>
      <c r="O108" s="31"/>
      <c r="P108" s="33"/>
      <c r="Q108" s="49"/>
      <c r="R108" s="331">
        <f>C4</f>
        <v>722612.55799999996</v>
      </c>
      <c r="S108" s="331"/>
      <c r="T108" s="331"/>
      <c r="U108" s="46"/>
      <c r="V108" s="30"/>
    </row>
    <row r="109" spans="10:22" ht="15.6">
      <c r="J109" s="29"/>
      <c r="K109" s="33"/>
      <c r="L109" s="35"/>
      <c r="M109" s="33"/>
      <c r="N109" s="33"/>
      <c r="O109" s="31"/>
      <c r="P109" s="33"/>
      <c r="Q109" s="33"/>
      <c r="R109" s="33"/>
      <c r="S109" s="33"/>
      <c r="T109" s="33"/>
      <c r="U109" s="46"/>
      <c r="V109" s="30"/>
    </row>
    <row r="110" spans="10:22" ht="15.6">
      <c r="J110" s="29"/>
      <c r="K110" s="33"/>
      <c r="L110" s="35"/>
      <c r="M110" s="33"/>
      <c r="N110" s="33"/>
      <c r="O110" s="31"/>
      <c r="P110" s="33"/>
      <c r="Q110" s="49"/>
      <c r="R110" s="331"/>
      <c r="S110" s="331"/>
      <c r="T110" s="331"/>
      <c r="U110" s="46"/>
      <c r="V110" s="30"/>
    </row>
    <row r="111" spans="10:22" ht="15.6">
      <c r="J111" s="39"/>
      <c r="K111" s="40"/>
      <c r="L111" s="41" t="s">
        <v>63</v>
      </c>
      <c r="M111" s="40" t="s">
        <v>65</v>
      </c>
      <c r="N111" s="40"/>
      <c r="O111" s="42"/>
      <c r="P111" s="40"/>
      <c r="Q111" s="36"/>
      <c r="R111" s="332">
        <f>C8</f>
        <v>0</v>
      </c>
      <c r="S111" s="332"/>
      <c r="T111" s="332"/>
      <c r="U111" s="37"/>
      <c r="V111" s="36"/>
    </row>
    <row r="112" spans="10:22" ht="15.6">
      <c r="J112" s="39"/>
      <c r="K112" s="40"/>
      <c r="L112" s="41" t="s">
        <v>63</v>
      </c>
      <c r="M112" s="40" t="s">
        <v>66</v>
      </c>
      <c r="N112" s="40"/>
      <c r="O112" s="42"/>
      <c r="P112" s="40"/>
      <c r="Q112" s="36"/>
      <c r="R112" s="332">
        <f>-C7</f>
        <v>-5000</v>
      </c>
      <c r="S112" s="332"/>
      <c r="T112" s="332"/>
      <c r="U112" s="37"/>
      <c r="V112" s="36"/>
    </row>
    <row r="113" spans="10:22" ht="15.6">
      <c r="J113" s="39"/>
      <c r="K113" s="40"/>
      <c r="L113" s="41" t="s">
        <v>63</v>
      </c>
      <c r="M113" s="40" t="s">
        <v>9</v>
      </c>
      <c r="N113" s="40"/>
      <c r="O113" s="42"/>
      <c r="P113" s="40"/>
      <c r="Q113" s="36"/>
      <c r="R113" s="332">
        <f>-C5</f>
        <v>-72601.270499999999</v>
      </c>
      <c r="S113" s="332"/>
      <c r="T113" s="332"/>
      <c r="U113" s="37"/>
      <c r="V113" s="36"/>
    </row>
    <row r="114" spans="10:22" ht="15.6">
      <c r="J114" s="39"/>
      <c r="K114" s="40"/>
      <c r="L114" s="41" t="s">
        <v>63</v>
      </c>
      <c r="M114" s="40" t="s">
        <v>67</v>
      </c>
      <c r="N114" s="40"/>
      <c r="O114" s="42"/>
      <c r="P114" s="40"/>
      <c r="Q114" s="36"/>
      <c r="R114" s="332">
        <f>-C6</f>
        <v>-36000.629999999997</v>
      </c>
      <c r="S114" s="332"/>
      <c r="T114" s="332"/>
      <c r="U114" s="37"/>
      <c r="V114" s="36"/>
    </row>
    <row r="115" spans="10:22" ht="15.6">
      <c r="J115" s="39"/>
      <c r="K115" s="40"/>
      <c r="L115" s="41" t="s">
        <v>63</v>
      </c>
      <c r="M115" s="40" t="s">
        <v>67</v>
      </c>
      <c r="N115" s="40"/>
      <c r="O115" s="42"/>
      <c r="P115" s="40"/>
      <c r="Q115" s="36"/>
      <c r="R115" s="332">
        <f>-C9</f>
        <v>-9000.1574999999993</v>
      </c>
      <c r="S115" s="332"/>
      <c r="T115" s="332"/>
      <c r="U115" s="37"/>
      <c r="V115" s="36"/>
    </row>
    <row r="116" spans="10:22" ht="15" customHeight="1">
      <c r="J116" s="29"/>
      <c r="K116" s="33"/>
      <c r="L116" s="35" t="s">
        <v>68</v>
      </c>
      <c r="M116" s="33"/>
      <c r="N116" s="33"/>
      <c r="O116" s="31"/>
      <c r="P116" s="33"/>
      <c r="Q116" s="30"/>
      <c r="R116" s="331">
        <f>SUM(R108:T115)</f>
        <v>600010.5</v>
      </c>
      <c r="S116" s="331"/>
      <c r="T116" s="331"/>
      <c r="U116" s="46"/>
      <c r="V116" s="30"/>
    </row>
    <row r="117" spans="10:22">
      <c r="J117" s="29"/>
      <c r="K117" s="30"/>
      <c r="L117" s="30"/>
      <c r="M117" s="30"/>
      <c r="N117" s="30"/>
      <c r="O117" s="32"/>
      <c r="P117" s="30"/>
      <c r="Q117" s="30"/>
      <c r="R117" s="30"/>
      <c r="S117" s="30"/>
      <c r="T117" s="30"/>
      <c r="U117" s="46"/>
      <c r="V117" s="30"/>
    </row>
    <row r="118" spans="10:22">
      <c r="J118" s="29"/>
      <c r="K118" s="341" t="s">
        <v>69</v>
      </c>
      <c r="L118" s="342"/>
      <c r="M118" s="342"/>
      <c r="N118" s="342"/>
      <c r="O118" s="342"/>
      <c r="P118" s="342"/>
      <c r="Q118" s="342"/>
      <c r="R118" s="342"/>
      <c r="S118" s="342"/>
      <c r="T118" s="342"/>
      <c r="U118" s="46"/>
      <c r="V118" s="30"/>
    </row>
    <row r="119" spans="10:22">
      <c r="J119" s="29"/>
      <c r="K119" s="30"/>
      <c r="L119" s="30"/>
      <c r="M119" s="30"/>
      <c r="N119" s="30"/>
      <c r="O119" s="32"/>
      <c r="P119" s="30"/>
      <c r="Q119" s="30"/>
      <c r="R119" s="30"/>
      <c r="S119" s="30"/>
      <c r="T119" s="30"/>
      <c r="U119" s="46"/>
      <c r="V119" s="30"/>
    </row>
    <row r="120" spans="10:22" ht="15">
      <c r="J120" s="29"/>
      <c r="K120" s="30"/>
      <c r="L120" s="40" t="s">
        <v>47</v>
      </c>
      <c r="M120" s="40"/>
      <c r="N120" s="40"/>
      <c r="O120" s="40"/>
      <c r="P120" s="40"/>
      <c r="Q120" s="40"/>
      <c r="R120" s="343" t="s">
        <v>100</v>
      </c>
      <c r="S120" s="343"/>
      <c r="T120" s="343"/>
      <c r="U120" s="46"/>
      <c r="V120" s="30"/>
    </row>
    <row r="121" spans="10:22" ht="15">
      <c r="J121" s="29"/>
      <c r="K121" s="30"/>
      <c r="L121" s="40" t="s">
        <v>70</v>
      </c>
      <c r="M121" s="40"/>
      <c r="N121" s="40"/>
      <c r="O121" s="40"/>
      <c r="P121" s="40"/>
      <c r="Q121" s="40"/>
      <c r="R121" s="330">
        <f>C1</f>
        <v>15000.248169988199</v>
      </c>
      <c r="S121" s="330"/>
      <c r="T121" s="330"/>
      <c r="U121" s="46"/>
      <c r="V121" s="30"/>
    </row>
    <row r="122" spans="10:22" ht="15">
      <c r="J122" s="29"/>
      <c r="K122" s="30"/>
      <c r="L122" s="40" t="s">
        <v>71</v>
      </c>
      <c r="M122" s="40"/>
      <c r="N122" s="40"/>
      <c r="O122" s="40"/>
      <c r="P122" s="40"/>
      <c r="Q122" s="40"/>
      <c r="R122" s="344">
        <f>E24</f>
        <v>45722</v>
      </c>
      <c r="S122" s="345"/>
      <c r="T122" s="345"/>
      <c r="U122" s="46"/>
      <c r="V122" s="30"/>
    </row>
    <row r="123" spans="10:22" ht="15">
      <c r="J123" s="29"/>
      <c r="K123" s="30"/>
      <c r="L123" s="40" t="s">
        <v>72</v>
      </c>
      <c r="M123" s="40"/>
      <c r="N123" s="40"/>
      <c r="O123" s="40"/>
      <c r="P123" s="40"/>
      <c r="Q123" s="40"/>
      <c r="R123" s="344">
        <f>G24</f>
        <v>47579</v>
      </c>
      <c r="S123" s="345"/>
      <c r="T123" s="345"/>
      <c r="U123" s="46"/>
      <c r="V123" s="30"/>
    </row>
    <row r="124" spans="10:22" ht="15">
      <c r="J124" s="29"/>
      <c r="K124" s="30"/>
      <c r="L124" s="40" t="s">
        <v>73</v>
      </c>
      <c r="M124" s="40"/>
      <c r="N124" s="40"/>
      <c r="O124" s="40"/>
      <c r="P124" s="40"/>
      <c r="Q124" s="40"/>
      <c r="R124" s="329">
        <f>C14</f>
        <v>0.09</v>
      </c>
      <c r="S124" s="330"/>
      <c r="T124" s="330"/>
      <c r="U124" s="46"/>
      <c r="V124" s="30"/>
    </row>
    <row r="125" spans="10:22" ht="15">
      <c r="J125" s="29"/>
      <c r="K125" s="30"/>
      <c r="L125" s="40" t="s">
        <v>74</v>
      </c>
      <c r="M125" s="40"/>
      <c r="N125" s="40"/>
      <c r="O125" s="40"/>
      <c r="P125" s="40"/>
      <c r="Q125" s="40"/>
      <c r="R125" s="329">
        <f>C15</f>
        <v>9.4100503202476204E-2</v>
      </c>
      <c r="S125" s="330"/>
      <c r="T125" s="330"/>
      <c r="U125" s="46"/>
      <c r="V125" s="30"/>
    </row>
    <row r="126" spans="10:22" ht="15" thickBot="1">
      <c r="J126" s="29"/>
      <c r="K126" s="43"/>
      <c r="L126" s="43"/>
      <c r="M126" s="43"/>
      <c r="N126" s="43"/>
      <c r="O126" s="44"/>
      <c r="P126" s="43"/>
      <c r="Q126" s="43"/>
      <c r="R126" s="43"/>
      <c r="S126" s="43"/>
      <c r="T126" s="43"/>
      <c r="U126" s="46"/>
      <c r="V126" s="30"/>
    </row>
    <row r="127" spans="10:22" ht="15" thickTop="1">
      <c r="J127" s="29"/>
      <c r="K127" s="30"/>
      <c r="L127" s="30"/>
      <c r="M127" s="30"/>
      <c r="N127" s="30"/>
      <c r="O127" s="32"/>
      <c r="P127" s="30"/>
      <c r="Q127" s="30"/>
      <c r="R127" s="30"/>
      <c r="S127" s="30"/>
      <c r="T127" s="30"/>
      <c r="U127" s="46"/>
      <c r="V127" s="30"/>
    </row>
    <row r="128" spans="10:22">
      <c r="J128" s="29"/>
      <c r="K128" s="30"/>
      <c r="L128" s="30"/>
      <c r="M128" s="30"/>
      <c r="N128" s="30"/>
      <c r="O128" s="32"/>
      <c r="P128" s="30"/>
      <c r="Q128" s="30"/>
      <c r="R128" s="30"/>
      <c r="S128" s="30"/>
      <c r="T128" s="30"/>
      <c r="U128" s="46"/>
      <c r="V128" s="30"/>
    </row>
    <row r="129" spans="10:22">
      <c r="J129" s="29"/>
      <c r="K129" s="30"/>
      <c r="L129" s="30"/>
      <c r="M129" s="30"/>
      <c r="N129" s="30"/>
      <c r="O129" s="32"/>
      <c r="P129" s="30"/>
      <c r="Q129" s="30"/>
      <c r="R129" s="30"/>
      <c r="S129" s="30"/>
      <c r="T129" s="30"/>
      <c r="U129" s="46"/>
      <c r="V129" s="30"/>
    </row>
    <row r="130" spans="10:22">
      <c r="J130" s="29"/>
      <c r="K130" s="30"/>
      <c r="L130" s="30"/>
      <c r="M130" s="30"/>
      <c r="N130" s="30"/>
      <c r="O130" s="32"/>
      <c r="P130" s="30"/>
      <c r="Q130" s="30"/>
      <c r="R130" s="30"/>
      <c r="S130" s="30"/>
      <c r="T130" s="30"/>
      <c r="U130" s="46"/>
      <c r="V130" s="30"/>
    </row>
    <row r="131" spans="10:22">
      <c r="J131" s="29"/>
      <c r="K131" s="30"/>
      <c r="L131" s="30"/>
      <c r="M131" s="30"/>
      <c r="N131" s="30"/>
      <c r="O131" s="32"/>
      <c r="P131" s="30"/>
      <c r="Q131" s="30"/>
      <c r="R131" s="30"/>
      <c r="S131" s="30"/>
      <c r="T131" s="30"/>
      <c r="U131" s="46"/>
      <c r="V131" s="30"/>
    </row>
    <row r="132" spans="10:22">
      <c r="J132" s="29"/>
      <c r="K132" s="30"/>
      <c r="L132" s="30"/>
      <c r="M132" s="30"/>
      <c r="N132" s="30"/>
      <c r="O132" s="32"/>
      <c r="P132" s="30"/>
      <c r="Q132" s="30"/>
      <c r="R132" s="30"/>
      <c r="S132" s="30"/>
      <c r="T132" s="30"/>
      <c r="U132" s="46"/>
      <c r="V132" s="30"/>
    </row>
    <row r="133" spans="10:22">
      <c r="J133" s="29"/>
      <c r="K133" s="30"/>
      <c r="L133" s="30"/>
      <c r="M133" s="30"/>
      <c r="N133" s="30"/>
      <c r="O133" s="32"/>
      <c r="P133" s="30"/>
      <c r="Q133" s="30"/>
      <c r="R133" s="30"/>
      <c r="S133" s="30"/>
      <c r="T133" s="30"/>
      <c r="U133" s="46"/>
      <c r="V133" s="30"/>
    </row>
    <row r="134" spans="10:22">
      <c r="J134" s="29"/>
      <c r="K134" s="30" t="s">
        <v>75</v>
      </c>
      <c r="L134" s="30"/>
      <c r="M134" s="30"/>
      <c r="N134" s="30"/>
      <c r="O134" s="30"/>
      <c r="P134" s="30"/>
      <c r="Q134" s="30" t="s">
        <v>76</v>
      </c>
      <c r="R134" s="30"/>
      <c r="S134" s="30"/>
      <c r="T134" s="30"/>
      <c r="U134" s="46"/>
      <c r="V134" s="30"/>
    </row>
    <row r="135" spans="10:22">
      <c r="J135" s="29"/>
      <c r="K135" s="30"/>
      <c r="L135" s="30"/>
      <c r="M135" s="30"/>
      <c r="N135" s="30"/>
      <c r="O135" s="30"/>
      <c r="P135" s="30"/>
      <c r="Q135" s="30"/>
      <c r="R135" s="30"/>
      <c r="S135" s="30"/>
      <c r="T135" s="30"/>
      <c r="U135" s="46"/>
      <c r="V135" s="30"/>
    </row>
    <row r="136" spans="10:22" ht="15" thickBot="1">
      <c r="J136" s="29"/>
      <c r="K136" s="346" t="s">
        <v>90</v>
      </c>
      <c r="L136" s="346"/>
      <c r="M136" s="346"/>
      <c r="N136" s="346"/>
      <c r="O136" s="33"/>
      <c r="P136" s="346" t="s">
        <v>89</v>
      </c>
      <c r="Q136" s="346"/>
      <c r="R136" s="346"/>
      <c r="S136" s="346"/>
      <c r="T136" s="346"/>
      <c r="U136" s="46"/>
      <c r="V136" s="30"/>
    </row>
    <row r="137" spans="10:22">
      <c r="J137" s="29"/>
      <c r="K137" s="347" t="s">
        <v>77</v>
      </c>
      <c r="L137" s="347"/>
      <c r="M137" s="347"/>
      <c r="N137" s="347"/>
      <c r="O137" s="32"/>
      <c r="P137" s="30"/>
      <c r="Q137" s="347" t="s">
        <v>101</v>
      </c>
      <c r="R137" s="347"/>
      <c r="S137" s="347"/>
      <c r="T137" s="30"/>
      <c r="U137" s="46"/>
      <c r="V137" s="30"/>
    </row>
    <row r="138" spans="10:22">
      <c r="J138" s="29"/>
      <c r="K138" s="30"/>
      <c r="L138" s="30"/>
      <c r="M138" s="30"/>
      <c r="N138" s="30"/>
      <c r="O138" s="32"/>
      <c r="P138" s="30"/>
      <c r="Q138" s="30"/>
      <c r="R138" s="30"/>
      <c r="S138" s="30"/>
      <c r="T138" s="30"/>
      <c r="U138" s="46"/>
      <c r="V138" s="30"/>
    </row>
    <row r="139" spans="10:22">
      <c r="J139" s="29"/>
      <c r="K139" s="30" t="s">
        <v>79</v>
      </c>
      <c r="L139" s="30"/>
      <c r="M139" s="30"/>
      <c r="N139" s="30"/>
      <c r="O139" s="32"/>
      <c r="P139" s="30"/>
      <c r="Q139" s="30"/>
      <c r="R139" s="30"/>
      <c r="S139" s="30"/>
      <c r="T139" s="30"/>
      <c r="U139" s="46"/>
      <c r="V139" s="30"/>
    </row>
    <row r="140" spans="10:22" ht="15" thickBot="1">
      <c r="J140" s="29"/>
      <c r="K140" s="346" t="s">
        <v>102</v>
      </c>
      <c r="L140" s="346"/>
      <c r="M140" s="346"/>
      <c r="N140" s="346"/>
      <c r="O140" s="32"/>
      <c r="P140" s="346" t="s">
        <v>91</v>
      </c>
      <c r="Q140" s="346"/>
      <c r="R140" s="346"/>
      <c r="S140" s="346"/>
      <c r="T140" s="346"/>
      <c r="U140" s="46"/>
      <c r="V140" s="30"/>
    </row>
    <row r="141" spans="10:22">
      <c r="J141" s="29"/>
      <c r="K141" s="349" t="s">
        <v>80</v>
      </c>
      <c r="L141" s="349"/>
      <c r="M141" s="349"/>
      <c r="N141" s="349"/>
      <c r="O141" s="32"/>
      <c r="P141" s="30"/>
      <c r="Q141" s="347" t="s">
        <v>78</v>
      </c>
      <c r="R141" s="347"/>
      <c r="S141" s="347"/>
      <c r="T141" s="30"/>
      <c r="U141" s="46"/>
      <c r="V141" s="30"/>
    </row>
    <row r="142" spans="10:22" ht="15" thickBot="1">
      <c r="J142" s="50"/>
      <c r="K142" s="51"/>
      <c r="L142" s="51"/>
      <c r="M142" s="51"/>
      <c r="N142" s="51"/>
      <c r="O142" s="52"/>
      <c r="P142" s="51"/>
      <c r="Q142" s="51"/>
      <c r="R142" s="51"/>
      <c r="S142" s="51"/>
      <c r="T142" s="51"/>
      <c r="U142" s="53"/>
      <c r="V142" s="30"/>
    </row>
    <row r="143" spans="10:22">
      <c r="J143" s="30"/>
      <c r="K143" s="30"/>
      <c r="L143" s="30"/>
      <c r="M143" s="30"/>
      <c r="N143" s="30"/>
      <c r="O143" s="32"/>
      <c r="P143" s="30"/>
      <c r="Q143" s="30"/>
      <c r="R143" s="30"/>
      <c r="S143" s="30"/>
      <c r="T143" s="30"/>
      <c r="U143" s="30"/>
      <c r="V143" s="30"/>
    </row>
  </sheetData>
  <protectedRanges>
    <protectedRange sqref="E25" name="Range20"/>
    <protectedRange sqref="G24" name="Range19"/>
    <protectedRange sqref="E24" name="Range18"/>
    <protectedRange sqref="D23" name="Range17"/>
    <protectedRange sqref="F23" name="Range16"/>
    <protectedRange sqref="G24" name="Range15"/>
    <protectedRange sqref="H22" name="Range14"/>
    <protectedRange sqref="D22" name="Range13"/>
    <protectedRange sqref="C1" name="Range12"/>
    <protectedRange sqref="C3:C9" name="Range11"/>
    <protectedRange sqref="C10:BK10" name="Range21"/>
    <protectedRange sqref="C12" name="Range22"/>
    <protectedRange sqref="B28:C87" name="Range23"/>
  </protectedRanges>
  <mergeCells count="34">
    <mergeCell ref="C24:C27"/>
    <mergeCell ref="C20:H21"/>
    <mergeCell ref="R124:T124"/>
    <mergeCell ref="N104:S104"/>
    <mergeCell ref="N105:S105"/>
    <mergeCell ref="R108:T108"/>
    <mergeCell ref="R110:T110"/>
    <mergeCell ref="N106:T106"/>
    <mergeCell ref="K95:T95"/>
    <mergeCell ref="D22:F22"/>
    <mergeCell ref="K96:T96"/>
    <mergeCell ref="K98:T98"/>
    <mergeCell ref="S100:T100"/>
    <mergeCell ref="S101:T101"/>
    <mergeCell ref="R125:T125"/>
    <mergeCell ref="R111:T111"/>
    <mergeCell ref="R112:T112"/>
    <mergeCell ref="R113:T113"/>
    <mergeCell ref="R114:T114"/>
    <mergeCell ref="R116:T116"/>
    <mergeCell ref="R115:T115"/>
    <mergeCell ref="K118:T118"/>
    <mergeCell ref="R120:T120"/>
    <mergeCell ref="R121:T121"/>
    <mergeCell ref="R122:T122"/>
    <mergeCell ref="R123:T123"/>
    <mergeCell ref="P140:T140"/>
    <mergeCell ref="Q141:S141"/>
    <mergeCell ref="K136:N136"/>
    <mergeCell ref="K137:N137"/>
    <mergeCell ref="K141:N141"/>
    <mergeCell ref="P136:T136"/>
    <mergeCell ref="K140:N140"/>
    <mergeCell ref="Q137:S137"/>
  </mergeCells>
  <conditionalFormatting sqref="B28:B87">
    <cfRule type="timePeriod" dxfId="0" priority="1" timePeriod="lastMonth">
      <formula>AND(MONTH(B28)=MONTH(EDATE(TODAY(),0-1)),YEAR(B28)=YEAR(EDATE(TODAY(),0-1)))</formula>
    </cfRule>
  </conditionalFormatting>
  <printOptions horizontalCentered="1" verticalCentered="1"/>
  <pageMargins left="0" right="0" top="0" bottom="0" header="0.31496062992126" footer="0.31496062992126"/>
  <pageSetup scale="77"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440D2-9A14-4398-B3AC-C8690359AC4D}">
  <sheetPr>
    <pageSetUpPr fitToPage="1"/>
  </sheetPr>
  <dimension ref="A1:CT167"/>
  <sheetViews>
    <sheetView zoomScale="70" zoomScaleNormal="70" workbookViewId="0">
      <selection activeCell="C1" sqref="C1"/>
    </sheetView>
  </sheetViews>
  <sheetFormatPr defaultColWidth="8.88671875" defaultRowHeight="14.4"/>
  <cols>
    <col min="1" max="1" width="2.88671875" customWidth="1"/>
    <col min="2" max="2" width="27.33203125" customWidth="1"/>
    <col min="3" max="3" width="13.44140625" customWidth="1"/>
    <col min="4" max="5" width="15.6640625" customWidth="1"/>
    <col min="6" max="6" width="15.5546875" customWidth="1"/>
    <col min="7" max="9" width="15.6640625" customWidth="1"/>
    <col min="10" max="10" width="4.6640625" customWidth="1"/>
    <col min="11" max="20" width="10.6640625" customWidth="1"/>
    <col min="21" max="21" width="4.6640625" customWidth="1"/>
    <col min="22" max="22" width="15.6640625" customWidth="1"/>
    <col min="23" max="57" width="4.88671875" customWidth="1"/>
    <col min="58" max="98" width="15.6640625" customWidth="1"/>
  </cols>
  <sheetData>
    <row r="1" spans="1:98">
      <c r="B1" t="s">
        <v>34</v>
      </c>
      <c r="C1" s="1">
        <f>'DATA ENTRY'!C15</f>
        <v>9338.1996345234002</v>
      </c>
    </row>
    <row r="2" spans="1:98">
      <c r="B2" s="2" t="s">
        <v>35</v>
      </c>
      <c r="C2" s="3">
        <v>0</v>
      </c>
      <c r="D2" s="3">
        <v>1</v>
      </c>
      <c r="E2" s="3">
        <v>2</v>
      </c>
      <c r="F2" s="3">
        <v>3</v>
      </c>
      <c r="G2" s="3">
        <v>4</v>
      </c>
      <c r="H2" s="3">
        <v>5</v>
      </c>
      <c r="I2" s="3">
        <v>6</v>
      </c>
      <c r="J2" s="3">
        <v>7</v>
      </c>
      <c r="K2" s="3">
        <v>8</v>
      </c>
      <c r="L2" s="3">
        <v>9</v>
      </c>
      <c r="M2" s="3">
        <v>10</v>
      </c>
      <c r="N2" s="3">
        <v>11</v>
      </c>
      <c r="O2" s="3">
        <v>12</v>
      </c>
      <c r="AP2" s="191"/>
      <c r="AQ2" s="191"/>
      <c r="AR2" s="191"/>
      <c r="AS2" s="191"/>
      <c r="AT2" s="191"/>
      <c r="AU2" s="191"/>
      <c r="AV2" s="191"/>
      <c r="AW2" s="191"/>
      <c r="AX2" s="191"/>
      <c r="AY2" s="191"/>
      <c r="AZ2" s="191"/>
      <c r="BA2" s="191"/>
      <c r="BB2" s="191"/>
      <c r="BC2" s="191"/>
      <c r="BD2" s="191"/>
      <c r="BE2" s="191"/>
      <c r="BF2" s="191"/>
      <c r="BG2" s="191"/>
      <c r="BH2" s="191"/>
      <c r="BI2" s="191"/>
      <c r="BJ2" s="191"/>
      <c r="BK2" s="191"/>
      <c r="BL2" s="191"/>
      <c r="BM2" s="191"/>
      <c r="BN2" s="191"/>
      <c r="BO2" s="191"/>
      <c r="BP2" s="191"/>
      <c r="BQ2" s="191"/>
      <c r="BR2" s="191"/>
      <c r="BS2" s="191"/>
      <c r="BT2" s="191"/>
      <c r="BU2" s="191"/>
      <c r="BV2" s="191"/>
      <c r="BW2" s="191"/>
      <c r="BX2" s="191"/>
      <c r="BY2" s="191"/>
      <c r="BZ2" s="191"/>
      <c r="CA2" s="191"/>
      <c r="CB2" s="191"/>
      <c r="CC2" s="191"/>
      <c r="CD2" s="191"/>
      <c r="CE2" s="191"/>
      <c r="CF2" s="191"/>
      <c r="CG2" s="191"/>
      <c r="CH2" s="191"/>
      <c r="CI2" s="191"/>
      <c r="CJ2" s="191"/>
      <c r="CK2" s="191"/>
      <c r="CL2" s="191"/>
      <c r="CM2" s="191"/>
      <c r="CN2" s="191"/>
      <c r="CO2" s="191"/>
      <c r="CP2" s="191"/>
      <c r="CQ2" s="191"/>
      <c r="CR2" s="191"/>
      <c r="CS2" s="191"/>
      <c r="CT2" s="191"/>
    </row>
    <row r="3" spans="1:98">
      <c r="B3" s="2" t="s">
        <v>6</v>
      </c>
      <c r="C3" s="4">
        <f>'DATA ENTRY'!C4</f>
        <v>112058.3956142808</v>
      </c>
      <c r="D3" s="4"/>
      <c r="E3" s="4"/>
      <c r="F3" s="4"/>
      <c r="G3" s="4"/>
      <c r="H3" s="4"/>
      <c r="I3" s="4"/>
      <c r="J3" s="4"/>
      <c r="K3" s="4"/>
      <c r="L3" s="4"/>
      <c r="M3" s="4"/>
      <c r="N3" s="4"/>
      <c r="O3" s="4"/>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row>
    <row r="4" spans="1:98">
      <c r="A4">
        <v>41</v>
      </c>
      <c r="B4" s="2" t="s">
        <v>14</v>
      </c>
      <c r="C4" s="4">
        <f>'DATA ENTRY'!C12</f>
        <v>107635.75</v>
      </c>
      <c r="D4" s="6">
        <f t="shared" ref="D4:O4" si="0">-$C1</f>
        <v>-9338.1996345234002</v>
      </c>
      <c r="E4" s="6">
        <f t="shared" si="0"/>
        <v>-9338.1996345234002</v>
      </c>
      <c r="F4" s="6">
        <f t="shared" si="0"/>
        <v>-9338.1996345234002</v>
      </c>
      <c r="G4" s="6">
        <f t="shared" si="0"/>
        <v>-9338.1996345234002</v>
      </c>
      <c r="H4" s="6">
        <f t="shared" si="0"/>
        <v>-9338.1996345234002</v>
      </c>
      <c r="I4" s="6">
        <f t="shared" si="0"/>
        <v>-9338.1996345234002</v>
      </c>
      <c r="J4" s="6">
        <f t="shared" si="0"/>
        <v>-9338.1996345234002</v>
      </c>
      <c r="K4" s="6">
        <f t="shared" si="0"/>
        <v>-9338.1996345234002</v>
      </c>
      <c r="L4" s="6">
        <f t="shared" si="0"/>
        <v>-9338.1996345234002</v>
      </c>
      <c r="M4" s="6">
        <f t="shared" si="0"/>
        <v>-9338.1996345234002</v>
      </c>
      <c r="N4" s="6">
        <f t="shared" si="0"/>
        <v>-9338.1996345234002</v>
      </c>
      <c r="O4" s="6">
        <f t="shared" si="0"/>
        <v>-9338.1996345234002</v>
      </c>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row>
    <row r="5" spans="1:98">
      <c r="B5" s="2" t="s">
        <v>9</v>
      </c>
      <c r="C5" s="4">
        <f>'DATA ENTRY'!C7</f>
        <v>6545.0000000000009</v>
      </c>
      <c r="D5" s="4"/>
      <c r="E5" s="4"/>
      <c r="F5" s="4"/>
      <c r="G5" s="4"/>
      <c r="H5" s="4"/>
      <c r="I5" s="4"/>
      <c r="J5" s="4"/>
      <c r="K5" s="4"/>
      <c r="L5" s="4"/>
      <c r="M5" s="4"/>
      <c r="N5" s="4"/>
      <c r="O5" s="4"/>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row>
    <row r="6" spans="1:98">
      <c r="B6" s="2" t="s">
        <v>10</v>
      </c>
      <c r="C6" s="4">
        <f>'DATA ENTRY'!C8</f>
        <v>1122</v>
      </c>
      <c r="D6" s="4"/>
      <c r="E6" s="4"/>
      <c r="F6" s="4"/>
      <c r="G6" s="4"/>
      <c r="H6" s="4"/>
      <c r="I6" s="4"/>
      <c r="J6" s="4"/>
      <c r="K6" s="4"/>
      <c r="L6" s="4"/>
      <c r="M6" s="4"/>
      <c r="N6" s="4"/>
      <c r="O6" s="4"/>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row>
    <row r="7" spans="1:98">
      <c r="B7" s="2" t="s">
        <v>11</v>
      </c>
      <c r="C7" s="4">
        <v>22000</v>
      </c>
      <c r="D7" s="4"/>
      <c r="E7" s="4"/>
      <c r="F7" s="4"/>
      <c r="G7" s="4"/>
      <c r="H7" s="4"/>
      <c r="I7" s="4"/>
      <c r="J7" s="4"/>
      <c r="K7" s="4"/>
      <c r="L7" s="4"/>
      <c r="M7" s="4"/>
      <c r="N7" s="4"/>
      <c r="O7" s="4"/>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row>
    <row r="8" spans="1:98">
      <c r="B8" s="2" t="s">
        <v>12</v>
      </c>
      <c r="C8" s="4">
        <f>'DATA ENTRY'!C10</f>
        <v>300</v>
      </c>
      <c r="D8" s="4"/>
      <c r="E8" s="4"/>
      <c r="F8" s="4"/>
      <c r="G8" s="4"/>
      <c r="H8" s="4"/>
      <c r="I8" s="4"/>
      <c r="J8" s="4"/>
      <c r="K8" s="4"/>
      <c r="L8" s="4"/>
      <c r="M8" s="4"/>
      <c r="N8" s="4"/>
      <c r="O8" s="4"/>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row>
    <row r="9" spans="1:98">
      <c r="B9" s="2" t="s">
        <v>13</v>
      </c>
      <c r="C9" s="4">
        <f>'DATA ENTRY'!C11</f>
        <v>1168.75</v>
      </c>
      <c r="D9" s="4"/>
      <c r="E9" s="4"/>
      <c r="F9" s="4"/>
      <c r="G9" s="4"/>
      <c r="H9" s="4"/>
      <c r="I9" s="4"/>
      <c r="J9" s="4"/>
      <c r="K9" s="4"/>
      <c r="L9" s="4"/>
      <c r="M9" s="4"/>
      <c r="N9" s="4"/>
      <c r="O9" s="4"/>
      <c r="AP9" s="67"/>
      <c r="AQ9" s="67"/>
      <c r="AR9" s="67"/>
      <c r="AS9" s="67"/>
      <c r="AT9" s="67"/>
      <c r="AU9" s="67"/>
      <c r="AV9" s="67"/>
      <c r="AW9" s="67"/>
      <c r="AX9" s="67"/>
      <c r="AY9" s="67"/>
      <c r="AZ9" s="67"/>
      <c r="BA9" s="67"/>
      <c r="BB9" s="67"/>
      <c r="BC9" s="67"/>
      <c r="BD9" s="67"/>
      <c r="BE9" s="67"/>
      <c r="BF9" s="67"/>
      <c r="BG9" s="67"/>
      <c r="BH9" s="67"/>
      <c r="BI9" s="67"/>
      <c r="BJ9" s="67"/>
      <c r="BK9" s="67"/>
      <c r="BL9" s="67"/>
      <c r="BM9" s="67"/>
      <c r="BN9" s="67"/>
      <c r="BO9" s="67"/>
      <c r="BP9" s="67"/>
      <c r="BQ9" s="67"/>
      <c r="BR9" s="67"/>
      <c r="BS9" s="67"/>
      <c r="BT9" s="67"/>
      <c r="BU9" s="67"/>
      <c r="BV9" s="67"/>
      <c r="BW9" s="67"/>
      <c r="BX9" s="67"/>
      <c r="BY9" s="67"/>
      <c r="BZ9" s="67"/>
      <c r="CA9" s="67"/>
      <c r="CB9" s="67"/>
      <c r="CC9" s="67"/>
      <c r="CD9" s="67"/>
      <c r="CE9" s="67"/>
      <c r="CF9" s="67"/>
      <c r="CG9" s="67"/>
      <c r="CH9" s="67"/>
      <c r="CI9" s="67"/>
      <c r="CJ9" s="67"/>
      <c r="CK9" s="67"/>
      <c r="CL9" s="67"/>
      <c r="CM9" s="67"/>
      <c r="CN9" s="67"/>
      <c r="CO9" s="67"/>
      <c r="CP9" s="67"/>
      <c r="CQ9" s="67"/>
      <c r="CR9" s="67"/>
      <c r="CS9" s="67"/>
      <c r="CT9" s="67"/>
    </row>
    <row r="10" spans="1:98">
      <c r="B10" s="5" t="s">
        <v>36</v>
      </c>
      <c r="C10" s="6">
        <f>C4-C5-C6-C7-C8-C9</f>
        <v>76500</v>
      </c>
      <c r="AP10" s="67"/>
      <c r="AQ10" s="67"/>
      <c r="AR10" s="67"/>
      <c r="AS10" s="67"/>
      <c r="AT10" s="67"/>
      <c r="AU10" s="67"/>
      <c r="AV10" s="67"/>
      <c r="AW10" s="67"/>
      <c r="AX10" s="67"/>
      <c r="AY10" s="67"/>
      <c r="AZ10" s="67"/>
      <c r="BA10" s="67"/>
      <c r="BB10" s="67"/>
      <c r="BC10" s="67"/>
      <c r="BD10" s="67"/>
      <c r="BE10" s="67"/>
      <c r="BF10" s="67"/>
      <c r="BG10" s="67"/>
      <c r="BH10" s="67"/>
      <c r="BI10" s="67"/>
      <c r="BJ10" s="67"/>
      <c r="BK10" s="67"/>
      <c r="BL10" s="67"/>
      <c r="BM10" s="67"/>
      <c r="BN10" s="67"/>
      <c r="BO10" s="67"/>
      <c r="BP10" s="67"/>
      <c r="BQ10" s="67"/>
      <c r="BR10" s="67"/>
      <c r="BS10" s="67"/>
      <c r="BT10" s="67"/>
      <c r="BU10" s="67"/>
      <c r="BV10" s="67"/>
      <c r="BW10" s="67"/>
      <c r="BX10" s="67"/>
      <c r="BY10" s="67"/>
      <c r="BZ10" s="67"/>
      <c r="CA10" s="67"/>
      <c r="CB10" s="67"/>
      <c r="CC10" s="67"/>
      <c r="CD10" s="67"/>
      <c r="CE10" s="67"/>
      <c r="CF10" s="67"/>
      <c r="CG10" s="67"/>
      <c r="CH10" s="67"/>
      <c r="CI10" s="67"/>
      <c r="CJ10" s="67"/>
      <c r="CK10" s="67"/>
      <c r="CL10" s="67"/>
      <c r="CM10" s="67"/>
      <c r="CN10" s="67"/>
      <c r="CO10" s="67"/>
      <c r="CP10" s="67"/>
      <c r="CQ10" s="67"/>
      <c r="CR10" s="67"/>
      <c r="CS10" s="67"/>
      <c r="CT10" s="67"/>
    </row>
    <row r="12" spans="1:98">
      <c r="B12" t="s">
        <v>37</v>
      </c>
      <c r="C12" s="7">
        <f>IRR(C4:O4)</f>
        <v>6.2499999999987566E-3</v>
      </c>
      <c r="D12">
        <f>C12/5</f>
        <v>1.2499999999997513E-3</v>
      </c>
    </row>
    <row r="13" spans="1:98">
      <c r="C13" s="8"/>
    </row>
    <row r="14" spans="1:98">
      <c r="B14" t="s">
        <v>254</v>
      </c>
      <c r="C14" s="192"/>
    </row>
    <row r="15" spans="1:98">
      <c r="B15" t="s">
        <v>29</v>
      </c>
      <c r="C15" s="9">
        <f>'[3]Data Entry'!D12/12</f>
        <v>7.0833333333333338E-3</v>
      </c>
    </row>
    <row r="16" spans="1:98">
      <c r="B16" t="s">
        <v>16</v>
      </c>
      <c r="C16" s="115">
        <f>'[3]Data Entry'!D13</f>
        <v>8.855359027416676E-2</v>
      </c>
    </row>
    <row r="17" spans="2:57">
      <c r="B17" t="s">
        <v>190</v>
      </c>
      <c r="C17" t="s">
        <v>321</v>
      </c>
    </row>
    <row r="19" spans="2:57" ht="15" thickBot="1">
      <c r="H19" s="10"/>
    </row>
    <row r="20" spans="2:57" ht="15.6">
      <c r="B20" s="1"/>
      <c r="C20" s="323" t="s">
        <v>38</v>
      </c>
      <c r="D20" s="324"/>
      <c r="E20" s="324"/>
      <c r="F20" s="324"/>
      <c r="G20" s="324"/>
      <c r="H20" s="325"/>
      <c r="I20" s="24"/>
      <c r="J20" s="26"/>
      <c r="K20" s="27"/>
      <c r="L20" s="27"/>
      <c r="M20" s="27"/>
      <c r="N20" s="27"/>
      <c r="O20" s="28"/>
      <c r="P20" s="27"/>
      <c r="Q20" s="27"/>
      <c r="R20" s="27"/>
      <c r="S20" s="27"/>
      <c r="T20" s="27"/>
      <c r="U20" s="45"/>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row>
    <row r="21" spans="2:57" ht="15.6">
      <c r="C21" s="515"/>
      <c r="D21" s="516"/>
      <c r="E21" s="516"/>
      <c r="F21" s="516"/>
      <c r="G21" s="516"/>
      <c r="H21" s="517"/>
      <c r="J21" s="29"/>
      <c r="K21" s="30"/>
      <c r="L21" s="30"/>
      <c r="M21" s="30"/>
      <c r="N21" s="30"/>
      <c r="O21" s="31"/>
      <c r="P21" s="30"/>
      <c r="Q21" s="30"/>
      <c r="R21" s="30"/>
      <c r="S21" s="30"/>
      <c r="T21" s="30"/>
      <c r="U21" s="46"/>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row>
    <row r="22" spans="2:57" ht="15.6">
      <c r="C22" s="11" t="s">
        <v>39</v>
      </c>
      <c r="D22" s="518" t="s">
        <v>323</v>
      </c>
      <c r="E22" s="296"/>
      <c r="F22" s="296"/>
      <c r="G22" s="2" t="s">
        <v>40</v>
      </c>
      <c r="H22" s="251" t="s">
        <v>324</v>
      </c>
      <c r="J22" s="29"/>
      <c r="K22" s="30"/>
      <c r="L22" s="30"/>
      <c r="M22" s="30"/>
      <c r="N22" s="30"/>
      <c r="O22" s="32"/>
      <c r="P22" s="30"/>
      <c r="Q22" s="30"/>
      <c r="R22" s="30"/>
      <c r="S22" s="30"/>
      <c r="T22" s="30"/>
      <c r="U22" s="46"/>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row>
    <row r="23" spans="2:57" ht="15.75" customHeight="1">
      <c r="C23" s="11" t="s">
        <v>257</v>
      </c>
      <c r="D23" s="248">
        <v>648091</v>
      </c>
      <c r="E23" s="20" t="s">
        <v>42</v>
      </c>
      <c r="F23" s="519" t="s">
        <v>325</v>
      </c>
      <c r="G23" s="519"/>
      <c r="H23" s="520"/>
      <c r="I23" s="121"/>
      <c r="J23" s="194"/>
      <c r="K23" s="121"/>
      <c r="L23" s="121"/>
      <c r="M23" s="121"/>
      <c r="N23" s="121"/>
      <c r="O23" s="121"/>
      <c r="P23" s="121"/>
      <c r="Q23" s="121"/>
      <c r="R23" s="121"/>
      <c r="S23" s="121"/>
      <c r="T23" s="121"/>
      <c r="U23" s="195"/>
      <c r="V23" s="121"/>
      <c r="W23" s="121"/>
      <c r="X23" s="121"/>
      <c r="Y23" s="121"/>
      <c r="Z23" s="121"/>
      <c r="AA23" s="121"/>
      <c r="AB23" s="121"/>
      <c r="AC23" s="121"/>
      <c r="AD23" s="121"/>
      <c r="AE23" s="121"/>
      <c r="AF23" s="121"/>
      <c r="AG23" s="121"/>
      <c r="AH23" s="121"/>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row>
    <row r="24" spans="2:57" ht="21">
      <c r="C24" s="521" t="s">
        <v>44</v>
      </c>
      <c r="D24" s="2" t="s">
        <v>45</v>
      </c>
      <c r="E24" s="196">
        <v>45908</v>
      </c>
      <c r="F24" s="2" t="s">
        <v>46</v>
      </c>
      <c r="G24" s="20">
        <f>B39</f>
        <v>46273</v>
      </c>
      <c r="H24" s="15"/>
      <c r="J24" s="29"/>
      <c r="K24" s="334" t="s">
        <v>55</v>
      </c>
      <c r="L24" s="334"/>
      <c r="M24" s="334"/>
      <c r="N24" s="334"/>
      <c r="O24" s="334"/>
      <c r="P24" s="334"/>
      <c r="Q24" s="334"/>
      <c r="R24" s="334"/>
      <c r="S24" s="334"/>
      <c r="T24" s="334"/>
      <c r="U24" s="46"/>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row>
    <row r="25" spans="2:57" ht="15.6">
      <c r="C25" s="521"/>
      <c r="D25" s="2" t="s">
        <v>47</v>
      </c>
      <c r="E25" s="2">
        <v>12</v>
      </c>
      <c r="F25" s="2" t="s">
        <v>48</v>
      </c>
      <c r="G25" s="2"/>
      <c r="H25" s="15"/>
      <c r="J25" s="29"/>
      <c r="K25" s="335" t="s">
        <v>56</v>
      </c>
      <c r="L25" s="335"/>
      <c r="M25" s="335"/>
      <c r="N25" s="335"/>
      <c r="O25" s="335"/>
      <c r="P25" s="335"/>
      <c r="Q25" s="335"/>
      <c r="R25" s="335"/>
      <c r="S25" s="335"/>
      <c r="T25" s="335"/>
      <c r="U25" s="46"/>
      <c r="W25" s="120"/>
      <c r="X25" s="514" t="s">
        <v>108</v>
      </c>
      <c r="Y25" s="514"/>
      <c r="Z25" s="514"/>
      <c r="AA25" s="514"/>
      <c r="AB25" s="514"/>
      <c r="AC25" s="514"/>
      <c r="AD25" s="514"/>
      <c r="AE25" s="514"/>
      <c r="AF25" s="514"/>
      <c r="AG25" s="514"/>
      <c r="AH25" s="514"/>
      <c r="AI25" s="514"/>
      <c r="AJ25" s="514"/>
      <c r="AK25" s="514"/>
      <c r="AL25" s="514"/>
      <c r="AM25" s="514"/>
      <c r="AN25" s="514"/>
      <c r="AO25" s="514"/>
      <c r="AP25" s="514"/>
      <c r="AQ25" s="514"/>
      <c r="AR25" s="514"/>
      <c r="AS25" s="514"/>
      <c r="AT25" s="514"/>
      <c r="AU25" s="514"/>
      <c r="AV25" s="514"/>
      <c r="AW25" s="514"/>
      <c r="AX25" s="514"/>
      <c r="AY25" s="514"/>
      <c r="AZ25" s="514"/>
      <c r="BA25" s="514"/>
      <c r="BB25" s="514"/>
      <c r="BC25" s="514"/>
      <c r="BD25" s="514"/>
      <c r="BE25" s="120"/>
    </row>
    <row r="26" spans="2:57" ht="15.6">
      <c r="C26" s="521"/>
      <c r="D26" s="2" t="s">
        <v>49</v>
      </c>
      <c r="E26" s="200" t="s">
        <v>50</v>
      </c>
      <c r="F26" s="200" t="s">
        <v>51</v>
      </c>
      <c r="G26" s="200" t="s">
        <v>52</v>
      </c>
      <c r="H26" s="201" t="s">
        <v>53</v>
      </c>
      <c r="J26" s="29"/>
      <c r="K26" s="30"/>
      <c r="L26" s="30"/>
      <c r="M26" s="30"/>
      <c r="N26" s="30"/>
      <c r="O26" s="32"/>
      <c r="P26" s="30"/>
      <c r="Q26" s="30"/>
      <c r="R26" s="30"/>
      <c r="S26" s="30"/>
      <c r="T26" s="30"/>
      <c r="U26" s="46"/>
      <c r="W26" s="120"/>
      <c r="X26" s="514" t="s">
        <v>109</v>
      </c>
      <c r="Y26" s="514"/>
      <c r="Z26" s="514"/>
      <c r="AA26" s="514"/>
      <c r="AB26" s="514"/>
      <c r="AC26" s="514"/>
      <c r="AD26" s="514"/>
      <c r="AE26" s="514"/>
      <c r="AF26" s="514"/>
      <c r="AG26" s="514"/>
      <c r="AH26" s="514"/>
      <c r="AI26" s="514"/>
      <c r="AJ26" s="514"/>
      <c r="AK26" s="514"/>
      <c r="AL26" s="514"/>
      <c r="AM26" s="514"/>
      <c r="AN26" s="514"/>
      <c r="AO26" s="514"/>
      <c r="AP26" s="514"/>
      <c r="AQ26" s="514"/>
      <c r="AR26" s="514"/>
      <c r="AS26" s="514"/>
      <c r="AT26" s="514"/>
      <c r="AU26" s="514"/>
      <c r="AV26" s="514"/>
      <c r="AW26" s="514"/>
      <c r="AX26" s="514"/>
      <c r="AY26" s="514"/>
      <c r="AZ26" s="514"/>
      <c r="BA26" s="514"/>
      <c r="BB26" s="514"/>
      <c r="BC26" s="514"/>
      <c r="BD26" s="514"/>
      <c r="BE26" s="120"/>
    </row>
    <row r="27" spans="2:57" ht="17.399999999999999">
      <c r="C27" s="521"/>
      <c r="D27" s="2" t="s">
        <v>54</v>
      </c>
      <c r="E27" s="2"/>
      <c r="F27" s="2"/>
      <c r="G27" s="2"/>
      <c r="H27" s="21">
        <f>C4</f>
        <v>107635.75</v>
      </c>
      <c r="J27" s="29"/>
      <c r="K27" s="336" t="s">
        <v>57</v>
      </c>
      <c r="L27" s="336"/>
      <c r="M27" s="336"/>
      <c r="N27" s="336"/>
      <c r="O27" s="336"/>
      <c r="P27" s="336"/>
      <c r="Q27" s="336"/>
      <c r="R27" s="336"/>
      <c r="S27" s="336"/>
      <c r="T27" s="336"/>
      <c r="U27" s="46"/>
      <c r="W27" s="120"/>
      <c r="X27" s="514" t="s">
        <v>110</v>
      </c>
      <c r="Y27" s="514"/>
      <c r="Z27" s="514"/>
      <c r="AA27" s="514"/>
      <c r="AB27" s="514"/>
      <c r="AC27" s="514"/>
      <c r="AD27" s="514"/>
      <c r="AE27" s="514"/>
      <c r="AF27" s="514"/>
      <c r="AG27" s="514"/>
      <c r="AH27" s="514"/>
      <c r="AI27" s="514"/>
      <c r="AJ27" s="514"/>
      <c r="AK27" s="514"/>
      <c r="AL27" s="514"/>
      <c r="AM27" s="514"/>
      <c r="AN27" s="514"/>
      <c r="AO27" s="514"/>
      <c r="AP27" s="514"/>
      <c r="AQ27" s="514"/>
      <c r="AR27" s="514"/>
      <c r="AS27" s="514"/>
      <c r="AT27" s="514"/>
      <c r="AU27" s="514"/>
      <c r="AV27" s="514"/>
      <c r="AW27" s="514"/>
      <c r="AX27" s="514"/>
      <c r="AY27" s="514"/>
      <c r="AZ27" s="514"/>
      <c r="BA27" s="514"/>
      <c r="BB27" s="514"/>
      <c r="BC27" s="514"/>
      <c r="BD27" s="514"/>
      <c r="BE27" s="120"/>
    </row>
    <row r="28" spans="2:57" ht="15.6">
      <c r="B28" s="22">
        <f>DATE(YEAR(E$24),MONTH(E$24)+D28+0,DAY(E$24))</f>
        <v>45938</v>
      </c>
      <c r="C28" s="23" t="str">
        <f t="shared" ref="C28:C39" si="1">TEXT(B28,"mmm-yyyy")</f>
        <v>Oct-2025</v>
      </c>
      <c r="D28" s="2">
        <v>1</v>
      </c>
      <c r="E28" s="93">
        <f t="shared" ref="E28:E39" si="2">C$1</f>
        <v>9338.1996345234002</v>
      </c>
      <c r="F28" s="104">
        <f>E28-G28</f>
        <v>8665.476197023534</v>
      </c>
      <c r="G28" s="105">
        <f t="shared" ref="G28:G39" si="3">H27*C$12</f>
        <v>672.72343749986612</v>
      </c>
      <c r="H28" s="21">
        <f>H27-F28</f>
        <v>98970.273802976473</v>
      </c>
      <c r="J28" s="29"/>
      <c r="K28" s="33"/>
      <c r="L28" s="33"/>
      <c r="M28" s="33"/>
      <c r="N28" s="33"/>
      <c r="O28" s="31"/>
      <c r="P28" s="33"/>
      <c r="Q28" s="30"/>
      <c r="R28" s="30"/>
      <c r="S28" s="30"/>
      <c r="T28" s="30"/>
      <c r="U28" s="46"/>
      <c r="W28" s="120"/>
      <c r="X28" s="120"/>
      <c r="Y28" s="120"/>
      <c r="Z28" s="120"/>
      <c r="AA28" s="120"/>
      <c r="AB28" s="120"/>
      <c r="AC28" s="120"/>
      <c r="AD28" s="120"/>
      <c r="AE28" s="122"/>
      <c r="AF28" s="122"/>
      <c r="AG28" s="122"/>
      <c r="AH28" s="122"/>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row>
    <row r="29" spans="2:57" ht="15.6">
      <c r="B29" s="22">
        <f t="shared" ref="B29:B39" si="4">DATE(YEAR(E$24),MONTH(E$24)+D29+0,DAY(E$24))</f>
        <v>45969</v>
      </c>
      <c r="C29" s="23" t="str">
        <f t="shared" si="1"/>
        <v>Nov-2025</v>
      </c>
      <c r="D29" s="2">
        <v>2</v>
      </c>
      <c r="E29" s="93">
        <f t="shared" si="2"/>
        <v>9338.1996345234002</v>
      </c>
      <c r="F29" s="104">
        <f t="shared" ref="F29:F39" si="5">E29-G29</f>
        <v>8719.6354232549202</v>
      </c>
      <c r="G29" s="105">
        <f t="shared" si="3"/>
        <v>618.56421126847988</v>
      </c>
      <c r="H29" s="21">
        <f t="shared" ref="H29:H39" si="6">H28-F29</f>
        <v>90250.638379721553</v>
      </c>
      <c r="J29" s="29"/>
      <c r="K29" s="33"/>
      <c r="L29" s="33"/>
      <c r="M29" s="33"/>
      <c r="N29" s="33"/>
      <c r="O29" s="31"/>
      <c r="P29" s="33"/>
      <c r="Q29" s="30"/>
      <c r="R29" s="35" t="s">
        <v>58</v>
      </c>
      <c r="S29" s="337">
        <f>E24</f>
        <v>45908</v>
      </c>
      <c r="T29" s="337"/>
      <c r="U29" s="46"/>
      <c r="W29" s="123"/>
      <c r="X29" s="486" t="s">
        <v>111</v>
      </c>
      <c r="Y29" s="487"/>
      <c r="Z29" s="487"/>
      <c r="AA29" s="487"/>
      <c r="AB29" s="487"/>
      <c r="AC29" s="487"/>
      <c r="AD29" s="487"/>
      <c r="AE29" s="487"/>
      <c r="AF29" s="487"/>
      <c r="AG29" s="487"/>
      <c r="AH29" s="487"/>
      <c r="AI29" s="487"/>
      <c r="AJ29" s="487"/>
      <c r="AK29" s="487"/>
      <c r="AL29" s="487"/>
      <c r="AM29" s="487"/>
      <c r="AN29" s="487"/>
      <c r="AO29" s="487"/>
      <c r="AP29" s="487"/>
      <c r="AQ29" s="487"/>
      <c r="AR29" s="487"/>
      <c r="AS29" s="487"/>
      <c r="AT29" s="487"/>
      <c r="AU29" s="487"/>
      <c r="AV29" s="487"/>
      <c r="AW29" s="487"/>
      <c r="AX29" s="487"/>
      <c r="AY29" s="487"/>
      <c r="AZ29" s="487"/>
      <c r="BA29" s="487"/>
      <c r="BB29" s="487"/>
      <c r="BC29" s="487"/>
      <c r="BD29" s="488"/>
      <c r="BE29" s="120"/>
    </row>
    <row r="30" spans="2:57" ht="15.6">
      <c r="B30" s="22">
        <f t="shared" si="4"/>
        <v>45999</v>
      </c>
      <c r="C30" s="23" t="str">
        <f t="shared" si="1"/>
        <v>Dec-2025</v>
      </c>
      <c r="D30" s="2">
        <v>3</v>
      </c>
      <c r="E30" s="93">
        <f t="shared" si="2"/>
        <v>9338.1996345234002</v>
      </c>
      <c r="F30" s="104">
        <f t="shared" si="5"/>
        <v>8774.1331446502518</v>
      </c>
      <c r="G30" s="105">
        <f t="shared" si="3"/>
        <v>564.06648987314748</v>
      </c>
      <c r="H30" s="21">
        <f t="shared" si="6"/>
        <v>81476.505235071294</v>
      </c>
      <c r="J30" s="29"/>
      <c r="K30" s="33"/>
      <c r="L30" s="33"/>
      <c r="M30" s="33"/>
      <c r="N30" s="33"/>
      <c r="O30" s="31"/>
      <c r="P30" s="33"/>
      <c r="Q30" s="30"/>
      <c r="R30" s="35" t="s">
        <v>59</v>
      </c>
      <c r="S30" s="512" t="str">
        <f>H22</f>
        <v>LV-054</v>
      </c>
      <c r="T30" s="512"/>
      <c r="U30" s="46"/>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513" t="s">
        <v>58</v>
      </c>
      <c r="AV30" s="513"/>
      <c r="AW30" s="124">
        <v>0</v>
      </c>
      <c r="AX30" s="125">
        <v>9</v>
      </c>
      <c r="AY30" s="125">
        <v>0</v>
      </c>
      <c r="AZ30" s="125">
        <v>8</v>
      </c>
      <c r="BA30" s="125">
        <v>2</v>
      </c>
      <c r="BB30" s="125">
        <v>0</v>
      </c>
      <c r="BC30" s="125">
        <v>2</v>
      </c>
      <c r="BD30" s="126">
        <v>5</v>
      </c>
      <c r="BE30" s="120"/>
    </row>
    <row r="31" spans="2:57" ht="15.6">
      <c r="B31" s="22">
        <f t="shared" si="4"/>
        <v>46030</v>
      </c>
      <c r="C31" s="23" t="str">
        <f t="shared" si="1"/>
        <v>Jan-2026</v>
      </c>
      <c r="D31" s="108">
        <v>4</v>
      </c>
      <c r="E31" s="93">
        <f t="shared" si="2"/>
        <v>9338.1996345234002</v>
      </c>
      <c r="F31" s="104">
        <f t="shared" si="5"/>
        <v>8828.971476804305</v>
      </c>
      <c r="G31" s="105">
        <f t="shared" si="3"/>
        <v>509.22815771909427</v>
      </c>
      <c r="H31" s="21">
        <f t="shared" si="6"/>
        <v>72647.533758266989</v>
      </c>
      <c r="J31" s="29"/>
      <c r="K31" s="33"/>
      <c r="L31" s="33"/>
      <c r="M31" s="33"/>
      <c r="N31" s="33"/>
      <c r="O31" s="31"/>
      <c r="P31" s="33"/>
      <c r="Q31" s="30"/>
      <c r="R31" s="35"/>
      <c r="S31" s="47"/>
      <c r="T31" s="30"/>
      <c r="U31" s="46"/>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7" t="s">
        <v>112</v>
      </c>
      <c r="AX31" s="127" t="s">
        <v>112</v>
      </c>
      <c r="AY31" s="127" t="s">
        <v>113</v>
      </c>
      <c r="AZ31" s="127" t="s">
        <v>113</v>
      </c>
      <c r="BA31" s="127" t="s">
        <v>114</v>
      </c>
      <c r="BB31" s="127" t="s">
        <v>114</v>
      </c>
      <c r="BC31" s="127" t="s">
        <v>114</v>
      </c>
      <c r="BD31" s="127" t="s">
        <v>114</v>
      </c>
      <c r="BE31" s="120"/>
    </row>
    <row r="32" spans="2:57" ht="15.6">
      <c r="B32" s="22">
        <f t="shared" si="4"/>
        <v>46061</v>
      </c>
      <c r="C32" s="23" t="str">
        <f t="shared" si="1"/>
        <v>Feb-2026</v>
      </c>
      <c r="D32" s="2">
        <v>5</v>
      </c>
      <c r="E32" s="93">
        <f t="shared" si="2"/>
        <v>9338.1996345234002</v>
      </c>
      <c r="F32" s="104">
        <f t="shared" si="5"/>
        <v>8884.1525485343227</v>
      </c>
      <c r="G32" s="105">
        <f t="shared" si="3"/>
        <v>454.04708598907837</v>
      </c>
      <c r="H32" s="21">
        <f t="shared" si="6"/>
        <v>63763.381209732666</v>
      </c>
      <c r="J32" s="34"/>
      <c r="K32" s="35" t="s">
        <v>60</v>
      </c>
      <c r="L32" s="35"/>
      <c r="M32" s="35"/>
      <c r="N32" s="357" t="str">
        <f>D22</f>
        <v>SURAIDA S. ANOG</v>
      </c>
      <c r="O32" s="357"/>
      <c r="P32" s="357"/>
      <c r="Q32" s="357"/>
      <c r="R32" s="357"/>
      <c r="S32" s="357"/>
      <c r="T32" s="38"/>
      <c r="U32" s="48"/>
      <c r="W32" s="120"/>
      <c r="X32" s="454" t="s">
        <v>115</v>
      </c>
      <c r="Y32" s="454"/>
      <c r="Z32" s="454"/>
      <c r="AA32" s="454"/>
      <c r="AB32" s="454"/>
      <c r="AC32" s="454"/>
      <c r="AD32" s="454"/>
      <c r="AE32" s="454" t="s">
        <v>116</v>
      </c>
      <c r="AF32" s="454"/>
      <c r="AG32" s="454"/>
      <c r="AH32" s="454"/>
      <c r="AI32" s="454"/>
      <c r="AJ32" s="454"/>
      <c r="AK32" s="454"/>
      <c r="AL32" s="454"/>
      <c r="AM32" s="454" t="s">
        <v>117</v>
      </c>
      <c r="AN32" s="454"/>
      <c r="AO32" s="454"/>
      <c r="AP32" s="454"/>
      <c r="AQ32" s="454"/>
      <c r="AR32" s="454"/>
      <c r="AS32" s="454"/>
      <c r="AT32" s="454" t="s">
        <v>118</v>
      </c>
      <c r="AU32" s="454"/>
      <c r="AV32" s="454"/>
      <c r="AW32" s="454"/>
      <c r="AX32" s="454"/>
      <c r="AY32" s="454"/>
      <c r="AZ32" s="454"/>
      <c r="BA32" s="454"/>
      <c r="BB32" s="454"/>
      <c r="BC32" s="454"/>
      <c r="BD32" s="454"/>
      <c r="BE32" s="123"/>
    </row>
    <row r="33" spans="2:57" ht="15.6">
      <c r="B33" s="22">
        <f t="shared" si="4"/>
        <v>46089</v>
      </c>
      <c r="C33" s="23" t="str">
        <f t="shared" si="1"/>
        <v>Mar-2026</v>
      </c>
      <c r="D33" s="2">
        <v>6</v>
      </c>
      <c r="E33" s="93">
        <f t="shared" si="2"/>
        <v>9338.1996345234002</v>
      </c>
      <c r="F33" s="104">
        <f t="shared" si="5"/>
        <v>8939.6785019626495</v>
      </c>
      <c r="G33" s="105">
        <f t="shared" si="3"/>
        <v>398.52113256074989</v>
      </c>
      <c r="H33" s="21">
        <f t="shared" si="6"/>
        <v>54823.702707770019</v>
      </c>
      <c r="J33" s="34"/>
      <c r="K33" s="35" t="s">
        <v>61</v>
      </c>
      <c r="L33" s="35"/>
      <c r="M33" s="35"/>
      <c r="N33" s="509">
        <f>D23</f>
        <v>648091</v>
      </c>
      <c r="O33" s="509"/>
      <c r="P33" s="509"/>
      <c r="Q33" s="509"/>
      <c r="R33" s="509"/>
      <c r="S33" s="509"/>
      <c r="T33" s="38"/>
      <c r="U33" s="48"/>
      <c r="W33" s="120"/>
      <c r="X33" s="129"/>
      <c r="Y33" s="454" t="s">
        <v>119</v>
      </c>
      <c r="Z33" s="454"/>
      <c r="AA33" s="454"/>
      <c r="AB33" s="454"/>
      <c r="AC33" s="454"/>
      <c r="AD33" s="454"/>
      <c r="AE33" s="129"/>
      <c r="AF33" s="454" t="s">
        <v>120</v>
      </c>
      <c r="AG33" s="454"/>
      <c r="AH33" s="454"/>
      <c r="AI33" s="454"/>
      <c r="AJ33" s="454"/>
      <c r="AK33" s="454"/>
      <c r="AL33" s="454"/>
      <c r="AM33" s="129"/>
      <c r="AN33" s="123" t="s">
        <v>83</v>
      </c>
      <c r="AO33" s="120"/>
      <c r="AP33" s="120"/>
      <c r="AQ33" s="120"/>
      <c r="AR33" s="120"/>
      <c r="AS33" s="120"/>
      <c r="AT33" s="129"/>
      <c r="AU33" s="454" t="s">
        <v>320</v>
      </c>
      <c r="AV33" s="454"/>
      <c r="AW33" s="454"/>
      <c r="AX33" s="454"/>
      <c r="AY33" s="454"/>
      <c r="AZ33" s="454"/>
      <c r="BA33" s="454"/>
      <c r="BB33" s="454"/>
      <c r="BC33" s="454"/>
      <c r="BD33" s="454"/>
      <c r="BE33" s="120"/>
    </row>
    <row r="34" spans="2:57" ht="15.6">
      <c r="B34" s="22">
        <f t="shared" si="4"/>
        <v>46120</v>
      </c>
      <c r="C34" s="23" t="str">
        <f t="shared" si="1"/>
        <v>Apr-2026</v>
      </c>
      <c r="D34" s="2">
        <v>7</v>
      </c>
      <c r="E34" s="93">
        <f t="shared" si="2"/>
        <v>9338.1996345234002</v>
      </c>
      <c r="F34" s="104">
        <f t="shared" si="5"/>
        <v>8995.551492599905</v>
      </c>
      <c r="G34" s="105">
        <f t="shared" si="3"/>
        <v>342.64814192349445</v>
      </c>
      <c r="H34" s="21">
        <f t="shared" si="6"/>
        <v>45828.151215170117</v>
      </c>
      <c r="J34" s="34"/>
      <c r="K34" s="35" t="s">
        <v>42</v>
      </c>
      <c r="L34" s="35"/>
      <c r="M34" s="35"/>
      <c r="N34" s="510" t="str">
        <f>F23</f>
        <v>PUROK 4 GUIANG, GAMU, ISABELA</v>
      </c>
      <c r="O34" s="511"/>
      <c r="P34" s="511"/>
      <c r="Q34" s="511"/>
      <c r="R34" s="511"/>
      <c r="S34" s="511"/>
      <c r="T34" s="38"/>
      <c r="U34" s="48"/>
      <c r="W34" s="120"/>
      <c r="X34" s="129"/>
      <c r="Y34" s="454" t="s">
        <v>122</v>
      </c>
      <c r="Z34" s="454"/>
      <c r="AA34" s="454"/>
      <c r="AB34" s="454"/>
      <c r="AC34" s="454"/>
      <c r="AD34" s="454"/>
      <c r="AE34" s="129"/>
      <c r="AF34" s="454" t="s">
        <v>123</v>
      </c>
      <c r="AG34" s="454"/>
      <c r="AH34" s="454"/>
      <c r="AI34" s="454"/>
      <c r="AJ34" s="454"/>
      <c r="AK34" s="454"/>
      <c r="AL34" s="454"/>
      <c r="AM34" s="129"/>
      <c r="AN34" s="123" t="s">
        <v>84</v>
      </c>
      <c r="AO34" s="120"/>
      <c r="AP34" s="120"/>
      <c r="AQ34" s="120"/>
      <c r="AR34" s="120"/>
      <c r="AS34" s="120"/>
      <c r="AT34" s="129"/>
      <c r="AU34" s="454" t="s">
        <v>124</v>
      </c>
      <c r="AV34" s="454"/>
      <c r="AW34" s="454"/>
      <c r="AX34" s="454"/>
      <c r="AY34" s="454"/>
      <c r="AZ34" s="454"/>
      <c r="BA34" s="454"/>
      <c r="BB34" s="454"/>
      <c r="BC34" s="454"/>
      <c r="BD34" s="454"/>
      <c r="BE34" s="120"/>
    </row>
    <row r="35" spans="2:57" ht="16.2" thickBot="1">
      <c r="B35" s="22">
        <f t="shared" si="4"/>
        <v>46150</v>
      </c>
      <c r="C35" s="23" t="str">
        <f t="shared" si="1"/>
        <v>May-2026</v>
      </c>
      <c r="D35" s="2">
        <v>8</v>
      </c>
      <c r="E35" s="93">
        <f t="shared" si="2"/>
        <v>9338.1996345234002</v>
      </c>
      <c r="F35" s="104">
        <f t="shared" si="5"/>
        <v>9051.7736894286445</v>
      </c>
      <c r="G35" s="105">
        <f t="shared" si="3"/>
        <v>286.42594509475623</v>
      </c>
      <c r="H35" s="21">
        <f t="shared" si="6"/>
        <v>36776.377525741475</v>
      </c>
      <c r="J35" s="29"/>
      <c r="K35" s="33"/>
      <c r="L35" s="33"/>
      <c r="M35" s="33"/>
      <c r="N35" s="36"/>
      <c r="O35" s="38"/>
      <c r="P35" s="38"/>
      <c r="Q35" s="30"/>
      <c r="R35" s="30"/>
      <c r="S35" s="30"/>
      <c r="T35" s="30"/>
      <c r="U35" s="46"/>
      <c r="W35" s="120"/>
      <c r="X35" s="129"/>
      <c r="Y35" s="454" t="s">
        <v>125</v>
      </c>
      <c r="Z35" s="454"/>
      <c r="AA35" s="454"/>
      <c r="AB35" s="454"/>
      <c r="AC35" s="454"/>
      <c r="AD35" s="454"/>
      <c r="AE35" s="129"/>
      <c r="AF35" s="454" t="s">
        <v>126</v>
      </c>
      <c r="AG35" s="454"/>
      <c r="AH35" s="454"/>
      <c r="AI35" s="454"/>
      <c r="AJ35" s="454"/>
      <c r="AK35" s="454"/>
      <c r="AL35" s="454"/>
      <c r="AM35" s="129"/>
      <c r="AN35" s="123" t="s">
        <v>85</v>
      </c>
      <c r="AO35" s="120"/>
      <c r="AP35" s="120"/>
      <c r="AQ35" s="120"/>
      <c r="AR35" s="120"/>
      <c r="AS35" s="120"/>
      <c r="AT35" s="129"/>
      <c r="AU35" s="123" t="s">
        <v>127</v>
      </c>
      <c r="AV35" s="123"/>
      <c r="AW35" s="507"/>
      <c r="AX35" s="507"/>
      <c r="AY35" s="507"/>
      <c r="AZ35" s="507"/>
      <c r="BA35" s="507"/>
      <c r="BB35" s="123"/>
      <c r="BC35" s="123"/>
      <c r="BD35" s="123"/>
      <c r="BE35" s="120"/>
    </row>
    <row r="36" spans="2:57" ht="15.6">
      <c r="B36" s="22">
        <f t="shared" si="4"/>
        <v>46181</v>
      </c>
      <c r="C36" s="23" t="str">
        <f t="shared" si="1"/>
        <v>Jun-2026</v>
      </c>
      <c r="D36" s="2">
        <v>9</v>
      </c>
      <c r="E36" s="93">
        <f t="shared" si="2"/>
        <v>9338.1996345234002</v>
      </c>
      <c r="F36" s="104">
        <f t="shared" si="5"/>
        <v>9108.3472749875618</v>
      </c>
      <c r="G36" s="105">
        <f t="shared" si="3"/>
        <v>229.85235953583847</v>
      </c>
      <c r="H36" s="21">
        <f t="shared" si="6"/>
        <v>27668.030250753913</v>
      </c>
      <c r="J36" s="29"/>
      <c r="K36" s="33"/>
      <c r="L36" s="35" t="s">
        <v>62</v>
      </c>
      <c r="M36" s="33"/>
      <c r="N36" s="33"/>
      <c r="O36" s="31"/>
      <c r="P36" s="33"/>
      <c r="Q36" s="49"/>
      <c r="R36" s="331">
        <f>C4</f>
        <v>107635.75</v>
      </c>
      <c r="S36" s="331"/>
      <c r="T36" s="331"/>
      <c r="U36" s="46"/>
      <c r="W36" s="120"/>
      <c r="X36" s="129"/>
      <c r="Y36" s="454" t="s">
        <v>128</v>
      </c>
      <c r="Z36" s="454"/>
      <c r="AA36" s="454"/>
      <c r="AB36" s="454"/>
      <c r="AC36" s="454"/>
      <c r="AD36" s="454"/>
      <c r="AE36" s="129"/>
      <c r="AF36" s="454" t="s">
        <v>129</v>
      </c>
      <c r="AG36" s="454"/>
      <c r="AH36" s="454"/>
      <c r="AI36" s="454"/>
      <c r="AJ36" s="454"/>
      <c r="AK36" s="454"/>
      <c r="AL36" s="454"/>
      <c r="AM36" s="129"/>
      <c r="AN36" s="123" t="s">
        <v>86</v>
      </c>
      <c r="AO36" s="120"/>
      <c r="AP36" s="120"/>
      <c r="AQ36" s="120"/>
      <c r="AR36" s="120"/>
      <c r="AS36" s="120"/>
      <c r="AT36" s="120"/>
      <c r="AU36" s="120"/>
      <c r="AV36" s="120"/>
      <c r="AW36" s="120"/>
      <c r="AX36" s="120"/>
      <c r="AY36" s="120"/>
      <c r="AZ36" s="120"/>
      <c r="BA36" s="120"/>
      <c r="BB36" s="120"/>
      <c r="BC36" s="120"/>
      <c r="BD36" s="120"/>
      <c r="BE36" s="120"/>
    </row>
    <row r="37" spans="2:57" ht="15.6">
      <c r="B37" s="22">
        <f t="shared" si="4"/>
        <v>46211</v>
      </c>
      <c r="C37" s="23" t="str">
        <f t="shared" si="1"/>
        <v>Jul-2026</v>
      </c>
      <c r="D37" s="2">
        <v>10</v>
      </c>
      <c r="E37" s="93">
        <f t="shared" si="2"/>
        <v>9338.1996345234002</v>
      </c>
      <c r="F37" s="104">
        <f t="shared" si="5"/>
        <v>9165.2744454562235</v>
      </c>
      <c r="G37" s="105">
        <f t="shared" si="3"/>
        <v>172.92518906717754</v>
      </c>
      <c r="H37" s="21">
        <f t="shared" si="6"/>
        <v>18502.755805297689</v>
      </c>
      <c r="J37" s="29"/>
      <c r="K37" s="33"/>
      <c r="L37" s="35"/>
      <c r="M37" s="33"/>
      <c r="N37" s="33"/>
      <c r="O37" s="31"/>
      <c r="P37" s="33"/>
      <c r="Q37" s="49"/>
      <c r="R37" s="333"/>
      <c r="S37" s="333"/>
      <c r="T37" s="333"/>
      <c r="U37" s="46"/>
      <c r="W37" s="120"/>
      <c r="X37" s="129"/>
      <c r="Y37" s="454" t="s">
        <v>130</v>
      </c>
      <c r="Z37" s="454"/>
      <c r="AA37" s="454"/>
      <c r="AB37" s="454"/>
      <c r="AC37" s="454"/>
      <c r="AD37" s="454"/>
      <c r="AE37" s="129"/>
      <c r="AF37" s="454" t="s">
        <v>131</v>
      </c>
      <c r="AG37" s="454"/>
      <c r="AH37" s="454"/>
      <c r="AI37" s="454"/>
      <c r="AJ37" s="454"/>
      <c r="AK37" s="454"/>
      <c r="AL37" s="454"/>
      <c r="AM37" s="129"/>
      <c r="AN37" s="123" t="s">
        <v>87</v>
      </c>
      <c r="AO37" s="120"/>
      <c r="AP37" s="120"/>
      <c r="AQ37" s="120"/>
      <c r="AR37" s="120"/>
      <c r="AS37" s="120"/>
      <c r="AT37" s="120"/>
      <c r="AU37" s="120"/>
      <c r="AV37" s="120"/>
      <c r="AW37" s="120"/>
      <c r="AX37" s="120"/>
      <c r="AY37" s="120"/>
      <c r="AZ37" s="120"/>
      <c r="BA37" s="120"/>
      <c r="BB37" s="120"/>
      <c r="BC37" s="120"/>
      <c r="BD37" s="120"/>
      <c r="BE37" s="120"/>
    </row>
    <row r="38" spans="2:57" ht="16.2" thickBot="1">
      <c r="B38" s="22">
        <f t="shared" si="4"/>
        <v>46242</v>
      </c>
      <c r="C38" s="23" t="str">
        <f t="shared" si="1"/>
        <v>Aug-2026</v>
      </c>
      <c r="D38" s="2">
        <v>11</v>
      </c>
      <c r="E38" s="93">
        <f t="shared" si="2"/>
        <v>9338.1996345234002</v>
      </c>
      <c r="F38" s="104">
        <f t="shared" si="5"/>
        <v>9222.5574107403118</v>
      </c>
      <c r="G38" s="105">
        <f t="shared" si="3"/>
        <v>115.64222378308754</v>
      </c>
      <c r="H38" s="21">
        <f t="shared" si="6"/>
        <v>9280.1983945573775</v>
      </c>
      <c r="J38" s="39"/>
      <c r="K38" s="40"/>
      <c r="L38" s="41" t="s">
        <v>63</v>
      </c>
      <c r="M38" s="40" t="s">
        <v>64</v>
      </c>
      <c r="N38" s="40"/>
      <c r="O38" s="42"/>
      <c r="P38" s="40"/>
      <c r="Q38" s="36"/>
      <c r="R38" s="331">
        <f>-C14</f>
        <v>0</v>
      </c>
      <c r="S38" s="331"/>
      <c r="T38" s="331"/>
      <c r="U38" s="37"/>
      <c r="W38" s="120"/>
      <c r="X38" s="410"/>
      <c r="Y38" s="410"/>
      <c r="Z38" s="410"/>
      <c r="AA38" s="410"/>
      <c r="AB38" s="410"/>
      <c r="AC38" s="410"/>
      <c r="AD38" s="410"/>
      <c r="AE38" s="131"/>
      <c r="AF38" s="123" t="s">
        <v>132</v>
      </c>
      <c r="AG38" s="123"/>
      <c r="AH38" s="425" t="s">
        <v>299</v>
      </c>
      <c r="AI38" s="425"/>
      <c r="AJ38" s="425"/>
      <c r="AK38" s="425"/>
      <c r="AL38" s="506"/>
      <c r="AM38" s="131"/>
      <c r="AN38" s="123" t="s">
        <v>127</v>
      </c>
      <c r="AO38" s="120"/>
      <c r="AP38" s="508"/>
      <c r="AQ38" s="508"/>
      <c r="AR38" s="508"/>
      <c r="AS38" s="508"/>
      <c r="AT38" s="508"/>
      <c r="AU38" s="120"/>
      <c r="AV38" s="120"/>
      <c r="AW38" s="120"/>
      <c r="AX38" s="120"/>
      <c r="AY38" s="120"/>
      <c r="AZ38" s="120"/>
      <c r="BA38" s="120"/>
      <c r="BB38" s="120"/>
      <c r="BC38" s="120"/>
      <c r="BD38" s="120"/>
      <c r="BE38" s="120"/>
    </row>
    <row r="39" spans="2:57" ht="15.6">
      <c r="B39" s="22">
        <f t="shared" si="4"/>
        <v>46273</v>
      </c>
      <c r="C39" s="23" t="str">
        <f t="shared" si="1"/>
        <v>Sep-2026</v>
      </c>
      <c r="D39" s="2">
        <v>12</v>
      </c>
      <c r="E39" s="93">
        <f t="shared" si="2"/>
        <v>9338.1996345234002</v>
      </c>
      <c r="F39" s="104">
        <f t="shared" si="5"/>
        <v>9280.1983945574284</v>
      </c>
      <c r="G39" s="105">
        <f t="shared" si="3"/>
        <v>58.001239965972069</v>
      </c>
      <c r="H39" s="21">
        <f t="shared" si="6"/>
        <v>-5.0931703299283981E-11</v>
      </c>
      <c r="J39" s="39"/>
      <c r="K39" s="40"/>
      <c r="L39" s="41" t="s">
        <v>63</v>
      </c>
      <c r="M39" s="40" t="s">
        <v>65</v>
      </c>
      <c r="N39" s="40"/>
      <c r="O39" s="42"/>
      <c r="P39" s="40"/>
      <c r="Q39" s="36"/>
      <c r="R39" s="331">
        <f>-C8</f>
        <v>-300</v>
      </c>
      <c r="S39" s="331"/>
      <c r="T39" s="331"/>
      <c r="U39" s="37"/>
      <c r="W39" s="120"/>
      <c r="X39" s="132" t="s">
        <v>133</v>
      </c>
      <c r="Y39" s="133"/>
      <c r="Z39" s="133"/>
      <c r="AA39" s="133"/>
      <c r="AB39" s="503">
        <f>R44</f>
        <v>76500</v>
      </c>
      <c r="AC39" s="503"/>
      <c r="AD39" s="503"/>
      <c r="AE39" s="503"/>
      <c r="AF39" s="503"/>
      <c r="AG39" s="503"/>
      <c r="AH39" s="504"/>
      <c r="AI39" s="504"/>
      <c r="AJ39" s="504"/>
      <c r="AK39" s="504"/>
      <c r="AL39" s="504"/>
      <c r="AM39" s="505"/>
      <c r="AN39" s="132" t="s">
        <v>134</v>
      </c>
      <c r="AO39" s="133"/>
      <c r="AP39" s="134"/>
      <c r="AQ39" s="134"/>
      <c r="AR39" s="134"/>
      <c r="AS39" s="134"/>
      <c r="AT39" s="504">
        <f>C1</f>
        <v>9338.1996345234002</v>
      </c>
      <c r="AU39" s="503"/>
      <c r="AV39" s="503"/>
      <c r="AW39" s="503"/>
      <c r="AX39" s="503"/>
      <c r="AY39" s="503"/>
      <c r="AZ39" s="503"/>
      <c r="BA39" s="503"/>
      <c r="BB39" s="503"/>
      <c r="BC39" s="503"/>
      <c r="BD39" s="505"/>
      <c r="BE39" s="120"/>
    </row>
    <row r="40" spans="2:57" ht="16.2" thickBot="1">
      <c r="C40" s="249"/>
      <c r="D40" s="211"/>
      <c r="E40" s="212">
        <f>SUM(E28:E39)</f>
        <v>112058.39561428077</v>
      </c>
      <c r="F40" s="212">
        <f t="shared" ref="F40:G40" si="7">SUM(F28:F39)</f>
        <v>107635.75000000006</v>
      </c>
      <c r="G40" s="212">
        <f t="shared" si="7"/>
        <v>4422.645614280741</v>
      </c>
      <c r="H40" s="250"/>
      <c r="J40" s="39"/>
      <c r="K40" s="40"/>
      <c r="L40" s="41" t="s">
        <v>63</v>
      </c>
      <c r="M40" s="40" t="s">
        <v>66</v>
      </c>
      <c r="N40" s="40"/>
      <c r="O40" s="42"/>
      <c r="P40" s="40"/>
      <c r="Q40" s="36"/>
      <c r="R40" s="332">
        <f>-C7</f>
        <v>-22000</v>
      </c>
      <c r="S40" s="332"/>
      <c r="T40" s="332"/>
      <c r="U40" s="37"/>
      <c r="W40" s="120"/>
      <c r="X40" s="135"/>
      <c r="Y40" s="136"/>
      <c r="Z40" s="136"/>
      <c r="AA40" s="136"/>
      <c r="AB40" s="419"/>
      <c r="AC40" s="419"/>
      <c r="AD40" s="419"/>
      <c r="AE40" s="419"/>
      <c r="AF40" s="419"/>
      <c r="AG40" s="419"/>
      <c r="AH40" s="419"/>
      <c r="AI40" s="419"/>
      <c r="AJ40" s="419"/>
      <c r="AK40" s="419"/>
      <c r="AL40" s="419"/>
      <c r="AM40" s="420"/>
      <c r="AN40" s="135"/>
      <c r="AO40" s="136"/>
      <c r="AP40" s="136"/>
      <c r="AQ40" s="136"/>
      <c r="AR40" s="136"/>
      <c r="AS40" s="136"/>
      <c r="AT40" s="419"/>
      <c r="AU40" s="419"/>
      <c r="AV40" s="419"/>
      <c r="AW40" s="419"/>
      <c r="AX40" s="419"/>
      <c r="AY40" s="419"/>
      <c r="AZ40" s="419"/>
      <c r="BA40" s="419"/>
      <c r="BB40" s="419"/>
      <c r="BC40" s="419"/>
      <c r="BD40" s="420"/>
      <c r="BE40" s="120"/>
    </row>
    <row r="41" spans="2:57" ht="15.6">
      <c r="J41" s="39"/>
      <c r="K41" s="40"/>
      <c r="L41" s="41" t="s">
        <v>63</v>
      </c>
      <c r="M41" s="40" t="s">
        <v>9</v>
      </c>
      <c r="N41" s="40"/>
      <c r="O41" s="42"/>
      <c r="P41" s="40"/>
      <c r="Q41" s="36"/>
      <c r="R41" s="332">
        <f>-C5</f>
        <v>-6545.0000000000009</v>
      </c>
      <c r="S41" s="332"/>
      <c r="T41" s="332"/>
      <c r="U41" s="37"/>
      <c r="W41" s="120"/>
      <c r="X41" s="493" t="s">
        <v>135</v>
      </c>
      <c r="Y41" s="494"/>
      <c r="Z41" s="498"/>
      <c r="AA41" s="499"/>
      <c r="AB41" s="499"/>
      <c r="AC41" s="499"/>
      <c r="AD41" s="499"/>
      <c r="AE41" s="500"/>
      <c r="AF41" s="138" t="s">
        <v>136</v>
      </c>
      <c r="AG41" s="136"/>
      <c r="AH41" s="136"/>
      <c r="AI41" s="136"/>
      <c r="AJ41" s="470"/>
      <c r="AK41" s="470"/>
      <c r="AL41" s="470"/>
      <c r="AM41" s="470"/>
      <c r="AN41" s="470"/>
      <c r="AO41" s="470"/>
      <c r="AP41" s="470"/>
      <c r="AQ41" s="471"/>
      <c r="AR41" s="139" t="s">
        <v>137</v>
      </c>
      <c r="AS41" s="140"/>
      <c r="AT41" s="140"/>
      <c r="AU41" s="140"/>
      <c r="AV41" s="470"/>
      <c r="AW41" s="470"/>
      <c r="AX41" s="470"/>
      <c r="AY41" s="470"/>
      <c r="AZ41" s="470"/>
      <c r="BA41" s="470"/>
      <c r="BB41" s="470"/>
      <c r="BC41" s="470"/>
      <c r="BD41" s="471"/>
      <c r="BE41" s="120"/>
    </row>
    <row r="42" spans="2:57" ht="15.6">
      <c r="J42" s="39"/>
      <c r="K42" s="40"/>
      <c r="L42" s="41" t="s">
        <v>63</v>
      </c>
      <c r="M42" s="40" t="s">
        <v>67</v>
      </c>
      <c r="N42" s="40"/>
      <c r="O42" s="42"/>
      <c r="P42" s="40"/>
      <c r="Q42" s="36"/>
      <c r="R42" s="332">
        <f>-C6</f>
        <v>-1122</v>
      </c>
      <c r="S42" s="332"/>
      <c r="T42" s="332"/>
      <c r="U42" s="37"/>
      <c r="W42" s="120"/>
      <c r="X42" s="491" t="s">
        <v>138</v>
      </c>
      <c r="Y42" s="492"/>
      <c r="Z42" s="495"/>
      <c r="AA42" s="496"/>
      <c r="AB42" s="496"/>
      <c r="AC42" s="496"/>
      <c r="AD42" s="496"/>
      <c r="AE42" s="497"/>
      <c r="AF42" s="142"/>
      <c r="AG42" s="141" t="s">
        <v>139</v>
      </c>
      <c r="AH42" s="143"/>
      <c r="AI42" s="143"/>
      <c r="AJ42" s="143"/>
      <c r="AK42" s="143"/>
      <c r="AL42" s="143"/>
      <c r="AM42" s="143"/>
      <c r="AN42" s="143"/>
      <c r="AO42" s="143"/>
      <c r="AP42" s="143"/>
      <c r="AQ42" s="144"/>
      <c r="AR42" s="145"/>
      <c r="AS42" s="491" t="s">
        <v>140</v>
      </c>
      <c r="AT42" s="501"/>
      <c r="AU42" s="501"/>
      <c r="AV42" s="143"/>
      <c r="AW42" s="143"/>
      <c r="AX42" s="143"/>
      <c r="AY42" s="143"/>
      <c r="AZ42" s="143"/>
      <c r="BA42" s="143"/>
      <c r="BB42" s="143"/>
      <c r="BC42" s="143"/>
      <c r="BD42" s="144"/>
      <c r="BE42" s="120"/>
    </row>
    <row r="43" spans="2:57" ht="15.6">
      <c r="J43" s="16"/>
      <c r="L43" s="41" t="s">
        <v>63</v>
      </c>
      <c r="M43" s="40" t="s">
        <v>13</v>
      </c>
      <c r="R43" s="332">
        <f>-C9</f>
        <v>-1168.75</v>
      </c>
      <c r="S43" s="332"/>
      <c r="T43" s="332"/>
      <c r="U43" s="216"/>
      <c r="W43" s="120"/>
      <c r="X43" s="493"/>
      <c r="Y43" s="494"/>
      <c r="Z43" s="498"/>
      <c r="AA43" s="499"/>
      <c r="AB43" s="499"/>
      <c r="AC43" s="499"/>
      <c r="AD43" s="499"/>
      <c r="AE43" s="500"/>
      <c r="AF43" s="129"/>
      <c r="AG43" s="137" t="s">
        <v>141</v>
      </c>
      <c r="AH43" s="146"/>
      <c r="AI43" s="146"/>
      <c r="AJ43" s="146"/>
      <c r="AK43" s="146"/>
      <c r="AL43" s="146"/>
      <c r="AM43" s="146"/>
      <c r="AN43" s="146"/>
      <c r="AO43" s="146"/>
      <c r="AP43" s="146"/>
      <c r="AQ43" s="147"/>
      <c r="AR43" s="129"/>
      <c r="AS43" s="493" t="s">
        <v>142</v>
      </c>
      <c r="AT43" s="502"/>
      <c r="AU43" s="502"/>
      <c r="AV43" s="146"/>
      <c r="AW43" s="146"/>
      <c r="AX43" s="146"/>
      <c r="AY43" s="146"/>
      <c r="AZ43" s="146"/>
      <c r="BA43" s="146"/>
      <c r="BB43" s="146"/>
      <c r="BC43" s="146"/>
      <c r="BD43" s="147"/>
      <c r="BE43" s="120"/>
    </row>
    <row r="44" spans="2:57" ht="15.6">
      <c r="J44" s="29"/>
      <c r="K44" s="33"/>
      <c r="L44" s="35" t="s">
        <v>68</v>
      </c>
      <c r="M44" s="33"/>
      <c r="N44" s="33"/>
      <c r="O44" s="31"/>
      <c r="P44" s="33"/>
      <c r="Q44" s="30"/>
      <c r="R44" s="331">
        <f>SUM(R36:T43)</f>
        <v>76500</v>
      </c>
      <c r="S44" s="331"/>
      <c r="T44" s="331"/>
      <c r="U44" s="46"/>
      <c r="W44" s="120"/>
      <c r="X44" s="486" t="s">
        <v>143</v>
      </c>
      <c r="Y44" s="487"/>
      <c r="Z44" s="487"/>
      <c r="AA44" s="487"/>
      <c r="AB44" s="487"/>
      <c r="AC44" s="487"/>
      <c r="AD44" s="487"/>
      <c r="AE44" s="487"/>
      <c r="AF44" s="487"/>
      <c r="AG44" s="487"/>
      <c r="AH44" s="487"/>
      <c r="AI44" s="487"/>
      <c r="AJ44" s="487"/>
      <c r="AK44" s="487"/>
      <c r="AL44" s="487"/>
      <c r="AM44" s="487"/>
      <c r="AN44" s="487"/>
      <c r="AO44" s="487"/>
      <c r="AP44" s="487"/>
      <c r="AQ44" s="487"/>
      <c r="AR44" s="487"/>
      <c r="AS44" s="487"/>
      <c r="AT44" s="487"/>
      <c r="AU44" s="487"/>
      <c r="AV44" s="487"/>
      <c r="AW44" s="487"/>
      <c r="AX44" s="487"/>
      <c r="AY44" s="487"/>
      <c r="AZ44" s="487"/>
      <c r="BA44" s="487"/>
      <c r="BB44" s="487"/>
      <c r="BC44" s="487"/>
      <c r="BD44" s="488"/>
      <c r="BE44" s="120"/>
    </row>
    <row r="45" spans="2:57" ht="16.2" thickBot="1">
      <c r="J45" s="29"/>
      <c r="K45" s="30"/>
      <c r="L45" s="30"/>
      <c r="M45" s="30"/>
      <c r="N45" s="30"/>
      <c r="O45" s="32"/>
      <c r="P45" s="30"/>
      <c r="Q45" s="30"/>
      <c r="R45" s="30"/>
      <c r="S45" s="30"/>
      <c r="T45" s="30"/>
      <c r="U45" s="46"/>
      <c r="W45" s="120"/>
      <c r="X45" s="489" t="s">
        <v>326</v>
      </c>
      <c r="Y45" s="489"/>
      <c r="Z45" s="489"/>
      <c r="AA45" s="489"/>
      <c r="AB45" s="489"/>
      <c r="AC45" s="489"/>
      <c r="AD45" s="489" t="s">
        <v>327</v>
      </c>
      <c r="AE45" s="489"/>
      <c r="AF45" s="489"/>
      <c r="AG45" s="489"/>
      <c r="AH45" s="489"/>
      <c r="AI45" s="489"/>
      <c r="AJ45" s="489"/>
      <c r="AK45" s="489"/>
      <c r="AL45" s="489"/>
      <c r="AM45" s="489"/>
      <c r="AN45" s="489" t="s">
        <v>328</v>
      </c>
      <c r="AO45" s="489"/>
      <c r="AP45" s="489"/>
      <c r="AQ45" s="489"/>
      <c r="AR45" s="489"/>
      <c r="AS45" s="489"/>
      <c r="AT45" s="489"/>
      <c r="AU45" s="489"/>
      <c r="AV45" s="489"/>
      <c r="AW45" s="489"/>
      <c r="AX45" s="489"/>
      <c r="AY45" s="489"/>
      <c r="AZ45" s="490"/>
      <c r="BA45" s="490"/>
      <c r="BB45" s="134"/>
      <c r="BC45" s="134"/>
      <c r="BD45" s="134"/>
      <c r="BE45" s="120"/>
    </row>
    <row r="46" spans="2:57" ht="15.6">
      <c r="J46" s="29"/>
      <c r="K46" s="190" t="s">
        <v>69</v>
      </c>
      <c r="L46" s="190"/>
      <c r="M46" s="190"/>
      <c r="N46" s="190"/>
      <c r="O46" s="190"/>
      <c r="P46" s="190"/>
      <c r="Q46" s="190"/>
      <c r="R46" s="190"/>
      <c r="S46" s="190"/>
      <c r="T46" s="190"/>
      <c r="U46" s="46"/>
      <c r="W46" s="120"/>
      <c r="X46" s="123" t="s">
        <v>144</v>
      </c>
      <c r="Y46" s="128"/>
      <c r="Z46" s="128"/>
      <c r="AA46" s="123"/>
      <c r="AB46" s="123"/>
      <c r="AC46" s="123"/>
      <c r="AD46" s="123" t="s">
        <v>145</v>
      </c>
      <c r="AE46" s="123"/>
      <c r="AF46" s="123"/>
      <c r="AG46" s="123"/>
      <c r="AH46" s="123"/>
      <c r="AI46" s="123"/>
      <c r="AJ46" s="123"/>
      <c r="AK46" s="123"/>
      <c r="AL46" s="120"/>
      <c r="AM46" s="123"/>
      <c r="AN46" s="123" t="s">
        <v>146</v>
      </c>
      <c r="AO46" s="123"/>
      <c r="AP46" s="123"/>
      <c r="AQ46" s="123"/>
      <c r="AR46" s="123"/>
      <c r="AS46" s="120"/>
      <c r="AT46" s="123"/>
      <c r="AU46" s="123"/>
      <c r="AV46" s="123"/>
      <c r="AW46" s="123"/>
      <c r="AX46" s="120"/>
      <c r="AY46" s="123"/>
      <c r="AZ46" s="123" t="s">
        <v>147</v>
      </c>
      <c r="BA46" s="123"/>
      <c r="BB46" s="148"/>
      <c r="BC46" s="149"/>
      <c r="BD46" s="149"/>
      <c r="BE46" s="120"/>
    </row>
    <row r="47" spans="2:57" ht="15.6">
      <c r="J47" s="29"/>
      <c r="K47" s="30"/>
      <c r="L47" s="30"/>
      <c r="M47" s="30"/>
      <c r="N47" s="30"/>
      <c r="O47" s="32"/>
      <c r="P47" s="30"/>
      <c r="Q47" s="30"/>
      <c r="R47" s="30"/>
      <c r="S47" s="30"/>
      <c r="T47" s="30"/>
      <c r="U47" s="46"/>
      <c r="W47" s="120"/>
      <c r="X47" s="473" t="s">
        <v>148</v>
      </c>
      <c r="Y47" s="474"/>
      <c r="Z47" s="474"/>
      <c r="AA47" s="474"/>
      <c r="AB47" s="474"/>
      <c r="AC47" s="475"/>
      <c r="AD47" s="473" t="s">
        <v>61</v>
      </c>
      <c r="AE47" s="474"/>
      <c r="AF47" s="474"/>
      <c r="AG47" s="474"/>
      <c r="AH47" s="475"/>
      <c r="AI47" s="473" t="s">
        <v>149</v>
      </c>
      <c r="AJ47" s="474"/>
      <c r="AK47" s="474"/>
      <c r="AL47" s="474"/>
      <c r="AM47" s="474"/>
      <c r="AN47" s="475"/>
      <c r="AO47" s="476" t="s">
        <v>150</v>
      </c>
      <c r="AP47" s="477"/>
      <c r="AQ47" s="477"/>
      <c r="AR47" s="477"/>
      <c r="AS47" s="477"/>
      <c r="AT47" s="477"/>
      <c r="AU47" s="477"/>
      <c r="AV47" s="477"/>
      <c r="AW47" s="476" t="s">
        <v>151</v>
      </c>
      <c r="AX47" s="477"/>
      <c r="AY47" s="477"/>
      <c r="AZ47" s="477"/>
      <c r="BA47" s="477"/>
      <c r="BB47" s="477"/>
      <c r="BC47" s="477"/>
      <c r="BD47" s="478"/>
      <c r="BE47" s="120"/>
    </row>
    <row r="48" spans="2:57" ht="15.6">
      <c r="J48" s="29"/>
      <c r="K48" s="30"/>
      <c r="L48" s="40" t="s">
        <v>263</v>
      </c>
      <c r="M48" s="40"/>
      <c r="N48" s="40"/>
      <c r="O48" s="40"/>
      <c r="P48" s="40"/>
      <c r="Q48" s="40"/>
      <c r="R48" s="479">
        <v>12</v>
      </c>
      <c r="S48" s="479"/>
      <c r="T48" s="217" t="s">
        <v>264</v>
      </c>
      <c r="U48" s="46"/>
      <c r="W48" s="120"/>
      <c r="X48" s="480" t="s">
        <v>329</v>
      </c>
      <c r="Y48" s="481"/>
      <c r="Z48" s="481"/>
      <c r="AA48" s="481"/>
      <c r="AB48" s="481"/>
      <c r="AC48" s="482"/>
      <c r="AD48" s="483">
        <f>N33</f>
        <v>648091</v>
      </c>
      <c r="AE48" s="484"/>
      <c r="AF48" s="484"/>
      <c r="AG48" s="484"/>
      <c r="AH48" s="485"/>
      <c r="AI48" s="480" t="s">
        <v>300</v>
      </c>
      <c r="AJ48" s="481"/>
      <c r="AK48" s="481"/>
      <c r="AL48" s="481"/>
      <c r="AM48" s="481"/>
      <c r="AN48" s="482"/>
      <c r="AO48" s="124"/>
      <c r="AP48" s="125"/>
      <c r="AQ48" s="125"/>
      <c r="AR48" s="125"/>
      <c r="AS48" s="125"/>
      <c r="AT48" s="125"/>
      <c r="AU48" s="125"/>
      <c r="AV48" s="126"/>
      <c r="AW48" s="124"/>
      <c r="AX48" s="125"/>
      <c r="AY48" s="125"/>
      <c r="AZ48" s="125"/>
      <c r="BA48" s="125"/>
      <c r="BB48" s="125"/>
      <c r="BC48" s="125"/>
      <c r="BD48" s="126"/>
      <c r="BE48" s="120"/>
    </row>
    <row r="49" spans="5:57" ht="15.6">
      <c r="J49" s="29"/>
      <c r="K49" s="30"/>
      <c r="L49" s="40" t="s">
        <v>267</v>
      </c>
      <c r="M49" s="40"/>
      <c r="N49" s="40"/>
      <c r="O49" s="40"/>
      <c r="P49" s="40"/>
      <c r="Q49" s="40"/>
      <c r="R49" s="330">
        <f>C1</f>
        <v>9338.1996345234002</v>
      </c>
      <c r="S49" s="330"/>
      <c r="T49" s="330"/>
      <c r="U49" s="46"/>
      <c r="W49" s="120"/>
      <c r="X49" s="120"/>
      <c r="Y49" s="120"/>
      <c r="Z49" s="120"/>
      <c r="AA49" s="120"/>
      <c r="AB49" s="120"/>
      <c r="AC49" s="120"/>
      <c r="AD49" s="120"/>
      <c r="AE49" s="120"/>
      <c r="AF49" s="120"/>
      <c r="AG49" s="120"/>
      <c r="AH49" s="120"/>
      <c r="AI49" s="120"/>
      <c r="AJ49" s="120"/>
      <c r="AK49" s="120"/>
      <c r="AL49" s="120"/>
      <c r="AM49" s="120"/>
      <c r="AN49" s="120"/>
      <c r="AO49" s="150" t="s">
        <v>112</v>
      </c>
      <c r="AP49" s="150" t="s">
        <v>112</v>
      </c>
      <c r="AQ49" s="150" t="s">
        <v>113</v>
      </c>
      <c r="AR49" s="150" t="s">
        <v>113</v>
      </c>
      <c r="AS49" s="150" t="s">
        <v>114</v>
      </c>
      <c r="AT49" s="150" t="s">
        <v>114</v>
      </c>
      <c r="AU49" s="150" t="s">
        <v>114</v>
      </c>
      <c r="AV49" s="150" t="s">
        <v>114</v>
      </c>
      <c r="AW49" s="150" t="s">
        <v>112</v>
      </c>
      <c r="AX49" s="150" t="s">
        <v>112</v>
      </c>
      <c r="AY49" s="150" t="s">
        <v>113</v>
      </c>
      <c r="AZ49" s="150" t="s">
        <v>113</v>
      </c>
      <c r="BA49" s="150" t="s">
        <v>114</v>
      </c>
      <c r="BB49" s="150" t="s">
        <v>114</v>
      </c>
      <c r="BC49" s="150" t="s">
        <v>114</v>
      </c>
      <c r="BD49" s="150" t="s">
        <v>114</v>
      </c>
      <c r="BE49" s="120"/>
    </row>
    <row r="50" spans="5:57" ht="15.6">
      <c r="J50" s="29"/>
      <c r="K50" s="30"/>
      <c r="L50" s="40" t="s">
        <v>71</v>
      </c>
      <c r="M50" s="40"/>
      <c r="N50" s="40"/>
      <c r="O50" s="40"/>
      <c r="P50" s="40"/>
      <c r="Q50" s="40"/>
      <c r="R50" s="344">
        <f>B28</f>
        <v>45938</v>
      </c>
      <c r="S50" s="344"/>
      <c r="T50" s="344"/>
      <c r="U50" s="46"/>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row>
    <row r="51" spans="5:57" ht="15.6">
      <c r="J51" s="29"/>
      <c r="K51" s="30"/>
      <c r="L51" s="40" t="s">
        <v>72</v>
      </c>
      <c r="M51" s="40"/>
      <c r="N51" s="40"/>
      <c r="O51" s="40"/>
      <c r="P51" s="40"/>
      <c r="Q51" s="40"/>
      <c r="R51" s="344">
        <f>B39</f>
        <v>46273</v>
      </c>
      <c r="S51" s="344"/>
      <c r="T51" s="344"/>
      <c r="U51" s="46"/>
      <c r="W51" s="120"/>
      <c r="X51" s="123" t="s">
        <v>153</v>
      </c>
      <c r="Y51" s="123"/>
      <c r="Z51" s="123"/>
      <c r="AA51" s="123"/>
      <c r="AB51" s="123"/>
      <c r="AC51" s="123"/>
      <c r="AD51" s="123"/>
      <c r="AE51" s="123" t="s">
        <v>154</v>
      </c>
      <c r="AF51" s="123"/>
      <c r="AG51" s="123"/>
      <c r="AH51" s="123"/>
      <c r="AI51" s="120"/>
      <c r="AJ51" s="151" t="s">
        <v>155</v>
      </c>
      <c r="AK51" s="469">
        <v>60</v>
      </c>
      <c r="AL51" s="471"/>
      <c r="AM51" s="472" t="s">
        <v>156</v>
      </c>
      <c r="AN51" s="472"/>
      <c r="AO51" s="472"/>
      <c r="AP51" s="472"/>
      <c r="AQ51" s="152"/>
      <c r="AR51" s="454" t="s">
        <v>157</v>
      </c>
      <c r="AS51" s="454"/>
      <c r="AT51" s="152"/>
      <c r="AU51" s="454" t="s">
        <v>158</v>
      </c>
      <c r="AV51" s="454"/>
      <c r="AW51" s="454"/>
      <c r="AX51" s="454" t="s">
        <v>159</v>
      </c>
      <c r="AY51" s="454"/>
      <c r="AZ51" s="454"/>
      <c r="BA51" s="454"/>
      <c r="BB51" s="454"/>
      <c r="BC51" s="454"/>
      <c r="BD51" s="454"/>
      <c r="BE51" s="120"/>
    </row>
    <row r="52" spans="5:57" ht="15.6">
      <c r="J52" s="29"/>
      <c r="K52" s="30"/>
      <c r="L52" s="40" t="s">
        <v>73</v>
      </c>
      <c r="M52" s="40"/>
      <c r="N52" s="40"/>
      <c r="O52" s="40"/>
      <c r="P52" s="40"/>
      <c r="Q52" s="40"/>
      <c r="R52" s="329">
        <f>C16</f>
        <v>8.855359027416676E-2</v>
      </c>
      <c r="S52" s="329"/>
      <c r="T52" s="329"/>
      <c r="U52" s="46"/>
      <c r="W52" s="120"/>
      <c r="X52" s="466" t="s">
        <v>301</v>
      </c>
      <c r="Y52" s="467"/>
      <c r="Z52" s="467"/>
      <c r="AA52" s="467"/>
      <c r="AB52" s="467"/>
      <c r="AC52" s="467"/>
      <c r="AD52" s="468"/>
      <c r="AE52" s="469" t="s">
        <v>330</v>
      </c>
      <c r="AF52" s="470"/>
      <c r="AG52" s="470"/>
      <c r="AH52" s="470"/>
      <c r="AI52" s="470"/>
      <c r="AJ52" s="470"/>
      <c r="AK52" s="470"/>
      <c r="AL52" s="471"/>
      <c r="AM52" s="472"/>
      <c r="AN52" s="472"/>
      <c r="AO52" s="472"/>
      <c r="AP52" s="472"/>
      <c r="AQ52" s="152"/>
      <c r="AR52" s="454" t="s">
        <v>160</v>
      </c>
      <c r="AS52" s="454"/>
      <c r="AT52" s="152"/>
      <c r="AU52" s="454" t="s">
        <v>161</v>
      </c>
      <c r="AV52" s="454"/>
      <c r="AW52" s="454"/>
      <c r="AX52" s="465"/>
      <c r="AY52" s="459"/>
      <c r="AZ52" s="459"/>
      <c r="BA52" s="459"/>
      <c r="BB52" s="459"/>
      <c r="BC52" s="459"/>
      <c r="BD52" s="460"/>
      <c r="BE52" s="120"/>
    </row>
    <row r="53" spans="5:57" ht="15.6">
      <c r="J53" s="29"/>
      <c r="K53" s="30"/>
      <c r="L53" s="40" t="s">
        <v>74</v>
      </c>
      <c r="M53" s="40"/>
      <c r="N53" s="40"/>
      <c r="O53" s="40"/>
      <c r="P53" s="40"/>
      <c r="Q53" s="40"/>
      <c r="R53" s="329">
        <f>C15</f>
        <v>7.0833333333333338E-3</v>
      </c>
      <c r="S53" s="329"/>
      <c r="T53" s="329"/>
      <c r="U53" s="46"/>
      <c r="W53" s="120"/>
      <c r="X53" s="464" t="s">
        <v>162</v>
      </c>
      <c r="Y53" s="464"/>
      <c r="Z53" s="464"/>
      <c r="AA53" s="464"/>
      <c r="AB53" s="464"/>
      <c r="AC53" s="464"/>
      <c r="AD53" s="464"/>
      <c r="AE53" s="464" t="s">
        <v>163</v>
      </c>
      <c r="AF53" s="464"/>
      <c r="AG53" s="464"/>
      <c r="AH53" s="464"/>
      <c r="AI53" s="464"/>
      <c r="AJ53" s="464"/>
      <c r="AK53" s="464"/>
      <c r="AL53" s="464"/>
      <c r="AM53" s="464"/>
      <c r="AN53" s="464"/>
      <c r="AO53" s="464"/>
      <c r="AP53" s="464"/>
      <c r="AQ53" s="464"/>
      <c r="AR53" s="464"/>
      <c r="AS53" s="464"/>
      <c r="AT53" s="464"/>
      <c r="AU53" s="120"/>
      <c r="AV53" s="134"/>
      <c r="AW53" s="134"/>
      <c r="AX53" s="134" t="s">
        <v>164</v>
      </c>
      <c r="AY53" s="134"/>
      <c r="AZ53" s="134"/>
      <c r="BA53" s="134"/>
      <c r="BB53" s="134"/>
      <c r="BC53" s="134"/>
      <c r="BD53" s="134"/>
      <c r="BE53" s="120"/>
    </row>
    <row r="54" spans="5:57" ht="16.2" thickBot="1">
      <c r="J54" s="29"/>
      <c r="K54" s="43"/>
      <c r="L54" s="43"/>
      <c r="M54" s="43"/>
      <c r="N54" s="43"/>
      <c r="O54" s="44"/>
      <c r="P54" s="43"/>
      <c r="Q54" s="43"/>
      <c r="R54" s="43"/>
      <c r="S54" s="43"/>
      <c r="T54" s="43"/>
      <c r="U54" s="46"/>
      <c r="W54" s="120"/>
      <c r="X54" s="465"/>
      <c r="Y54" s="459"/>
      <c r="Z54" s="459"/>
      <c r="AA54" s="459"/>
      <c r="AB54" s="459"/>
      <c r="AC54" s="459"/>
      <c r="AD54" s="460"/>
      <c r="AE54" s="455"/>
      <c r="AF54" s="456"/>
      <c r="AG54" s="456"/>
      <c r="AH54" s="456"/>
      <c r="AI54" s="456"/>
      <c r="AJ54" s="456"/>
      <c r="AK54" s="456"/>
      <c r="AL54" s="456"/>
      <c r="AM54" s="456"/>
      <c r="AN54" s="456"/>
      <c r="AO54" s="456"/>
      <c r="AP54" s="456"/>
      <c r="AQ54" s="456"/>
      <c r="AR54" s="456"/>
      <c r="AS54" s="456"/>
      <c r="AT54" s="456"/>
      <c r="AU54" s="456"/>
      <c r="AV54" s="456"/>
      <c r="AW54" s="457"/>
      <c r="AX54" s="455"/>
      <c r="AY54" s="456"/>
      <c r="AZ54" s="456"/>
      <c r="BA54" s="456"/>
      <c r="BB54" s="456"/>
      <c r="BC54" s="456"/>
      <c r="BD54" s="457"/>
      <c r="BE54" s="120"/>
    </row>
    <row r="55" spans="5:57" ht="16.2" thickTop="1">
      <c r="J55" s="29"/>
      <c r="K55" s="30"/>
      <c r="L55" s="30"/>
      <c r="M55" s="30"/>
      <c r="N55" s="30"/>
      <c r="O55" s="32"/>
      <c r="P55" s="30"/>
      <c r="Q55" s="30"/>
      <c r="R55" s="30"/>
      <c r="S55" s="30"/>
      <c r="T55" s="30"/>
      <c r="U55" s="46"/>
      <c r="W55" s="120"/>
      <c r="X55" s="123" t="s">
        <v>165</v>
      </c>
      <c r="Y55" s="123"/>
      <c r="Z55" s="123"/>
      <c r="AA55" s="123"/>
      <c r="AB55" s="123"/>
      <c r="AC55" s="123"/>
      <c r="AD55" s="123"/>
      <c r="AE55" s="120"/>
      <c r="AF55" s="123"/>
      <c r="AG55" s="134" t="s">
        <v>166</v>
      </c>
      <c r="AH55" s="120"/>
      <c r="AI55" s="120"/>
      <c r="AJ55" s="120"/>
      <c r="AK55" s="134"/>
      <c r="AL55" s="134"/>
      <c r="AM55" s="134"/>
      <c r="AN55" s="134"/>
      <c r="AO55" s="134"/>
      <c r="AP55" s="134"/>
      <c r="AQ55" s="134"/>
      <c r="AR55" s="134"/>
      <c r="AS55" s="134"/>
      <c r="AT55" s="454" t="s">
        <v>167</v>
      </c>
      <c r="AU55" s="454"/>
      <c r="AV55" s="454"/>
      <c r="AW55" s="454"/>
      <c r="AX55" s="454"/>
      <c r="AY55" s="454"/>
      <c r="AZ55" s="454"/>
      <c r="BA55" s="454"/>
      <c r="BB55" s="454"/>
      <c r="BC55" s="454"/>
      <c r="BD55" s="454"/>
      <c r="BE55" s="120"/>
    </row>
    <row r="56" spans="5:57" ht="15.6">
      <c r="J56" s="29"/>
      <c r="K56" s="30" t="s">
        <v>75</v>
      </c>
      <c r="L56" s="30"/>
      <c r="M56" s="30"/>
      <c r="O56" s="30"/>
      <c r="P56" s="30"/>
      <c r="R56" s="30" t="s">
        <v>272</v>
      </c>
      <c r="S56" s="30"/>
      <c r="T56" s="30"/>
      <c r="U56" s="46"/>
      <c r="W56" s="120"/>
      <c r="X56" s="455"/>
      <c r="Y56" s="456"/>
      <c r="Z56" s="456"/>
      <c r="AA56" s="456"/>
      <c r="AB56" s="456"/>
      <c r="AC56" s="456"/>
      <c r="AD56" s="456"/>
      <c r="AE56" s="456"/>
      <c r="AF56" s="457"/>
      <c r="AG56" s="458"/>
      <c r="AH56" s="459"/>
      <c r="AI56" s="459"/>
      <c r="AJ56" s="459"/>
      <c r="AK56" s="459"/>
      <c r="AL56" s="459"/>
      <c r="AM56" s="459"/>
      <c r="AN56" s="459"/>
      <c r="AO56" s="459"/>
      <c r="AP56" s="459"/>
      <c r="AQ56" s="459"/>
      <c r="AR56" s="459"/>
      <c r="AS56" s="460"/>
      <c r="AT56" s="153"/>
      <c r="AU56" s="154"/>
      <c r="AV56" s="154"/>
      <c r="AW56" s="155" t="s">
        <v>168</v>
      </c>
      <c r="AX56" s="154"/>
      <c r="AY56" s="154"/>
      <c r="AZ56" s="154"/>
      <c r="BA56" s="155" t="s">
        <v>168</v>
      </c>
      <c r="BB56" s="154"/>
      <c r="BC56" s="154"/>
      <c r="BD56" s="154"/>
      <c r="BE56" s="120"/>
    </row>
    <row r="57" spans="5:57" ht="15.75" customHeight="1">
      <c r="J57" s="29"/>
      <c r="K57" s="30"/>
      <c r="L57" s="30"/>
      <c r="M57" s="30"/>
      <c r="N57" s="30"/>
      <c r="O57" s="30"/>
      <c r="P57" s="30"/>
      <c r="Q57" s="30"/>
      <c r="R57" s="30"/>
      <c r="S57" s="30"/>
      <c r="T57" s="30"/>
      <c r="U57" s="46"/>
      <c r="W57" s="120"/>
      <c r="X57" s="156" t="s">
        <v>171</v>
      </c>
      <c r="Y57" s="134"/>
      <c r="Z57" s="134"/>
      <c r="AA57" s="134"/>
      <c r="AB57" s="461" t="str">
        <f>F23</f>
        <v>PUROK 4 GUIANG, GAMU, ISABELA</v>
      </c>
      <c r="AC57" s="462"/>
      <c r="AD57" s="462"/>
      <c r="AE57" s="462"/>
      <c r="AF57" s="462"/>
      <c r="AG57" s="462"/>
      <c r="AH57" s="462"/>
      <c r="AI57" s="462"/>
      <c r="AJ57" s="462"/>
      <c r="AK57" s="462"/>
      <c r="AL57" s="462"/>
      <c r="AM57" s="462"/>
      <c r="AN57" s="462"/>
      <c r="AO57" s="462"/>
      <c r="AP57" s="462"/>
      <c r="AQ57" s="462"/>
      <c r="AR57" s="462"/>
      <c r="AS57" s="462"/>
      <c r="AT57" s="462"/>
      <c r="AU57" s="462"/>
      <c r="AV57" s="462"/>
      <c r="AW57" s="462"/>
      <c r="AX57" s="462"/>
      <c r="AY57" s="462"/>
      <c r="AZ57" s="462"/>
      <c r="BA57" s="462"/>
      <c r="BB57" s="462"/>
      <c r="BC57" s="462"/>
      <c r="BD57" s="463"/>
      <c r="BE57" s="120"/>
    </row>
    <row r="58" spans="5:57" ht="15.6" customHeight="1">
      <c r="J58" s="16"/>
      <c r="U58" s="216"/>
      <c r="W58" s="120"/>
      <c r="X58" s="431" t="s">
        <v>172</v>
      </c>
      <c r="Y58" s="432"/>
      <c r="Z58" s="432"/>
      <c r="AA58" s="432"/>
      <c r="AB58" s="432"/>
      <c r="AC58" s="432"/>
      <c r="AD58" s="432"/>
      <c r="AE58" s="432"/>
      <c r="AF58" s="432"/>
      <c r="AG58" s="432"/>
      <c r="AH58" s="432"/>
      <c r="AI58" s="432"/>
      <c r="AJ58" s="432"/>
      <c r="AK58" s="432"/>
      <c r="AL58" s="432"/>
      <c r="AM58" s="432"/>
      <c r="AN58" s="432"/>
      <c r="AO58" s="432"/>
      <c r="AP58" s="432"/>
      <c r="AQ58" s="432"/>
      <c r="AR58" s="432"/>
      <c r="AS58" s="432"/>
      <c r="AT58" s="432"/>
      <c r="AU58" s="432"/>
      <c r="AV58" s="432"/>
      <c r="AW58" s="432"/>
      <c r="AX58" s="432"/>
      <c r="AY58" s="432"/>
      <c r="AZ58" s="432"/>
      <c r="BA58" s="432"/>
      <c r="BB58" s="432"/>
      <c r="BC58" s="432"/>
      <c r="BD58" s="433"/>
      <c r="BE58" s="120"/>
    </row>
    <row r="59" spans="5:57" ht="15.6">
      <c r="J59" s="16"/>
      <c r="U59" s="216"/>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row>
    <row r="60" spans="5:57" ht="16.2" thickBot="1">
      <c r="J60" s="29"/>
      <c r="K60" s="453" t="s">
        <v>89</v>
      </c>
      <c r="L60" s="453"/>
      <c r="M60" s="453"/>
      <c r="N60" s="33"/>
      <c r="O60" s="33"/>
      <c r="P60" s="33"/>
      <c r="R60" s="452" t="s">
        <v>89</v>
      </c>
      <c r="S60" s="452"/>
      <c r="T60" s="452"/>
      <c r="U60" s="46"/>
      <c r="W60" s="120"/>
      <c r="X60" s="120"/>
      <c r="Y60" s="120" t="s">
        <v>173</v>
      </c>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row>
    <row r="61" spans="5:57" ht="15.6">
      <c r="J61" s="29"/>
      <c r="K61" s="451" t="s">
        <v>77</v>
      </c>
      <c r="L61" s="451"/>
      <c r="M61" s="451"/>
      <c r="N61" s="30"/>
      <c r="O61" s="32"/>
      <c r="P61" s="30"/>
      <c r="R61" s="451" t="s">
        <v>276</v>
      </c>
      <c r="S61" s="451"/>
      <c r="T61" s="451"/>
      <c r="U61" s="46"/>
      <c r="W61" s="120"/>
      <c r="X61" s="120" t="s">
        <v>174</v>
      </c>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row>
    <row r="62" spans="5:57" ht="15.6">
      <c r="J62" s="16"/>
      <c r="U62" s="216"/>
      <c r="W62" s="120"/>
      <c r="X62" s="120" t="s">
        <v>175</v>
      </c>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row>
    <row r="63" spans="5:57" ht="15.6">
      <c r="J63" s="16"/>
      <c r="U63" s="216"/>
      <c r="W63" s="120"/>
      <c r="X63" s="120" t="s">
        <v>176</v>
      </c>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row>
    <row r="64" spans="5:57" ht="16.2" thickBot="1">
      <c r="E64" s="1"/>
      <c r="F64" s="222"/>
      <c r="G64" s="223"/>
      <c r="H64" s="222"/>
      <c r="J64" s="16"/>
      <c r="U64" s="216"/>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373" t="str">
        <f>K69</f>
        <v>SURAIDA S. ANOG</v>
      </c>
      <c r="AV64" s="373"/>
      <c r="AW64" s="373"/>
      <c r="AX64" s="373"/>
      <c r="AY64" s="373"/>
      <c r="AZ64" s="373"/>
      <c r="BA64" s="373"/>
      <c r="BB64" s="373"/>
      <c r="BC64" s="373"/>
      <c r="BD64" s="120"/>
      <c r="BE64" s="120"/>
    </row>
    <row r="65" spans="2:57" ht="15.6">
      <c r="B65" s="22"/>
      <c r="C65" s="221"/>
      <c r="E65" s="1"/>
      <c r="F65" s="222"/>
      <c r="G65" s="223"/>
      <c r="J65" s="29"/>
      <c r="K65" s="30"/>
      <c r="L65" s="30"/>
      <c r="M65" s="30"/>
      <c r="N65" s="30"/>
      <c r="O65" s="32"/>
      <c r="P65" s="30"/>
      <c r="Q65" s="30"/>
      <c r="R65" s="30"/>
      <c r="S65" s="30"/>
      <c r="T65" s="30"/>
      <c r="U65" s="46"/>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363" t="s">
        <v>177</v>
      </c>
      <c r="AV65" s="410"/>
      <c r="AW65" s="410"/>
      <c r="AX65" s="410"/>
      <c r="AY65" s="410"/>
      <c r="AZ65" s="410"/>
      <c r="BA65" s="410"/>
      <c r="BB65" s="410"/>
      <c r="BC65" s="410"/>
      <c r="BD65" s="120"/>
      <c r="BE65" s="120"/>
    </row>
    <row r="66" spans="2:57" ht="15.6">
      <c r="B66" s="22"/>
      <c r="C66" s="221"/>
      <c r="E66" s="1"/>
      <c r="F66" s="222"/>
      <c r="G66" s="223"/>
      <c r="H66" s="222"/>
      <c r="J66" s="29"/>
      <c r="K66" s="30" t="s">
        <v>79</v>
      </c>
      <c r="L66" s="30"/>
      <c r="M66" s="30"/>
      <c r="N66" s="30"/>
      <c r="O66" s="32"/>
      <c r="P66" s="30"/>
      <c r="Q66" s="30"/>
      <c r="R66" s="30" t="s">
        <v>76</v>
      </c>
      <c r="S66" s="30"/>
      <c r="T66" s="30"/>
      <c r="U66" s="46"/>
      <c r="W66" s="120"/>
      <c r="X66" s="431" t="s">
        <v>178</v>
      </c>
      <c r="Y66" s="432"/>
      <c r="Z66" s="432"/>
      <c r="AA66" s="432"/>
      <c r="AB66" s="432"/>
      <c r="AC66" s="432"/>
      <c r="AD66" s="432"/>
      <c r="AE66" s="432"/>
      <c r="AF66" s="432"/>
      <c r="AG66" s="432"/>
      <c r="AH66" s="432"/>
      <c r="AI66" s="432"/>
      <c r="AJ66" s="432"/>
      <c r="AK66" s="432"/>
      <c r="AL66" s="432"/>
      <c r="AM66" s="432"/>
      <c r="AN66" s="432"/>
      <c r="AO66" s="432"/>
      <c r="AP66" s="432"/>
      <c r="AQ66" s="432"/>
      <c r="AR66" s="432"/>
      <c r="AS66" s="432"/>
      <c r="AT66" s="432"/>
      <c r="AU66" s="432"/>
      <c r="AV66" s="432"/>
      <c r="AW66" s="432"/>
      <c r="AX66" s="432"/>
      <c r="AY66" s="432"/>
      <c r="AZ66" s="432"/>
      <c r="BA66" s="432"/>
      <c r="BB66" s="432"/>
      <c r="BC66" s="432"/>
      <c r="BD66" s="433"/>
      <c r="BE66" s="120"/>
    </row>
    <row r="67" spans="2:57" ht="15.6">
      <c r="B67" s="22"/>
      <c r="C67" s="221"/>
      <c r="H67" s="222"/>
      <c r="J67" s="29"/>
      <c r="K67" s="30"/>
      <c r="L67" s="30"/>
      <c r="M67" s="30"/>
      <c r="N67" s="30"/>
      <c r="O67" s="32"/>
      <c r="P67" s="30"/>
      <c r="Q67" s="30"/>
      <c r="R67" s="30"/>
      <c r="S67" s="30"/>
      <c r="T67" s="30"/>
      <c r="U67" s="46"/>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row>
    <row r="68" spans="2:57" ht="15.6">
      <c r="B68" s="22"/>
      <c r="C68" s="221"/>
      <c r="H68" s="222"/>
      <c r="J68" s="16"/>
      <c r="U68" s="216"/>
      <c r="W68" s="120"/>
      <c r="X68" s="120"/>
      <c r="Y68" s="120" t="s">
        <v>179</v>
      </c>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row>
    <row r="69" spans="2:57" ht="16.2" thickBot="1">
      <c r="B69" s="22"/>
      <c r="C69" s="221"/>
      <c r="H69" s="222"/>
      <c r="J69" s="16"/>
      <c r="K69" s="453" t="str">
        <f>N32</f>
        <v>SURAIDA S. ANOG</v>
      </c>
      <c r="L69" s="453"/>
      <c r="M69" s="453"/>
      <c r="P69" s="452" t="s">
        <v>278</v>
      </c>
      <c r="Q69" s="452"/>
      <c r="R69" s="452"/>
      <c r="S69" s="452"/>
      <c r="T69" s="452"/>
      <c r="U69" s="225"/>
      <c r="W69" s="120"/>
      <c r="X69" s="120" t="s">
        <v>180</v>
      </c>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row>
    <row r="70" spans="2:57" ht="15.6">
      <c r="B70" s="22"/>
      <c r="C70" s="221"/>
      <c r="H70" s="222"/>
      <c r="J70" s="29"/>
      <c r="K70" s="226" t="s">
        <v>80</v>
      </c>
      <c r="L70" s="226"/>
      <c r="M70" s="226"/>
      <c r="N70" s="30"/>
      <c r="O70" s="32"/>
      <c r="P70" s="30"/>
      <c r="Q70" s="30"/>
      <c r="R70" s="33" t="s">
        <v>78</v>
      </c>
      <c r="S70" s="33"/>
      <c r="T70" s="30"/>
      <c r="U70" s="46"/>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row>
    <row r="71" spans="2:57" ht="16.2" thickBot="1">
      <c r="B71" s="22"/>
      <c r="C71" s="221"/>
      <c r="H71" s="222"/>
      <c r="J71" s="50"/>
      <c r="K71" s="51"/>
      <c r="L71" s="51"/>
      <c r="M71" s="51"/>
      <c r="N71" s="51"/>
      <c r="O71" s="52"/>
      <c r="P71" s="51"/>
      <c r="Q71" s="51"/>
      <c r="R71" s="51"/>
      <c r="S71" s="51"/>
      <c r="T71" s="51"/>
      <c r="U71" s="53"/>
      <c r="W71" s="120"/>
      <c r="X71" s="373"/>
      <c r="Y71" s="373"/>
      <c r="Z71" s="373"/>
      <c r="AA71" s="373"/>
      <c r="AB71" s="373"/>
      <c r="AC71" s="373"/>
      <c r="AD71" s="373"/>
      <c r="AE71" s="373"/>
      <c r="AF71" s="120"/>
      <c r="AG71" s="373"/>
      <c r="AH71" s="373"/>
      <c r="AI71" s="373"/>
      <c r="AJ71" s="373"/>
      <c r="AK71" s="373"/>
      <c r="AL71" s="373"/>
      <c r="AM71" s="373"/>
      <c r="AN71" s="120"/>
      <c r="AO71" s="120"/>
      <c r="AP71" s="373"/>
      <c r="AQ71" s="373"/>
      <c r="AR71" s="373"/>
      <c r="AS71" s="373"/>
      <c r="AT71" s="373"/>
      <c r="AU71" s="373"/>
      <c r="AV71" s="373"/>
      <c r="AW71" s="120"/>
      <c r="AX71" s="450"/>
      <c r="AY71" s="450"/>
      <c r="AZ71" s="450"/>
      <c r="BA71" s="450"/>
      <c r="BB71" s="450"/>
      <c r="BC71" s="450"/>
      <c r="BD71" s="450"/>
      <c r="BE71" s="120"/>
    </row>
    <row r="72" spans="2:57" ht="15.6">
      <c r="B72" s="22"/>
      <c r="C72" s="221"/>
      <c r="H72" s="222"/>
      <c r="W72" s="120"/>
      <c r="X72" s="363" t="s">
        <v>181</v>
      </c>
      <c r="Y72" s="363"/>
      <c r="Z72" s="363"/>
      <c r="AA72" s="363"/>
      <c r="AB72" s="363"/>
      <c r="AC72" s="363"/>
      <c r="AD72" s="363"/>
      <c r="AE72" s="363"/>
      <c r="AF72" s="120"/>
      <c r="AG72" s="363" t="s">
        <v>182</v>
      </c>
      <c r="AH72" s="363"/>
      <c r="AI72" s="363"/>
      <c r="AJ72" s="363"/>
      <c r="AK72" s="363"/>
      <c r="AL72" s="363"/>
      <c r="AM72" s="363"/>
      <c r="AN72" s="120"/>
      <c r="AO72" s="120"/>
      <c r="AP72" s="363" t="s">
        <v>183</v>
      </c>
      <c r="AQ72" s="363"/>
      <c r="AR72" s="363"/>
      <c r="AS72" s="363"/>
      <c r="AT72" s="363"/>
      <c r="AU72" s="363"/>
      <c r="AV72" s="363"/>
      <c r="AW72" s="120"/>
      <c r="AX72" s="363" t="s">
        <v>184</v>
      </c>
      <c r="AY72" s="363"/>
      <c r="AZ72" s="363"/>
      <c r="BA72" s="363"/>
      <c r="BB72" s="363"/>
      <c r="BC72" s="363"/>
      <c r="BD72" s="363"/>
      <c r="BE72" s="120"/>
    </row>
    <row r="73" spans="2:57" ht="15.6">
      <c r="B73" s="22"/>
      <c r="W73" s="120"/>
      <c r="X73" s="363" t="s">
        <v>185</v>
      </c>
      <c r="Y73" s="363"/>
      <c r="Z73" s="363"/>
      <c r="AA73" s="363"/>
      <c r="AB73" s="363"/>
      <c r="AC73" s="363"/>
      <c r="AD73" s="363"/>
      <c r="AE73" s="363"/>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row>
    <row r="74" spans="2:57" ht="16.2" thickBot="1">
      <c r="B74" s="22"/>
      <c r="W74" s="120"/>
      <c r="X74" s="431" t="s">
        <v>186</v>
      </c>
      <c r="Y74" s="447"/>
      <c r="Z74" s="447"/>
      <c r="AA74" s="447"/>
      <c r="AB74" s="447"/>
      <c r="AC74" s="447"/>
      <c r="AD74" s="447"/>
      <c r="AE74" s="447"/>
      <c r="AF74" s="447"/>
      <c r="AG74" s="447"/>
      <c r="AH74" s="447"/>
      <c r="AI74" s="447"/>
      <c r="AJ74" s="447"/>
      <c r="AK74" s="447"/>
      <c r="AL74" s="447"/>
      <c r="AM74" s="447"/>
      <c r="AN74" s="447"/>
      <c r="AO74" s="447"/>
      <c r="AP74" s="447"/>
      <c r="AQ74" s="447"/>
      <c r="AR74" s="447"/>
      <c r="AS74" s="447"/>
      <c r="AT74" s="447"/>
      <c r="AU74" s="447"/>
      <c r="AV74" s="447"/>
      <c r="AW74" s="447"/>
      <c r="AX74" s="447"/>
      <c r="AY74" s="447"/>
      <c r="AZ74" s="447"/>
      <c r="BA74" s="447"/>
      <c r="BB74" s="447"/>
      <c r="BC74" s="447"/>
      <c r="BD74" s="448"/>
      <c r="BE74" s="120"/>
    </row>
    <row r="75" spans="2:57" ht="15.6">
      <c r="B75" s="22"/>
      <c r="J75" s="227"/>
      <c r="K75" s="228"/>
      <c r="L75" s="228"/>
      <c r="M75" s="228"/>
      <c r="N75" s="228"/>
      <c r="O75" s="228"/>
      <c r="P75" s="228"/>
      <c r="Q75" s="228"/>
      <c r="R75" s="228"/>
      <c r="S75" s="228"/>
      <c r="T75" s="228"/>
      <c r="U75" s="229"/>
      <c r="W75" s="120"/>
      <c r="X75" s="449" t="s">
        <v>187</v>
      </c>
      <c r="Y75" s="449"/>
      <c r="Z75" s="449"/>
      <c r="AA75" s="449" t="s">
        <v>188</v>
      </c>
      <c r="AB75" s="449"/>
      <c r="AC75" s="449"/>
      <c r="AD75" s="449"/>
      <c r="AE75" s="449" t="s">
        <v>189</v>
      </c>
      <c r="AF75" s="449"/>
      <c r="AG75" s="449"/>
      <c r="AH75" s="449"/>
      <c r="AI75" s="449"/>
      <c r="AJ75" s="449" t="s">
        <v>190</v>
      </c>
      <c r="AK75" s="449"/>
      <c r="AL75" s="449"/>
      <c r="AM75" s="449" t="s">
        <v>46</v>
      </c>
      <c r="AN75" s="449"/>
      <c r="AO75" s="449"/>
      <c r="AP75" s="449"/>
      <c r="AQ75" s="449"/>
      <c r="AR75" s="449" t="s">
        <v>191</v>
      </c>
      <c r="AS75" s="449"/>
      <c r="AT75" s="449"/>
      <c r="AU75" s="449" t="s">
        <v>192</v>
      </c>
      <c r="AV75" s="449"/>
      <c r="AW75" s="449"/>
      <c r="AX75" s="449"/>
      <c r="AY75" s="449"/>
      <c r="AZ75" s="449" t="s">
        <v>193</v>
      </c>
      <c r="BA75" s="449"/>
      <c r="BB75" s="449"/>
      <c r="BC75" s="449"/>
      <c r="BD75" s="449"/>
      <c r="BE75" s="120"/>
    </row>
    <row r="76" spans="2:57" ht="15.6">
      <c r="B76" s="22"/>
      <c r="J76" s="16"/>
      <c r="U76" s="216"/>
      <c r="W76" s="120"/>
      <c r="X76" s="440"/>
      <c r="Y76" s="438"/>
      <c r="Z76" s="438"/>
      <c r="AA76" s="441"/>
      <c r="AB76" s="438"/>
      <c r="AC76" s="438"/>
      <c r="AD76" s="438"/>
      <c r="AE76" s="439"/>
      <c r="AF76" s="439"/>
      <c r="AG76" s="439"/>
      <c r="AH76" s="439"/>
      <c r="AI76" s="439"/>
      <c r="AJ76" s="442"/>
      <c r="AK76" s="438"/>
      <c r="AL76" s="438"/>
      <c r="AM76" s="443"/>
      <c r="AN76" s="444"/>
      <c r="AO76" s="444"/>
      <c r="AP76" s="444"/>
      <c r="AQ76" s="445"/>
      <c r="AR76" s="446"/>
      <c r="AS76" s="446"/>
      <c r="AT76" s="446"/>
      <c r="AU76" s="438"/>
      <c r="AV76" s="438"/>
      <c r="AW76" s="438"/>
      <c r="AX76" s="438"/>
      <c r="AY76" s="438"/>
      <c r="AZ76" s="439"/>
      <c r="BA76" s="439"/>
      <c r="BB76" s="439"/>
      <c r="BC76" s="439"/>
      <c r="BD76" s="439"/>
      <c r="BE76" s="120"/>
    </row>
    <row r="77" spans="2:57" ht="15.6">
      <c r="B77" s="22"/>
      <c r="J77" s="16"/>
      <c r="U77" s="216"/>
      <c r="W77" s="120"/>
      <c r="X77" s="437"/>
      <c r="Y77" s="437"/>
      <c r="Z77" s="437"/>
      <c r="AA77" s="437"/>
      <c r="AB77" s="437"/>
      <c r="AC77" s="437"/>
      <c r="AD77" s="437"/>
      <c r="AE77" s="437"/>
      <c r="AF77" s="437"/>
      <c r="AG77" s="437"/>
      <c r="AH77" s="437"/>
      <c r="AI77" s="437"/>
      <c r="AJ77" s="437"/>
      <c r="AK77" s="437"/>
      <c r="AL77" s="437"/>
      <c r="AM77" s="437"/>
      <c r="AN77" s="437"/>
      <c r="AO77" s="437"/>
      <c r="AP77" s="437"/>
      <c r="AQ77" s="437"/>
      <c r="AR77" s="437"/>
      <c r="AS77" s="437"/>
      <c r="AT77" s="437"/>
      <c r="AU77" s="437"/>
      <c r="AV77" s="437"/>
      <c r="AW77" s="437"/>
      <c r="AX77" s="437"/>
      <c r="AY77" s="437"/>
      <c r="AZ77" s="437"/>
      <c r="BA77" s="437"/>
      <c r="BB77" s="437"/>
      <c r="BC77" s="437"/>
      <c r="BD77" s="437"/>
      <c r="BE77" s="120"/>
    </row>
    <row r="78" spans="2:57" ht="15.6">
      <c r="B78" s="22"/>
      <c r="J78" s="16"/>
      <c r="N78" s="230"/>
      <c r="U78" s="216"/>
      <c r="W78" s="120"/>
      <c r="X78" s="437"/>
      <c r="Y78" s="437"/>
      <c r="Z78" s="437"/>
      <c r="AA78" s="437"/>
      <c r="AB78" s="437"/>
      <c r="AC78" s="437"/>
      <c r="AD78" s="437"/>
      <c r="AE78" s="437"/>
      <c r="AF78" s="437"/>
      <c r="AG78" s="437"/>
      <c r="AH78" s="437"/>
      <c r="AI78" s="437"/>
      <c r="AJ78" s="437"/>
      <c r="AK78" s="437"/>
      <c r="AL78" s="437"/>
      <c r="AM78" s="437"/>
      <c r="AN78" s="437"/>
      <c r="AO78" s="437"/>
      <c r="AP78" s="437"/>
      <c r="AQ78" s="437"/>
      <c r="AR78" s="437"/>
      <c r="AS78" s="437"/>
      <c r="AT78" s="437"/>
      <c r="AU78" s="437"/>
      <c r="AV78" s="437"/>
      <c r="AW78" s="437"/>
      <c r="AX78" s="437"/>
      <c r="AY78" s="437"/>
      <c r="AZ78" s="437"/>
      <c r="BA78" s="437"/>
      <c r="BB78" s="437"/>
      <c r="BC78" s="437"/>
      <c r="BD78" s="437"/>
      <c r="BE78" s="120"/>
    </row>
    <row r="79" spans="2:57" ht="15.6">
      <c r="B79" s="22"/>
      <c r="J79" s="16"/>
      <c r="N79" s="423" t="s">
        <v>283</v>
      </c>
      <c r="O79" s="424"/>
      <c r="P79" s="424"/>
      <c r="Q79" s="424"/>
      <c r="U79" s="216"/>
      <c r="W79" s="120"/>
      <c r="X79" s="437"/>
      <c r="Y79" s="437"/>
      <c r="Z79" s="437"/>
      <c r="AA79" s="437"/>
      <c r="AB79" s="437"/>
      <c r="AC79" s="437"/>
      <c r="AD79" s="437"/>
      <c r="AE79" s="437"/>
      <c r="AF79" s="437"/>
      <c r="AG79" s="437"/>
      <c r="AH79" s="437"/>
      <c r="AI79" s="437"/>
      <c r="AJ79" s="437"/>
      <c r="AK79" s="437"/>
      <c r="AL79" s="437"/>
      <c r="AM79" s="437"/>
      <c r="AN79" s="437"/>
      <c r="AO79" s="437"/>
      <c r="AP79" s="437"/>
      <c r="AQ79" s="437"/>
      <c r="AR79" s="437"/>
      <c r="AS79" s="437"/>
      <c r="AT79" s="437"/>
      <c r="AU79" s="437"/>
      <c r="AV79" s="437"/>
      <c r="AW79" s="437"/>
      <c r="AX79" s="437"/>
      <c r="AY79" s="437"/>
      <c r="AZ79" s="437"/>
      <c r="BA79" s="437"/>
      <c r="BB79" s="437"/>
      <c r="BC79" s="437"/>
      <c r="BD79" s="437"/>
      <c r="BE79" s="120"/>
    </row>
    <row r="80" spans="2:57" ht="15.6">
      <c r="B80" s="22"/>
      <c r="J80" s="16"/>
      <c r="M80" s="423" t="s">
        <v>284</v>
      </c>
      <c r="N80" s="424"/>
      <c r="O80" s="424"/>
      <c r="P80" s="424"/>
      <c r="Q80" s="424"/>
      <c r="R80" s="424"/>
      <c r="U80" s="216"/>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row>
    <row r="81" spans="2:57" ht="15.6">
      <c r="B81" s="22"/>
      <c r="J81" s="16"/>
      <c r="N81" s="423" t="s">
        <v>285</v>
      </c>
      <c r="O81" s="424"/>
      <c r="P81" s="424"/>
      <c r="Q81" s="424"/>
      <c r="U81" s="216"/>
      <c r="W81" s="120"/>
      <c r="X81" s="431" t="s">
        <v>194</v>
      </c>
      <c r="Y81" s="432"/>
      <c r="Z81" s="432"/>
      <c r="AA81" s="432"/>
      <c r="AB81" s="432"/>
      <c r="AC81" s="432"/>
      <c r="AD81" s="432"/>
      <c r="AE81" s="432"/>
      <c r="AF81" s="432"/>
      <c r="AG81" s="432"/>
      <c r="AH81" s="432"/>
      <c r="AI81" s="432"/>
      <c r="AJ81" s="432"/>
      <c r="AK81" s="432"/>
      <c r="AL81" s="432"/>
      <c r="AM81" s="432"/>
      <c r="AN81" s="432"/>
      <c r="AO81" s="432"/>
      <c r="AP81" s="432"/>
      <c r="AQ81" s="432"/>
      <c r="AR81" s="432"/>
      <c r="AS81" s="432"/>
      <c r="AT81" s="432"/>
      <c r="AU81" s="432"/>
      <c r="AV81" s="432"/>
      <c r="AW81" s="432"/>
      <c r="AX81" s="432"/>
      <c r="AY81" s="432"/>
      <c r="AZ81" s="432"/>
      <c r="BA81" s="432"/>
      <c r="BB81" s="432"/>
      <c r="BC81" s="432"/>
      <c r="BD81" s="433"/>
      <c r="BE81" s="120"/>
    </row>
    <row r="82" spans="2:57" ht="15.6">
      <c r="B82" s="22"/>
      <c r="J82" s="16"/>
      <c r="U82" s="216"/>
      <c r="W82" s="120"/>
      <c r="X82" s="434" t="s">
        <v>195</v>
      </c>
      <c r="Y82" s="435"/>
      <c r="Z82" s="435"/>
      <c r="AA82" s="435"/>
      <c r="AB82" s="436"/>
      <c r="AC82" s="434" t="s">
        <v>196</v>
      </c>
      <c r="AD82" s="435"/>
      <c r="AE82" s="435"/>
      <c r="AF82" s="436"/>
      <c r="AG82" s="434" t="s">
        <v>47</v>
      </c>
      <c r="AH82" s="435"/>
      <c r="AI82" s="435"/>
      <c r="AJ82" s="436"/>
      <c r="AK82" s="434" t="s">
        <v>197</v>
      </c>
      <c r="AL82" s="435"/>
      <c r="AM82" s="435"/>
      <c r="AN82" s="435"/>
      <c r="AO82" s="435"/>
      <c r="AP82" s="435"/>
      <c r="AQ82" s="436"/>
      <c r="AR82" s="434" t="s">
        <v>198</v>
      </c>
      <c r="AS82" s="435"/>
      <c r="AT82" s="435"/>
      <c r="AU82" s="435"/>
      <c r="AV82" s="436"/>
      <c r="AW82" s="434" t="s">
        <v>199</v>
      </c>
      <c r="AX82" s="435"/>
      <c r="AY82" s="435"/>
      <c r="AZ82" s="435"/>
      <c r="BA82" s="435"/>
      <c r="BB82" s="435"/>
      <c r="BC82" s="435"/>
      <c r="BD82" s="436"/>
      <c r="BE82" s="120"/>
    </row>
    <row r="83" spans="2:57" ht="15.6">
      <c r="B83" s="22"/>
      <c r="J83" s="16"/>
      <c r="M83" s="426" t="s">
        <v>286</v>
      </c>
      <c r="N83" s="426"/>
      <c r="O83" s="426"/>
      <c r="P83" s="426"/>
      <c r="Q83" s="426"/>
      <c r="R83" s="426"/>
      <c r="U83" s="216"/>
      <c r="W83" s="120"/>
      <c r="X83" s="418">
        <f>C4</f>
        <v>107635.75</v>
      </c>
      <c r="Y83" s="419"/>
      <c r="Z83" s="419"/>
      <c r="AA83" s="419"/>
      <c r="AB83" s="420"/>
      <c r="AC83" s="418">
        <f>AT39</f>
        <v>9338.1996345234002</v>
      </c>
      <c r="AD83" s="419"/>
      <c r="AE83" s="419"/>
      <c r="AF83" s="420"/>
      <c r="AG83" s="427">
        <f>E25</f>
        <v>12</v>
      </c>
      <c r="AH83" s="428"/>
      <c r="AI83" s="428"/>
      <c r="AJ83" s="429"/>
      <c r="AK83" s="418">
        <v>650</v>
      </c>
      <c r="AL83" s="419"/>
      <c r="AM83" s="419"/>
      <c r="AN83" s="419"/>
      <c r="AO83" s="419"/>
      <c r="AP83" s="419"/>
      <c r="AQ83" s="420"/>
      <c r="AR83" s="430"/>
      <c r="AS83" s="428"/>
      <c r="AT83" s="428"/>
      <c r="AU83" s="428"/>
      <c r="AV83" s="429"/>
      <c r="AW83" s="418">
        <f>C3</f>
        <v>112058.3956142808</v>
      </c>
      <c r="AX83" s="419"/>
      <c r="AY83" s="419"/>
      <c r="AZ83" s="419"/>
      <c r="BA83" s="419"/>
      <c r="BB83" s="419"/>
      <c r="BC83" s="419"/>
      <c r="BD83" s="420"/>
      <c r="BE83" s="120"/>
    </row>
    <row r="84" spans="2:57" ht="15.6">
      <c r="B84" s="22"/>
      <c r="J84" s="16"/>
      <c r="U84" s="216"/>
      <c r="W84" s="120"/>
      <c r="X84" s="414" t="s">
        <v>200</v>
      </c>
      <c r="Y84" s="414"/>
      <c r="Z84" s="414"/>
      <c r="AA84" s="414"/>
      <c r="AB84" s="414"/>
      <c r="AC84" s="414"/>
      <c r="AD84" s="414"/>
      <c r="AE84" s="414"/>
      <c r="AF84" s="414"/>
      <c r="AG84" s="414"/>
      <c r="AH84" s="414"/>
      <c r="AI84" s="414"/>
      <c r="AJ84" s="414"/>
      <c r="AK84" s="414"/>
      <c r="AL84" s="414"/>
      <c r="AM84" s="414"/>
      <c r="AN84" s="414"/>
      <c r="AO84" s="414"/>
      <c r="AP84" s="414"/>
      <c r="AQ84" s="414"/>
      <c r="AR84" s="414"/>
      <c r="AS84" s="414"/>
      <c r="AT84" s="414"/>
      <c r="AU84" s="414"/>
      <c r="AV84" s="414"/>
      <c r="AW84" s="414"/>
      <c r="AX84" s="414"/>
      <c r="AY84" s="414"/>
      <c r="AZ84" s="414"/>
      <c r="BA84" s="414"/>
      <c r="BB84" s="414"/>
      <c r="BC84" s="414"/>
      <c r="BD84" s="414"/>
      <c r="BE84" s="120"/>
    </row>
    <row r="85" spans="2:57" ht="16.2" thickBot="1">
      <c r="B85" s="22"/>
      <c r="J85" s="16"/>
      <c r="R85" s="421">
        <f>S29</f>
        <v>45908</v>
      </c>
      <c r="S85" s="422"/>
      <c r="U85" s="216"/>
      <c r="W85" s="120"/>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0"/>
    </row>
    <row r="86" spans="2:57" ht="16.2" thickBot="1">
      <c r="B86" s="22"/>
      <c r="J86" s="16"/>
      <c r="R86" s="423" t="s">
        <v>287</v>
      </c>
      <c r="S86" s="424"/>
      <c r="U86" s="216"/>
      <c r="W86" s="120"/>
      <c r="X86" s="123"/>
      <c r="Y86" s="123"/>
      <c r="Z86" s="123"/>
      <c r="AA86" s="123"/>
      <c r="AB86" s="123"/>
      <c r="AC86" s="123"/>
      <c r="AD86" s="123"/>
      <c r="AE86" s="123"/>
      <c r="AF86" s="123"/>
      <c r="AG86" s="123"/>
      <c r="AH86" s="123"/>
      <c r="AI86" s="123"/>
      <c r="AJ86" s="425" t="str">
        <f>K60</f>
        <v>ALEXANDER A. FERIA JR</v>
      </c>
      <c r="AK86" s="425"/>
      <c r="AL86" s="425"/>
      <c r="AM86" s="425"/>
      <c r="AN86" s="425"/>
      <c r="AO86" s="425"/>
      <c r="AP86" s="425"/>
      <c r="AQ86" s="425"/>
      <c r="AR86" s="425"/>
      <c r="AS86" s="425"/>
      <c r="AT86" s="123"/>
      <c r="AU86" s="123"/>
      <c r="AV86" s="123"/>
      <c r="AW86" s="123"/>
      <c r="AX86" s="123"/>
      <c r="AY86" s="123"/>
      <c r="AZ86" s="123"/>
      <c r="BA86" s="123"/>
      <c r="BB86" s="123"/>
      <c r="BC86" s="123"/>
      <c r="BD86" s="123"/>
      <c r="BE86" s="120"/>
    </row>
    <row r="87" spans="2:57" ht="15.6">
      <c r="B87" s="22"/>
      <c r="J87" s="16"/>
      <c r="U87" s="216"/>
      <c r="W87" s="363" t="s">
        <v>201</v>
      </c>
      <c r="X87" s="363"/>
      <c r="Y87" s="363"/>
      <c r="Z87" s="363"/>
      <c r="AA87" s="363"/>
      <c r="AB87" s="363"/>
      <c r="AC87" s="363"/>
      <c r="AD87" s="363"/>
      <c r="AE87" s="363"/>
      <c r="AF87" s="363"/>
      <c r="AG87" s="363"/>
      <c r="AH87" s="363"/>
      <c r="AI87" s="363"/>
      <c r="AJ87" s="363"/>
      <c r="AK87" s="363"/>
      <c r="AL87" s="363"/>
      <c r="AM87" s="363"/>
      <c r="AN87" s="363"/>
      <c r="AO87" s="363"/>
      <c r="AP87" s="363"/>
      <c r="AQ87" s="363"/>
      <c r="AR87" s="363"/>
      <c r="AS87" s="363"/>
      <c r="AT87" s="363"/>
      <c r="AU87" s="363"/>
      <c r="AV87" s="363"/>
      <c r="AW87" s="363"/>
      <c r="AX87" s="363"/>
      <c r="AY87" s="363"/>
      <c r="AZ87" s="363"/>
      <c r="BA87" s="363"/>
      <c r="BB87" s="363"/>
      <c r="BC87" s="363"/>
      <c r="BD87" s="363"/>
      <c r="BE87" s="363"/>
    </row>
    <row r="88" spans="2:57" ht="15.6">
      <c r="J88" s="16"/>
      <c r="U88" s="216"/>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row>
    <row r="89" spans="2:57" ht="15.6">
      <c r="J89" s="16"/>
      <c r="U89" s="216"/>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row>
    <row r="90" spans="2:57" ht="15.6">
      <c r="J90" s="16"/>
      <c r="K90" s="411" t="s">
        <v>288</v>
      </c>
      <c r="L90" s="412"/>
      <c r="M90" s="412"/>
      <c r="U90" s="216"/>
      <c r="W90" s="120"/>
      <c r="X90" s="413" t="s">
        <v>202</v>
      </c>
      <c r="Y90" s="414"/>
      <c r="Z90" s="414"/>
      <c r="AA90" s="414"/>
      <c r="AB90" s="414"/>
      <c r="AC90" s="414"/>
      <c r="AD90" s="414"/>
      <c r="AE90" s="414"/>
      <c r="AF90" s="414"/>
      <c r="AG90" s="414"/>
      <c r="AH90" s="414"/>
      <c r="AI90" s="414"/>
      <c r="AJ90" s="414"/>
      <c r="AK90" s="414"/>
      <c r="AL90" s="414"/>
      <c r="AM90" s="414"/>
      <c r="AN90" s="415"/>
      <c r="AO90" s="413" t="s">
        <v>203</v>
      </c>
      <c r="AP90" s="414"/>
      <c r="AQ90" s="414"/>
      <c r="AR90" s="414"/>
      <c r="AS90" s="414"/>
      <c r="AT90" s="414"/>
      <c r="AU90" s="414"/>
      <c r="AV90" s="414"/>
      <c r="AW90" s="414"/>
      <c r="AX90" s="414"/>
      <c r="AY90" s="414"/>
      <c r="AZ90" s="414"/>
      <c r="BA90" s="414"/>
      <c r="BB90" s="414"/>
      <c r="BC90" s="414"/>
      <c r="BD90" s="415"/>
      <c r="BE90" s="120"/>
    </row>
    <row r="91" spans="2:57" ht="15.6">
      <c r="J91" s="16"/>
      <c r="U91" s="216"/>
      <c r="V91" s="30"/>
      <c r="W91" s="120"/>
      <c r="X91" s="158"/>
      <c r="Y91" s="157"/>
      <c r="Z91" s="157"/>
      <c r="AA91" s="157"/>
      <c r="AB91" s="157"/>
      <c r="AC91" s="157"/>
      <c r="AD91" s="157"/>
      <c r="AE91" s="157"/>
      <c r="AF91" s="157"/>
      <c r="AG91" s="157"/>
      <c r="AH91" s="157"/>
      <c r="AI91" s="157"/>
      <c r="AJ91" s="157"/>
      <c r="AK91" s="157"/>
      <c r="AL91" s="157"/>
      <c r="AM91" s="157"/>
      <c r="AN91" s="159"/>
      <c r="AO91" s="158"/>
      <c r="AP91" s="157"/>
      <c r="AQ91" s="157"/>
      <c r="AR91" s="157"/>
      <c r="AS91" s="157"/>
      <c r="AT91" s="157"/>
      <c r="AU91" s="157"/>
      <c r="AV91" s="157"/>
      <c r="AW91" s="157"/>
      <c r="AX91" s="157"/>
      <c r="AY91" s="157"/>
      <c r="AZ91" s="157"/>
      <c r="BA91" s="157"/>
      <c r="BB91" s="157"/>
      <c r="BC91" s="157"/>
      <c r="BD91" s="159"/>
      <c r="BE91" s="120"/>
    </row>
    <row r="92" spans="2:57" ht="16.5" customHeight="1" thickBot="1">
      <c r="J92" s="16"/>
      <c r="K92" s="230" t="s">
        <v>289</v>
      </c>
      <c r="L92" s="230"/>
      <c r="O92" s="416" t="s">
        <v>290</v>
      </c>
      <c r="P92" s="416"/>
      <c r="Q92" s="416"/>
      <c r="R92" s="416"/>
      <c r="S92" s="416"/>
      <c r="U92" s="216"/>
      <c r="V92" s="30"/>
      <c r="W92" s="120"/>
      <c r="X92" s="160"/>
      <c r="Y92" s="130"/>
      <c r="Z92" s="130"/>
      <c r="AA92" s="161"/>
      <c r="AB92" s="417" t="s">
        <v>204</v>
      </c>
      <c r="AC92" s="417"/>
      <c r="AD92" s="417"/>
      <c r="AE92" s="417"/>
      <c r="AF92" s="417"/>
      <c r="AG92" s="417"/>
      <c r="AH92" s="417"/>
      <c r="AI92" s="417"/>
      <c r="AJ92" s="417"/>
      <c r="AK92" s="161"/>
      <c r="AL92" s="161"/>
      <c r="AM92" s="161"/>
      <c r="AN92" s="162"/>
      <c r="AO92" s="160"/>
      <c r="AP92" s="120"/>
      <c r="AQ92" s="120"/>
      <c r="AR92" s="120"/>
      <c r="AS92" s="373" t="s">
        <v>205</v>
      </c>
      <c r="AT92" s="373"/>
      <c r="AU92" s="373"/>
      <c r="AV92" s="373"/>
      <c r="AW92" s="373"/>
      <c r="AX92" s="373"/>
      <c r="AY92" s="373"/>
      <c r="AZ92" s="373"/>
      <c r="BA92" s="120"/>
      <c r="BB92" s="120"/>
      <c r="BC92" s="120"/>
      <c r="BD92" s="163"/>
      <c r="BE92" s="120"/>
    </row>
    <row r="93" spans="2:57" ht="16.2" customHeight="1" thickBot="1">
      <c r="J93" s="16"/>
      <c r="K93" s="230" t="s">
        <v>291</v>
      </c>
      <c r="L93" s="231"/>
      <c r="M93" s="230" t="s">
        <v>292</v>
      </c>
      <c r="P93" s="402" t="s">
        <v>293</v>
      </c>
      <c r="Q93" s="403"/>
      <c r="R93" s="403"/>
      <c r="S93" s="403"/>
      <c r="U93" s="216"/>
      <c r="V93" s="30"/>
      <c r="W93" s="120"/>
      <c r="X93" s="404" t="s">
        <v>201</v>
      </c>
      <c r="Y93" s="405"/>
      <c r="Z93" s="405"/>
      <c r="AA93" s="405"/>
      <c r="AB93" s="405"/>
      <c r="AC93" s="405"/>
      <c r="AD93" s="405"/>
      <c r="AE93" s="405"/>
      <c r="AF93" s="405"/>
      <c r="AG93" s="405"/>
      <c r="AH93" s="405"/>
      <c r="AI93" s="405"/>
      <c r="AJ93" s="405"/>
      <c r="AK93" s="405"/>
      <c r="AL93" s="405"/>
      <c r="AM93" s="405"/>
      <c r="AN93" s="406"/>
      <c r="AO93" s="404" t="s">
        <v>201</v>
      </c>
      <c r="AP93" s="405"/>
      <c r="AQ93" s="405"/>
      <c r="AR93" s="405"/>
      <c r="AS93" s="405"/>
      <c r="AT93" s="405"/>
      <c r="AU93" s="405"/>
      <c r="AV93" s="405"/>
      <c r="AW93" s="405"/>
      <c r="AX93" s="405"/>
      <c r="AY93" s="405"/>
      <c r="AZ93" s="405"/>
      <c r="BA93" s="405"/>
      <c r="BB93" s="405"/>
      <c r="BC93" s="405"/>
      <c r="BD93" s="406"/>
      <c r="BE93" s="120"/>
    </row>
    <row r="94" spans="2:57" ht="16.2" thickBot="1">
      <c r="J94" s="16"/>
      <c r="K94" s="232" t="s">
        <v>294</v>
      </c>
      <c r="L94" s="231"/>
      <c r="U94" s="216"/>
      <c r="V94" s="3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row>
    <row r="95" spans="2:57" ht="15.6">
      <c r="J95" s="16"/>
      <c r="U95" s="216"/>
      <c r="V95" s="3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row>
    <row r="96" spans="2:57">
      <c r="J96" s="16"/>
      <c r="U96" s="216"/>
      <c r="V96" s="30"/>
    </row>
    <row r="97" spans="10:57">
      <c r="J97" s="16"/>
      <c r="U97" s="216"/>
      <c r="V97" s="30"/>
    </row>
    <row r="98" spans="10:57">
      <c r="J98" s="16"/>
      <c r="U98" s="216"/>
      <c r="V98" s="30"/>
    </row>
    <row r="99" spans="10:57" ht="18">
      <c r="J99" s="16"/>
      <c r="U99" s="216"/>
      <c r="V99" s="3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65"/>
      <c r="AS99" s="120"/>
      <c r="AT99" s="120"/>
      <c r="AU99" s="120"/>
      <c r="AV99" s="120"/>
      <c r="AW99" s="120"/>
      <c r="AX99" s="120"/>
      <c r="AY99" s="120"/>
      <c r="AZ99" s="120"/>
      <c r="BA99" s="120"/>
      <c r="BB99" s="120"/>
      <c r="BC99" s="120"/>
      <c r="BD99" s="120"/>
      <c r="BE99" s="120"/>
    </row>
    <row r="100" spans="10:57" ht="18">
      <c r="J100" s="16"/>
      <c r="U100" s="216"/>
      <c r="V100" s="30"/>
      <c r="W100" s="120"/>
      <c r="X100" s="368" t="s">
        <v>206</v>
      </c>
      <c r="Y100" s="369"/>
      <c r="Z100" s="369"/>
      <c r="AA100" s="369"/>
      <c r="AB100" s="369"/>
      <c r="AC100" s="369"/>
      <c r="AD100" s="369"/>
      <c r="AE100" s="369"/>
      <c r="AF100" s="369"/>
      <c r="AG100" s="369"/>
      <c r="AH100" s="369"/>
      <c r="AI100" s="369"/>
      <c r="AJ100" s="369"/>
      <c r="AK100" s="369"/>
      <c r="AL100" s="409" t="str">
        <f>H22</f>
        <v>LV-054</v>
      </c>
      <c r="AM100" s="410"/>
      <c r="AN100" s="410"/>
      <c r="AO100" s="120"/>
      <c r="AP100" s="120"/>
      <c r="AQ100" s="120"/>
      <c r="AR100" s="120"/>
      <c r="AS100" s="120"/>
      <c r="AT100" s="120"/>
      <c r="AU100" s="120"/>
      <c r="AV100" s="120"/>
      <c r="AW100" s="120"/>
      <c r="AX100" s="120"/>
      <c r="AY100" s="120"/>
    </row>
    <row r="101" spans="10:57" ht="18">
      <c r="J101" s="16"/>
      <c r="U101" s="216"/>
      <c r="V101" s="30"/>
      <c r="W101" s="120"/>
      <c r="X101" s="120"/>
      <c r="Y101" s="400" t="s">
        <v>207</v>
      </c>
      <c r="Z101" s="400"/>
      <c r="AA101" s="400"/>
      <c r="AB101" s="400"/>
      <c r="AC101" s="400"/>
      <c r="AD101" s="400"/>
      <c r="AE101" s="400"/>
      <c r="AF101" s="400"/>
      <c r="AG101" s="400"/>
      <c r="AH101" s="400"/>
      <c r="AI101" s="400"/>
      <c r="AJ101" s="400"/>
      <c r="AK101" s="400"/>
      <c r="AL101" s="400"/>
      <c r="AM101" s="400"/>
      <c r="AN101" s="400"/>
      <c r="AO101" s="400"/>
      <c r="AP101" s="400"/>
      <c r="AQ101" s="400"/>
      <c r="AR101" s="400"/>
      <c r="AS101" s="400"/>
      <c r="AT101" s="400"/>
      <c r="AU101" s="400"/>
      <c r="AV101" s="400"/>
      <c r="AW101" s="400"/>
      <c r="AX101" s="400"/>
      <c r="AY101" s="407">
        <f>AW83</f>
        <v>112058.3956142808</v>
      </c>
      <c r="AZ101" s="408"/>
      <c r="BA101" s="408"/>
      <c r="BB101" s="408"/>
      <c r="BC101" s="408"/>
      <c r="BD101" s="408"/>
      <c r="BE101" s="165"/>
    </row>
    <row r="102" spans="10:57" ht="18" customHeight="1">
      <c r="J102" s="16"/>
      <c r="U102" s="216"/>
      <c r="V102" s="30"/>
      <c r="W102" s="120"/>
      <c r="X102" s="398"/>
      <c r="Y102" s="399"/>
      <c r="Z102" s="399"/>
      <c r="AA102" s="166" t="s">
        <v>208</v>
      </c>
      <c r="AB102" s="167">
        <v>12</v>
      </c>
      <c r="AC102" s="400" t="s">
        <v>209</v>
      </c>
      <c r="AD102" s="400"/>
      <c r="AE102" s="400"/>
      <c r="AF102" s="400"/>
      <c r="AG102" s="400"/>
      <c r="AH102" s="400"/>
      <c r="AI102" s="400"/>
      <c r="AJ102" s="400"/>
      <c r="AK102" s="400"/>
      <c r="AL102" s="400"/>
      <c r="AM102" s="400"/>
      <c r="AN102" s="399">
        <f>AC83</f>
        <v>9338.1996345234002</v>
      </c>
      <c r="AO102" s="399"/>
      <c r="AP102" s="399"/>
      <c r="AQ102" s="399"/>
      <c r="AR102" s="400" t="s">
        <v>210</v>
      </c>
      <c r="AS102" s="400"/>
      <c r="AT102" s="400"/>
      <c r="AU102" s="400"/>
      <c r="AV102" s="400"/>
      <c r="AW102" s="400"/>
      <c r="AX102" s="400"/>
      <c r="AY102" s="400"/>
      <c r="AZ102" s="400"/>
      <c r="BA102" s="400"/>
      <c r="BB102" s="400"/>
      <c r="BC102" s="400"/>
      <c r="BD102" s="400"/>
      <c r="BE102" s="165"/>
    </row>
    <row r="103" spans="10:57" ht="18" customHeight="1">
      <c r="J103" s="16"/>
      <c r="U103" s="216"/>
      <c r="V103" s="38"/>
      <c r="W103" s="120"/>
      <c r="X103" s="401">
        <f>B28</f>
        <v>45938</v>
      </c>
      <c r="Y103" s="401"/>
      <c r="Z103" s="401"/>
      <c r="AA103" s="401"/>
      <c r="AB103" s="377" t="s">
        <v>211</v>
      </c>
      <c r="AC103" s="377"/>
      <c r="AD103" s="377"/>
      <c r="AE103" s="377"/>
      <c r="AF103" s="377"/>
      <c r="AG103" s="377"/>
      <c r="AH103" s="377"/>
      <c r="AI103" s="377"/>
      <c r="AJ103" s="377"/>
      <c r="AK103" s="377"/>
      <c r="AL103" s="377"/>
      <c r="AM103" s="377"/>
      <c r="AN103" s="377"/>
      <c r="AO103" s="377"/>
      <c r="AP103" s="377"/>
      <c r="AQ103" s="377"/>
      <c r="AR103" s="377"/>
      <c r="AS103" s="377"/>
      <c r="AT103" s="377"/>
      <c r="AU103" s="377"/>
      <c r="AV103" s="377"/>
      <c r="AW103" s="377"/>
      <c r="AX103" s="377"/>
      <c r="AY103" s="377"/>
      <c r="AZ103" s="377"/>
      <c r="BA103" s="377"/>
      <c r="BB103" s="377"/>
      <c r="BC103" s="377"/>
      <c r="BD103" s="377"/>
      <c r="BE103" s="165"/>
    </row>
    <row r="104" spans="10:57" ht="18" customHeight="1">
      <c r="J104" s="16"/>
      <c r="U104" s="216"/>
      <c r="V104" s="38"/>
      <c r="W104" s="120"/>
      <c r="X104" s="377" t="s">
        <v>212</v>
      </c>
      <c r="Y104" s="377"/>
      <c r="Z104" s="377"/>
      <c r="AA104" s="377"/>
      <c r="AB104" s="377"/>
      <c r="AC104" s="377"/>
      <c r="AD104" s="377"/>
      <c r="AE104" s="377"/>
      <c r="AF104" s="377"/>
      <c r="AG104" s="377"/>
      <c r="AH104" s="377"/>
      <c r="AI104" s="377"/>
      <c r="AJ104" s="377"/>
      <c r="AK104" s="377"/>
      <c r="AL104" s="377"/>
      <c r="AM104" s="377"/>
      <c r="AN104" s="377"/>
      <c r="AO104" s="377"/>
      <c r="AP104" s="377"/>
      <c r="AQ104" s="377"/>
      <c r="AR104" s="377"/>
      <c r="AS104" s="377"/>
      <c r="AT104" s="377"/>
      <c r="AU104" s="377"/>
      <c r="AV104" s="377"/>
      <c r="AW104" s="377"/>
      <c r="AX104" s="377"/>
      <c r="AY104" s="377"/>
      <c r="AZ104" s="377"/>
      <c r="BA104" s="377"/>
      <c r="BB104" s="377"/>
      <c r="BC104" s="377"/>
      <c r="BD104" s="377"/>
      <c r="BE104" s="165"/>
    </row>
    <row r="105" spans="10:57" ht="18" customHeight="1">
      <c r="J105" s="16"/>
      <c r="U105" s="216"/>
      <c r="V105" s="38"/>
      <c r="W105" s="120"/>
      <c r="X105" s="377" t="s">
        <v>213</v>
      </c>
      <c r="Y105" s="377"/>
      <c r="Z105" s="377"/>
      <c r="AA105" s="377"/>
      <c r="AB105" s="377"/>
      <c r="AC105" s="377"/>
      <c r="AD105" s="377"/>
      <c r="AE105" s="377"/>
      <c r="AF105" s="377"/>
      <c r="AG105" s="377"/>
      <c r="AH105" s="377"/>
      <c r="AI105" s="377"/>
      <c r="AJ105" s="377"/>
      <c r="AK105" s="377"/>
      <c r="AL105" s="377"/>
      <c r="AM105" s="377"/>
      <c r="AN105" s="377"/>
      <c r="AO105" s="377"/>
      <c r="AP105" s="377"/>
      <c r="AQ105" s="377"/>
      <c r="AR105" s="377"/>
      <c r="AS105" s="377"/>
      <c r="AT105" s="377"/>
      <c r="AU105" s="377"/>
      <c r="AV105" s="377"/>
      <c r="AW105" s="377"/>
      <c r="AX105" s="377"/>
      <c r="AY105" s="377"/>
      <c r="AZ105" s="377"/>
      <c r="BA105" s="377"/>
      <c r="BB105" s="377"/>
      <c r="BC105" s="377"/>
      <c r="BD105" s="377"/>
      <c r="BE105" s="165"/>
    </row>
    <row r="106" spans="10:57" ht="18" customHeight="1">
      <c r="J106" s="16"/>
      <c r="U106" s="216"/>
      <c r="V106" s="30"/>
      <c r="W106" s="120"/>
      <c r="X106" s="377"/>
      <c r="Y106" s="377"/>
      <c r="Z106" s="377"/>
      <c r="AA106" s="377"/>
      <c r="AB106" s="377"/>
      <c r="AC106" s="377"/>
      <c r="AD106" s="377"/>
      <c r="AE106" s="377"/>
      <c r="AF106" s="377"/>
      <c r="AG106" s="377"/>
      <c r="AH106" s="377"/>
      <c r="AI106" s="377"/>
      <c r="AJ106" s="377"/>
      <c r="AK106" s="377"/>
      <c r="AL106" s="377"/>
      <c r="AM106" s="377"/>
      <c r="AN106" s="377"/>
      <c r="AO106" s="377"/>
      <c r="AP106" s="377"/>
      <c r="AQ106" s="377"/>
      <c r="AR106" s="377"/>
      <c r="AS106" s="377"/>
      <c r="AT106" s="377"/>
      <c r="AU106" s="377"/>
      <c r="AV106" s="377"/>
      <c r="AW106" s="377"/>
      <c r="AX106" s="377"/>
      <c r="AY106" s="377"/>
      <c r="AZ106" s="377"/>
      <c r="BA106" s="377"/>
      <c r="BB106" s="377"/>
      <c r="BC106" s="377"/>
      <c r="BD106" s="377"/>
      <c r="BE106" s="165"/>
    </row>
    <row r="107" spans="10:57" ht="18">
      <c r="J107" s="16"/>
      <c r="U107" s="216"/>
      <c r="V107" s="30"/>
      <c r="W107" s="120"/>
      <c r="X107" s="377"/>
      <c r="Y107" s="377"/>
      <c r="Z107" s="377"/>
      <c r="AA107" s="377"/>
      <c r="AB107" s="377"/>
      <c r="AC107" s="377"/>
      <c r="AD107" s="377"/>
      <c r="AE107" s="377"/>
      <c r="AF107" s="377"/>
      <c r="AG107" s="377"/>
      <c r="AH107" s="377"/>
      <c r="AI107" s="377"/>
      <c r="AJ107" s="377"/>
      <c r="AK107" s="377"/>
      <c r="AL107" s="377"/>
      <c r="AM107" s="377"/>
      <c r="AN107" s="377"/>
      <c r="AO107" s="377"/>
      <c r="AP107" s="377"/>
      <c r="AQ107" s="377"/>
      <c r="AR107" s="377"/>
      <c r="AS107" s="377"/>
      <c r="AT107" s="377"/>
      <c r="AU107" s="377"/>
      <c r="AV107" s="377"/>
      <c r="AW107" s="377"/>
      <c r="AX107" s="377"/>
      <c r="AY107" s="377"/>
      <c r="AZ107" s="377"/>
      <c r="BA107" s="377"/>
      <c r="BB107" s="377"/>
      <c r="BC107" s="377"/>
      <c r="BD107" s="377"/>
      <c r="BE107" s="165"/>
    </row>
    <row r="108" spans="10:57" ht="18">
      <c r="J108" s="16"/>
      <c r="U108" s="216"/>
      <c r="V108" s="30"/>
      <c r="W108" s="120"/>
      <c r="X108" s="377" t="s">
        <v>214</v>
      </c>
      <c r="Y108" s="377"/>
      <c r="Z108" s="377"/>
      <c r="AA108" s="377"/>
      <c r="AB108" s="377"/>
      <c r="AC108" s="377"/>
      <c r="AD108" s="377"/>
      <c r="AE108" s="377"/>
      <c r="AF108" s="377"/>
      <c r="AG108" s="377"/>
      <c r="AH108" s="377"/>
      <c r="AI108" s="377"/>
      <c r="AJ108" s="377"/>
      <c r="AK108" s="377"/>
      <c r="AL108" s="377"/>
      <c r="AM108" s="377"/>
      <c r="AN108" s="377"/>
      <c r="AO108" s="377"/>
      <c r="AP108" s="377"/>
      <c r="AQ108" s="377"/>
      <c r="AR108" s="377"/>
      <c r="AS108" s="377"/>
      <c r="AT108" s="377"/>
      <c r="AU108" s="377"/>
      <c r="AV108" s="377"/>
      <c r="AW108" s="377"/>
      <c r="AX108" s="377"/>
      <c r="AY108" s="377"/>
      <c r="AZ108" s="377"/>
      <c r="BA108" s="377"/>
      <c r="BB108" s="377"/>
      <c r="BC108" s="377"/>
      <c r="BD108" s="377"/>
      <c r="BE108" s="165"/>
    </row>
    <row r="109" spans="10:57" ht="18" customHeight="1">
      <c r="J109" s="16"/>
      <c r="U109" s="216"/>
      <c r="V109" s="36"/>
      <c r="W109" s="120"/>
      <c r="X109" s="377"/>
      <c r="Y109" s="377"/>
      <c r="Z109" s="377"/>
      <c r="AA109" s="377"/>
      <c r="AB109" s="377"/>
      <c r="AC109" s="377"/>
      <c r="AD109" s="377"/>
      <c r="AE109" s="377"/>
      <c r="AF109" s="377"/>
      <c r="AG109" s="377"/>
      <c r="AH109" s="377"/>
      <c r="AI109" s="377"/>
      <c r="AJ109" s="377"/>
      <c r="AK109" s="377"/>
      <c r="AL109" s="377"/>
      <c r="AM109" s="377"/>
      <c r="AN109" s="377"/>
      <c r="AO109" s="377"/>
      <c r="AP109" s="377"/>
      <c r="AQ109" s="377"/>
      <c r="AR109" s="377"/>
      <c r="AS109" s="377"/>
      <c r="AT109" s="377"/>
      <c r="AU109" s="377"/>
      <c r="AV109" s="377"/>
      <c r="AW109" s="377"/>
      <c r="AX109" s="377"/>
      <c r="AY109" s="377"/>
      <c r="AZ109" s="377"/>
      <c r="BA109" s="377"/>
      <c r="BB109" s="377"/>
      <c r="BC109" s="377"/>
      <c r="BD109" s="377"/>
      <c r="BE109" s="165"/>
    </row>
    <row r="110" spans="10:57" ht="18.600000000000001" thickBot="1">
      <c r="J110" s="233"/>
      <c r="K110" s="231"/>
      <c r="L110" s="231"/>
      <c r="M110" s="231"/>
      <c r="N110" s="231"/>
      <c r="O110" s="231"/>
      <c r="P110" s="231"/>
      <c r="Q110" s="231"/>
      <c r="R110" s="231"/>
      <c r="S110" s="231"/>
      <c r="T110" s="231"/>
      <c r="U110" s="234"/>
      <c r="V110" s="36"/>
      <c r="W110" s="120"/>
      <c r="X110" s="377"/>
      <c r="Y110" s="377"/>
      <c r="Z110" s="377"/>
      <c r="AA110" s="377"/>
      <c r="AB110" s="377"/>
      <c r="AC110" s="377"/>
      <c r="AD110" s="377"/>
      <c r="AE110" s="377"/>
      <c r="AF110" s="377"/>
      <c r="AG110" s="377"/>
      <c r="AH110" s="377"/>
      <c r="AI110" s="377"/>
      <c r="AJ110" s="377"/>
      <c r="AK110" s="377"/>
      <c r="AL110" s="377"/>
      <c r="AM110" s="377"/>
      <c r="AN110" s="377"/>
      <c r="AO110" s="377"/>
      <c r="AP110" s="377"/>
      <c r="AQ110" s="377"/>
      <c r="AR110" s="377"/>
      <c r="AS110" s="377"/>
      <c r="AT110" s="377"/>
      <c r="AU110" s="377"/>
      <c r="AV110" s="377"/>
      <c r="AW110" s="377"/>
      <c r="AX110" s="377"/>
      <c r="AY110" s="377"/>
      <c r="AZ110" s="377"/>
      <c r="BA110" s="377"/>
      <c r="BB110" s="377"/>
      <c r="BC110" s="377"/>
      <c r="BD110" s="377"/>
      <c r="BE110" s="165"/>
    </row>
    <row r="111" spans="10:57" ht="18">
      <c r="V111" s="36"/>
      <c r="W111" s="120"/>
      <c r="X111" s="377" t="s">
        <v>215</v>
      </c>
      <c r="Y111" s="377"/>
      <c r="Z111" s="377"/>
      <c r="AA111" s="377"/>
      <c r="AB111" s="377"/>
      <c r="AC111" s="377"/>
      <c r="AD111" s="377"/>
      <c r="AE111" s="377"/>
      <c r="AF111" s="377"/>
      <c r="AG111" s="377"/>
      <c r="AH111" s="377"/>
      <c r="AI111" s="377"/>
      <c r="AJ111" s="377"/>
      <c r="AK111" s="377"/>
      <c r="AL111" s="377"/>
      <c r="AM111" s="377"/>
      <c r="AN111" s="377"/>
      <c r="AO111" s="377"/>
      <c r="AP111" s="377"/>
      <c r="AQ111" s="377"/>
      <c r="AR111" s="377"/>
      <c r="AS111" s="377"/>
      <c r="AT111" s="377"/>
      <c r="AU111" s="377"/>
      <c r="AV111" s="377"/>
      <c r="AW111" s="377"/>
      <c r="AX111" s="377"/>
      <c r="AY111" s="377"/>
      <c r="AZ111" s="377"/>
      <c r="BA111" s="377"/>
      <c r="BB111" s="377"/>
      <c r="BC111" s="377"/>
      <c r="BD111" s="377"/>
      <c r="BE111" s="165"/>
    </row>
    <row r="112" spans="10:57" ht="18" customHeight="1">
      <c r="V112" s="36"/>
      <c r="W112" s="120"/>
      <c r="X112" s="377"/>
      <c r="Y112" s="377"/>
      <c r="Z112" s="377"/>
      <c r="AA112" s="377"/>
      <c r="AB112" s="377"/>
      <c r="AC112" s="377"/>
      <c r="AD112" s="377"/>
      <c r="AE112" s="377"/>
      <c r="AF112" s="377"/>
      <c r="AG112" s="377"/>
      <c r="AH112" s="377"/>
      <c r="AI112" s="377"/>
      <c r="AJ112" s="377"/>
      <c r="AK112" s="377"/>
      <c r="AL112" s="377"/>
      <c r="AM112" s="377"/>
      <c r="AN112" s="377"/>
      <c r="AO112" s="377"/>
      <c r="AP112" s="377"/>
      <c r="AQ112" s="377"/>
      <c r="AR112" s="377"/>
      <c r="AS112" s="377"/>
      <c r="AT112" s="377"/>
      <c r="AU112" s="377"/>
      <c r="AV112" s="377"/>
      <c r="AW112" s="377"/>
      <c r="AX112" s="377"/>
      <c r="AY112" s="377"/>
      <c r="AZ112" s="377"/>
      <c r="BA112" s="377"/>
      <c r="BB112" s="377"/>
      <c r="BC112" s="377"/>
      <c r="BD112" s="377"/>
      <c r="BE112" s="165"/>
    </row>
    <row r="113" spans="22:57" ht="18">
      <c r="V113" s="36"/>
      <c r="W113" s="120"/>
      <c r="X113" s="377"/>
      <c r="Y113" s="377"/>
      <c r="Z113" s="377"/>
      <c r="AA113" s="377"/>
      <c r="AB113" s="377"/>
      <c r="AC113" s="377"/>
      <c r="AD113" s="377"/>
      <c r="AE113" s="377"/>
      <c r="AF113" s="377"/>
      <c r="AG113" s="377"/>
      <c r="AH113" s="377"/>
      <c r="AI113" s="377"/>
      <c r="AJ113" s="377"/>
      <c r="AK113" s="377"/>
      <c r="AL113" s="377"/>
      <c r="AM113" s="377"/>
      <c r="AN113" s="377"/>
      <c r="AO113" s="377"/>
      <c r="AP113" s="377"/>
      <c r="AQ113" s="377"/>
      <c r="AR113" s="377"/>
      <c r="AS113" s="377"/>
      <c r="AT113" s="377"/>
      <c r="AU113" s="377"/>
      <c r="AV113" s="377"/>
      <c r="AW113" s="377"/>
      <c r="AX113" s="377"/>
      <c r="AY113" s="377"/>
      <c r="AZ113" s="377"/>
      <c r="BA113" s="377"/>
      <c r="BB113" s="377"/>
      <c r="BC113" s="377"/>
      <c r="BD113" s="377"/>
      <c r="BE113" s="165"/>
    </row>
    <row r="114" spans="22:57" ht="18">
      <c r="V114" s="30"/>
      <c r="W114" s="120"/>
      <c r="X114" s="377"/>
      <c r="Y114" s="377"/>
      <c r="Z114" s="377"/>
      <c r="AA114" s="377"/>
      <c r="AB114" s="377"/>
      <c r="AC114" s="377"/>
      <c r="AD114" s="377"/>
      <c r="AE114" s="377"/>
      <c r="AF114" s="377"/>
      <c r="AG114" s="377"/>
      <c r="AH114" s="377"/>
      <c r="AI114" s="377"/>
      <c r="AJ114" s="377"/>
      <c r="AK114" s="377"/>
      <c r="AL114" s="377"/>
      <c r="AM114" s="377"/>
      <c r="AN114" s="377"/>
      <c r="AO114" s="377"/>
      <c r="AP114" s="377"/>
      <c r="AQ114" s="377"/>
      <c r="AR114" s="377"/>
      <c r="AS114" s="377"/>
      <c r="AT114" s="377"/>
      <c r="AU114" s="377"/>
      <c r="AV114" s="377"/>
      <c r="AW114" s="377"/>
      <c r="AX114" s="377"/>
      <c r="AY114" s="377"/>
      <c r="AZ114" s="377"/>
      <c r="BA114" s="377"/>
      <c r="BB114" s="377"/>
      <c r="BC114" s="377"/>
      <c r="BD114" s="377"/>
      <c r="BE114" s="165"/>
    </row>
    <row r="115" spans="22:57" ht="18">
      <c r="V115" s="30"/>
      <c r="W115" s="120"/>
      <c r="X115" s="377"/>
      <c r="Y115" s="377"/>
      <c r="Z115" s="377"/>
      <c r="AA115" s="377"/>
      <c r="AB115" s="377"/>
      <c r="AC115" s="377"/>
      <c r="AD115" s="377"/>
      <c r="AE115" s="377"/>
      <c r="AF115" s="377"/>
      <c r="AG115" s="377"/>
      <c r="AH115" s="377"/>
      <c r="AI115" s="377"/>
      <c r="AJ115" s="377"/>
      <c r="AK115" s="377"/>
      <c r="AL115" s="377"/>
      <c r="AM115" s="377"/>
      <c r="AN115" s="377"/>
      <c r="AO115" s="377"/>
      <c r="AP115" s="377"/>
      <c r="AQ115" s="377"/>
      <c r="AR115" s="377"/>
      <c r="AS115" s="377"/>
      <c r="AT115" s="377"/>
      <c r="AU115" s="377"/>
      <c r="AV115" s="377"/>
      <c r="AW115" s="377"/>
      <c r="AX115" s="377"/>
      <c r="AY115" s="377"/>
      <c r="AZ115" s="377"/>
      <c r="BA115" s="377"/>
      <c r="BB115" s="377"/>
      <c r="BC115" s="377"/>
      <c r="BD115" s="377"/>
      <c r="BE115" s="165"/>
    </row>
    <row r="116" spans="22:57" ht="18">
      <c r="V116" s="30"/>
      <c r="W116" s="120"/>
      <c r="X116" s="377" t="s">
        <v>216</v>
      </c>
      <c r="Y116" s="377"/>
      <c r="Z116" s="377"/>
      <c r="AA116" s="377"/>
      <c r="AB116" s="377"/>
      <c r="AC116" s="377"/>
      <c r="AD116" s="377"/>
      <c r="AE116" s="377"/>
      <c r="AF116" s="377"/>
      <c r="AG116" s="377"/>
      <c r="AH116" s="377"/>
      <c r="AI116" s="377"/>
      <c r="AJ116" s="377"/>
      <c r="AK116" s="377"/>
      <c r="AL116" s="377"/>
      <c r="AM116" s="377"/>
      <c r="AN116" s="377"/>
      <c r="AO116" s="377"/>
      <c r="AP116" s="377"/>
      <c r="AQ116" s="377"/>
      <c r="AR116" s="377"/>
      <c r="AS116" s="377"/>
      <c r="AT116" s="377"/>
      <c r="AU116" s="377"/>
      <c r="AV116" s="377"/>
      <c r="AW116" s="377"/>
      <c r="AX116" s="377"/>
      <c r="AY116" s="377"/>
      <c r="AZ116" s="377"/>
      <c r="BA116" s="377"/>
      <c r="BB116" s="377"/>
      <c r="BC116" s="377"/>
      <c r="BD116" s="377"/>
      <c r="BE116" s="165"/>
    </row>
    <row r="117" spans="22:57" ht="18" customHeight="1">
      <c r="V117" s="30"/>
      <c r="W117" s="120"/>
      <c r="X117" s="377"/>
      <c r="Y117" s="377"/>
      <c r="Z117" s="377"/>
      <c r="AA117" s="377"/>
      <c r="AB117" s="377"/>
      <c r="AC117" s="377"/>
      <c r="AD117" s="377"/>
      <c r="AE117" s="377"/>
      <c r="AF117" s="377"/>
      <c r="AG117" s="377"/>
      <c r="AH117" s="377"/>
      <c r="AI117" s="377"/>
      <c r="AJ117" s="377"/>
      <c r="AK117" s="377"/>
      <c r="AL117" s="377"/>
      <c r="AM117" s="377"/>
      <c r="AN117" s="377"/>
      <c r="AO117" s="377"/>
      <c r="AP117" s="377"/>
      <c r="AQ117" s="377"/>
      <c r="AR117" s="377"/>
      <c r="AS117" s="377"/>
      <c r="AT117" s="377"/>
      <c r="AU117" s="377"/>
      <c r="AV117" s="377"/>
      <c r="AW117" s="377"/>
      <c r="AX117" s="377"/>
      <c r="AY117" s="377"/>
      <c r="AZ117" s="377"/>
      <c r="BA117" s="377"/>
      <c r="BB117" s="377"/>
      <c r="BC117" s="377"/>
      <c r="BD117" s="377"/>
      <c r="BE117" s="165"/>
    </row>
    <row r="118" spans="22:57" ht="18">
      <c r="V118" s="30"/>
      <c r="W118" s="120"/>
      <c r="X118" s="377"/>
      <c r="Y118" s="377"/>
      <c r="Z118" s="377"/>
      <c r="AA118" s="377"/>
      <c r="AB118" s="377"/>
      <c r="AC118" s="377"/>
      <c r="AD118" s="377"/>
      <c r="AE118" s="377"/>
      <c r="AF118" s="377"/>
      <c r="AG118" s="377"/>
      <c r="AH118" s="377"/>
      <c r="AI118" s="377"/>
      <c r="AJ118" s="377"/>
      <c r="AK118" s="377"/>
      <c r="AL118" s="377"/>
      <c r="AM118" s="377"/>
      <c r="AN118" s="377"/>
      <c r="AO118" s="377"/>
      <c r="AP118" s="377"/>
      <c r="AQ118" s="377"/>
      <c r="AR118" s="377"/>
      <c r="AS118" s="377"/>
      <c r="AT118" s="377"/>
      <c r="AU118" s="377"/>
      <c r="AV118" s="377"/>
      <c r="AW118" s="377"/>
      <c r="AX118" s="377"/>
      <c r="AY118" s="377"/>
      <c r="AZ118" s="377"/>
      <c r="BA118" s="377"/>
      <c r="BB118" s="377"/>
      <c r="BC118" s="377"/>
      <c r="BD118" s="377"/>
      <c r="BE118" s="165"/>
    </row>
    <row r="119" spans="22:57" ht="18.600000000000001" thickBot="1">
      <c r="V119" s="30"/>
      <c r="W119" s="120"/>
      <c r="X119" s="377"/>
      <c r="Y119" s="377"/>
      <c r="Z119" s="377"/>
      <c r="AA119" s="377"/>
      <c r="AB119" s="377"/>
      <c r="AC119" s="377"/>
      <c r="AD119" s="377"/>
      <c r="AE119" s="377"/>
      <c r="AF119" s="377"/>
      <c r="AG119" s="377"/>
      <c r="AH119" s="377"/>
      <c r="AI119" s="377"/>
      <c r="AJ119" s="377"/>
      <c r="AK119" s="377"/>
      <c r="AL119" s="377"/>
      <c r="AM119" s="377"/>
      <c r="AN119" s="377"/>
      <c r="AO119" s="377"/>
      <c r="AP119" s="377"/>
      <c r="AQ119" s="377"/>
      <c r="AR119" s="377"/>
      <c r="AS119" s="377"/>
      <c r="AT119" s="377"/>
      <c r="AU119" s="377"/>
      <c r="AV119" s="377"/>
      <c r="AW119" s="377"/>
      <c r="AX119" s="377"/>
      <c r="AY119" s="377"/>
      <c r="AZ119" s="377"/>
      <c r="BA119" s="377"/>
      <c r="BB119" s="377"/>
      <c r="BC119" s="377"/>
      <c r="BD119" s="377"/>
      <c r="BE119" s="165"/>
    </row>
    <row r="120" spans="22:57" ht="15.6">
      <c r="V120" s="30"/>
      <c r="W120" s="120"/>
      <c r="X120" s="168"/>
      <c r="Y120" s="168"/>
      <c r="Z120" s="168"/>
      <c r="AA120" s="168"/>
      <c r="AB120" s="168"/>
      <c r="AC120" s="168"/>
      <c r="AD120" s="168"/>
      <c r="AE120" s="168"/>
      <c r="AF120" s="168"/>
      <c r="AG120" s="168"/>
      <c r="AH120" s="168"/>
      <c r="AI120" s="168"/>
      <c r="AJ120" s="168"/>
      <c r="AK120" s="168"/>
      <c r="AL120" s="129"/>
      <c r="AM120" s="120" t="s">
        <v>217</v>
      </c>
      <c r="AN120" s="120"/>
      <c r="AO120" s="169"/>
      <c r="AP120" s="120"/>
      <c r="AQ120" s="120"/>
      <c r="AR120" s="168"/>
      <c r="AS120" s="168"/>
      <c r="AT120" s="378"/>
      <c r="AU120" s="379"/>
      <c r="AV120" s="379"/>
      <c r="AW120" s="379"/>
      <c r="AX120" s="380"/>
      <c r="AY120" s="170"/>
      <c r="AZ120" s="387"/>
      <c r="BA120" s="388"/>
      <c r="BB120" s="388"/>
      <c r="BC120" s="388"/>
      <c r="BD120" s="389"/>
      <c r="BE120" s="168"/>
    </row>
    <row r="121" spans="22:57" ht="15.6">
      <c r="V121" s="30"/>
      <c r="W121" s="120"/>
      <c r="X121" s="120"/>
      <c r="Y121" s="120"/>
      <c r="Z121" s="120"/>
      <c r="AA121" s="120"/>
      <c r="AB121" s="120"/>
      <c r="AC121" s="120"/>
      <c r="AD121" s="120"/>
      <c r="AE121" s="120"/>
      <c r="AF121" s="120"/>
      <c r="AG121" s="120"/>
      <c r="AH121" s="120"/>
      <c r="AI121" s="120"/>
      <c r="AJ121" s="120"/>
      <c r="AK121" s="120"/>
      <c r="AL121" s="129"/>
      <c r="AM121" s="120" t="s">
        <v>218</v>
      </c>
      <c r="AN121" s="120"/>
      <c r="AO121" s="120"/>
      <c r="AP121" s="120"/>
      <c r="AQ121" s="120"/>
      <c r="AR121" s="120"/>
      <c r="AS121" s="120"/>
      <c r="AT121" s="381"/>
      <c r="AU121" s="382"/>
      <c r="AV121" s="382"/>
      <c r="AW121" s="382"/>
      <c r="AX121" s="383"/>
      <c r="AY121" s="168"/>
      <c r="AZ121" s="390"/>
      <c r="BA121" s="391"/>
      <c r="BB121" s="391"/>
      <c r="BC121" s="391"/>
      <c r="BD121" s="392"/>
      <c r="BE121" s="168"/>
    </row>
    <row r="122" spans="22:57" ht="15.6">
      <c r="V122" s="30"/>
      <c r="W122" s="120"/>
      <c r="X122" s="120"/>
      <c r="Y122" s="120"/>
      <c r="Z122" s="120"/>
      <c r="AA122" s="120"/>
      <c r="AB122" s="120"/>
      <c r="AC122" s="120"/>
      <c r="AD122" s="120"/>
      <c r="AE122" s="120"/>
      <c r="AF122" s="120"/>
      <c r="AG122" s="120"/>
      <c r="AH122" s="120"/>
      <c r="AI122" s="120"/>
      <c r="AJ122" s="120"/>
      <c r="AK122" s="120"/>
      <c r="AL122" s="129"/>
      <c r="AM122" s="120" t="s">
        <v>219</v>
      </c>
      <c r="AN122" s="120"/>
      <c r="AO122" s="120"/>
      <c r="AP122" s="120"/>
      <c r="AQ122" s="120"/>
      <c r="AR122" s="120"/>
      <c r="AS122" s="120"/>
      <c r="AT122" s="381"/>
      <c r="AU122" s="382"/>
      <c r="AV122" s="382"/>
      <c r="AW122" s="382"/>
      <c r="AX122" s="383"/>
      <c r="AY122" s="168"/>
      <c r="AZ122" s="390"/>
      <c r="BA122" s="391"/>
      <c r="BB122" s="391"/>
      <c r="BC122" s="391"/>
      <c r="BD122" s="392"/>
      <c r="BE122" s="168"/>
    </row>
    <row r="123" spans="22:57" ht="16.2" thickBot="1">
      <c r="V123" s="30"/>
      <c r="W123" s="120"/>
      <c r="X123" s="120"/>
      <c r="Y123" s="120"/>
      <c r="Z123" s="396" t="str">
        <f>AU64</f>
        <v>SURAIDA S. ANOG</v>
      </c>
      <c r="AA123" s="396"/>
      <c r="AB123" s="396"/>
      <c r="AC123" s="396"/>
      <c r="AD123" s="396"/>
      <c r="AE123" s="396"/>
      <c r="AF123" s="396"/>
      <c r="AG123" s="396"/>
      <c r="AH123" s="396"/>
      <c r="AI123" s="120"/>
      <c r="AJ123" s="120"/>
      <c r="AK123" s="120"/>
      <c r="AL123" s="129"/>
      <c r="AM123" s="120" t="s">
        <v>127</v>
      </c>
      <c r="AN123" s="120"/>
      <c r="AO123" s="373" t="s">
        <v>295</v>
      </c>
      <c r="AP123" s="373"/>
      <c r="AQ123" s="373"/>
      <c r="AR123" s="120"/>
      <c r="AS123" s="120"/>
      <c r="AT123" s="381"/>
      <c r="AU123" s="382"/>
      <c r="AV123" s="382"/>
      <c r="AW123" s="382"/>
      <c r="AX123" s="383"/>
      <c r="AY123" s="168"/>
      <c r="AZ123" s="390"/>
      <c r="BA123" s="391"/>
      <c r="BB123" s="391"/>
      <c r="BC123" s="391"/>
      <c r="BD123" s="392"/>
      <c r="BE123" s="168"/>
    </row>
    <row r="124" spans="22:57" ht="15.6">
      <c r="V124" s="30"/>
      <c r="W124" s="120"/>
      <c r="X124" s="397" t="s">
        <v>220</v>
      </c>
      <c r="Y124" s="397"/>
      <c r="Z124" s="397"/>
      <c r="AA124" s="397"/>
      <c r="AB124" s="397"/>
      <c r="AC124" s="397"/>
      <c r="AD124" s="397"/>
      <c r="AE124" s="397"/>
      <c r="AF124" s="397"/>
      <c r="AG124" s="397"/>
      <c r="AH124" s="397"/>
      <c r="AI124" s="397"/>
      <c r="AJ124" s="397"/>
      <c r="AK124" s="120"/>
      <c r="AL124" s="120"/>
      <c r="AM124" s="120"/>
      <c r="AN124" s="120"/>
      <c r="AO124" s="120"/>
      <c r="AP124" s="120"/>
      <c r="AQ124" s="120"/>
      <c r="AR124" s="120"/>
      <c r="AS124" s="120"/>
      <c r="AT124" s="381"/>
      <c r="AU124" s="382"/>
      <c r="AV124" s="382"/>
      <c r="AW124" s="382"/>
      <c r="AX124" s="383"/>
      <c r="AY124" s="168"/>
      <c r="AZ124" s="390"/>
      <c r="BA124" s="391"/>
      <c r="BB124" s="391"/>
      <c r="BC124" s="391"/>
      <c r="BD124" s="392"/>
      <c r="BE124" s="168"/>
    </row>
    <row r="125" spans="22:57" ht="15.6">
      <c r="V125" s="30"/>
      <c r="W125" s="120"/>
      <c r="X125" s="123"/>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381"/>
      <c r="AU125" s="382"/>
      <c r="AV125" s="382"/>
      <c r="AW125" s="382"/>
      <c r="AX125" s="383"/>
      <c r="AY125" s="168"/>
      <c r="AZ125" s="390"/>
      <c r="BA125" s="391"/>
      <c r="BB125" s="391"/>
      <c r="BC125" s="391"/>
      <c r="BD125" s="392"/>
      <c r="BE125" s="168"/>
    </row>
    <row r="126" spans="22:57" ht="16.2" thickBot="1">
      <c r="V126" s="30"/>
      <c r="W126" s="120"/>
      <c r="X126" s="120" t="s">
        <v>221</v>
      </c>
      <c r="Y126" s="120"/>
      <c r="Z126" s="373"/>
      <c r="AA126" s="373"/>
      <c r="AB126" s="373"/>
      <c r="AC126" s="373"/>
      <c r="AD126" s="373"/>
      <c r="AE126" s="373"/>
      <c r="AF126" s="373"/>
      <c r="AG126" s="373"/>
      <c r="AH126" s="373"/>
      <c r="AI126" s="373"/>
      <c r="AJ126" s="120"/>
      <c r="AK126" s="120"/>
      <c r="AL126" s="120"/>
      <c r="AM126" s="120"/>
      <c r="AN126" s="120"/>
      <c r="AO126" s="120"/>
      <c r="AP126" s="120"/>
      <c r="AQ126" s="120"/>
      <c r="AR126" s="120"/>
      <c r="AS126" s="120"/>
      <c r="AT126" s="384"/>
      <c r="AU126" s="385"/>
      <c r="AV126" s="385"/>
      <c r="AW126" s="385"/>
      <c r="AX126" s="386"/>
      <c r="AY126" s="171"/>
      <c r="AZ126" s="393"/>
      <c r="BA126" s="394"/>
      <c r="BB126" s="394"/>
      <c r="BC126" s="394"/>
      <c r="BD126" s="395"/>
      <c r="BE126" s="168"/>
    </row>
    <row r="127" spans="22:57" ht="16.2" thickBot="1">
      <c r="V127" s="30"/>
      <c r="W127" s="120"/>
      <c r="X127" s="120" t="s">
        <v>222</v>
      </c>
      <c r="Y127" s="120"/>
      <c r="Z127" s="120"/>
      <c r="AA127" s="120"/>
      <c r="AB127" s="374"/>
      <c r="AC127" s="374"/>
      <c r="AD127" s="374"/>
      <c r="AE127" s="374"/>
      <c r="AF127" s="374"/>
      <c r="AG127" s="374"/>
      <c r="AH127" s="374"/>
      <c r="AI127" s="374"/>
      <c r="AJ127" s="120"/>
      <c r="AK127" s="120"/>
      <c r="AL127" s="120"/>
      <c r="AM127" s="120"/>
      <c r="AN127" s="120"/>
      <c r="AO127" s="120"/>
      <c r="AP127" s="120"/>
      <c r="AQ127" s="120"/>
      <c r="AR127" s="120"/>
      <c r="AS127" s="120"/>
      <c r="AT127" s="375" t="s">
        <v>223</v>
      </c>
      <c r="AU127" s="375"/>
      <c r="AV127" s="375"/>
      <c r="AW127" s="375"/>
      <c r="AX127" s="375"/>
      <c r="AY127" s="133"/>
      <c r="AZ127" s="375" t="s">
        <v>224</v>
      </c>
      <c r="BA127" s="375"/>
      <c r="BB127" s="375"/>
      <c r="BC127" s="375"/>
      <c r="BD127" s="375"/>
      <c r="BE127" s="134"/>
    </row>
    <row r="128" spans="22:57" ht="15.6">
      <c r="V128" s="3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row>
    <row r="129" spans="10:57" ht="15.6">
      <c r="V129" s="3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row>
    <row r="130" spans="10:57" ht="18">
      <c r="V130" s="30"/>
      <c r="W130" s="120"/>
      <c r="X130" s="368" t="s">
        <v>225</v>
      </c>
      <c r="Y130" s="369"/>
      <c r="Z130" s="369"/>
      <c r="AA130" s="369"/>
      <c r="AB130" s="369"/>
      <c r="AC130" s="369"/>
      <c r="AD130" s="369"/>
      <c r="AE130" s="369"/>
      <c r="AF130" s="369"/>
      <c r="AG130" s="369"/>
      <c r="AH130" s="369"/>
      <c r="AI130" s="369"/>
      <c r="AJ130" s="369"/>
      <c r="AK130" s="369"/>
      <c r="AL130" s="369"/>
      <c r="AM130" s="369"/>
      <c r="AN130" s="369"/>
      <c r="AO130" s="369"/>
      <c r="AP130" s="369"/>
      <c r="AQ130" s="369"/>
      <c r="AR130" s="369"/>
      <c r="AS130" s="369"/>
      <c r="AT130" s="369"/>
      <c r="AU130" s="369"/>
      <c r="AV130" s="369"/>
      <c r="AW130" s="369"/>
      <c r="AX130" s="369"/>
      <c r="AY130" s="369"/>
      <c r="AZ130" s="369"/>
      <c r="BA130" s="369"/>
      <c r="BB130" s="369"/>
      <c r="BC130" s="369"/>
      <c r="BD130" s="369"/>
      <c r="BE130" s="369"/>
    </row>
    <row r="131" spans="10:57" ht="15.6">
      <c r="V131" s="3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row>
    <row r="132" spans="10:57" ht="17.399999999999999">
      <c r="V132" s="30"/>
      <c r="W132" s="120"/>
      <c r="X132" s="172" t="s">
        <v>226</v>
      </c>
      <c r="Y132" s="173"/>
      <c r="Z132" s="173"/>
      <c r="AA132" s="173"/>
      <c r="AB132" s="173"/>
      <c r="AC132" s="173"/>
      <c r="AD132" s="173"/>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row>
    <row r="133" spans="10:57" ht="17.399999999999999">
      <c r="V133" s="30"/>
      <c r="W133" s="120"/>
      <c r="X133" s="174" t="s">
        <v>227</v>
      </c>
      <c r="Y133" s="173"/>
      <c r="Z133" s="173"/>
      <c r="AA133" s="173"/>
      <c r="AB133" s="173"/>
      <c r="AC133" s="173"/>
      <c r="AD133" s="173"/>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row>
    <row r="134" spans="10:57" ht="17.399999999999999">
      <c r="V134" s="30"/>
      <c r="W134" s="120"/>
      <c r="X134" s="173"/>
      <c r="Y134" s="173"/>
      <c r="Z134" s="173"/>
      <c r="AA134" s="173"/>
      <c r="AB134" s="173"/>
      <c r="AC134" s="173"/>
      <c r="AD134" s="173"/>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row>
    <row r="135" spans="10:57" ht="17.399999999999999">
      <c r="J135" s="30"/>
      <c r="K135" s="30"/>
      <c r="L135" s="30"/>
      <c r="M135" s="30"/>
      <c r="N135" s="30"/>
      <c r="O135" s="32"/>
      <c r="P135" s="30"/>
      <c r="Q135" s="30"/>
      <c r="R135" s="30"/>
      <c r="S135" s="30"/>
      <c r="T135" s="30"/>
      <c r="U135" s="30"/>
      <c r="V135" s="30"/>
      <c r="W135" s="120"/>
      <c r="X135" s="376" t="s">
        <v>228</v>
      </c>
      <c r="Y135" s="376"/>
      <c r="Z135" s="376"/>
      <c r="AA135" s="376"/>
      <c r="AB135" s="376"/>
      <c r="AC135" s="376"/>
      <c r="AD135" s="376"/>
      <c r="AE135" s="376"/>
      <c r="AF135" s="376"/>
      <c r="AG135" s="376"/>
      <c r="AH135" s="376"/>
      <c r="AI135" s="376"/>
      <c r="AJ135" s="376"/>
      <c r="AK135" s="376"/>
      <c r="AL135" s="376"/>
      <c r="AM135" s="376"/>
      <c r="AN135" s="376"/>
      <c r="AO135" s="376"/>
      <c r="AP135" s="376"/>
      <c r="AQ135" s="376"/>
      <c r="AR135" s="376"/>
      <c r="AS135" s="376"/>
      <c r="AT135" s="376"/>
      <c r="AU135" s="376"/>
      <c r="AV135" s="376"/>
      <c r="AW135" s="376"/>
      <c r="AX135" s="376"/>
      <c r="AY135" s="376"/>
      <c r="AZ135" s="376"/>
      <c r="BA135" s="376"/>
      <c r="BB135" s="376"/>
      <c r="BC135" s="376"/>
      <c r="BD135" s="376"/>
      <c r="BE135" s="175"/>
    </row>
    <row r="136" spans="10:57" ht="17.399999999999999">
      <c r="W136" s="120"/>
      <c r="X136" s="370" t="s">
        <v>229</v>
      </c>
      <c r="Y136" s="370"/>
      <c r="Z136" s="370"/>
      <c r="AA136" s="370"/>
      <c r="AB136" s="370"/>
      <c r="AC136" s="370"/>
      <c r="AD136" s="370"/>
      <c r="AE136" s="370"/>
      <c r="AF136" s="370"/>
      <c r="AG136" s="370"/>
      <c r="AH136" s="370"/>
      <c r="AI136" s="370"/>
      <c r="AJ136" s="370"/>
      <c r="AK136" s="370"/>
      <c r="AL136" s="370"/>
      <c r="AM136" s="370"/>
      <c r="AN136" s="370"/>
      <c r="AO136" s="370"/>
      <c r="AP136" s="370"/>
      <c r="AQ136" s="370"/>
      <c r="AR136" s="370"/>
      <c r="AS136" s="370"/>
      <c r="AT136" s="370"/>
      <c r="AU136" s="370"/>
      <c r="AV136" s="370"/>
      <c r="AW136" s="370"/>
      <c r="AX136" s="370"/>
      <c r="AY136" s="370"/>
      <c r="AZ136" s="370"/>
      <c r="BA136" s="370"/>
      <c r="BB136" s="370"/>
      <c r="BC136" s="370"/>
      <c r="BD136" s="370"/>
      <c r="BE136" s="175"/>
    </row>
    <row r="137" spans="10:57" ht="17.399999999999999">
      <c r="W137" s="120"/>
      <c r="X137" s="370"/>
      <c r="Y137" s="370"/>
      <c r="Z137" s="370"/>
      <c r="AA137" s="370"/>
      <c r="AB137" s="370"/>
      <c r="AC137" s="370"/>
      <c r="AD137" s="370"/>
      <c r="AE137" s="370"/>
      <c r="AF137" s="370"/>
      <c r="AG137" s="370"/>
      <c r="AH137" s="370"/>
      <c r="AI137" s="370"/>
      <c r="AJ137" s="370"/>
      <c r="AK137" s="370"/>
      <c r="AL137" s="370"/>
      <c r="AM137" s="370"/>
      <c r="AN137" s="370"/>
      <c r="AO137" s="370"/>
      <c r="AP137" s="370"/>
      <c r="AQ137" s="370"/>
      <c r="AR137" s="370"/>
      <c r="AS137" s="370"/>
      <c r="AT137" s="370"/>
      <c r="AU137" s="370"/>
      <c r="AV137" s="370"/>
      <c r="AW137" s="370"/>
      <c r="AX137" s="370"/>
      <c r="AY137" s="370"/>
      <c r="AZ137" s="370"/>
      <c r="BA137" s="370"/>
      <c r="BB137" s="370"/>
      <c r="BC137" s="370"/>
      <c r="BD137" s="370"/>
      <c r="BE137" s="175"/>
    </row>
    <row r="138" spans="10:57" ht="17.399999999999999">
      <c r="W138" s="120"/>
      <c r="X138" s="370"/>
      <c r="Y138" s="370"/>
      <c r="Z138" s="370"/>
      <c r="AA138" s="370"/>
      <c r="AB138" s="370"/>
      <c r="AC138" s="370"/>
      <c r="AD138" s="370"/>
      <c r="AE138" s="370"/>
      <c r="AF138" s="370"/>
      <c r="AG138" s="370"/>
      <c r="AH138" s="370"/>
      <c r="AI138" s="370"/>
      <c r="AJ138" s="370"/>
      <c r="AK138" s="370"/>
      <c r="AL138" s="370"/>
      <c r="AM138" s="370"/>
      <c r="AN138" s="370"/>
      <c r="AO138" s="370"/>
      <c r="AP138" s="370"/>
      <c r="AQ138" s="370"/>
      <c r="AR138" s="370"/>
      <c r="AS138" s="370"/>
      <c r="AT138" s="370"/>
      <c r="AU138" s="370"/>
      <c r="AV138" s="370"/>
      <c r="AW138" s="370"/>
      <c r="AX138" s="370"/>
      <c r="AY138" s="370"/>
      <c r="AZ138" s="370"/>
      <c r="BA138" s="370"/>
      <c r="BB138" s="370"/>
      <c r="BC138" s="370"/>
      <c r="BD138" s="370"/>
      <c r="BE138" s="175"/>
    </row>
    <row r="139" spans="10:57" ht="17.399999999999999">
      <c r="W139" s="120"/>
      <c r="X139" s="370"/>
      <c r="Y139" s="370"/>
      <c r="Z139" s="370"/>
      <c r="AA139" s="370"/>
      <c r="AB139" s="370"/>
      <c r="AC139" s="370"/>
      <c r="AD139" s="370"/>
      <c r="AE139" s="370"/>
      <c r="AF139" s="370"/>
      <c r="AG139" s="370"/>
      <c r="AH139" s="370"/>
      <c r="AI139" s="370"/>
      <c r="AJ139" s="370"/>
      <c r="AK139" s="370"/>
      <c r="AL139" s="370"/>
      <c r="AM139" s="370"/>
      <c r="AN139" s="370"/>
      <c r="AO139" s="370"/>
      <c r="AP139" s="370"/>
      <c r="AQ139" s="370"/>
      <c r="AR139" s="370"/>
      <c r="AS139" s="370"/>
      <c r="AT139" s="370"/>
      <c r="AU139" s="370"/>
      <c r="AV139" s="370"/>
      <c r="AW139" s="370"/>
      <c r="AX139" s="370"/>
      <c r="AY139" s="370"/>
      <c r="AZ139" s="370"/>
      <c r="BA139" s="370"/>
      <c r="BB139" s="370"/>
      <c r="BC139" s="370"/>
      <c r="BD139" s="370"/>
      <c r="BE139" s="176"/>
    </row>
    <row r="140" spans="10:57" ht="17.399999999999999">
      <c r="W140" s="120"/>
      <c r="X140" s="173"/>
      <c r="Y140" s="177" t="s">
        <v>230</v>
      </c>
      <c r="Z140" s="173"/>
      <c r="AA140" s="173"/>
      <c r="AB140" s="173"/>
      <c r="AC140" s="173"/>
      <c r="AD140" s="173"/>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row>
    <row r="141" spans="10:57" ht="17.399999999999999">
      <c r="W141" s="120"/>
      <c r="X141" s="173"/>
      <c r="Y141" s="173"/>
      <c r="Z141" s="173"/>
      <c r="AA141" s="173"/>
      <c r="AB141" s="173"/>
      <c r="AC141" s="173"/>
      <c r="AD141" s="173"/>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row>
    <row r="142" spans="10:57" ht="18" thickBot="1">
      <c r="W142" s="120"/>
      <c r="X142" s="178" t="s">
        <v>231</v>
      </c>
      <c r="Y142" s="173"/>
      <c r="Z142" s="173"/>
      <c r="AA142" s="371"/>
      <c r="AB142" s="371"/>
      <c r="AC142" s="371"/>
      <c r="AD142" s="173"/>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row>
    <row r="143" spans="10:57" ht="18" thickBot="1">
      <c r="W143" s="120"/>
      <c r="X143" s="178" t="s">
        <v>232</v>
      </c>
      <c r="Y143" s="173"/>
      <c r="Z143" s="173"/>
      <c r="AA143" s="372"/>
      <c r="AB143" s="372"/>
      <c r="AC143" s="372"/>
      <c r="AD143" s="173"/>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row>
    <row r="144" spans="10:57" ht="18" thickBot="1">
      <c r="W144" s="120"/>
      <c r="X144" s="178" t="s">
        <v>233</v>
      </c>
      <c r="Y144" s="173"/>
      <c r="Z144" s="173"/>
      <c r="AA144" s="372"/>
      <c r="AB144" s="372"/>
      <c r="AC144" s="372"/>
      <c r="AD144" s="173"/>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row>
    <row r="145" spans="23:57" ht="18" thickBot="1">
      <c r="W145" s="120"/>
      <c r="X145" s="178" t="s">
        <v>234</v>
      </c>
      <c r="Y145" s="173"/>
      <c r="Z145" s="173"/>
      <c r="AA145" s="372"/>
      <c r="AB145" s="372"/>
      <c r="AC145" s="372"/>
      <c r="AD145" s="173"/>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row>
    <row r="146" spans="23:57" ht="15.6">
      <c r="W146" s="120"/>
      <c r="X146" s="179"/>
      <c r="Y146" s="120"/>
      <c r="Z146" s="120"/>
      <c r="AA146" s="130"/>
      <c r="AB146" s="130"/>
      <c r="AC146" s="13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row>
    <row r="147" spans="23:57" ht="18">
      <c r="W147" s="120"/>
      <c r="X147" s="368" t="s">
        <v>235</v>
      </c>
      <c r="Y147" s="369"/>
      <c r="Z147" s="369"/>
      <c r="AA147" s="369"/>
      <c r="AB147" s="369"/>
      <c r="AC147" s="369"/>
      <c r="AD147" s="369"/>
      <c r="AE147" s="369"/>
      <c r="AF147" s="369"/>
      <c r="AG147" s="369"/>
      <c r="AH147" s="369"/>
      <c r="AI147" s="369"/>
      <c r="AJ147" s="369"/>
      <c r="AK147" s="369"/>
      <c r="AL147" s="369"/>
      <c r="AM147" s="369"/>
      <c r="AN147" s="369"/>
      <c r="AO147" s="369"/>
      <c r="AP147" s="369"/>
      <c r="AQ147" s="369"/>
      <c r="AR147" s="369"/>
      <c r="AS147" s="369"/>
      <c r="AT147" s="369"/>
      <c r="AU147" s="369"/>
      <c r="AV147" s="369"/>
      <c r="AW147" s="369"/>
      <c r="AX147" s="369"/>
      <c r="AY147" s="369"/>
      <c r="AZ147" s="369"/>
      <c r="BA147" s="369"/>
      <c r="BB147" s="369"/>
      <c r="BC147" s="369"/>
      <c r="BD147" s="369"/>
      <c r="BE147" s="180"/>
    </row>
    <row r="148" spans="23:57" ht="15.6">
      <c r="W148" s="120"/>
      <c r="X148" s="181"/>
      <c r="Y148" s="182"/>
      <c r="Z148" s="182"/>
      <c r="AA148" s="182"/>
      <c r="AB148" s="182"/>
      <c r="AC148" s="182"/>
      <c r="AD148" s="182"/>
      <c r="AE148" s="182"/>
      <c r="AF148" s="182"/>
      <c r="AG148" s="182"/>
      <c r="AH148" s="182"/>
      <c r="AI148" s="182"/>
      <c r="AJ148" s="182"/>
      <c r="AK148" s="182"/>
      <c r="AL148" s="182"/>
      <c r="AM148" s="182"/>
      <c r="AN148" s="182"/>
      <c r="AO148" s="182"/>
      <c r="AP148" s="182"/>
      <c r="AQ148" s="182"/>
      <c r="AR148" s="182"/>
      <c r="AS148" s="182"/>
      <c r="AT148" s="182"/>
      <c r="AU148" s="182"/>
      <c r="AV148" s="182"/>
      <c r="AW148" s="182"/>
      <c r="AX148" s="182"/>
      <c r="AY148" s="182"/>
      <c r="AZ148" s="182"/>
      <c r="BA148" s="182"/>
      <c r="BB148" s="182"/>
      <c r="BC148" s="182"/>
      <c r="BD148" s="182"/>
      <c r="BE148" s="182"/>
    </row>
    <row r="149" spans="23:57" ht="17.399999999999999">
      <c r="W149" s="120"/>
      <c r="X149" s="173"/>
      <c r="Y149" s="173" t="s">
        <v>236</v>
      </c>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row>
    <row r="150" spans="23:57" ht="17.399999999999999">
      <c r="W150" s="120"/>
      <c r="X150" s="183" t="s">
        <v>237</v>
      </c>
      <c r="Y150" s="173"/>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row>
    <row r="151" spans="23:57" ht="18.600000000000001" thickBot="1">
      <c r="W151" s="120"/>
      <c r="X151" s="183" t="s">
        <v>238</v>
      </c>
      <c r="Y151" s="173"/>
      <c r="Z151" s="120"/>
      <c r="AA151" s="120"/>
      <c r="AB151" s="120"/>
      <c r="AC151" s="184"/>
      <c r="AD151" s="364">
        <f>AN102</f>
        <v>9338.1996345234002</v>
      </c>
      <c r="AE151" s="364"/>
      <c r="AF151" s="364"/>
      <c r="AG151" s="364"/>
      <c r="AH151" s="365" t="s">
        <v>239</v>
      </c>
      <c r="AI151" s="365"/>
      <c r="AJ151" s="365"/>
      <c r="AK151" s="365"/>
      <c r="AL151" s="185">
        <v>12</v>
      </c>
      <c r="AM151" s="186" t="s">
        <v>240</v>
      </c>
      <c r="AQ151" s="120"/>
      <c r="AR151" s="120"/>
      <c r="AS151" s="120"/>
      <c r="AT151" s="120"/>
      <c r="AU151" s="366">
        <f>AB39</f>
        <v>76500</v>
      </c>
      <c r="AV151" s="366"/>
      <c r="AW151" s="366"/>
      <c r="AX151" s="366"/>
      <c r="AY151" s="366"/>
      <c r="AZ151" s="186" t="s">
        <v>241</v>
      </c>
      <c r="BA151" s="187"/>
      <c r="BB151" s="187"/>
      <c r="BC151" s="187"/>
      <c r="BE151" s="120"/>
    </row>
    <row r="152" spans="23:57" ht="17.399999999999999">
      <c r="W152" s="120"/>
      <c r="X152" s="173"/>
      <c r="Y152" s="177" t="s">
        <v>242</v>
      </c>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row>
    <row r="153" spans="23:57" ht="17.399999999999999">
      <c r="W153" s="120"/>
      <c r="X153" s="177" t="s">
        <v>243</v>
      </c>
      <c r="Y153" s="173"/>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row>
    <row r="154" spans="23:57" ht="15.6">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row>
    <row r="155" spans="23:57" ht="18.600000000000001" thickBot="1">
      <c r="W155" s="120"/>
      <c r="X155" s="120"/>
      <c r="Y155" s="120"/>
      <c r="Z155" s="120"/>
      <c r="AA155" s="120"/>
      <c r="AB155" s="120"/>
      <c r="AC155" s="120"/>
      <c r="AD155" s="120"/>
      <c r="AE155" s="120"/>
      <c r="AF155" s="120"/>
      <c r="AG155" s="120"/>
      <c r="AH155" s="120"/>
      <c r="AI155" s="367" t="str">
        <f>Z123</f>
        <v>SURAIDA S. ANOG</v>
      </c>
      <c r="AJ155" s="367"/>
      <c r="AK155" s="367"/>
      <c r="AL155" s="367"/>
      <c r="AM155" s="367"/>
      <c r="AN155" s="367"/>
      <c r="AO155" s="367"/>
      <c r="AP155" s="367"/>
      <c r="AQ155" s="367"/>
      <c r="AR155" s="367"/>
      <c r="AS155" s="367"/>
      <c r="AT155" s="188"/>
      <c r="AU155" s="188"/>
      <c r="AV155" s="120"/>
      <c r="AW155" s="120"/>
      <c r="AX155" s="120"/>
      <c r="AY155" s="120"/>
      <c r="AZ155" s="120"/>
      <c r="BA155" s="120"/>
      <c r="BB155" s="120"/>
      <c r="BC155" s="120"/>
      <c r="BD155" s="120"/>
      <c r="BE155" s="120"/>
    </row>
    <row r="156" spans="23:57" ht="15.6">
      <c r="W156" s="120"/>
      <c r="X156" s="363" t="s">
        <v>244</v>
      </c>
      <c r="Y156" s="363"/>
      <c r="Z156" s="363"/>
      <c r="AA156" s="363"/>
      <c r="AB156" s="363"/>
      <c r="AC156" s="363"/>
      <c r="AD156" s="363"/>
      <c r="AE156" s="363"/>
      <c r="AF156" s="363"/>
      <c r="AG156" s="363"/>
      <c r="AH156" s="363"/>
      <c r="AI156" s="363"/>
      <c r="AJ156" s="363"/>
      <c r="AK156" s="363"/>
      <c r="AL156" s="363"/>
      <c r="AM156" s="363"/>
      <c r="AN156" s="363"/>
      <c r="AO156" s="363"/>
      <c r="AP156" s="363"/>
      <c r="AQ156" s="363"/>
      <c r="AR156" s="363"/>
      <c r="AS156" s="363"/>
      <c r="AT156" s="363"/>
      <c r="AU156" s="363"/>
      <c r="AV156" s="363"/>
      <c r="AW156" s="363"/>
      <c r="AX156" s="363"/>
      <c r="AY156" s="363"/>
      <c r="AZ156" s="363"/>
      <c r="BA156" s="363"/>
      <c r="BB156" s="363"/>
      <c r="BC156" s="363"/>
      <c r="BD156" s="363"/>
      <c r="BE156" s="123"/>
    </row>
    <row r="157" spans="23:57" ht="15.6">
      <c r="W157" s="120"/>
      <c r="X157" s="164"/>
      <c r="Y157" s="164"/>
      <c r="Z157" s="164"/>
      <c r="AA157" s="164"/>
      <c r="AB157" s="164"/>
      <c r="AC157" s="164"/>
      <c r="AD157" s="164"/>
      <c r="AE157" s="164"/>
      <c r="AF157" s="164"/>
      <c r="AG157" s="164"/>
      <c r="AH157" s="164"/>
      <c r="AI157" s="164"/>
      <c r="AJ157" s="164"/>
      <c r="AK157" s="164"/>
      <c r="AL157" s="164"/>
      <c r="AM157" s="164"/>
      <c r="AN157" s="164"/>
      <c r="AO157" s="164"/>
      <c r="AP157" s="164"/>
      <c r="AQ157" s="164"/>
      <c r="AR157" s="164"/>
      <c r="AS157" s="164"/>
      <c r="AT157" s="164"/>
      <c r="AU157" s="164"/>
      <c r="AV157" s="164"/>
      <c r="AW157" s="164"/>
      <c r="AX157" s="164"/>
      <c r="AY157" s="164"/>
      <c r="AZ157" s="164"/>
      <c r="BA157" s="164"/>
      <c r="BB157" s="164"/>
      <c r="BC157" s="164"/>
      <c r="BD157" s="164"/>
      <c r="BE157" s="157"/>
    </row>
    <row r="158" spans="23:57" ht="18">
      <c r="W158" s="120"/>
      <c r="X158" s="368" t="s">
        <v>178</v>
      </c>
      <c r="Y158" s="369"/>
      <c r="Z158" s="369"/>
      <c r="AA158" s="369"/>
      <c r="AB158" s="369"/>
      <c r="AC158" s="369"/>
      <c r="AD158" s="369"/>
      <c r="AE158" s="369"/>
      <c r="AF158" s="369"/>
      <c r="AG158" s="369"/>
      <c r="AH158" s="369"/>
      <c r="AI158" s="369"/>
      <c r="AJ158" s="369"/>
      <c r="AK158" s="369"/>
      <c r="AL158" s="369"/>
      <c r="AM158" s="369"/>
      <c r="AN158" s="369"/>
      <c r="AO158" s="369"/>
      <c r="AP158" s="369"/>
      <c r="AQ158" s="369"/>
      <c r="AR158" s="369"/>
      <c r="AS158" s="369"/>
      <c r="AT158" s="369"/>
      <c r="AU158" s="369"/>
      <c r="AV158" s="369"/>
      <c r="AW158" s="369"/>
      <c r="AX158" s="369"/>
      <c r="AY158" s="369"/>
      <c r="AZ158" s="369"/>
      <c r="BA158" s="369"/>
      <c r="BB158" s="369"/>
      <c r="BC158" s="369"/>
      <c r="BD158" s="369"/>
      <c r="BE158" s="180"/>
    </row>
    <row r="159" spans="23:57" ht="15.6">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row>
    <row r="160" spans="23:57" ht="17.399999999999999">
      <c r="W160" s="120"/>
      <c r="X160" s="173"/>
      <c r="Y160" s="177" t="s">
        <v>245</v>
      </c>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row>
    <row r="161" spans="23:57" ht="17.399999999999999">
      <c r="W161" s="120"/>
      <c r="X161" s="177" t="s">
        <v>246</v>
      </c>
      <c r="Y161" s="173"/>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row>
    <row r="162" spans="23:57" ht="17.399999999999999">
      <c r="W162" s="120"/>
      <c r="X162" s="177" t="s">
        <v>247</v>
      </c>
      <c r="Y162" s="173"/>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row>
    <row r="163" spans="23:57" ht="17.399999999999999">
      <c r="W163" s="120"/>
      <c r="X163" s="177"/>
      <c r="Y163" s="173"/>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row>
    <row r="164" spans="23:57" ht="17.399999999999999">
      <c r="W164" s="120"/>
      <c r="X164" s="177"/>
      <c r="Y164" s="173"/>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row>
    <row r="165" spans="23:57" ht="16.2" thickBot="1">
      <c r="W165" s="120"/>
      <c r="X165" s="120"/>
      <c r="Y165" s="120"/>
      <c r="Z165" s="120"/>
      <c r="AA165" s="120"/>
      <c r="AB165" s="120"/>
      <c r="AC165" s="120"/>
      <c r="AD165" s="120"/>
      <c r="AE165" s="120"/>
      <c r="AF165" s="123"/>
      <c r="AG165" s="123"/>
      <c r="AH165" s="123"/>
      <c r="AI165" s="235"/>
      <c r="AJ165" s="235"/>
      <c r="AK165" s="235"/>
      <c r="AL165" s="235"/>
      <c r="AM165" s="235"/>
      <c r="AN165" s="235"/>
      <c r="AO165" s="235"/>
      <c r="AP165" s="235"/>
      <c r="AQ165" s="235"/>
      <c r="AR165" s="235"/>
      <c r="AS165" s="235"/>
      <c r="AT165" s="235"/>
      <c r="AU165" s="235"/>
      <c r="AV165" s="123"/>
      <c r="AW165" s="123"/>
      <c r="AX165" s="123"/>
      <c r="AZ165" s="120"/>
      <c r="BA165" s="120"/>
      <c r="BB165" s="120"/>
      <c r="BC165" s="120"/>
      <c r="BD165" s="120"/>
      <c r="BE165" s="120"/>
    </row>
    <row r="166" spans="23:57" ht="15.6">
      <c r="W166" s="120"/>
      <c r="Z166" s="123"/>
      <c r="AA166" s="123"/>
      <c r="AB166" s="123"/>
      <c r="AC166" s="123"/>
      <c r="AD166" s="123"/>
      <c r="AE166" s="123"/>
      <c r="AF166" s="363" t="s">
        <v>248</v>
      </c>
      <c r="AG166" s="363"/>
      <c r="AH166" s="363"/>
      <c r="AI166" s="363"/>
      <c r="AJ166" s="363"/>
      <c r="AK166" s="363"/>
      <c r="AL166" s="363"/>
      <c r="AM166" s="363"/>
      <c r="AN166" s="363"/>
      <c r="AO166" s="363"/>
      <c r="AP166" s="363"/>
      <c r="AQ166" s="363"/>
      <c r="AR166" s="363"/>
      <c r="AS166" s="363"/>
      <c r="AT166" s="363"/>
      <c r="AU166" s="363"/>
      <c r="AV166" s="363"/>
      <c r="AW166" s="363"/>
      <c r="AX166" s="363"/>
      <c r="AY166" s="123"/>
      <c r="AZ166" s="123"/>
      <c r="BA166" s="123"/>
      <c r="BB166" s="123"/>
      <c r="BC166" s="123"/>
      <c r="BD166" s="123"/>
      <c r="BE166" s="123"/>
    </row>
    <row r="167" spans="23:57" ht="15.6">
      <c r="W167" s="120"/>
      <c r="X167" s="120"/>
      <c r="Y167" s="120"/>
      <c r="Z167" s="120"/>
      <c r="AA167" s="120"/>
      <c r="AB167" s="123"/>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row>
  </sheetData>
  <protectedRanges>
    <protectedRange sqref="E25" name="Range20_1"/>
    <protectedRange sqref="G24" name="Range19_1"/>
    <protectedRange sqref="E24" name="Range18_1"/>
    <protectedRange sqref="D23" name="Range17_1"/>
    <protectedRange sqref="G24" name="Range15_1"/>
    <protectedRange sqref="D22" name="Range13_1"/>
    <protectedRange sqref="C1" name="Range12_1"/>
    <protectedRange sqref="C3:C9" name="Range11_1"/>
    <protectedRange sqref="D4:O4 C10 AP10:CT10" name="Range21_1"/>
    <protectedRange sqref="C12" name="Range22_1"/>
    <protectedRange sqref="B73:B87 B65:C72 B28:C39" name="Range23_1"/>
  </protectedRanges>
  <mergeCells count="224">
    <mergeCell ref="X25:BD25"/>
    <mergeCell ref="X26:BD26"/>
    <mergeCell ref="K27:T27"/>
    <mergeCell ref="X27:BD27"/>
    <mergeCell ref="S29:T29"/>
    <mergeCell ref="X29:BD29"/>
    <mergeCell ref="C20:H21"/>
    <mergeCell ref="D22:F22"/>
    <mergeCell ref="F23:H23"/>
    <mergeCell ref="C24:C27"/>
    <mergeCell ref="K24:T24"/>
    <mergeCell ref="K25:T25"/>
    <mergeCell ref="N33:S33"/>
    <mergeCell ref="Y33:AD33"/>
    <mergeCell ref="AF33:AL33"/>
    <mergeCell ref="AU33:BD33"/>
    <mergeCell ref="N34:S34"/>
    <mergeCell ref="Y34:AD34"/>
    <mergeCell ref="AF34:AL34"/>
    <mergeCell ref="AU34:BD34"/>
    <mergeCell ref="S30:T30"/>
    <mergeCell ref="AU30:AV30"/>
    <mergeCell ref="N32:S32"/>
    <mergeCell ref="X32:AD32"/>
    <mergeCell ref="AE32:AL32"/>
    <mergeCell ref="AM32:AS32"/>
    <mergeCell ref="AT32:BD32"/>
    <mergeCell ref="R37:T37"/>
    <mergeCell ref="Y37:AD37"/>
    <mergeCell ref="AF37:AL37"/>
    <mergeCell ref="R38:T38"/>
    <mergeCell ref="X38:AD38"/>
    <mergeCell ref="AH38:AL38"/>
    <mergeCell ref="Y35:AD35"/>
    <mergeCell ref="AF35:AL35"/>
    <mergeCell ref="AW35:BA35"/>
    <mergeCell ref="R36:T36"/>
    <mergeCell ref="Y36:AD36"/>
    <mergeCell ref="AF36:AL36"/>
    <mergeCell ref="AP38:AT38"/>
    <mergeCell ref="R39:T39"/>
    <mergeCell ref="AB39:AM40"/>
    <mergeCell ref="AT39:BD40"/>
    <mergeCell ref="R40:T40"/>
    <mergeCell ref="R41:T41"/>
    <mergeCell ref="X41:Y41"/>
    <mergeCell ref="Z41:AE41"/>
    <mergeCell ref="AJ41:AQ41"/>
    <mergeCell ref="AV41:BD41"/>
    <mergeCell ref="R44:T44"/>
    <mergeCell ref="X44:BD44"/>
    <mergeCell ref="X45:AC45"/>
    <mergeCell ref="AD45:AM45"/>
    <mergeCell ref="AN45:AY45"/>
    <mergeCell ref="AZ45:BA45"/>
    <mergeCell ref="R42:T42"/>
    <mergeCell ref="X42:Y43"/>
    <mergeCell ref="Z42:AE43"/>
    <mergeCell ref="AS42:AU42"/>
    <mergeCell ref="R43:T43"/>
    <mergeCell ref="AS43:AU43"/>
    <mergeCell ref="X47:AC47"/>
    <mergeCell ref="AD47:AH47"/>
    <mergeCell ref="AI47:AN47"/>
    <mergeCell ref="AO47:AV47"/>
    <mergeCell ref="AW47:BD47"/>
    <mergeCell ref="R48:S48"/>
    <mergeCell ref="X48:AC48"/>
    <mergeCell ref="AD48:AH48"/>
    <mergeCell ref="AI48:AN48"/>
    <mergeCell ref="AU51:AW51"/>
    <mergeCell ref="AX51:BD51"/>
    <mergeCell ref="R52:T52"/>
    <mergeCell ref="X52:AD52"/>
    <mergeCell ref="AE52:AL52"/>
    <mergeCell ref="AR52:AS52"/>
    <mergeCell ref="AU52:AW52"/>
    <mergeCell ref="AX52:BD52"/>
    <mergeCell ref="R49:T49"/>
    <mergeCell ref="R50:T50"/>
    <mergeCell ref="R51:T51"/>
    <mergeCell ref="AK51:AL51"/>
    <mergeCell ref="AM51:AP52"/>
    <mergeCell ref="AR51:AS51"/>
    <mergeCell ref="AT55:BD55"/>
    <mergeCell ref="X56:AF56"/>
    <mergeCell ref="AG56:AS56"/>
    <mergeCell ref="AB57:BD57"/>
    <mergeCell ref="X58:BD58"/>
    <mergeCell ref="K60:M60"/>
    <mergeCell ref="R60:T60"/>
    <mergeCell ref="R53:T53"/>
    <mergeCell ref="X53:AD53"/>
    <mergeCell ref="AE53:AT53"/>
    <mergeCell ref="X54:AD54"/>
    <mergeCell ref="AE54:AW54"/>
    <mergeCell ref="AX54:BD54"/>
    <mergeCell ref="X71:AE71"/>
    <mergeCell ref="AG71:AM71"/>
    <mergeCell ref="AP71:AV71"/>
    <mergeCell ref="AX71:BD71"/>
    <mergeCell ref="X72:AE72"/>
    <mergeCell ref="AG72:AM72"/>
    <mergeCell ref="AP72:AV72"/>
    <mergeCell ref="AX72:BD72"/>
    <mergeCell ref="K61:M61"/>
    <mergeCell ref="R61:T61"/>
    <mergeCell ref="AU64:BC64"/>
    <mergeCell ref="AU65:BC65"/>
    <mergeCell ref="X66:BD66"/>
    <mergeCell ref="P69:T69"/>
    <mergeCell ref="K69:M69"/>
    <mergeCell ref="X73:AE73"/>
    <mergeCell ref="X74:BD74"/>
    <mergeCell ref="X75:Z75"/>
    <mergeCell ref="AA75:AD75"/>
    <mergeCell ref="AE75:AI75"/>
    <mergeCell ref="AJ75:AL75"/>
    <mergeCell ref="AM75:AQ75"/>
    <mergeCell ref="AR75:AT75"/>
    <mergeCell ref="AU75:AY75"/>
    <mergeCell ref="AZ75:BD75"/>
    <mergeCell ref="AU76:AY76"/>
    <mergeCell ref="AZ76:BD76"/>
    <mergeCell ref="X77:Z77"/>
    <mergeCell ref="AA77:AD77"/>
    <mergeCell ref="AE77:AI77"/>
    <mergeCell ref="AJ77:AL77"/>
    <mergeCell ref="AM77:AQ77"/>
    <mergeCell ref="AR77:AT77"/>
    <mergeCell ref="AU77:AY77"/>
    <mergeCell ref="AZ77:BD77"/>
    <mergeCell ref="X76:Z76"/>
    <mergeCell ref="AA76:AD76"/>
    <mergeCell ref="AE76:AI76"/>
    <mergeCell ref="AJ76:AL76"/>
    <mergeCell ref="AM76:AQ76"/>
    <mergeCell ref="AR76:AT76"/>
    <mergeCell ref="AU78:AY78"/>
    <mergeCell ref="AZ78:BD78"/>
    <mergeCell ref="N79:Q79"/>
    <mergeCell ref="X79:Z79"/>
    <mergeCell ref="AA79:AD79"/>
    <mergeCell ref="AE79:AI79"/>
    <mergeCell ref="AJ79:AL79"/>
    <mergeCell ref="AM79:AQ79"/>
    <mergeCell ref="AR79:AT79"/>
    <mergeCell ref="AU79:AY79"/>
    <mergeCell ref="X78:Z78"/>
    <mergeCell ref="AA78:AD78"/>
    <mergeCell ref="AE78:AI78"/>
    <mergeCell ref="AJ78:AL78"/>
    <mergeCell ref="AM78:AQ78"/>
    <mergeCell ref="AR78:AT78"/>
    <mergeCell ref="AZ79:BD79"/>
    <mergeCell ref="M80:R80"/>
    <mergeCell ref="N81:Q81"/>
    <mergeCell ref="X81:BD81"/>
    <mergeCell ref="X82:AB82"/>
    <mergeCell ref="AC82:AF82"/>
    <mergeCell ref="AG82:AJ82"/>
    <mergeCell ref="AK82:AQ82"/>
    <mergeCell ref="AR82:AV82"/>
    <mergeCell ref="AW82:BD82"/>
    <mergeCell ref="K90:M90"/>
    <mergeCell ref="X90:AN90"/>
    <mergeCell ref="AO90:BD90"/>
    <mergeCell ref="O92:S92"/>
    <mergeCell ref="AB92:AJ92"/>
    <mergeCell ref="AS92:AZ92"/>
    <mergeCell ref="AW83:BD83"/>
    <mergeCell ref="X84:BD84"/>
    <mergeCell ref="R85:S85"/>
    <mergeCell ref="R86:S86"/>
    <mergeCell ref="AJ86:AS86"/>
    <mergeCell ref="W87:BE87"/>
    <mergeCell ref="M83:R83"/>
    <mergeCell ref="X83:AB83"/>
    <mergeCell ref="AC83:AF83"/>
    <mergeCell ref="AG83:AJ83"/>
    <mergeCell ref="AK83:AQ83"/>
    <mergeCell ref="AR83:AV83"/>
    <mergeCell ref="X102:Z102"/>
    <mergeCell ref="AC102:AM102"/>
    <mergeCell ref="AN102:AQ102"/>
    <mergeCell ref="AR102:BD102"/>
    <mergeCell ref="X103:AA103"/>
    <mergeCell ref="AB103:BD103"/>
    <mergeCell ref="P93:S93"/>
    <mergeCell ref="X93:AN93"/>
    <mergeCell ref="AO93:BD93"/>
    <mergeCell ref="X100:AK100"/>
    <mergeCell ref="Y101:AX101"/>
    <mergeCell ref="AY101:BD101"/>
    <mergeCell ref="AL100:AN100"/>
    <mergeCell ref="Z126:AI126"/>
    <mergeCell ref="AB127:AI127"/>
    <mergeCell ref="AT127:AX127"/>
    <mergeCell ref="AZ127:BD127"/>
    <mergeCell ref="X130:BE130"/>
    <mergeCell ref="X135:BD135"/>
    <mergeCell ref="X104:BD104"/>
    <mergeCell ref="X105:BD107"/>
    <mergeCell ref="X108:BD110"/>
    <mergeCell ref="X111:BD115"/>
    <mergeCell ref="X116:BD119"/>
    <mergeCell ref="AT120:AX126"/>
    <mergeCell ref="AZ120:BD126"/>
    <mergeCell ref="Z123:AH123"/>
    <mergeCell ref="AO123:AQ123"/>
    <mergeCell ref="X124:AJ124"/>
    <mergeCell ref="AF166:AX166"/>
    <mergeCell ref="AD151:AG151"/>
    <mergeCell ref="AH151:AK151"/>
    <mergeCell ref="AU151:AY151"/>
    <mergeCell ref="AI155:AS155"/>
    <mergeCell ref="X156:BD156"/>
    <mergeCell ref="X158:BD158"/>
    <mergeCell ref="X136:BD139"/>
    <mergeCell ref="AA142:AC142"/>
    <mergeCell ref="AA143:AC143"/>
    <mergeCell ref="AA144:AC144"/>
    <mergeCell ref="AA145:AC145"/>
    <mergeCell ref="X147:BD147"/>
  </mergeCells>
  <printOptions horizontalCentered="1"/>
  <pageMargins left="0" right="0" top="0" bottom="0" header="0" footer="0"/>
  <pageSetup paperSize="9"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4A58A-756E-44A5-9C51-3B3AA8999BFF}">
  <dimension ref="A1:CT167"/>
  <sheetViews>
    <sheetView topLeftCell="F77" workbookViewId="0">
      <selection activeCell="X103" sqref="X103:AA103"/>
    </sheetView>
  </sheetViews>
  <sheetFormatPr defaultColWidth="8.88671875" defaultRowHeight="14.4"/>
  <cols>
    <col min="1" max="1" width="2.88671875" customWidth="1"/>
    <col min="2" max="2" width="27.33203125" customWidth="1"/>
    <col min="3" max="3" width="13.44140625" customWidth="1"/>
    <col min="4" max="5" width="15.6640625" customWidth="1"/>
    <col min="6" max="6" width="15.5546875" customWidth="1"/>
    <col min="7" max="9" width="15.6640625" customWidth="1"/>
    <col min="10" max="10" width="4.6640625" customWidth="1"/>
    <col min="11" max="20" width="10.6640625" customWidth="1"/>
    <col min="21" max="21" width="4.6640625" customWidth="1"/>
    <col min="22" max="22" width="15.6640625" customWidth="1"/>
    <col min="23" max="57" width="4.88671875" customWidth="1"/>
    <col min="58" max="98" width="15.6640625" customWidth="1"/>
  </cols>
  <sheetData>
    <row r="1" spans="1:98">
      <c r="B1" t="s">
        <v>34</v>
      </c>
      <c r="C1" s="1">
        <f>'DATA ENTRY'!D15</f>
        <v>4936.7326433885128</v>
      </c>
      <c r="T1" t="s">
        <v>253</v>
      </c>
    </row>
    <row r="2" spans="1:98">
      <c r="B2" s="2" t="s">
        <v>35</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c r="AB2" s="3">
        <v>25</v>
      </c>
      <c r="AC2" s="3">
        <v>26</v>
      </c>
      <c r="AD2" s="3">
        <v>27</v>
      </c>
      <c r="AE2" s="3">
        <v>28</v>
      </c>
      <c r="AF2" s="3">
        <v>29</v>
      </c>
      <c r="AG2" s="3">
        <v>30</v>
      </c>
      <c r="AH2" s="3">
        <v>31</v>
      </c>
      <c r="AI2" s="3">
        <v>32</v>
      </c>
      <c r="AJ2" s="3">
        <v>33</v>
      </c>
      <c r="AK2" s="3">
        <v>34</v>
      </c>
      <c r="AL2" s="3">
        <v>35</v>
      </c>
      <c r="AM2" s="3">
        <v>36</v>
      </c>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c r="BL2" s="191"/>
      <c r="BM2" s="191"/>
      <c r="BN2" s="191"/>
      <c r="BO2" s="191"/>
      <c r="BP2" s="191"/>
      <c r="BQ2" s="191"/>
      <c r="BR2" s="191"/>
      <c r="BS2" s="191"/>
      <c r="BT2" s="191"/>
      <c r="BU2" s="191"/>
      <c r="BV2" s="191"/>
      <c r="BW2" s="191"/>
      <c r="BX2" s="191"/>
      <c r="BY2" s="191"/>
      <c r="BZ2" s="191"/>
      <c r="CA2" s="191"/>
      <c r="CB2" s="191"/>
      <c r="CC2" s="191"/>
      <c r="CD2" s="191"/>
      <c r="CE2" s="191"/>
      <c r="CF2" s="191"/>
      <c r="CG2" s="191"/>
      <c r="CH2" s="191"/>
      <c r="CI2" s="191"/>
      <c r="CJ2" s="191"/>
      <c r="CK2" s="191"/>
      <c r="CL2" s="191"/>
      <c r="CM2" s="191"/>
      <c r="CN2" s="191"/>
      <c r="CO2" s="191"/>
      <c r="CP2" s="191"/>
      <c r="CQ2" s="191"/>
      <c r="CR2" s="191"/>
      <c r="CS2" s="191"/>
      <c r="CT2" s="191"/>
    </row>
    <row r="3" spans="1:98">
      <c r="B3" s="2" t="s">
        <v>6</v>
      </c>
      <c r="C3" s="4">
        <f>'DATA ENTRY'!D4</f>
        <v>118481.5834413243</v>
      </c>
      <c r="D3" s="4"/>
      <c r="E3" s="4"/>
      <c r="F3" s="4"/>
      <c r="G3" s="4"/>
      <c r="H3" s="4"/>
      <c r="I3" s="4"/>
      <c r="J3" s="4"/>
      <c r="K3" s="4"/>
      <c r="L3" s="4"/>
      <c r="M3" s="4"/>
      <c r="N3" s="4"/>
      <c r="O3" s="4"/>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row>
    <row r="4" spans="1:98">
      <c r="A4">
        <v>41</v>
      </c>
      <c r="B4" s="2" t="s">
        <v>14</v>
      </c>
      <c r="C4" s="4">
        <f>'DATA ENTRY'!D12</f>
        <v>109021.86666666667</v>
      </c>
      <c r="D4" s="4"/>
      <c r="E4" s="4"/>
      <c r="F4" s="4"/>
      <c r="G4" s="4"/>
      <c r="H4" s="4"/>
      <c r="I4" s="4"/>
      <c r="J4" s="4"/>
      <c r="K4" s="4"/>
      <c r="L4" s="4"/>
      <c r="M4" s="4"/>
      <c r="N4" s="4"/>
      <c r="O4" s="4"/>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row>
    <row r="5" spans="1:98">
      <c r="B5" s="2" t="s">
        <v>9</v>
      </c>
      <c r="C5" s="4">
        <f>'DATA ENTRY'!D7</f>
        <v>7012.5</v>
      </c>
      <c r="D5" s="4"/>
      <c r="E5" s="4"/>
      <c r="F5" s="4"/>
      <c r="G5" s="4"/>
      <c r="H5" s="4"/>
      <c r="I5" s="4"/>
      <c r="J5" s="4"/>
      <c r="K5" s="4"/>
      <c r="L5" s="4"/>
      <c r="M5" s="4"/>
      <c r="N5" s="4"/>
      <c r="O5" s="4"/>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row>
    <row r="6" spans="1:98">
      <c r="B6" s="2" t="s">
        <v>10</v>
      </c>
      <c r="C6" s="4">
        <f>'DATA ENTRY'!D8</f>
        <v>2244</v>
      </c>
      <c r="D6" s="4"/>
      <c r="E6" s="4"/>
      <c r="F6" s="4"/>
      <c r="G6" s="4"/>
      <c r="H6" s="4"/>
      <c r="I6" s="4"/>
      <c r="J6" s="4"/>
      <c r="K6" s="4"/>
      <c r="L6" s="4"/>
      <c r="M6" s="4"/>
      <c r="N6" s="4"/>
      <c r="O6" s="4"/>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row>
    <row r="7" spans="1:98">
      <c r="B7" s="2" t="s">
        <v>11</v>
      </c>
      <c r="C7" s="4">
        <f>'DATA ENTRY'!D9</f>
        <v>5000</v>
      </c>
      <c r="D7" s="4"/>
      <c r="E7" s="4"/>
      <c r="F7" s="4"/>
      <c r="G7" s="4"/>
      <c r="H7" s="4"/>
      <c r="I7" s="4"/>
      <c r="J7" s="4"/>
      <c r="K7" s="4"/>
      <c r="L7" s="4"/>
      <c r="M7" s="4"/>
      <c r="N7" s="4"/>
      <c r="O7" s="4"/>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row>
    <row r="8" spans="1:98">
      <c r="B8" s="2" t="s">
        <v>12</v>
      </c>
      <c r="C8" s="4">
        <f>'DATA ENTRY'!D10</f>
        <v>0</v>
      </c>
      <c r="D8" s="4"/>
      <c r="E8" s="4"/>
      <c r="F8" s="4"/>
      <c r="G8" s="4"/>
      <c r="H8" s="4"/>
      <c r="I8" s="4"/>
      <c r="J8" s="4"/>
      <c r="K8" s="4"/>
      <c r="L8" s="4"/>
      <c r="M8" s="4"/>
      <c r="N8" s="4"/>
      <c r="O8" s="4"/>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row>
    <row r="9" spans="1:98">
      <c r="B9" s="2" t="s">
        <v>13</v>
      </c>
      <c r="C9" s="4">
        <f>'DATA ENTRY'!D11</f>
        <v>1265.3666666666666</v>
      </c>
      <c r="D9" s="4"/>
      <c r="E9" s="4"/>
      <c r="F9" s="4"/>
      <c r="G9" s="4"/>
      <c r="H9" s="4"/>
      <c r="I9" s="4"/>
      <c r="J9" s="4"/>
      <c r="K9" s="4"/>
      <c r="L9" s="4"/>
      <c r="M9" s="4"/>
      <c r="N9" s="4"/>
      <c r="O9" s="4"/>
      <c r="P9" s="67"/>
      <c r="Q9" s="67"/>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7"/>
      <c r="BK9" s="67"/>
      <c r="BL9" s="67"/>
      <c r="BM9" s="67"/>
      <c r="BN9" s="67"/>
      <c r="BO9" s="67"/>
      <c r="BP9" s="67"/>
      <c r="BQ9" s="67"/>
      <c r="BR9" s="67"/>
      <c r="BS9" s="67"/>
      <c r="BT9" s="67"/>
      <c r="BU9" s="67"/>
      <c r="BV9" s="67"/>
      <c r="BW9" s="67"/>
      <c r="BX9" s="67"/>
      <c r="BY9" s="67"/>
      <c r="BZ9" s="67"/>
      <c r="CA9" s="67"/>
      <c r="CB9" s="67"/>
      <c r="CC9" s="67"/>
      <c r="CD9" s="67"/>
      <c r="CE9" s="67"/>
      <c r="CF9" s="67"/>
      <c r="CG9" s="67"/>
      <c r="CH9" s="67"/>
      <c r="CI9" s="67"/>
      <c r="CJ9" s="67"/>
      <c r="CK9" s="67"/>
      <c r="CL9" s="67"/>
      <c r="CM9" s="67"/>
      <c r="CN9" s="67"/>
      <c r="CO9" s="67"/>
      <c r="CP9" s="67"/>
      <c r="CQ9" s="67"/>
      <c r="CR9" s="67"/>
      <c r="CS9" s="67"/>
      <c r="CT9" s="67"/>
    </row>
    <row r="10" spans="1:98">
      <c r="B10" s="5" t="s">
        <v>36</v>
      </c>
      <c r="C10" s="6">
        <f>C4-C5-C6-C7-C8-C9</f>
        <v>93500</v>
      </c>
      <c r="D10" s="6">
        <f t="shared" ref="D10:AM10" si="0">-$C1</f>
        <v>-4936.7326433885128</v>
      </c>
      <c r="E10" s="6">
        <f t="shared" si="0"/>
        <v>-4936.7326433885128</v>
      </c>
      <c r="F10" s="6">
        <f t="shared" si="0"/>
        <v>-4936.7326433885128</v>
      </c>
      <c r="G10" s="6">
        <f t="shared" si="0"/>
        <v>-4936.7326433885128</v>
      </c>
      <c r="H10" s="6">
        <f t="shared" si="0"/>
        <v>-4936.7326433885128</v>
      </c>
      <c r="I10" s="6">
        <f t="shared" si="0"/>
        <v>-4936.7326433885128</v>
      </c>
      <c r="J10" s="6">
        <f t="shared" si="0"/>
        <v>-4936.7326433885128</v>
      </c>
      <c r="K10" s="6">
        <f t="shared" si="0"/>
        <v>-4936.7326433885128</v>
      </c>
      <c r="L10" s="6">
        <f t="shared" si="0"/>
        <v>-4936.7326433885128</v>
      </c>
      <c r="M10" s="6">
        <f t="shared" si="0"/>
        <v>-4936.7326433885128</v>
      </c>
      <c r="N10" s="6">
        <f t="shared" si="0"/>
        <v>-4936.7326433885128</v>
      </c>
      <c r="O10" s="6">
        <f t="shared" si="0"/>
        <v>-4936.7326433885128</v>
      </c>
      <c r="P10" s="6">
        <f t="shared" si="0"/>
        <v>-4936.7326433885128</v>
      </c>
      <c r="Q10" s="6">
        <f t="shared" si="0"/>
        <v>-4936.7326433885128</v>
      </c>
      <c r="R10" s="6">
        <f t="shared" si="0"/>
        <v>-4936.7326433885128</v>
      </c>
      <c r="S10" s="6">
        <f t="shared" si="0"/>
        <v>-4936.7326433885128</v>
      </c>
      <c r="T10" s="6">
        <f t="shared" si="0"/>
        <v>-4936.7326433885128</v>
      </c>
      <c r="U10" s="6">
        <f t="shared" si="0"/>
        <v>-4936.7326433885128</v>
      </c>
      <c r="V10" s="6">
        <f t="shared" si="0"/>
        <v>-4936.7326433885128</v>
      </c>
      <c r="W10" s="6">
        <f t="shared" si="0"/>
        <v>-4936.7326433885128</v>
      </c>
      <c r="X10" s="6">
        <f t="shared" si="0"/>
        <v>-4936.7326433885128</v>
      </c>
      <c r="Y10" s="6">
        <f t="shared" si="0"/>
        <v>-4936.7326433885128</v>
      </c>
      <c r="Z10" s="6">
        <f t="shared" si="0"/>
        <v>-4936.7326433885128</v>
      </c>
      <c r="AA10" s="6">
        <f t="shared" si="0"/>
        <v>-4936.7326433885128</v>
      </c>
      <c r="AB10" s="6">
        <f t="shared" si="0"/>
        <v>-4936.7326433885128</v>
      </c>
      <c r="AC10" s="6">
        <f t="shared" si="0"/>
        <v>-4936.7326433885128</v>
      </c>
      <c r="AD10" s="6">
        <f t="shared" si="0"/>
        <v>-4936.7326433885128</v>
      </c>
      <c r="AE10" s="6">
        <f t="shared" si="0"/>
        <v>-4936.7326433885128</v>
      </c>
      <c r="AF10" s="6">
        <f t="shared" si="0"/>
        <v>-4936.7326433885128</v>
      </c>
      <c r="AG10" s="6">
        <f t="shared" si="0"/>
        <v>-4936.7326433885128</v>
      </c>
      <c r="AH10" s="6">
        <f t="shared" si="0"/>
        <v>-4936.7326433885128</v>
      </c>
      <c r="AI10" s="6">
        <f t="shared" si="0"/>
        <v>-4936.7326433885128</v>
      </c>
      <c r="AJ10" s="6">
        <f t="shared" si="0"/>
        <v>-4936.7326433885128</v>
      </c>
      <c r="AK10" s="6">
        <f t="shared" si="0"/>
        <v>-4936.7326433885128</v>
      </c>
      <c r="AL10" s="6">
        <f t="shared" si="0"/>
        <v>-4936.7326433885128</v>
      </c>
      <c r="AM10" s="6">
        <f t="shared" si="0"/>
        <v>-4936.7326433885128</v>
      </c>
      <c r="AN10" s="67"/>
      <c r="AO10" s="67"/>
      <c r="AP10" s="67"/>
      <c r="AQ10" s="67"/>
      <c r="AR10" s="67"/>
      <c r="AS10" s="67"/>
      <c r="AT10" s="67"/>
      <c r="AU10" s="67"/>
      <c r="AV10" s="67"/>
      <c r="AW10" s="67"/>
      <c r="AX10" s="67"/>
      <c r="AY10" s="67"/>
      <c r="AZ10" s="67"/>
      <c r="BA10" s="67"/>
      <c r="BB10" s="67"/>
      <c r="BC10" s="67"/>
      <c r="BD10" s="67"/>
      <c r="BE10" s="67"/>
      <c r="BF10" s="67"/>
      <c r="BG10" s="67"/>
      <c r="BH10" s="67"/>
      <c r="BI10" s="67"/>
      <c r="BJ10" s="67"/>
      <c r="BK10" s="67"/>
      <c r="BL10" s="67"/>
      <c r="BM10" s="67"/>
      <c r="BN10" s="67"/>
      <c r="BO10" s="67"/>
      <c r="BP10" s="67"/>
      <c r="BQ10" s="67"/>
      <c r="BR10" s="67"/>
      <c r="BS10" s="67"/>
      <c r="BT10" s="67"/>
      <c r="BU10" s="67"/>
      <c r="BV10" s="67"/>
      <c r="BW10" s="67"/>
      <c r="BX10" s="67"/>
      <c r="BY10" s="67"/>
      <c r="BZ10" s="67"/>
      <c r="CA10" s="67"/>
      <c r="CB10" s="67"/>
      <c r="CC10" s="67"/>
      <c r="CD10" s="67"/>
      <c r="CE10" s="67"/>
      <c r="CF10" s="67"/>
      <c r="CG10" s="67"/>
      <c r="CH10" s="67"/>
      <c r="CI10" s="67"/>
      <c r="CJ10" s="67"/>
      <c r="CK10" s="67"/>
      <c r="CL10" s="67"/>
      <c r="CM10" s="67"/>
      <c r="CN10" s="67"/>
      <c r="CO10" s="67"/>
      <c r="CP10" s="67"/>
      <c r="CQ10" s="67"/>
      <c r="CR10" s="67"/>
      <c r="CS10" s="67"/>
      <c r="CT10" s="67"/>
    </row>
    <row r="12" spans="1:98">
      <c r="B12" t="s">
        <v>37</v>
      </c>
      <c r="C12" s="7">
        <f>IRR(C10:AM10)</f>
        <v>3.9880345440631793E-2</v>
      </c>
      <c r="D12">
        <f>C12/5</f>
        <v>7.9760690881263592E-3</v>
      </c>
    </row>
    <row r="13" spans="1:98">
      <c r="C13" s="8"/>
    </row>
    <row r="14" spans="1:98">
      <c r="B14" t="s">
        <v>254</v>
      </c>
      <c r="C14" s="192"/>
    </row>
    <row r="15" spans="1:98">
      <c r="B15" t="s">
        <v>29</v>
      </c>
      <c r="C15" s="9">
        <f>'[3]Data Entry'!D12/12</f>
        <v>7.0833333333333338E-3</v>
      </c>
    </row>
    <row r="16" spans="1:98">
      <c r="B16" t="s">
        <v>16</v>
      </c>
      <c r="C16" s="115">
        <f>'[3]Data Entry'!D13</f>
        <v>8.855359027416676E-2</v>
      </c>
    </row>
    <row r="17" spans="2:57">
      <c r="B17" t="s">
        <v>190</v>
      </c>
      <c r="C17">
        <v>24</v>
      </c>
    </row>
    <row r="19" spans="2:57" ht="15" thickBot="1">
      <c r="H19" s="10"/>
    </row>
    <row r="20" spans="2:57" ht="15.6">
      <c r="B20" s="1"/>
      <c r="C20" s="323" t="s">
        <v>38</v>
      </c>
      <c r="D20" s="324"/>
      <c r="E20" s="324"/>
      <c r="F20" s="324"/>
      <c r="G20" s="324"/>
      <c r="H20" s="325"/>
      <c r="I20" s="24"/>
      <c r="J20" s="26"/>
      <c r="K20" s="27"/>
      <c r="L20" s="27"/>
      <c r="M20" s="27"/>
      <c r="N20" s="27"/>
      <c r="O20" s="28"/>
      <c r="P20" s="27"/>
      <c r="Q20" s="27"/>
      <c r="R20" s="27"/>
      <c r="S20" s="27"/>
      <c r="T20" s="27"/>
      <c r="U20" s="45"/>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row>
    <row r="21" spans="2:57" ht="15.6">
      <c r="C21" s="326"/>
      <c r="D21" s="327"/>
      <c r="E21" s="327"/>
      <c r="F21" s="327"/>
      <c r="G21" s="327"/>
      <c r="H21" s="328"/>
      <c r="J21" s="29"/>
      <c r="K21" s="30"/>
      <c r="L21" s="30"/>
      <c r="M21" s="30"/>
      <c r="N21" s="30"/>
      <c r="O21" s="31"/>
      <c r="P21" s="30"/>
      <c r="Q21" s="30"/>
      <c r="R21" s="30"/>
      <c r="S21" s="30"/>
      <c r="T21" s="30"/>
      <c r="U21" s="46"/>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row>
    <row r="22" spans="2:57" ht="15.6">
      <c r="C22" s="11" t="s">
        <v>39</v>
      </c>
      <c r="D22" s="525" t="s">
        <v>255</v>
      </c>
      <c r="E22" s="287"/>
      <c r="F22" s="288"/>
      <c r="G22" s="2" t="s">
        <v>40</v>
      </c>
      <c r="H22" s="15" t="s">
        <v>256</v>
      </c>
      <c r="J22" s="29"/>
      <c r="K22" s="30"/>
      <c r="L22" s="30"/>
      <c r="M22" s="30"/>
      <c r="N22" s="30"/>
      <c r="O22" s="32"/>
      <c r="P22" s="30"/>
      <c r="Q22" s="30"/>
      <c r="R22" s="30"/>
      <c r="S22" s="30"/>
      <c r="T22" s="30"/>
      <c r="U22" s="46"/>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row>
    <row r="23" spans="2:57" ht="15.75" customHeight="1">
      <c r="C23" s="16" t="s">
        <v>257</v>
      </c>
      <c r="D23" s="193" t="s">
        <v>258</v>
      </c>
      <c r="E23" s="17" t="s">
        <v>42</v>
      </c>
      <c r="F23" s="519" t="s">
        <v>259</v>
      </c>
      <c r="G23" s="519"/>
      <c r="H23" s="520"/>
      <c r="I23" s="121"/>
      <c r="J23" s="194"/>
      <c r="K23" s="121"/>
      <c r="L23" s="121"/>
      <c r="M23" s="121"/>
      <c r="N23" s="121"/>
      <c r="O23" s="121"/>
      <c r="P23" s="121"/>
      <c r="Q23" s="121"/>
      <c r="R23" s="121"/>
      <c r="S23" s="121"/>
      <c r="T23" s="121"/>
      <c r="U23" s="195"/>
      <c r="V23" s="121"/>
      <c r="W23" s="121"/>
      <c r="X23" s="121"/>
      <c r="Y23" s="121"/>
      <c r="Z23" s="121"/>
      <c r="AA23" s="121"/>
      <c r="AB23" s="121"/>
      <c r="AC23" s="121"/>
      <c r="AD23" s="121"/>
      <c r="AE23" s="121"/>
      <c r="AF23" s="121"/>
      <c r="AG23" s="121"/>
      <c r="AH23" s="121"/>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row>
    <row r="24" spans="2:57" ht="21">
      <c r="C24" s="521" t="s">
        <v>44</v>
      </c>
      <c r="D24" s="11" t="s">
        <v>45</v>
      </c>
      <c r="E24" s="196">
        <v>45701</v>
      </c>
      <c r="F24" s="197" t="s">
        <v>46</v>
      </c>
      <c r="G24" s="198">
        <f>B51</f>
        <v>46431</v>
      </c>
      <c r="H24" s="199"/>
      <c r="J24" s="29"/>
      <c r="K24" s="334" t="s">
        <v>55</v>
      </c>
      <c r="L24" s="334"/>
      <c r="M24" s="334"/>
      <c r="N24" s="334"/>
      <c r="O24" s="334"/>
      <c r="P24" s="334"/>
      <c r="Q24" s="334"/>
      <c r="R24" s="334"/>
      <c r="S24" s="334"/>
      <c r="T24" s="334"/>
      <c r="U24" s="46"/>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row>
    <row r="25" spans="2:57" ht="15.6">
      <c r="C25" s="521"/>
      <c r="D25" s="2" t="s">
        <v>47</v>
      </c>
      <c r="E25" s="2">
        <v>36</v>
      </c>
      <c r="F25" s="2" t="s">
        <v>48</v>
      </c>
      <c r="G25" s="2"/>
      <c r="H25" s="15"/>
      <c r="J25" s="29"/>
      <c r="K25" s="335" t="s">
        <v>56</v>
      </c>
      <c r="L25" s="335"/>
      <c r="M25" s="335"/>
      <c r="N25" s="335"/>
      <c r="O25" s="335"/>
      <c r="P25" s="335"/>
      <c r="Q25" s="335"/>
      <c r="R25" s="335"/>
      <c r="S25" s="335"/>
      <c r="T25" s="335"/>
      <c r="U25" s="46"/>
      <c r="W25" s="120"/>
      <c r="X25" s="514" t="s">
        <v>108</v>
      </c>
      <c r="Y25" s="514"/>
      <c r="Z25" s="514"/>
      <c r="AA25" s="514"/>
      <c r="AB25" s="514"/>
      <c r="AC25" s="514"/>
      <c r="AD25" s="514"/>
      <c r="AE25" s="514"/>
      <c r="AF25" s="514"/>
      <c r="AG25" s="514"/>
      <c r="AH25" s="514"/>
      <c r="AI25" s="514"/>
      <c r="AJ25" s="514"/>
      <c r="AK25" s="514"/>
      <c r="AL25" s="514"/>
      <c r="AM25" s="514"/>
      <c r="AN25" s="514"/>
      <c r="AO25" s="514"/>
      <c r="AP25" s="514"/>
      <c r="AQ25" s="514"/>
      <c r="AR25" s="514"/>
      <c r="AS25" s="514"/>
      <c r="AT25" s="514"/>
      <c r="AU25" s="514"/>
      <c r="AV25" s="514"/>
      <c r="AW25" s="514"/>
      <c r="AX25" s="514"/>
      <c r="AY25" s="514"/>
      <c r="AZ25" s="514"/>
      <c r="BA25" s="514"/>
      <c r="BB25" s="514"/>
      <c r="BC25" s="514"/>
      <c r="BD25" s="514"/>
      <c r="BE25" s="120"/>
    </row>
    <row r="26" spans="2:57" ht="15.6">
      <c r="C26" s="521"/>
      <c r="D26" s="2" t="s">
        <v>49</v>
      </c>
      <c r="E26" s="200" t="s">
        <v>50</v>
      </c>
      <c r="F26" s="200" t="s">
        <v>51</v>
      </c>
      <c r="G26" s="200" t="s">
        <v>52</v>
      </c>
      <c r="H26" s="201" t="s">
        <v>53</v>
      </c>
      <c r="J26" s="29"/>
      <c r="K26" s="30"/>
      <c r="L26" s="30"/>
      <c r="M26" s="30"/>
      <c r="N26" s="30"/>
      <c r="O26" s="32"/>
      <c r="P26" s="30"/>
      <c r="Q26" s="30"/>
      <c r="R26" s="30"/>
      <c r="S26" s="30"/>
      <c r="T26" s="30"/>
      <c r="U26" s="46"/>
      <c r="W26" s="120"/>
      <c r="X26" s="514" t="s">
        <v>109</v>
      </c>
      <c r="Y26" s="514"/>
      <c r="Z26" s="514"/>
      <c r="AA26" s="514"/>
      <c r="AB26" s="514"/>
      <c r="AC26" s="514"/>
      <c r="AD26" s="514"/>
      <c r="AE26" s="514"/>
      <c r="AF26" s="514"/>
      <c r="AG26" s="514"/>
      <c r="AH26" s="514"/>
      <c r="AI26" s="514"/>
      <c r="AJ26" s="514"/>
      <c r="AK26" s="514"/>
      <c r="AL26" s="514"/>
      <c r="AM26" s="514"/>
      <c r="AN26" s="514"/>
      <c r="AO26" s="514"/>
      <c r="AP26" s="514"/>
      <c r="AQ26" s="514"/>
      <c r="AR26" s="514"/>
      <c r="AS26" s="514"/>
      <c r="AT26" s="514"/>
      <c r="AU26" s="514"/>
      <c r="AV26" s="514"/>
      <c r="AW26" s="514"/>
      <c r="AX26" s="514"/>
      <c r="AY26" s="514"/>
      <c r="AZ26" s="514"/>
      <c r="BA26" s="514"/>
      <c r="BB26" s="514"/>
      <c r="BC26" s="514"/>
      <c r="BD26" s="514"/>
      <c r="BE26" s="120"/>
    </row>
    <row r="27" spans="2:57" ht="18" thickBot="1">
      <c r="C27" s="526"/>
      <c r="D27" s="202" t="s">
        <v>54</v>
      </c>
      <c r="E27" s="202"/>
      <c r="F27" s="202"/>
      <c r="G27" s="202"/>
      <c r="H27" s="203">
        <f>C10</f>
        <v>93500</v>
      </c>
      <c r="J27" s="29"/>
      <c r="K27" s="336" t="s">
        <v>57</v>
      </c>
      <c r="L27" s="336"/>
      <c r="M27" s="336"/>
      <c r="N27" s="336"/>
      <c r="O27" s="336"/>
      <c r="P27" s="336"/>
      <c r="Q27" s="336"/>
      <c r="R27" s="336"/>
      <c r="S27" s="336"/>
      <c r="T27" s="336"/>
      <c r="U27" s="46"/>
      <c r="W27" s="120"/>
      <c r="X27" s="514" t="s">
        <v>110</v>
      </c>
      <c r="Y27" s="514"/>
      <c r="Z27" s="514"/>
      <c r="AA27" s="514"/>
      <c r="AB27" s="514"/>
      <c r="AC27" s="514"/>
      <c r="AD27" s="514"/>
      <c r="AE27" s="514"/>
      <c r="AF27" s="514"/>
      <c r="AG27" s="514"/>
      <c r="AH27" s="514"/>
      <c r="AI27" s="514"/>
      <c r="AJ27" s="514"/>
      <c r="AK27" s="514"/>
      <c r="AL27" s="514"/>
      <c r="AM27" s="514"/>
      <c r="AN27" s="514"/>
      <c r="AO27" s="514"/>
      <c r="AP27" s="514"/>
      <c r="AQ27" s="514"/>
      <c r="AR27" s="514"/>
      <c r="AS27" s="514"/>
      <c r="AT27" s="514"/>
      <c r="AU27" s="514"/>
      <c r="AV27" s="514"/>
      <c r="AW27" s="514"/>
      <c r="AX27" s="514"/>
      <c r="AY27" s="514"/>
      <c r="AZ27" s="514"/>
      <c r="BA27" s="514"/>
      <c r="BB27" s="514"/>
      <c r="BC27" s="514"/>
      <c r="BD27" s="514"/>
      <c r="BE27" s="120"/>
    </row>
    <row r="28" spans="2:57" ht="15.6">
      <c r="B28" s="22">
        <f>DATE(YEAR(E$24),MONTH(E$24)+D28+0,DAY(E$24))</f>
        <v>45729</v>
      </c>
      <c r="C28" s="204" t="str">
        <f t="shared" ref="C28:C63" si="1">TEXT(B28,"mmm-yyyy")</f>
        <v>Mar-2025</v>
      </c>
      <c r="D28" s="205">
        <v>1</v>
      </c>
      <c r="E28" s="206">
        <f t="shared" ref="E28:E63" si="2">C$1</f>
        <v>4936.7326433885128</v>
      </c>
      <c r="F28" s="207">
        <f>E28-G28</f>
        <v>1207.9203446894403</v>
      </c>
      <c r="G28" s="208">
        <f t="shared" ref="G28:G63" si="3">H27*C$12</f>
        <v>3728.8122986990725</v>
      </c>
      <c r="H28" s="209">
        <f>H27-F28</f>
        <v>92292.079655310561</v>
      </c>
      <c r="J28" s="29"/>
      <c r="K28" s="33"/>
      <c r="L28" s="33"/>
      <c r="M28" s="33"/>
      <c r="N28" s="33"/>
      <c r="O28" s="31"/>
      <c r="P28" s="33"/>
      <c r="Q28" s="30"/>
      <c r="R28" s="30"/>
      <c r="S28" s="30"/>
      <c r="T28" s="30"/>
      <c r="U28" s="46"/>
      <c r="W28" s="120"/>
      <c r="X28" s="120"/>
      <c r="Y28" s="120"/>
      <c r="Z28" s="120"/>
      <c r="AA28" s="120"/>
      <c r="AB28" s="120"/>
      <c r="AC28" s="120"/>
      <c r="AD28" s="120"/>
      <c r="AE28" s="122"/>
      <c r="AF28" s="122"/>
      <c r="AG28" s="122"/>
      <c r="AH28" s="122"/>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row>
    <row r="29" spans="2:57" ht="15.6">
      <c r="B29" s="22">
        <f t="shared" ref="B29:B63" si="4">DATE(YEAR(E$24),MONTH(E$24)+D29+0,DAY(E$24))</f>
        <v>45760</v>
      </c>
      <c r="C29" s="23" t="str">
        <f t="shared" si="1"/>
        <v>Apr-2025</v>
      </c>
      <c r="D29" s="2">
        <v>2</v>
      </c>
      <c r="E29" s="93">
        <f t="shared" si="2"/>
        <v>4936.7326433885128</v>
      </c>
      <c r="F29" s="104">
        <f t="shared" ref="F29:F63" si="5">E29-G29</f>
        <v>1256.0926253004222</v>
      </c>
      <c r="G29" s="105">
        <f t="shared" si="3"/>
        <v>3680.6400180880905</v>
      </c>
      <c r="H29" s="21">
        <f t="shared" ref="H29:H63" si="6">H28-F29</f>
        <v>91035.987030010132</v>
      </c>
      <c r="J29" s="29"/>
      <c r="K29" s="33"/>
      <c r="L29" s="33"/>
      <c r="M29" s="33"/>
      <c r="N29" s="33"/>
      <c r="O29" s="31"/>
      <c r="P29" s="33"/>
      <c r="Q29" s="30"/>
      <c r="R29" s="35" t="s">
        <v>58</v>
      </c>
      <c r="S29" s="337">
        <f>E24</f>
        <v>45701</v>
      </c>
      <c r="T29" s="337"/>
      <c r="U29" s="46"/>
      <c r="W29" s="123"/>
      <c r="X29" s="486" t="s">
        <v>111</v>
      </c>
      <c r="Y29" s="487"/>
      <c r="Z29" s="487"/>
      <c r="AA29" s="487"/>
      <c r="AB29" s="487"/>
      <c r="AC29" s="487"/>
      <c r="AD29" s="487"/>
      <c r="AE29" s="487"/>
      <c r="AF29" s="487"/>
      <c r="AG29" s="487"/>
      <c r="AH29" s="487"/>
      <c r="AI29" s="487"/>
      <c r="AJ29" s="487"/>
      <c r="AK29" s="487"/>
      <c r="AL29" s="487"/>
      <c r="AM29" s="487"/>
      <c r="AN29" s="487"/>
      <c r="AO29" s="487"/>
      <c r="AP29" s="487"/>
      <c r="AQ29" s="487"/>
      <c r="AR29" s="487"/>
      <c r="AS29" s="487"/>
      <c r="AT29" s="487"/>
      <c r="AU29" s="487"/>
      <c r="AV29" s="487"/>
      <c r="AW29" s="487"/>
      <c r="AX29" s="487"/>
      <c r="AY29" s="487"/>
      <c r="AZ29" s="487"/>
      <c r="BA29" s="487"/>
      <c r="BB29" s="487"/>
      <c r="BC29" s="487"/>
      <c r="BD29" s="488"/>
      <c r="BE29" s="120"/>
    </row>
    <row r="30" spans="2:57" ht="15.6">
      <c r="B30" s="22">
        <f t="shared" si="4"/>
        <v>45790</v>
      </c>
      <c r="C30" s="23" t="str">
        <f t="shared" si="1"/>
        <v>May-2025</v>
      </c>
      <c r="D30" s="2">
        <v>3</v>
      </c>
      <c r="E30" s="93">
        <f t="shared" si="2"/>
        <v>4936.7326433885128</v>
      </c>
      <c r="F30" s="104">
        <f t="shared" si="5"/>
        <v>1306.1860331028333</v>
      </c>
      <c r="G30" s="105">
        <f t="shared" si="3"/>
        <v>3630.5466102856794</v>
      </c>
      <c r="H30" s="21">
        <f t="shared" si="6"/>
        <v>89729.800996907303</v>
      </c>
      <c r="J30" s="29"/>
      <c r="K30" s="33"/>
      <c r="L30" s="33"/>
      <c r="M30" s="33"/>
      <c r="N30" s="33"/>
      <c r="O30" s="31"/>
      <c r="P30" s="33"/>
      <c r="Q30" s="30"/>
      <c r="R30" s="35" t="s">
        <v>59</v>
      </c>
      <c r="S30" s="512" t="str">
        <f>D23</f>
        <v>2004-023</v>
      </c>
      <c r="T30" s="512"/>
      <c r="U30" s="46"/>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513" t="s">
        <v>58</v>
      </c>
      <c r="AV30" s="513"/>
      <c r="AW30" s="124">
        <v>0</v>
      </c>
      <c r="AX30" s="125">
        <v>2</v>
      </c>
      <c r="AY30" s="125">
        <v>1</v>
      </c>
      <c r="AZ30" s="125">
        <v>3</v>
      </c>
      <c r="BA30" s="125">
        <v>2</v>
      </c>
      <c r="BB30" s="125">
        <v>0</v>
      </c>
      <c r="BC30" s="125">
        <v>2</v>
      </c>
      <c r="BD30" s="126">
        <v>5</v>
      </c>
      <c r="BE30" s="120"/>
    </row>
    <row r="31" spans="2:57" ht="15.6">
      <c r="B31" s="22">
        <f t="shared" si="4"/>
        <v>45821</v>
      </c>
      <c r="C31" s="23" t="str">
        <f t="shared" si="1"/>
        <v>Jun-2025</v>
      </c>
      <c r="D31" s="108">
        <v>4</v>
      </c>
      <c r="E31" s="93">
        <f t="shared" si="2"/>
        <v>4936.7326433885128</v>
      </c>
      <c r="F31" s="104">
        <f t="shared" si="5"/>
        <v>1358.2771833127026</v>
      </c>
      <c r="G31" s="105">
        <f t="shared" si="3"/>
        <v>3578.4554600758102</v>
      </c>
      <c r="H31" s="21">
        <f t="shared" si="6"/>
        <v>88371.523813594598</v>
      </c>
      <c r="J31" s="29"/>
      <c r="K31" s="33"/>
      <c r="L31" s="33"/>
      <c r="M31" s="33"/>
      <c r="N31" s="33"/>
      <c r="O31" s="31"/>
      <c r="P31" s="33"/>
      <c r="Q31" s="30"/>
      <c r="R31" s="35"/>
      <c r="S31" s="47"/>
      <c r="T31" s="30"/>
      <c r="U31" s="46"/>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7" t="s">
        <v>112</v>
      </c>
      <c r="AX31" s="127" t="s">
        <v>112</v>
      </c>
      <c r="AY31" s="127" t="s">
        <v>113</v>
      </c>
      <c r="AZ31" s="127" t="s">
        <v>113</v>
      </c>
      <c r="BA31" s="127" t="s">
        <v>114</v>
      </c>
      <c r="BB31" s="127" t="s">
        <v>114</v>
      </c>
      <c r="BC31" s="127" t="s">
        <v>114</v>
      </c>
      <c r="BD31" s="127" t="s">
        <v>114</v>
      </c>
      <c r="BE31" s="120"/>
    </row>
    <row r="32" spans="2:57" ht="15.6">
      <c r="B32" s="22">
        <f t="shared" si="4"/>
        <v>45851</v>
      </c>
      <c r="C32" s="23" t="str">
        <f t="shared" si="1"/>
        <v>Jul-2025</v>
      </c>
      <c r="D32" s="2">
        <v>5</v>
      </c>
      <c r="E32" s="93">
        <f t="shared" si="2"/>
        <v>4936.7326433885128</v>
      </c>
      <c r="F32" s="104">
        <f t="shared" si="5"/>
        <v>1412.4457465873415</v>
      </c>
      <c r="G32" s="105">
        <f t="shared" si="3"/>
        <v>3524.2868968011712</v>
      </c>
      <c r="H32" s="21">
        <f t="shared" si="6"/>
        <v>86959.078067007256</v>
      </c>
      <c r="J32" s="34"/>
      <c r="K32" s="35" t="s">
        <v>60</v>
      </c>
      <c r="L32" s="35"/>
      <c r="M32" s="35"/>
      <c r="N32" s="357" t="str">
        <f>D22</f>
        <v>MADONNA LYN ORTEGA MARQUEZ</v>
      </c>
      <c r="O32" s="357"/>
      <c r="P32" s="357"/>
      <c r="Q32" s="357"/>
      <c r="R32" s="357"/>
      <c r="S32" s="357"/>
      <c r="T32" s="38"/>
      <c r="U32" s="48"/>
      <c r="W32" s="120"/>
      <c r="X32" s="454" t="s">
        <v>115</v>
      </c>
      <c r="Y32" s="454"/>
      <c r="Z32" s="454"/>
      <c r="AA32" s="454"/>
      <c r="AB32" s="454"/>
      <c r="AC32" s="454"/>
      <c r="AD32" s="454"/>
      <c r="AE32" s="454" t="s">
        <v>116</v>
      </c>
      <c r="AF32" s="454"/>
      <c r="AG32" s="454"/>
      <c r="AH32" s="454"/>
      <c r="AI32" s="454"/>
      <c r="AJ32" s="454"/>
      <c r="AK32" s="454"/>
      <c r="AL32" s="454"/>
      <c r="AM32" s="454" t="s">
        <v>117</v>
      </c>
      <c r="AN32" s="454"/>
      <c r="AO32" s="454"/>
      <c r="AP32" s="454"/>
      <c r="AQ32" s="454"/>
      <c r="AR32" s="454"/>
      <c r="AS32" s="454"/>
      <c r="AT32" s="454" t="s">
        <v>118</v>
      </c>
      <c r="AU32" s="454"/>
      <c r="AV32" s="454"/>
      <c r="AW32" s="454"/>
      <c r="AX32" s="454"/>
      <c r="AY32" s="454"/>
      <c r="AZ32" s="454"/>
      <c r="BA32" s="454"/>
      <c r="BB32" s="454"/>
      <c r="BC32" s="454"/>
      <c r="BD32" s="454"/>
      <c r="BE32" s="123"/>
    </row>
    <row r="33" spans="2:57" ht="15.6">
      <c r="B33" s="22">
        <f t="shared" si="4"/>
        <v>45882</v>
      </c>
      <c r="C33" s="23" t="str">
        <f t="shared" si="1"/>
        <v>Aug-2025</v>
      </c>
      <c r="D33" s="2">
        <v>6</v>
      </c>
      <c r="E33" s="93">
        <f t="shared" si="2"/>
        <v>4936.7326433885128</v>
      </c>
      <c r="F33" s="104">
        <f t="shared" si="5"/>
        <v>1468.7745708773959</v>
      </c>
      <c r="G33" s="105">
        <f t="shared" si="3"/>
        <v>3467.9580725111168</v>
      </c>
      <c r="H33" s="21">
        <f t="shared" si="6"/>
        <v>85490.303496129854</v>
      </c>
      <c r="J33" s="34"/>
      <c r="K33" s="35" t="s">
        <v>61</v>
      </c>
      <c r="L33" s="35"/>
      <c r="M33" s="35"/>
      <c r="N33" s="524" t="str">
        <f>D23</f>
        <v>2004-023</v>
      </c>
      <c r="O33" s="524"/>
      <c r="P33" s="524"/>
      <c r="Q33" s="524"/>
      <c r="R33" s="524"/>
      <c r="S33" s="524"/>
      <c r="T33" s="38"/>
      <c r="U33" s="48"/>
      <c r="W33" s="120"/>
      <c r="X33" s="129"/>
      <c r="Y33" s="454" t="s">
        <v>119</v>
      </c>
      <c r="Z33" s="454"/>
      <c r="AA33" s="454"/>
      <c r="AB33" s="454"/>
      <c r="AC33" s="454"/>
      <c r="AD33" s="454"/>
      <c r="AE33" s="129"/>
      <c r="AF33" s="454" t="s">
        <v>120</v>
      </c>
      <c r="AG33" s="454"/>
      <c r="AH33" s="454"/>
      <c r="AI33" s="454"/>
      <c r="AJ33" s="454"/>
      <c r="AK33" s="454"/>
      <c r="AL33" s="454"/>
      <c r="AM33" s="129"/>
      <c r="AN33" s="123" t="s">
        <v>83</v>
      </c>
      <c r="AO33" s="120"/>
      <c r="AP33" s="120"/>
      <c r="AQ33" s="120"/>
      <c r="AR33" s="120"/>
      <c r="AS33" s="120"/>
      <c r="AT33" s="129"/>
      <c r="AU33" s="454" t="s">
        <v>121</v>
      </c>
      <c r="AV33" s="454"/>
      <c r="AW33" s="454"/>
      <c r="AX33" s="454"/>
      <c r="AY33" s="454"/>
      <c r="AZ33" s="454"/>
      <c r="BA33" s="454"/>
      <c r="BB33" s="454"/>
      <c r="BC33" s="454"/>
      <c r="BD33" s="454"/>
      <c r="BE33" s="120"/>
    </row>
    <row r="34" spans="2:57" ht="15.6">
      <c r="B34" s="22">
        <f t="shared" si="4"/>
        <v>45913</v>
      </c>
      <c r="C34" s="23" t="str">
        <f t="shared" si="1"/>
        <v>Sep-2025</v>
      </c>
      <c r="D34" s="2">
        <v>7</v>
      </c>
      <c r="E34" s="93">
        <f t="shared" si="2"/>
        <v>4936.7326433885128</v>
      </c>
      <c r="F34" s="104">
        <f t="shared" si="5"/>
        <v>1527.3498081384023</v>
      </c>
      <c r="G34" s="105">
        <f t="shared" si="3"/>
        <v>3409.3828352501105</v>
      </c>
      <c r="H34" s="21">
        <f t="shared" si="6"/>
        <v>83962.953687991452</v>
      </c>
      <c r="J34" s="34"/>
      <c r="K34" s="35" t="s">
        <v>42</v>
      </c>
      <c r="L34" s="35"/>
      <c r="M34" s="35"/>
      <c r="N34" s="510" t="str">
        <f>F23</f>
        <v>BLK 1 LOT 8 JOSHUA ST., BEYOND HOMES BRGY  SAN FRANCISCO, GENERAL TRIAS, CAVITE</v>
      </c>
      <c r="O34" s="511"/>
      <c r="P34" s="511"/>
      <c r="Q34" s="511"/>
      <c r="R34" s="511"/>
      <c r="S34" s="511"/>
      <c r="T34" s="38"/>
      <c r="U34" s="48"/>
      <c r="W34" s="120"/>
      <c r="X34" s="129"/>
      <c r="Y34" s="454" t="s">
        <v>122</v>
      </c>
      <c r="Z34" s="454"/>
      <c r="AA34" s="454"/>
      <c r="AB34" s="454"/>
      <c r="AC34" s="454"/>
      <c r="AD34" s="454"/>
      <c r="AE34" s="129"/>
      <c r="AF34" s="454" t="s">
        <v>123</v>
      </c>
      <c r="AG34" s="454"/>
      <c r="AH34" s="454"/>
      <c r="AI34" s="454"/>
      <c r="AJ34" s="454"/>
      <c r="AK34" s="454"/>
      <c r="AL34" s="454"/>
      <c r="AM34" s="129"/>
      <c r="AN34" s="123" t="s">
        <v>84</v>
      </c>
      <c r="AO34" s="120"/>
      <c r="AP34" s="120"/>
      <c r="AQ34" s="120"/>
      <c r="AR34" s="120"/>
      <c r="AS34" s="120"/>
      <c r="AT34" s="129"/>
      <c r="AU34" s="454" t="s">
        <v>124</v>
      </c>
      <c r="AV34" s="454"/>
      <c r="AW34" s="454"/>
      <c r="AX34" s="454"/>
      <c r="AY34" s="454"/>
      <c r="AZ34" s="454"/>
      <c r="BA34" s="454"/>
      <c r="BB34" s="454"/>
      <c r="BC34" s="454"/>
      <c r="BD34" s="454"/>
      <c r="BE34" s="120"/>
    </row>
    <row r="35" spans="2:57" ht="16.2" thickBot="1">
      <c r="B35" s="22">
        <f t="shared" si="4"/>
        <v>45943</v>
      </c>
      <c r="C35" s="23" t="str">
        <f t="shared" si="1"/>
        <v>Oct-2025</v>
      </c>
      <c r="D35" s="2">
        <v>8</v>
      </c>
      <c r="E35" s="93">
        <f t="shared" si="2"/>
        <v>4936.7326433885128</v>
      </c>
      <c r="F35" s="104">
        <f t="shared" si="5"/>
        <v>1588.2610460956444</v>
      </c>
      <c r="G35" s="105">
        <f t="shared" si="3"/>
        <v>3348.4715972928684</v>
      </c>
      <c r="H35" s="21">
        <f t="shared" si="6"/>
        <v>82374.692641895803</v>
      </c>
      <c r="J35" s="29"/>
      <c r="K35" s="33"/>
      <c r="L35" s="33"/>
      <c r="M35" s="33"/>
      <c r="N35" s="36"/>
      <c r="O35" s="38"/>
      <c r="P35" s="38"/>
      <c r="Q35" s="30"/>
      <c r="R35" s="30"/>
      <c r="S35" s="30"/>
      <c r="T35" s="30"/>
      <c r="U35" s="46"/>
      <c r="W35" s="120"/>
      <c r="X35" s="129"/>
      <c r="Y35" s="454" t="s">
        <v>125</v>
      </c>
      <c r="Z35" s="454"/>
      <c r="AA35" s="454"/>
      <c r="AB35" s="454"/>
      <c r="AC35" s="454"/>
      <c r="AD35" s="454"/>
      <c r="AE35" s="129"/>
      <c r="AF35" s="454" t="s">
        <v>126</v>
      </c>
      <c r="AG35" s="454"/>
      <c r="AH35" s="454"/>
      <c r="AI35" s="454"/>
      <c r="AJ35" s="454"/>
      <c r="AK35" s="454"/>
      <c r="AL35" s="454"/>
      <c r="AM35" s="129"/>
      <c r="AN35" s="123" t="s">
        <v>85</v>
      </c>
      <c r="AO35" s="120"/>
      <c r="AP35" s="120"/>
      <c r="AQ35" s="120"/>
      <c r="AR35" s="120"/>
      <c r="AS35" s="120"/>
      <c r="AT35" s="129"/>
      <c r="AU35" s="123" t="s">
        <v>127</v>
      </c>
      <c r="AV35" s="123"/>
      <c r="AW35" s="507"/>
      <c r="AX35" s="507"/>
      <c r="AY35" s="507"/>
      <c r="AZ35" s="507"/>
      <c r="BA35" s="507"/>
      <c r="BB35" s="123"/>
      <c r="BC35" s="123"/>
      <c r="BD35" s="123"/>
      <c r="BE35" s="120"/>
    </row>
    <row r="36" spans="2:57" ht="15.6">
      <c r="B36" s="22">
        <f t="shared" si="4"/>
        <v>45974</v>
      </c>
      <c r="C36" s="23" t="str">
        <f t="shared" si="1"/>
        <v>Nov-2025</v>
      </c>
      <c r="D36" s="2">
        <v>9</v>
      </c>
      <c r="E36" s="93">
        <f t="shared" si="2"/>
        <v>4936.7326433885128</v>
      </c>
      <c r="F36" s="104">
        <f t="shared" si="5"/>
        <v>1651.6014452638383</v>
      </c>
      <c r="G36" s="105">
        <f t="shared" si="3"/>
        <v>3285.1311981246745</v>
      </c>
      <c r="H36" s="21">
        <f t="shared" si="6"/>
        <v>80723.091196631969</v>
      </c>
      <c r="J36" s="29"/>
      <c r="K36" s="33"/>
      <c r="L36" s="35" t="s">
        <v>62</v>
      </c>
      <c r="M36" s="33"/>
      <c r="N36" s="33"/>
      <c r="O36" s="31"/>
      <c r="P36" s="33"/>
      <c r="Q36" s="49"/>
      <c r="R36" s="331">
        <f>C4</f>
        <v>109021.86666666667</v>
      </c>
      <c r="S36" s="331"/>
      <c r="T36" s="331"/>
      <c r="U36" s="46"/>
      <c r="W36" s="120"/>
      <c r="X36" s="129"/>
      <c r="Y36" s="454" t="s">
        <v>128</v>
      </c>
      <c r="Z36" s="454"/>
      <c r="AA36" s="454"/>
      <c r="AB36" s="454"/>
      <c r="AC36" s="454"/>
      <c r="AD36" s="454"/>
      <c r="AE36" s="129"/>
      <c r="AF36" s="454" t="s">
        <v>129</v>
      </c>
      <c r="AG36" s="454"/>
      <c r="AH36" s="454"/>
      <c r="AI36" s="454"/>
      <c r="AJ36" s="454"/>
      <c r="AK36" s="454"/>
      <c r="AL36" s="454"/>
      <c r="AM36" s="129"/>
      <c r="AN36" s="123" t="s">
        <v>86</v>
      </c>
      <c r="AO36" s="120"/>
      <c r="AP36" s="120"/>
      <c r="AQ36" s="120"/>
      <c r="AR36" s="120"/>
      <c r="AS36" s="120"/>
      <c r="AT36" s="120"/>
      <c r="AU36" s="120"/>
      <c r="AV36" s="120"/>
      <c r="AW36" s="120"/>
      <c r="AX36" s="120"/>
      <c r="AY36" s="120"/>
      <c r="AZ36" s="120"/>
      <c r="BA36" s="120"/>
      <c r="BB36" s="120"/>
      <c r="BC36" s="120"/>
      <c r="BD36" s="120"/>
      <c r="BE36" s="120"/>
    </row>
    <row r="37" spans="2:57" ht="15.6">
      <c r="B37" s="22">
        <f t="shared" si="4"/>
        <v>46004</v>
      </c>
      <c r="C37" s="23" t="str">
        <f t="shared" si="1"/>
        <v>Dec-2025</v>
      </c>
      <c r="D37" s="2">
        <v>10</v>
      </c>
      <c r="E37" s="93">
        <f t="shared" si="2"/>
        <v>4936.7326433885128</v>
      </c>
      <c r="F37" s="104">
        <f t="shared" si="5"/>
        <v>1717.4678814312065</v>
      </c>
      <c r="G37" s="105">
        <f t="shared" si="3"/>
        <v>3219.2647619573063</v>
      </c>
      <c r="H37" s="21">
        <f t="shared" si="6"/>
        <v>79005.623315200763</v>
      </c>
      <c r="J37" s="29"/>
      <c r="K37" s="33"/>
      <c r="L37" s="35"/>
      <c r="M37" s="33"/>
      <c r="N37" s="33"/>
      <c r="O37" s="31"/>
      <c r="P37" s="33"/>
      <c r="Q37" s="49"/>
      <c r="R37" s="333"/>
      <c r="S37" s="333"/>
      <c r="T37" s="333"/>
      <c r="U37" s="46"/>
      <c r="W37" s="120"/>
      <c r="X37" s="129"/>
      <c r="Y37" s="454" t="s">
        <v>130</v>
      </c>
      <c r="Z37" s="454"/>
      <c r="AA37" s="454"/>
      <c r="AB37" s="454"/>
      <c r="AC37" s="454"/>
      <c r="AD37" s="454"/>
      <c r="AE37" s="129"/>
      <c r="AF37" s="454" t="s">
        <v>131</v>
      </c>
      <c r="AG37" s="454"/>
      <c r="AH37" s="454"/>
      <c r="AI37" s="454"/>
      <c r="AJ37" s="454"/>
      <c r="AK37" s="454"/>
      <c r="AL37" s="454"/>
      <c r="AM37" s="129"/>
      <c r="AN37" s="123" t="s">
        <v>87</v>
      </c>
      <c r="AO37" s="120"/>
      <c r="AP37" s="120"/>
      <c r="AQ37" s="120"/>
      <c r="AR37" s="120"/>
      <c r="AS37" s="120"/>
      <c r="AT37" s="120"/>
      <c r="AU37" s="120"/>
      <c r="AV37" s="120"/>
      <c r="AW37" s="120"/>
      <c r="AX37" s="120"/>
      <c r="AY37" s="120"/>
      <c r="AZ37" s="120"/>
      <c r="BA37" s="120"/>
      <c r="BB37" s="120"/>
      <c r="BC37" s="120"/>
      <c r="BD37" s="120"/>
      <c r="BE37" s="120"/>
    </row>
    <row r="38" spans="2:57" ht="16.2" thickBot="1">
      <c r="B38" s="22">
        <f t="shared" si="4"/>
        <v>46035</v>
      </c>
      <c r="C38" s="23" t="str">
        <f t="shared" si="1"/>
        <v>Jan-2026</v>
      </c>
      <c r="D38" s="2">
        <v>11</v>
      </c>
      <c r="E38" s="93">
        <f t="shared" si="2"/>
        <v>4936.7326433885128</v>
      </c>
      <c r="F38" s="104">
        <f t="shared" si="5"/>
        <v>1785.9610938258734</v>
      </c>
      <c r="G38" s="105">
        <f t="shared" si="3"/>
        <v>3150.7715495626394</v>
      </c>
      <c r="H38" s="21">
        <f t="shared" si="6"/>
        <v>77219.662221374892</v>
      </c>
      <c r="J38" s="39"/>
      <c r="K38" s="40"/>
      <c r="L38" s="41" t="s">
        <v>63</v>
      </c>
      <c r="M38" s="40" t="s">
        <v>64</v>
      </c>
      <c r="N38" s="40"/>
      <c r="O38" s="42"/>
      <c r="P38" s="40"/>
      <c r="Q38" s="36"/>
      <c r="R38" s="331">
        <f>-C14</f>
        <v>0</v>
      </c>
      <c r="S38" s="331"/>
      <c r="T38" s="331"/>
      <c r="U38" s="37"/>
      <c r="W38" s="120"/>
      <c r="X38" s="410"/>
      <c r="Y38" s="410"/>
      <c r="Z38" s="410"/>
      <c r="AA38" s="410"/>
      <c r="AB38" s="410"/>
      <c r="AC38" s="410"/>
      <c r="AD38" s="410"/>
      <c r="AE38" s="131"/>
      <c r="AF38" s="123" t="s">
        <v>132</v>
      </c>
      <c r="AG38" s="123"/>
      <c r="AH38" s="425"/>
      <c r="AI38" s="425"/>
      <c r="AJ38" s="425"/>
      <c r="AK38" s="425"/>
      <c r="AL38" s="506"/>
      <c r="AM38" s="131"/>
      <c r="AN38" s="123" t="s">
        <v>127</v>
      </c>
      <c r="AO38" s="120"/>
      <c r="AP38" s="508"/>
      <c r="AQ38" s="508"/>
      <c r="AR38" s="508"/>
      <c r="AS38" s="508"/>
      <c r="AT38" s="508"/>
      <c r="AU38" s="120"/>
      <c r="AV38" s="120"/>
      <c r="AW38" s="120"/>
      <c r="AX38" s="120"/>
      <c r="AY38" s="120"/>
      <c r="AZ38" s="120"/>
      <c r="BA38" s="120"/>
      <c r="BB38" s="120"/>
      <c r="BC38" s="120"/>
      <c r="BD38" s="120"/>
      <c r="BE38" s="120"/>
    </row>
    <row r="39" spans="2:57" ht="16.2" thickBot="1">
      <c r="B39" s="22">
        <f t="shared" si="4"/>
        <v>46066</v>
      </c>
      <c r="C39" s="210" t="str">
        <f t="shared" si="1"/>
        <v>Feb-2026</v>
      </c>
      <c r="D39" s="211">
        <v>12</v>
      </c>
      <c r="E39" s="212">
        <f t="shared" si="2"/>
        <v>4936.7326433885128</v>
      </c>
      <c r="F39" s="213">
        <f t="shared" si="5"/>
        <v>1857.1858391911774</v>
      </c>
      <c r="G39" s="214">
        <f t="shared" si="3"/>
        <v>3079.5468041973354</v>
      </c>
      <c r="H39" s="215">
        <f t="shared" si="6"/>
        <v>75362.476382183711</v>
      </c>
      <c r="J39" s="39"/>
      <c r="K39" s="40"/>
      <c r="L39" s="41" t="s">
        <v>63</v>
      </c>
      <c r="M39" s="40" t="s">
        <v>65</v>
      </c>
      <c r="N39" s="40"/>
      <c r="O39" s="42"/>
      <c r="P39" s="40"/>
      <c r="Q39" s="36"/>
      <c r="R39" s="331">
        <f>-C8</f>
        <v>0</v>
      </c>
      <c r="S39" s="331"/>
      <c r="T39" s="331"/>
      <c r="U39" s="37"/>
      <c r="W39" s="120"/>
      <c r="X39" s="132" t="s">
        <v>133</v>
      </c>
      <c r="Y39" s="133"/>
      <c r="Z39" s="133"/>
      <c r="AA39" s="133"/>
      <c r="AB39" s="503">
        <f>'[3]Data Entry'!E4</f>
        <v>150000</v>
      </c>
      <c r="AC39" s="503"/>
      <c r="AD39" s="503"/>
      <c r="AE39" s="503"/>
      <c r="AF39" s="503"/>
      <c r="AG39" s="503"/>
      <c r="AH39" s="504"/>
      <c r="AI39" s="504"/>
      <c r="AJ39" s="504"/>
      <c r="AK39" s="504"/>
      <c r="AL39" s="504"/>
      <c r="AM39" s="505"/>
      <c r="AN39" s="132" t="s">
        <v>134</v>
      </c>
      <c r="AO39" s="133"/>
      <c r="AP39" s="134"/>
      <c r="AQ39" s="134"/>
      <c r="AR39" s="134"/>
      <c r="AS39" s="134"/>
      <c r="AT39" s="504">
        <f>R49</f>
        <v>4936.7326433885128</v>
      </c>
      <c r="AU39" s="503"/>
      <c r="AV39" s="503"/>
      <c r="AW39" s="503"/>
      <c r="AX39" s="503"/>
      <c r="AY39" s="503"/>
      <c r="AZ39" s="503"/>
      <c r="BA39" s="503"/>
      <c r="BB39" s="503"/>
      <c r="BC39" s="503"/>
      <c r="BD39" s="505"/>
      <c r="BE39" s="120"/>
    </row>
    <row r="40" spans="2:57" ht="16.2" thickBot="1">
      <c r="B40" s="22">
        <f t="shared" si="4"/>
        <v>46094</v>
      </c>
      <c r="C40" s="210" t="str">
        <f t="shared" si="1"/>
        <v>Mar-2026</v>
      </c>
      <c r="D40" s="211">
        <v>13</v>
      </c>
      <c r="E40" s="212">
        <f t="shared" si="2"/>
        <v>4936.7326433885128</v>
      </c>
      <c r="F40" s="213">
        <f t="shared" si="5"/>
        <v>1931.2510520055716</v>
      </c>
      <c r="G40" s="214">
        <f t="shared" si="3"/>
        <v>3005.4815913829411</v>
      </c>
      <c r="H40" s="215">
        <f t="shared" si="6"/>
        <v>73431.225330178146</v>
      </c>
      <c r="J40" s="39"/>
      <c r="K40" s="40"/>
      <c r="L40" s="41" t="s">
        <v>63</v>
      </c>
      <c r="M40" s="40" t="s">
        <v>66</v>
      </c>
      <c r="N40" s="40"/>
      <c r="O40" s="42"/>
      <c r="P40" s="40"/>
      <c r="Q40" s="36"/>
      <c r="R40" s="332">
        <f>-C7</f>
        <v>-5000</v>
      </c>
      <c r="S40" s="332"/>
      <c r="T40" s="332"/>
      <c r="U40" s="37"/>
      <c r="W40" s="120"/>
      <c r="X40" s="135"/>
      <c r="Y40" s="136"/>
      <c r="Z40" s="136"/>
      <c r="AA40" s="136"/>
      <c r="AB40" s="419"/>
      <c r="AC40" s="419"/>
      <c r="AD40" s="419"/>
      <c r="AE40" s="419"/>
      <c r="AF40" s="419"/>
      <c r="AG40" s="419"/>
      <c r="AH40" s="419"/>
      <c r="AI40" s="419"/>
      <c r="AJ40" s="419"/>
      <c r="AK40" s="419"/>
      <c r="AL40" s="419"/>
      <c r="AM40" s="420"/>
      <c r="AN40" s="135"/>
      <c r="AO40" s="136"/>
      <c r="AP40" s="136"/>
      <c r="AQ40" s="136"/>
      <c r="AR40" s="136"/>
      <c r="AS40" s="136"/>
      <c r="AT40" s="419"/>
      <c r="AU40" s="419"/>
      <c r="AV40" s="419"/>
      <c r="AW40" s="419"/>
      <c r="AX40" s="419"/>
      <c r="AY40" s="419"/>
      <c r="AZ40" s="419"/>
      <c r="BA40" s="419"/>
      <c r="BB40" s="419"/>
      <c r="BC40" s="419"/>
      <c r="BD40" s="420"/>
      <c r="BE40" s="120"/>
    </row>
    <row r="41" spans="2:57" ht="16.2" thickBot="1">
      <c r="B41" s="22">
        <f t="shared" si="4"/>
        <v>46125</v>
      </c>
      <c r="C41" s="210" t="str">
        <f t="shared" si="1"/>
        <v>Apr-2026</v>
      </c>
      <c r="D41" s="211">
        <v>14</v>
      </c>
      <c r="E41" s="212">
        <f t="shared" si="2"/>
        <v>4936.7326433885128</v>
      </c>
      <c r="F41" s="213">
        <f t="shared" si="5"/>
        <v>2008.2700110921369</v>
      </c>
      <c r="G41" s="214">
        <f t="shared" si="3"/>
        <v>2928.4626322963759</v>
      </c>
      <c r="H41" s="215">
        <f t="shared" si="6"/>
        <v>71422.955319086002</v>
      </c>
      <c r="J41" s="39"/>
      <c r="K41" s="40"/>
      <c r="L41" s="41" t="s">
        <v>63</v>
      </c>
      <c r="M41" s="40" t="s">
        <v>9</v>
      </c>
      <c r="N41" s="40"/>
      <c r="O41" s="42"/>
      <c r="P41" s="40"/>
      <c r="Q41" s="36"/>
      <c r="R41" s="332">
        <f>-C5</f>
        <v>-7012.5</v>
      </c>
      <c r="S41" s="332"/>
      <c r="T41" s="332"/>
      <c r="U41" s="37"/>
      <c r="W41" s="120"/>
      <c r="X41" s="493" t="s">
        <v>135</v>
      </c>
      <c r="Y41" s="494"/>
      <c r="Z41" s="498"/>
      <c r="AA41" s="499"/>
      <c r="AB41" s="499"/>
      <c r="AC41" s="499"/>
      <c r="AD41" s="499"/>
      <c r="AE41" s="500"/>
      <c r="AF41" s="138" t="s">
        <v>136</v>
      </c>
      <c r="AG41" s="136"/>
      <c r="AH41" s="136"/>
      <c r="AI41" s="136"/>
      <c r="AJ41" s="470"/>
      <c r="AK41" s="470"/>
      <c r="AL41" s="470"/>
      <c r="AM41" s="470"/>
      <c r="AN41" s="470"/>
      <c r="AO41" s="470"/>
      <c r="AP41" s="470"/>
      <c r="AQ41" s="471"/>
      <c r="AR41" s="139" t="s">
        <v>137</v>
      </c>
      <c r="AS41" s="140"/>
      <c r="AT41" s="140"/>
      <c r="AU41" s="140"/>
      <c r="AV41" s="470"/>
      <c r="AW41" s="470"/>
      <c r="AX41" s="470"/>
      <c r="AY41" s="470"/>
      <c r="AZ41" s="470"/>
      <c r="BA41" s="470"/>
      <c r="BB41" s="470"/>
      <c r="BC41" s="470"/>
      <c r="BD41" s="471"/>
      <c r="BE41" s="120"/>
    </row>
    <row r="42" spans="2:57" ht="16.2" thickBot="1">
      <c r="B42" s="22">
        <f t="shared" si="4"/>
        <v>46155</v>
      </c>
      <c r="C42" s="210" t="str">
        <f t="shared" si="1"/>
        <v>May-2026</v>
      </c>
      <c r="D42" s="211">
        <v>15</v>
      </c>
      <c r="E42" s="212">
        <f t="shared" si="2"/>
        <v>4936.7326433885128</v>
      </c>
      <c r="F42" s="213">
        <f t="shared" si="5"/>
        <v>2088.360512872553</v>
      </c>
      <c r="G42" s="214">
        <f t="shared" si="3"/>
        <v>2848.3721305159597</v>
      </c>
      <c r="H42" s="215">
        <f t="shared" si="6"/>
        <v>69334.594806213456</v>
      </c>
      <c r="J42" s="39"/>
      <c r="K42" s="40"/>
      <c r="L42" s="41" t="s">
        <v>63</v>
      </c>
      <c r="M42" s="40" t="s">
        <v>67</v>
      </c>
      <c r="N42" s="40"/>
      <c r="O42" s="42"/>
      <c r="P42" s="40"/>
      <c r="Q42" s="36"/>
      <c r="R42" s="332">
        <f>-C6</f>
        <v>-2244</v>
      </c>
      <c r="S42" s="332"/>
      <c r="T42" s="332"/>
      <c r="U42" s="37"/>
      <c r="W42" s="120"/>
      <c r="X42" s="491" t="s">
        <v>138</v>
      </c>
      <c r="Y42" s="492"/>
      <c r="Z42" s="495"/>
      <c r="AA42" s="496"/>
      <c r="AB42" s="496"/>
      <c r="AC42" s="496"/>
      <c r="AD42" s="496"/>
      <c r="AE42" s="497"/>
      <c r="AF42" s="142"/>
      <c r="AG42" s="141" t="s">
        <v>139</v>
      </c>
      <c r="AH42" s="143"/>
      <c r="AI42" s="143"/>
      <c r="AJ42" s="143"/>
      <c r="AK42" s="143"/>
      <c r="AL42" s="143"/>
      <c r="AM42" s="143"/>
      <c r="AN42" s="143"/>
      <c r="AO42" s="143"/>
      <c r="AP42" s="143"/>
      <c r="AQ42" s="144"/>
      <c r="AR42" s="145"/>
      <c r="AS42" s="491" t="s">
        <v>140</v>
      </c>
      <c r="AT42" s="501"/>
      <c r="AU42" s="501"/>
      <c r="AV42" s="143"/>
      <c r="AW42" s="143"/>
      <c r="AX42" s="143"/>
      <c r="AY42" s="143"/>
      <c r="AZ42" s="143"/>
      <c r="BA42" s="143"/>
      <c r="BB42" s="143"/>
      <c r="BC42" s="143"/>
      <c r="BD42" s="144"/>
      <c r="BE42" s="120"/>
    </row>
    <row r="43" spans="2:57" ht="16.2" thickBot="1">
      <c r="B43" s="22">
        <f t="shared" si="4"/>
        <v>46186</v>
      </c>
      <c r="C43" s="210" t="str">
        <f t="shared" si="1"/>
        <v>Jun-2026</v>
      </c>
      <c r="D43" s="211">
        <v>16</v>
      </c>
      <c r="E43" s="212">
        <f t="shared" si="2"/>
        <v>4936.7326433885128</v>
      </c>
      <c r="F43" s="213">
        <f t="shared" si="5"/>
        <v>2171.645051530485</v>
      </c>
      <c r="G43" s="214">
        <f t="shared" si="3"/>
        <v>2765.0875918580277</v>
      </c>
      <c r="H43" s="215">
        <f t="shared" si="6"/>
        <v>67162.949754682966</v>
      </c>
      <c r="J43" s="16"/>
      <c r="L43" s="41" t="s">
        <v>63</v>
      </c>
      <c r="M43" s="40" t="s">
        <v>13</v>
      </c>
      <c r="R43" s="332">
        <f>-C9</f>
        <v>-1265.3666666666666</v>
      </c>
      <c r="S43" s="332"/>
      <c r="T43" s="332"/>
      <c r="U43" s="216"/>
      <c r="W43" s="120"/>
      <c r="X43" s="493"/>
      <c r="Y43" s="494"/>
      <c r="Z43" s="498"/>
      <c r="AA43" s="499"/>
      <c r="AB43" s="499"/>
      <c r="AC43" s="499"/>
      <c r="AD43" s="499"/>
      <c r="AE43" s="500"/>
      <c r="AF43" s="129"/>
      <c r="AG43" s="137" t="s">
        <v>141</v>
      </c>
      <c r="AH43" s="146"/>
      <c r="AI43" s="146"/>
      <c r="AJ43" s="146"/>
      <c r="AK43" s="146"/>
      <c r="AL43" s="146"/>
      <c r="AM43" s="146"/>
      <c r="AN43" s="146"/>
      <c r="AO43" s="146"/>
      <c r="AP43" s="146"/>
      <c r="AQ43" s="147"/>
      <c r="AR43" s="129"/>
      <c r="AS43" s="493" t="s">
        <v>142</v>
      </c>
      <c r="AT43" s="502"/>
      <c r="AU43" s="502"/>
      <c r="AV43" s="146"/>
      <c r="AW43" s="146"/>
      <c r="AX43" s="146"/>
      <c r="AY43" s="146"/>
      <c r="AZ43" s="146"/>
      <c r="BA43" s="146"/>
      <c r="BB43" s="146"/>
      <c r="BC43" s="146"/>
      <c r="BD43" s="147"/>
      <c r="BE43" s="120"/>
    </row>
    <row r="44" spans="2:57" ht="16.2" thickBot="1">
      <c r="B44" s="22">
        <f t="shared" si="4"/>
        <v>46216</v>
      </c>
      <c r="C44" s="210" t="str">
        <f t="shared" si="1"/>
        <v>Jul-2026</v>
      </c>
      <c r="D44" s="211">
        <v>17</v>
      </c>
      <c r="E44" s="212">
        <f t="shared" si="2"/>
        <v>4936.7326433885128</v>
      </c>
      <c r="F44" s="213">
        <f t="shared" si="5"/>
        <v>2258.2510063599598</v>
      </c>
      <c r="G44" s="214">
        <f t="shared" si="3"/>
        <v>2678.481637028553</v>
      </c>
      <c r="H44" s="215">
        <f t="shared" si="6"/>
        <v>64904.698748323004</v>
      </c>
      <c r="J44" s="29"/>
      <c r="K44" s="33"/>
      <c r="L44" s="35" t="s">
        <v>68</v>
      </c>
      <c r="M44" s="33"/>
      <c r="N44" s="33"/>
      <c r="O44" s="31"/>
      <c r="P44" s="33"/>
      <c r="Q44" s="30"/>
      <c r="R44" s="331">
        <f>SUM(R36:T43)</f>
        <v>93500</v>
      </c>
      <c r="S44" s="331"/>
      <c r="T44" s="331"/>
      <c r="U44" s="46"/>
      <c r="W44" s="120"/>
      <c r="X44" s="486" t="s">
        <v>143</v>
      </c>
      <c r="Y44" s="487"/>
      <c r="Z44" s="487"/>
      <c r="AA44" s="487"/>
      <c r="AB44" s="487"/>
      <c r="AC44" s="487"/>
      <c r="AD44" s="487"/>
      <c r="AE44" s="487"/>
      <c r="AF44" s="487"/>
      <c r="AG44" s="487"/>
      <c r="AH44" s="487"/>
      <c r="AI44" s="487"/>
      <c r="AJ44" s="487"/>
      <c r="AK44" s="487"/>
      <c r="AL44" s="487"/>
      <c r="AM44" s="487"/>
      <c r="AN44" s="487"/>
      <c r="AO44" s="487"/>
      <c r="AP44" s="487"/>
      <c r="AQ44" s="487"/>
      <c r="AR44" s="487"/>
      <c r="AS44" s="487"/>
      <c r="AT44" s="487"/>
      <c r="AU44" s="487"/>
      <c r="AV44" s="487"/>
      <c r="AW44" s="487"/>
      <c r="AX44" s="487"/>
      <c r="AY44" s="487"/>
      <c r="AZ44" s="487"/>
      <c r="BA44" s="487"/>
      <c r="BB44" s="487"/>
      <c r="BC44" s="487"/>
      <c r="BD44" s="488"/>
      <c r="BE44" s="120"/>
    </row>
    <row r="45" spans="2:57" ht="16.2" thickBot="1">
      <c r="B45" s="22">
        <f t="shared" si="4"/>
        <v>46247</v>
      </c>
      <c r="C45" s="210" t="str">
        <f t="shared" si="1"/>
        <v>Aug-2026</v>
      </c>
      <c r="D45" s="211">
        <v>18</v>
      </c>
      <c r="E45" s="212">
        <f t="shared" si="2"/>
        <v>4936.7326433885128</v>
      </c>
      <c r="F45" s="213">
        <f t="shared" si="5"/>
        <v>2348.3108365852495</v>
      </c>
      <c r="G45" s="214">
        <f t="shared" si="3"/>
        <v>2588.4218068032633</v>
      </c>
      <c r="H45" s="215">
        <f t="shared" si="6"/>
        <v>62556.387911737751</v>
      </c>
      <c r="J45" s="29"/>
      <c r="K45" s="30"/>
      <c r="L45" s="30"/>
      <c r="M45" s="30"/>
      <c r="N45" s="30"/>
      <c r="O45" s="32"/>
      <c r="P45" s="30"/>
      <c r="Q45" s="30"/>
      <c r="R45" s="30"/>
      <c r="S45" s="30"/>
      <c r="T45" s="30"/>
      <c r="U45" s="46"/>
      <c r="W45" s="120"/>
      <c r="X45" s="489" t="s">
        <v>260</v>
      </c>
      <c r="Y45" s="489"/>
      <c r="Z45" s="489"/>
      <c r="AA45" s="489"/>
      <c r="AB45" s="489"/>
      <c r="AC45" s="489"/>
      <c r="AD45" s="489" t="s">
        <v>261</v>
      </c>
      <c r="AE45" s="489"/>
      <c r="AF45" s="489"/>
      <c r="AG45" s="489"/>
      <c r="AH45" s="489"/>
      <c r="AI45" s="489"/>
      <c r="AJ45" s="489"/>
      <c r="AK45" s="489"/>
      <c r="AL45" s="489"/>
      <c r="AM45" s="489"/>
      <c r="AN45" s="489" t="s">
        <v>262</v>
      </c>
      <c r="AO45" s="489"/>
      <c r="AP45" s="489"/>
      <c r="AQ45" s="489"/>
      <c r="AR45" s="489"/>
      <c r="AS45" s="489"/>
      <c r="AT45" s="489"/>
      <c r="AU45" s="489"/>
      <c r="AV45" s="489"/>
      <c r="AW45" s="489"/>
      <c r="AX45" s="489"/>
      <c r="AY45" s="489"/>
      <c r="AZ45" s="490"/>
      <c r="BA45" s="490"/>
      <c r="BB45" s="134"/>
      <c r="BC45" s="134"/>
      <c r="BD45" s="134"/>
      <c r="BE45" s="120"/>
    </row>
    <row r="46" spans="2:57" ht="16.2" thickBot="1">
      <c r="B46" s="22">
        <f t="shared" si="4"/>
        <v>46278</v>
      </c>
      <c r="C46" s="210" t="str">
        <f t="shared" si="1"/>
        <v>Sep-2026</v>
      </c>
      <c r="D46" s="211">
        <v>19</v>
      </c>
      <c r="E46" s="212">
        <f t="shared" si="2"/>
        <v>4936.7326433885128</v>
      </c>
      <c r="F46" s="213">
        <f t="shared" si="5"/>
        <v>2441.9622839502485</v>
      </c>
      <c r="G46" s="214">
        <f t="shared" si="3"/>
        <v>2494.7703594382642</v>
      </c>
      <c r="H46" s="215">
        <f t="shared" si="6"/>
        <v>60114.425627787503</v>
      </c>
      <c r="J46" s="29"/>
      <c r="K46" s="190" t="s">
        <v>69</v>
      </c>
      <c r="L46" s="190"/>
      <c r="M46" s="190"/>
      <c r="N46" s="190"/>
      <c r="O46" s="190"/>
      <c r="P46" s="190"/>
      <c r="Q46" s="190"/>
      <c r="R46" s="190"/>
      <c r="S46" s="190"/>
      <c r="T46" s="190"/>
      <c r="U46" s="46"/>
      <c r="W46" s="120"/>
      <c r="X46" s="123" t="s">
        <v>144</v>
      </c>
      <c r="Y46" s="128"/>
      <c r="Z46" s="128"/>
      <c r="AA46" s="123"/>
      <c r="AB46" s="123"/>
      <c r="AC46" s="123"/>
      <c r="AD46" s="123" t="s">
        <v>145</v>
      </c>
      <c r="AE46" s="123"/>
      <c r="AF46" s="123"/>
      <c r="AG46" s="123"/>
      <c r="AH46" s="123"/>
      <c r="AI46" s="123"/>
      <c r="AJ46" s="123"/>
      <c r="AK46" s="123"/>
      <c r="AL46" s="120"/>
      <c r="AM46" s="123"/>
      <c r="AN46" s="123" t="s">
        <v>146</v>
      </c>
      <c r="AO46" s="123"/>
      <c r="AP46" s="123"/>
      <c r="AQ46" s="123"/>
      <c r="AR46" s="123"/>
      <c r="AS46" s="120"/>
      <c r="AT46" s="123"/>
      <c r="AU46" s="123"/>
      <c r="AV46" s="123"/>
      <c r="AW46" s="123"/>
      <c r="AX46" s="120"/>
      <c r="AY46" s="123"/>
      <c r="AZ46" s="123" t="s">
        <v>147</v>
      </c>
      <c r="BA46" s="123"/>
      <c r="BB46" s="148"/>
      <c r="BC46" s="149"/>
      <c r="BD46" s="149"/>
      <c r="BE46" s="120"/>
    </row>
    <row r="47" spans="2:57" ht="16.2" thickBot="1">
      <c r="B47" s="22">
        <f t="shared" si="4"/>
        <v>46308</v>
      </c>
      <c r="C47" s="210" t="str">
        <f t="shared" si="1"/>
        <v>Oct-2026</v>
      </c>
      <c r="D47" s="211">
        <v>20</v>
      </c>
      <c r="E47" s="212">
        <f t="shared" si="2"/>
        <v>4936.7326433885128</v>
      </c>
      <c r="F47" s="213">
        <f t="shared" si="5"/>
        <v>2539.3485833871782</v>
      </c>
      <c r="G47" s="214">
        <f t="shared" si="3"/>
        <v>2397.3840600013345</v>
      </c>
      <c r="H47" s="215">
        <f t="shared" si="6"/>
        <v>57575.077044400328</v>
      </c>
      <c r="J47" s="29"/>
      <c r="K47" s="30"/>
      <c r="L47" s="30"/>
      <c r="M47" s="30"/>
      <c r="N47" s="30"/>
      <c r="O47" s="32"/>
      <c r="P47" s="30"/>
      <c r="Q47" s="30"/>
      <c r="R47" s="30"/>
      <c r="S47" s="30"/>
      <c r="T47" s="30"/>
      <c r="U47" s="46"/>
      <c r="W47" s="120"/>
      <c r="X47" s="473" t="s">
        <v>148</v>
      </c>
      <c r="Y47" s="474"/>
      <c r="Z47" s="474"/>
      <c r="AA47" s="474"/>
      <c r="AB47" s="474"/>
      <c r="AC47" s="475"/>
      <c r="AD47" s="473" t="s">
        <v>61</v>
      </c>
      <c r="AE47" s="474"/>
      <c r="AF47" s="474"/>
      <c r="AG47" s="474"/>
      <c r="AH47" s="475"/>
      <c r="AI47" s="473" t="s">
        <v>149</v>
      </c>
      <c r="AJ47" s="474"/>
      <c r="AK47" s="474"/>
      <c r="AL47" s="474"/>
      <c r="AM47" s="474"/>
      <c r="AN47" s="475"/>
      <c r="AO47" s="476" t="s">
        <v>150</v>
      </c>
      <c r="AP47" s="477"/>
      <c r="AQ47" s="477"/>
      <c r="AR47" s="477"/>
      <c r="AS47" s="477"/>
      <c r="AT47" s="477"/>
      <c r="AU47" s="477"/>
      <c r="AV47" s="477"/>
      <c r="AW47" s="476" t="s">
        <v>151</v>
      </c>
      <c r="AX47" s="477"/>
      <c r="AY47" s="477"/>
      <c r="AZ47" s="477"/>
      <c r="BA47" s="477"/>
      <c r="BB47" s="477"/>
      <c r="BC47" s="477"/>
      <c r="BD47" s="478"/>
      <c r="BE47" s="120"/>
    </row>
    <row r="48" spans="2:57" ht="16.2" thickBot="1">
      <c r="B48" s="22">
        <f t="shared" si="4"/>
        <v>46339</v>
      </c>
      <c r="C48" s="210" t="str">
        <f t="shared" si="1"/>
        <v>Nov-2026</v>
      </c>
      <c r="D48" s="211">
        <v>21</v>
      </c>
      <c r="E48" s="212">
        <f t="shared" si="2"/>
        <v>4936.7326433885128</v>
      </c>
      <c r="F48" s="213">
        <f t="shared" si="5"/>
        <v>2640.6186820868379</v>
      </c>
      <c r="G48" s="214">
        <f t="shared" si="3"/>
        <v>2296.1139613016749</v>
      </c>
      <c r="H48" s="215">
        <f t="shared" si="6"/>
        <v>54934.458362313489</v>
      </c>
      <c r="J48" s="29"/>
      <c r="K48" s="30"/>
      <c r="L48" s="40" t="s">
        <v>263</v>
      </c>
      <c r="M48" s="40"/>
      <c r="N48" s="40"/>
      <c r="O48" s="40"/>
      <c r="P48" s="40"/>
      <c r="Q48" s="40"/>
      <c r="R48" s="479">
        <f>E25</f>
        <v>36</v>
      </c>
      <c r="S48" s="479"/>
      <c r="T48" s="217" t="s">
        <v>264</v>
      </c>
      <c r="U48" s="46"/>
      <c r="W48" s="120"/>
      <c r="X48" s="480" t="s">
        <v>265</v>
      </c>
      <c r="Y48" s="481"/>
      <c r="Z48" s="481"/>
      <c r="AA48" s="481"/>
      <c r="AB48" s="481"/>
      <c r="AC48" s="482"/>
      <c r="AD48" s="523" t="s">
        <v>152</v>
      </c>
      <c r="AE48" s="484"/>
      <c r="AF48" s="484"/>
      <c r="AG48" s="484"/>
      <c r="AH48" s="485"/>
      <c r="AI48" s="480" t="s">
        <v>266</v>
      </c>
      <c r="AJ48" s="481"/>
      <c r="AK48" s="481"/>
      <c r="AL48" s="481"/>
      <c r="AM48" s="481"/>
      <c r="AN48" s="482"/>
      <c r="AO48" s="124">
        <v>0</v>
      </c>
      <c r="AP48" s="125">
        <v>7</v>
      </c>
      <c r="AQ48" s="125">
        <v>1</v>
      </c>
      <c r="AR48" s="125">
        <v>9</v>
      </c>
      <c r="AS48" s="125">
        <v>2</v>
      </c>
      <c r="AT48" s="125">
        <v>0</v>
      </c>
      <c r="AU48" s="125">
        <v>0</v>
      </c>
      <c r="AV48" s="126">
        <v>4</v>
      </c>
      <c r="AW48" s="124">
        <v>1</v>
      </c>
      <c r="AX48" s="125">
        <v>0</v>
      </c>
      <c r="AY48" s="125">
        <v>0</v>
      </c>
      <c r="AZ48" s="125">
        <v>1</v>
      </c>
      <c r="BA48" s="125">
        <v>2</v>
      </c>
      <c r="BB48" s="125">
        <v>0</v>
      </c>
      <c r="BC48" s="125">
        <v>4</v>
      </c>
      <c r="BD48" s="126">
        <v>6</v>
      </c>
      <c r="BE48" s="120"/>
    </row>
    <row r="49" spans="2:57" ht="16.2" thickBot="1">
      <c r="B49" s="22">
        <f t="shared" si="4"/>
        <v>46369</v>
      </c>
      <c r="C49" s="210" t="str">
        <f t="shared" si="1"/>
        <v>Dec-2026</v>
      </c>
      <c r="D49" s="211">
        <v>22</v>
      </c>
      <c r="E49" s="212">
        <f t="shared" si="2"/>
        <v>4936.7326433885128</v>
      </c>
      <c r="F49" s="213">
        <f t="shared" si="5"/>
        <v>2745.927467305447</v>
      </c>
      <c r="G49" s="214">
        <f t="shared" si="3"/>
        <v>2190.8051760830658</v>
      </c>
      <c r="H49" s="215">
        <f t="shared" si="6"/>
        <v>52188.530895008043</v>
      </c>
      <c r="J49" s="29"/>
      <c r="K49" s="30"/>
      <c r="L49" s="40" t="s">
        <v>267</v>
      </c>
      <c r="M49" s="40"/>
      <c r="N49" s="40"/>
      <c r="O49" s="40"/>
      <c r="P49" s="40"/>
      <c r="Q49" s="40"/>
      <c r="R49" s="330">
        <f>C1</f>
        <v>4936.7326433885128</v>
      </c>
      <c r="S49" s="330"/>
      <c r="T49" s="330"/>
      <c r="U49" s="46"/>
      <c r="W49" s="120"/>
      <c r="X49" s="120"/>
      <c r="Y49" s="120"/>
      <c r="Z49" s="120"/>
      <c r="AA49" s="120"/>
      <c r="AB49" s="120"/>
      <c r="AC49" s="120"/>
      <c r="AD49" s="120"/>
      <c r="AE49" s="120"/>
      <c r="AF49" s="120"/>
      <c r="AG49" s="120"/>
      <c r="AH49" s="120"/>
      <c r="AI49" s="120"/>
      <c r="AJ49" s="120"/>
      <c r="AK49" s="120"/>
      <c r="AL49" s="120"/>
      <c r="AM49" s="120"/>
      <c r="AN49" s="120"/>
      <c r="AO49" s="150" t="s">
        <v>112</v>
      </c>
      <c r="AP49" s="150" t="s">
        <v>112</v>
      </c>
      <c r="AQ49" s="150" t="s">
        <v>113</v>
      </c>
      <c r="AR49" s="150" t="s">
        <v>113</v>
      </c>
      <c r="AS49" s="150" t="s">
        <v>114</v>
      </c>
      <c r="AT49" s="150" t="s">
        <v>114</v>
      </c>
      <c r="AU49" s="150" t="s">
        <v>114</v>
      </c>
      <c r="AV49" s="150" t="s">
        <v>114</v>
      </c>
      <c r="AW49" s="150" t="s">
        <v>112</v>
      </c>
      <c r="AX49" s="150" t="s">
        <v>112</v>
      </c>
      <c r="AY49" s="150" t="s">
        <v>113</v>
      </c>
      <c r="AZ49" s="150" t="s">
        <v>113</v>
      </c>
      <c r="BA49" s="150" t="s">
        <v>114</v>
      </c>
      <c r="BB49" s="150" t="s">
        <v>114</v>
      </c>
      <c r="BC49" s="150" t="s">
        <v>114</v>
      </c>
      <c r="BD49" s="150" t="s">
        <v>114</v>
      </c>
      <c r="BE49" s="120"/>
    </row>
    <row r="50" spans="2:57" ht="16.2" thickBot="1">
      <c r="B50" s="22">
        <f t="shared" si="4"/>
        <v>46400</v>
      </c>
      <c r="C50" s="210" t="str">
        <f t="shared" si="1"/>
        <v>Jan-2027</v>
      </c>
      <c r="D50" s="211">
        <v>23</v>
      </c>
      <c r="E50" s="212">
        <f t="shared" si="2"/>
        <v>4936.7326433885128</v>
      </c>
      <c r="F50" s="213">
        <f t="shared" si="5"/>
        <v>2855.4360032565073</v>
      </c>
      <c r="G50" s="214">
        <f t="shared" si="3"/>
        <v>2081.2966401320055</v>
      </c>
      <c r="H50" s="215">
        <f t="shared" si="6"/>
        <v>49333.094891751534</v>
      </c>
      <c r="J50" s="29"/>
      <c r="K50" s="30"/>
      <c r="L50" s="40" t="s">
        <v>71</v>
      </c>
      <c r="M50" s="40"/>
      <c r="N50" s="40"/>
      <c r="O50" s="40"/>
      <c r="P50" s="40"/>
      <c r="Q50" s="40"/>
      <c r="R50" s="522">
        <f>B28</f>
        <v>45729</v>
      </c>
      <c r="S50" s="522"/>
      <c r="T50" s="522"/>
      <c r="U50" s="46"/>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row>
    <row r="51" spans="2:57" ht="16.2" thickBot="1">
      <c r="B51" s="22">
        <f t="shared" si="4"/>
        <v>46431</v>
      </c>
      <c r="C51" s="210" t="str">
        <f t="shared" si="1"/>
        <v>Feb-2027</v>
      </c>
      <c r="D51" s="211">
        <v>24</v>
      </c>
      <c r="E51" s="218">
        <f t="shared" si="2"/>
        <v>4936.7326433885128</v>
      </c>
      <c r="F51" s="219">
        <f t="shared" si="5"/>
        <v>2969.3117774499942</v>
      </c>
      <c r="G51" s="220">
        <f t="shared" si="3"/>
        <v>1967.4208659385188</v>
      </c>
      <c r="H51" s="203">
        <f t="shared" si="6"/>
        <v>46363.783114301543</v>
      </c>
      <c r="J51" s="29"/>
      <c r="K51" s="30"/>
      <c r="L51" s="40" t="s">
        <v>72</v>
      </c>
      <c r="M51" s="40"/>
      <c r="N51" s="40"/>
      <c r="O51" s="40"/>
      <c r="P51" s="40"/>
      <c r="Q51" s="40"/>
      <c r="R51" s="344">
        <f>B63</f>
        <v>46796</v>
      </c>
      <c r="S51" s="344"/>
      <c r="T51" s="344"/>
      <c r="U51" s="46"/>
      <c r="W51" s="120"/>
      <c r="X51" s="123" t="s">
        <v>153</v>
      </c>
      <c r="Y51" s="123"/>
      <c r="Z51" s="123"/>
      <c r="AA51" s="123"/>
      <c r="AB51" s="123"/>
      <c r="AC51" s="123"/>
      <c r="AD51" s="123"/>
      <c r="AE51" s="123" t="s">
        <v>154</v>
      </c>
      <c r="AF51" s="123"/>
      <c r="AG51" s="123"/>
      <c r="AH51" s="123"/>
      <c r="AI51" s="120"/>
      <c r="AJ51" s="151" t="s">
        <v>155</v>
      </c>
      <c r="AK51" s="469">
        <v>43</v>
      </c>
      <c r="AL51" s="471"/>
      <c r="AM51" s="472" t="s">
        <v>156</v>
      </c>
      <c r="AN51" s="472"/>
      <c r="AO51" s="472"/>
      <c r="AP51" s="472"/>
      <c r="AQ51" s="152"/>
      <c r="AR51" s="454" t="s">
        <v>157</v>
      </c>
      <c r="AS51" s="454"/>
      <c r="AT51" s="152"/>
      <c r="AU51" s="454" t="s">
        <v>158</v>
      </c>
      <c r="AV51" s="454"/>
      <c r="AW51" s="454"/>
      <c r="AX51" s="454" t="s">
        <v>159</v>
      </c>
      <c r="AY51" s="454"/>
      <c r="AZ51" s="454"/>
      <c r="BA51" s="454"/>
      <c r="BB51" s="454"/>
      <c r="BC51" s="454"/>
      <c r="BD51" s="454"/>
      <c r="BE51" s="120"/>
    </row>
    <row r="52" spans="2:57" ht="16.2" thickBot="1">
      <c r="B52" s="22">
        <f t="shared" si="4"/>
        <v>46459</v>
      </c>
      <c r="C52" s="210" t="str">
        <f t="shared" si="1"/>
        <v>Mar-2027</v>
      </c>
      <c r="D52" s="211">
        <v>25</v>
      </c>
      <c r="E52" s="218">
        <f t="shared" si="2"/>
        <v>4936.7326433885128</v>
      </c>
      <c r="F52" s="219">
        <f t="shared" si="5"/>
        <v>3087.7289568556362</v>
      </c>
      <c r="G52" s="220">
        <f t="shared" si="3"/>
        <v>1849.0036865328768</v>
      </c>
      <c r="H52" s="203">
        <f t="shared" si="6"/>
        <v>43276.054157445906</v>
      </c>
      <c r="J52" s="29"/>
      <c r="K52" s="30"/>
      <c r="L52" s="40" t="s">
        <v>73</v>
      </c>
      <c r="M52" s="40"/>
      <c r="N52" s="40"/>
      <c r="O52" s="40"/>
      <c r="P52" s="40"/>
      <c r="Q52" s="40"/>
      <c r="R52" s="329">
        <f>C16</f>
        <v>8.855359027416676E-2</v>
      </c>
      <c r="S52" s="329"/>
      <c r="T52" s="329"/>
      <c r="U52" s="46"/>
      <c r="W52" s="120"/>
      <c r="X52" s="466" t="s">
        <v>268</v>
      </c>
      <c r="Y52" s="467"/>
      <c r="Z52" s="467"/>
      <c r="AA52" s="467"/>
      <c r="AB52" s="467"/>
      <c r="AC52" s="467"/>
      <c r="AD52" s="468"/>
      <c r="AE52" s="469" t="s">
        <v>269</v>
      </c>
      <c r="AF52" s="470"/>
      <c r="AG52" s="470"/>
      <c r="AH52" s="470"/>
      <c r="AI52" s="470"/>
      <c r="AJ52" s="470"/>
      <c r="AK52" s="470"/>
      <c r="AL52" s="471"/>
      <c r="AM52" s="472"/>
      <c r="AN52" s="472"/>
      <c r="AO52" s="472"/>
      <c r="AP52" s="472"/>
      <c r="AQ52" s="152"/>
      <c r="AR52" s="454" t="s">
        <v>160</v>
      </c>
      <c r="AS52" s="454"/>
      <c r="AT52" s="152"/>
      <c r="AU52" s="454" t="s">
        <v>161</v>
      </c>
      <c r="AV52" s="454"/>
      <c r="AW52" s="454"/>
      <c r="AX52" s="465"/>
      <c r="AY52" s="459"/>
      <c r="AZ52" s="459"/>
      <c r="BA52" s="459"/>
      <c r="BB52" s="459"/>
      <c r="BC52" s="459"/>
      <c r="BD52" s="460"/>
      <c r="BE52" s="120"/>
    </row>
    <row r="53" spans="2:57" ht="16.2" thickBot="1">
      <c r="B53" s="22">
        <f t="shared" si="4"/>
        <v>46490</v>
      </c>
      <c r="C53" s="210" t="str">
        <f t="shared" si="1"/>
        <v>Apr-2027</v>
      </c>
      <c r="D53" s="211">
        <v>26</v>
      </c>
      <c r="E53" s="218">
        <f t="shared" si="2"/>
        <v>4936.7326433885128</v>
      </c>
      <c r="F53" s="219">
        <f t="shared" si="5"/>
        <v>3210.8686542820806</v>
      </c>
      <c r="G53" s="220">
        <f t="shared" si="3"/>
        <v>1725.8639891064324</v>
      </c>
      <c r="H53" s="203">
        <f t="shared" si="6"/>
        <v>40065.185503163826</v>
      </c>
      <c r="J53" s="29"/>
      <c r="K53" s="30"/>
      <c r="L53" s="40" t="s">
        <v>74</v>
      </c>
      <c r="M53" s="40"/>
      <c r="N53" s="40"/>
      <c r="O53" s="40"/>
      <c r="P53" s="40"/>
      <c r="Q53" s="40"/>
      <c r="R53" s="329">
        <f>'[3]Data Entry'!E12/12</f>
        <v>6.9166666666666673E-3</v>
      </c>
      <c r="S53" s="329"/>
      <c r="T53" s="329"/>
      <c r="U53" s="46"/>
      <c r="W53" s="120"/>
      <c r="X53" s="464" t="s">
        <v>162</v>
      </c>
      <c r="Y53" s="464"/>
      <c r="Z53" s="464"/>
      <c r="AA53" s="464"/>
      <c r="AB53" s="464"/>
      <c r="AC53" s="464"/>
      <c r="AD53" s="464"/>
      <c r="AE53" s="464" t="s">
        <v>163</v>
      </c>
      <c r="AF53" s="464"/>
      <c r="AG53" s="464"/>
      <c r="AH53" s="464"/>
      <c r="AI53" s="464"/>
      <c r="AJ53" s="464"/>
      <c r="AK53" s="464"/>
      <c r="AL53" s="464"/>
      <c r="AM53" s="464"/>
      <c r="AN53" s="464"/>
      <c r="AO53" s="464"/>
      <c r="AP53" s="464"/>
      <c r="AQ53" s="464"/>
      <c r="AR53" s="464"/>
      <c r="AS53" s="464"/>
      <c r="AT53" s="464"/>
      <c r="AU53" s="120"/>
      <c r="AV53" s="134"/>
      <c r="AW53" s="134"/>
      <c r="AX53" s="134" t="s">
        <v>164</v>
      </c>
      <c r="AY53" s="134"/>
      <c r="AZ53" s="134"/>
      <c r="BA53" s="134"/>
      <c r="BB53" s="134"/>
      <c r="BC53" s="134"/>
      <c r="BD53" s="134"/>
      <c r="BE53" s="120"/>
    </row>
    <row r="54" spans="2:57" ht="16.2" thickBot="1">
      <c r="B54" s="22">
        <f t="shared" si="4"/>
        <v>46520</v>
      </c>
      <c r="C54" s="210" t="str">
        <f t="shared" si="1"/>
        <v>May-2027</v>
      </c>
      <c r="D54" s="211">
        <v>27</v>
      </c>
      <c r="E54" s="218">
        <f t="shared" si="2"/>
        <v>4936.7326433885128</v>
      </c>
      <c r="F54" s="219">
        <f t="shared" si="5"/>
        <v>3338.9192053793463</v>
      </c>
      <c r="G54" s="220">
        <f t="shared" si="3"/>
        <v>1597.8134380091665</v>
      </c>
      <c r="H54" s="203">
        <f t="shared" si="6"/>
        <v>36726.266297784481</v>
      </c>
      <c r="J54" s="29"/>
      <c r="K54" s="43"/>
      <c r="L54" s="43"/>
      <c r="M54" s="43"/>
      <c r="N54" s="43"/>
      <c r="O54" s="44"/>
      <c r="P54" s="43"/>
      <c r="Q54" s="43"/>
      <c r="R54" s="43"/>
      <c r="S54" s="43"/>
      <c r="T54" s="43"/>
      <c r="U54" s="46"/>
      <c r="W54" s="120"/>
      <c r="X54" s="465" t="s">
        <v>270</v>
      </c>
      <c r="Y54" s="459"/>
      <c r="Z54" s="459"/>
      <c r="AA54" s="459"/>
      <c r="AB54" s="459"/>
      <c r="AC54" s="459"/>
      <c r="AD54" s="460"/>
      <c r="AE54" s="455" t="s">
        <v>271</v>
      </c>
      <c r="AF54" s="456"/>
      <c r="AG54" s="456"/>
      <c r="AH54" s="456"/>
      <c r="AI54" s="456"/>
      <c r="AJ54" s="456"/>
      <c r="AK54" s="456"/>
      <c r="AL54" s="456"/>
      <c r="AM54" s="456"/>
      <c r="AN54" s="456"/>
      <c r="AO54" s="456"/>
      <c r="AP54" s="456"/>
      <c r="AQ54" s="456"/>
      <c r="AR54" s="456"/>
      <c r="AS54" s="456"/>
      <c r="AT54" s="456"/>
      <c r="AU54" s="456"/>
      <c r="AV54" s="456"/>
      <c r="AW54" s="457"/>
      <c r="AX54" s="455">
        <v>2912596</v>
      </c>
      <c r="AY54" s="456"/>
      <c r="AZ54" s="456"/>
      <c r="BA54" s="456"/>
      <c r="BB54" s="456"/>
      <c r="BC54" s="456"/>
      <c r="BD54" s="457"/>
      <c r="BE54" s="120"/>
    </row>
    <row r="55" spans="2:57" ht="16.2" thickBot="1">
      <c r="B55" s="22">
        <f t="shared" si="4"/>
        <v>46551</v>
      </c>
      <c r="C55" s="210" t="str">
        <f t="shared" si="1"/>
        <v>Jun-2027</v>
      </c>
      <c r="D55" s="211">
        <v>28</v>
      </c>
      <c r="E55" s="218">
        <f t="shared" si="2"/>
        <v>4936.7326433885128</v>
      </c>
      <c r="F55" s="219">
        <f t="shared" si="5"/>
        <v>3472.0764566882344</v>
      </c>
      <c r="G55" s="220">
        <f t="shared" si="3"/>
        <v>1464.6561867002783</v>
      </c>
      <c r="H55" s="203">
        <f t="shared" si="6"/>
        <v>33254.189841096246</v>
      </c>
      <c r="J55" s="29"/>
      <c r="K55" s="30"/>
      <c r="L55" s="30"/>
      <c r="M55" s="30"/>
      <c r="N55" s="30"/>
      <c r="O55" s="32"/>
      <c r="P55" s="30"/>
      <c r="Q55" s="30"/>
      <c r="R55" s="30"/>
      <c r="S55" s="30"/>
      <c r="T55" s="30"/>
      <c r="U55" s="46"/>
      <c r="W55" s="120"/>
      <c r="X55" s="123" t="s">
        <v>165</v>
      </c>
      <c r="Y55" s="123"/>
      <c r="Z55" s="123"/>
      <c r="AA55" s="123"/>
      <c r="AB55" s="123"/>
      <c r="AC55" s="123"/>
      <c r="AD55" s="123"/>
      <c r="AE55" s="120"/>
      <c r="AF55" s="123"/>
      <c r="AG55" s="134" t="s">
        <v>166</v>
      </c>
      <c r="AH55" s="120"/>
      <c r="AI55" s="120"/>
      <c r="AJ55" s="120"/>
      <c r="AK55" s="134"/>
      <c r="AL55" s="134"/>
      <c r="AM55" s="134"/>
      <c r="AN55" s="134"/>
      <c r="AO55" s="134"/>
      <c r="AP55" s="134"/>
      <c r="AQ55" s="134"/>
      <c r="AR55" s="134"/>
      <c r="AS55" s="134"/>
      <c r="AT55" s="454" t="s">
        <v>167</v>
      </c>
      <c r="AU55" s="454"/>
      <c r="AV55" s="454"/>
      <c r="AW55" s="454"/>
      <c r="AX55" s="454"/>
      <c r="AY55" s="454"/>
      <c r="AZ55" s="454"/>
      <c r="BA55" s="454"/>
      <c r="BB55" s="454"/>
      <c r="BC55" s="454"/>
      <c r="BD55" s="454"/>
      <c r="BE55" s="120"/>
    </row>
    <row r="56" spans="2:57" ht="16.2" thickBot="1">
      <c r="B56" s="22">
        <f t="shared" si="4"/>
        <v>46581</v>
      </c>
      <c r="C56" s="210" t="str">
        <f t="shared" si="1"/>
        <v>Jul-2027</v>
      </c>
      <c r="D56" s="211">
        <v>29</v>
      </c>
      <c r="E56" s="218">
        <f t="shared" si="2"/>
        <v>4936.7326433885128</v>
      </c>
      <c r="F56" s="219">
        <f t="shared" si="5"/>
        <v>3610.544065177246</v>
      </c>
      <c r="G56" s="220">
        <f t="shared" si="3"/>
        <v>1326.1885782112668</v>
      </c>
      <c r="H56" s="203">
        <f t="shared" si="6"/>
        <v>29643.645775919002</v>
      </c>
      <c r="J56" s="29"/>
      <c r="K56" s="30" t="s">
        <v>75</v>
      </c>
      <c r="L56" s="30"/>
      <c r="M56" s="30"/>
      <c r="O56" s="30"/>
      <c r="P56" s="30"/>
      <c r="R56" s="30" t="s">
        <v>272</v>
      </c>
      <c r="S56" s="30"/>
      <c r="T56" s="30"/>
      <c r="U56" s="46"/>
      <c r="W56" s="120"/>
      <c r="X56" s="455" t="s">
        <v>152</v>
      </c>
      <c r="Y56" s="456"/>
      <c r="Z56" s="456"/>
      <c r="AA56" s="456"/>
      <c r="AB56" s="456"/>
      <c r="AC56" s="456"/>
      <c r="AD56" s="456"/>
      <c r="AE56" s="456"/>
      <c r="AF56" s="457"/>
      <c r="AG56" s="458" t="s">
        <v>273</v>
      </c>
      <c r="AH56" s="459"/>
      <c r="AI56" s="459"/>
      <c r="AJ56" s="459"/>
      <c r="AK56" s="459"/>
      <c r="AL56" s="459"/>
      <c r="AM56" s="459"/>
      <c r="AN56" s="459"/>
      <c r="AO56" s="459"/>
      <c r="AP56" s="459"/>
      <c r="AQ56" s="459"/>
      <c r="AR56" s="459"/>
      <c r="AS56" s="460"/>
      <c r="AT56" s="153">
        <v>3</v>
      </c>
      <c r="AU56" s="154">
        <v>0</v>
      </c>
      <c r="AV56" s="154">
        <v>0</v>
      </c>
      <c r="AW56" s="155" t="s">
        <v>168</v>
      </c>
      <c r="AX56" s="154" t="s">
        <v>169</v>
      </c>
      <c r="AY56" s="154" t="s">
        <v>170</v>
      </c>
      <c r="AZ56" s="154" t="s">
        <v>170</v>
      </c>
      <c r="BA56" s="155" t="s">
        <v>168</v>
      </c>
      <c r="BB56" s="154" t="s">
        <v>274</v>
      </c>
      <c r="BC56" s="154" t="s">
        <v>169</v>
      </c>
      <c r="BD56" s="154" t="s">
        <v>169</v>
      </c>
      <c r="BE56" s="120"/>
    </row>
    <row r="57" spans="2:57" ht="16.2" thickBot="1">
      <c r="B57" s="22">
        <f t="shared" si="4"/>
        <v>46612</v>
      </c>
      <c r="C57" s="210" t="str">
        <f t="shared" si="1"/>
        <v>Aug-2027</v>
      </c>
      <c r="D57" s="211">
        <v>30</v>
      </c>
      <c r="E57" s="218">
        <f t="shared" si="2"/>
        <v>4936.7326433885128</v>
      </c>
      <c r="F57" s="219">
        <f t="shared" si="5"/>
        <v>3754.5338097251374</v>
      </c>
      <c r="G57" s="220">
        <f t="shared" si="3"/>
        <v>1182.1988336633754</v>
      </c>
      <c r="H57" s="203">
        <f t="shared" si="6"/>
        <v>25889.111966193865</v>
      </c>
      <c r="J57" s="29"/>
      <c r="K57" s="30"/>
      <c r="L57" s="30"/>
      <c r="M57" s="30"/>
      <c r="N57" s="30"/>
      <c r="O57" s="30"/>
      <c r="P57" s="30"/>
      <c r="Q57" s="30"/>
      <c r="R57" s="30"/>
      <c r="S57" s="30"/>
      <c r="T57" s="30"/>
      <c r="U57" s="46"/>
      <c r="W57" s="120"/>
      <c r="X57" s="156" t="s">
        <v>171</v>
      </c>
      <c r="Y57" s="134"/>
      <c r="Z57" s="134"/>
      <c r="AA57" s="134"/>
      <c r="AB57" s="461" t="s">
        <v>259</v>
      </c>
      <c r="AC57" s="462"/>
      <c r="AD57" s="462"/>
      <c r="AE57" s="462"/>
      <c r="AF57" s="462"/>
      <c r="AG57" s="462"/>
      <c r="AH57" s="462"/>
      <c r="AI57" s="462"/>
      <c r="AJ57" s="462"/>
      <c r="AK57" s="462"/>
      <c r="AL57" s="462"/>
      <c r="AM57" s="462"/>
      <c r="AN57" s="462"/>
      <c r="AO57" s="462"/>
      <c r="AP57" s="462"/>
      <c r="AQ57" s="462"/>
      <c r="AR57" s="462"/>
      <c r="AS57" s="462"/>
      <c r="AT57" s="462"/>
      <c r="AU57" s="462"/>
      <c r="AV57" s="462"/>
      <c r="AW57" s="462"/>
      <c r="AX57" s="462"/>
      <c r="AY57" s="462"/>
      <c r="AZ57" s="462"/>
      <c r="BA57" s="462"/>
      <c r="BB57" s="462"/>
      <c r="BC57" s="462"/>
      <c r="BD57" s="463"/>
      <c r="BE57" s="120"/>
    </row>
    <row r="58" spans="2:57" ht="15.6" customHeight="1" thickBot="1">
      <c r="B58" s="22">
        <f t="shared" si="4"/>
        <v>46643</v>
      </c>
      <c r="C58" s="210" t="str">
        <f t="shared" si="1"/>
        <v>Sep-2027</v>
      </c>
      <c r="D58" s="211">
        <v>31</v>
      </c>
      <c r="E58" s="218">
        <f t="shared" si="2"/>
        <v>4936.7326433885128</v>
      </c>
      <c r="F58" s="219">
        <f t="shared" si="5"/>
        <v>3904.2659150255076</v>
      </c>
      <c r="G58" s="220">
        <f t="shared" si="3"/>
        <v>1032.4667283630054</v>
      </c>
      <c r="H58" s="203">
        <f t="shared" si="6"/>
        <v>21984.846051168359</v>
      </c>
      <c r="J58" s="16"/>
      <c r="U58" s="216"/>
      <c r="W58" s="120"/>
      <c r="X58" s="431" t="s">
        <v>172</v>
      </c>
      <c r="Y58" s="432"/>
      <c r="Z58" s="432"/>
      <c r="AA58" s="432"/>
      <c r="AB58" s="432"/>
      <c r="AC58" s="432"/>
      <c r="AD58" s="432"/>
      <c r="AE58" s="432"/>
      <c r="AF58" s="432"/>
      <c r="AG58" s="432"/>
      <c r="AH58" s="432"/>
      <c r="AI58" s="432"/>
      <c r="AJ58" s="432"/>
      <c r="AK58" s="432"/>
      <c r="AL58" s="432"/>
      <c r="AM58" s="432"/>
      <c r="AN58" s="432"/>
      <c r="AO58" s="432"/>
      <c r="AP58" s="432"/>
      <c r="AQ58" s="432"/>
      <c r="AR58" s="432"/>
      <c r="AS58" s="432"/>
      <c r="AT58" s="432"/>
      <c r="AU58" s="432"/>
      <c r="AV58" s="432"/>
      <c r="AW58" s="432"/>
      <c r="AX58" s="432"/>
      <c r="AY58" s="432"/>
      <c r="AZ58" s="432"/>
      <c r="BA58" s="432"/>
      <c r="BB58" s="432"/>
      <c r="BC58" s="432"/>
      <c r="BD58" s="433"/>
      <c r="BE58" s="120"/>
    </row>
    <row r="59" spans="2:57" ht="16.2" thickBot="1">
      <c r="B59" s="22">
        <f t="shared" si="4"/>
        <v>46673</v>
      </c>
      <c r="C59" s="210" t="str">
        <f t="shared" si="1"/>
        <v>Oct-2027</v>
      </c>
      <c r="D59" s="211">
        <v>32</v>
      </c>
      <c r="E59" s="218">
        <f t="shared" si="2"/>
        <v>4936.7326433885128</v>
      </c>
      <c r="F59" s="219">
        <f t="shared" si="5"/>
        <v>4059.9693884088088</v>
      </c>
      <c r="G59" s="220">
        <f t="shared" si="3"/>
        <v>876.7632549797039</v>
      </c>
      <c r="H59" s="203">
        <f t="shared" si="6"/>
        <v>17924.876662759551</v>
      </c>
      <c r="J59" s="16"/>
      <c r="U59" s="216"/>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row>
    <row r="60" spans="2:57" ht="16.2" thickBot="1">
      <c r="B60" s="22">
        <f t="shared" si="4"/>
        <v>46704</v>
      </c>
      <c r="C60" s="210" t="str">
        <f t="shared" si="1"/>
        <v>Nov-2027</v>
      </c>
      <c r="D60" s="211">
        <v>33</v>
      </c>
      <c r="E60" s="218">
        <f t="shared" si="2"/>
        <v>4936.7326433885128</v>
      </c>
      <c r="F60" s="219">
        <f t="shared" si="5"/>
        <v>4221.8823700969424</v>
      </c>
      <c r="G60" s="220">
        <f t="shared" si="3"/>
        <v>714.85027329157003</v>
      </c>
      <c r="H60" s="203">
        <f t="shared" si="6"/>
        <v>13702.994292662608</v>
      </c>
      <c r="J60" s="29"/>
      <c r="K60" s="453" t="s">
        <v>90</v>
      </c>
      <c r="L60" s="453"/>
      <c r="M60" s="453"/>
      <c r="N60" s="33"/>
      <c r="O60" s="33"/>
      <c r="P60" s="33"/>
      <c r="R60" s="452" t="s">
        <v>275</v>
      </c>
      <c r="S60" s="452"/>
      <c r="T60" s="452"/>
      <c r="U60" s="46"/>
      <c r="W60" s="120"/>
      <c r="X60" s="120"/>
      <c r="Y60" s="120" t="s">
        <v>173</v>
      </c>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row>
    <row r="61" spans="2:57" ht="16.2" thickBot="1">
      <c r="B61" s="22">
        <f t="shared" si="4"/>
        <v>46734</v>
      </c>
      <c r="C61" s="210" t="str">
        <f t="shared" si="1"/>
        <v>Dec-2027</v>
      </c>
      <c r="D61" s="211">
        <v>34</v>
      </c>
      <c r="E61" s="218">
        <f t="shared" si="2"/>
        <v>4936.7326433885128</v>
      </c>
      <c r="F61" s="219">
        <f t="shared" si="5"/>
        <v>4390.2524974261223</v>
      </c>
      <c r="G61" s="220">
        <f t="shared" si="3"/>
        <v>546.48014596239068</v>
      </c>
      <c r="H61" s="203">
        <f t="shared" si="6"/>
        <v>9312.7417952364849</v>
      </c>
      <c r="J61" s="29"/>
      <c r="K61" s="451" t="s">
        <v>77</v>
      </c>
      <c r="L61" s="451"/>
      <c r="M61" s="451"/>
      <c r="N61" s="30"/>
      <c r="O61" s="32"/>
      <c r="P61" s="30"/>
      <c r="R61" s="451" t="s">
        <v>276</v>
      </c>
      <c r="S61" s="451"/>
      <c r="T61" s="451"/>
      <c r="U61" s="46"/>
      <c r="W61" s="120"/>
      <c r="X61" s="120" t="s">
        <v>174</v>
      </c>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row>
    <row r="62" spans="2:57" ht="16.2" thickBot="1">
      <c r="B62" s="22">
        <f t="shared" si="4"/>
        <v>46765</v>
      </c>
      <c r="C62" s="210" t="str">
        <f t="shared" si="1"/>
        <v>Jan-2028</v>
      </c>
      <c r="D62" s="211">
        <v>35</v>
      </c>
      <c r="E62" s="218">
        <f t="shared" si="2"/>
        <v>4936.7326433885128</v>
      </c>
      <c r="F62" s="219">
        <f t="shared" si="5"/>
        <v>4565.3372835950722</v>
      </c>
      <c r="G62" s="220">
        <f>H61*C$12</f>
        <v>371.39535979344049</v>
      </c>
      <c r="H62" s="203">
        <f t="shared" si="6"/>
        <v>4747.4045116414127</v>
      </c>
      <c r="J62" s="16"/>
      <c r="U62" s="216"/>
      <c r="W62" s="120"/>
      <c r="X62" s="120" t="s">
        <v>175</v>
      </c>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row>
    <row r="63" spans="2:57" ht="16.2" thickBot="1">
      <c r="B63" s="22">
        <f t="shared" si="4"/>
        <v>46796</v>
      </c>
      <c r="C63" s="210" t="str">
        <f t="shared" si="1"/>
        <v>Feb-2028</v>
      </c>
      <c r="D63" s="211">
        <v>36</v>
      </c>
      <c r="E63" s="212">
        <f t="shared" si="2"/>
        <v>4936.7326433885128</v>
      </c>
      <c r="F63" s="213">
        <f t="shared" si="5"/>
        <v>4747.4045115178396</v>
      </c>
      <c r="G63" s="214">
        <f t="shared" si="3"/>
        <v>189.32813187067342</v>
      </c>
      <c r="H63" s="215">
        <f t="shared" si="6"/>
        <v>1.2357304512988776E-7</v>
      </c>
      <c r="J63" s="16"/>
      <c r="U63" s="216"/>
      <c r="W63" s="120"/>
      <c r="X63" s="120" t="s">
        <v>176</v>
      </c>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row>
    <row r="64" spans="2:57" ht="16.2" thickBot="1">
      <c r="B64" s="22"/>
      <c r="C64" s="221"/>
      <c r="E64" s="1"/>
      <c r="F64" s="222"/>
      <c r="G64" s="223"/>
      <c r="H64" s="222"/>
      <c r="J64" s="16"/>
      <c r="U64" s="216"/>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373" t="s">
        <v>277</v>
      </c>
      <c r="AV64" s="373"/>
      <c r="AW64" s="373"/>
      <c r="AX64" s="373"/>
      <c r="AY64" s="373"/>
      <c r="AZ64" s="373"/>
      <c r="BA64" s="373"/>
      <c r="BB64" s="373"/>
      <c r="BC64" s="373"/>
      <c r="BD64" s="120"/>
      <c r="BE64" s="120"/>
    </row>
    <row r="65" spans="2:57" ht="15.6">
      <c r="B65" s="22"/>
      <c r="C65" s="221"/>
      <c r="E65" s="1"/>
      <c r="F65" s="222"/>
      <c r="G65" s="223"/>
      <c r="H65" s="222"/>
      <c r="J65" s="29"/>
      <c r="K65" s="30"/>
      <c r="L65" s="30"/>
      <c r="M65" s="30"/>
      <c r="N65" s="30"/>
      <c r="O65" s="32"/>
      <c r="P65" s="30"/>
      <c r="Q65" s="30"/>
      <c r="R65" s="30"/>
      <c r="S65" s="30"/>
      <c r="T65" s="30"/>
      <c r="U65" s="46"/>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363" t="s">
        <v>177</v>
      </c>
      <c r="AV65" s="410"/>
      <c r="AW65" s="410"/>
      <c r="AX65" s="410"/>
      <c r="AY65" s="410"/>
      <c r="AZ65" s="410"/>
      <c r="BA65" s="410"/>
      <c r="BB65" s="410"/>
      <c r="BC65" s="410"/>
      <c r="BD65" s="120"/>
      <c r="BE65" s="120"/>
    </row>
    <row r="66" spans="2:57" ht="15.6">
      <c r="B66" s="22"/>
      <c r="C66" s="221"/>
      <c r="E66" s="1"/>
      <c r="F66" s="222"/>
      <c r="G66" s="223"/>
      <c r="H66" s="222"/>
      <c r="J66" s="29"/>
      <c r="K66" s="30" t="s">
        <v>79</v>
      </c>
      <c r="L66" s="30"/>
      <c r="M66" s="30"/>
      <c r="N66" s="30"/>
      <c r="O66" s="32"/>
      <c r="P66" s="30"/>
      <c r="Q66" s="30"/>
      <c r="R66" s="30" t="s">
        <v>76</v>
      </c>
      <c r="S66" s="30"/>
      <c r="T66" s="30"/>
      <c r="U66" s="46"/>
      <c r="W66" s="120"/>
      <c r="X66" s="431" t="s">
        <v>178</v>
      </c>
      <c r="Y66" s="432"/>
      <c r="Z66" s="432"/>
      <c r="AA66" s="432"/>
      <c r="AB66" s="432"/>
      <c r="AC66" s="432"/>
      <c r="AD66" s="432"/>
      <c r="AE66" s="432"/>
      <c r="AF66" s="432"/>
      <c r="AG66" s="432"/>
      <c r="AH66" s="432"/>
      <c r="AI66" s="432"/>
      <c r="AJ66" s="432"/>
      <c r="AK66" s="432"/>
      <c r="AL66" s="432"/>
      <c r="AM66" s="432"/>
      <c r="AN66" s="432"/>
      <c r="AO66" s="432"/>
      <c r="AP66" s="432"/>
      <c r="AQ66" s="432"/>
      <c r="AR66" s="432"/>
      <c r="AS66" s="432"/>
      <c r="AT66" s="432"/>
      <c r="AU66" s="432"/>
      <c r="AV66" s="432"/>
      <c r="AW66" s="432"/>
      <c r="AX66" s="432"/>
      <c r="AY66" s="432"/>
      <c r="AZ66" s="432"/>
      <c r="BA66" s="432"/>
      <c r="BB66" s="432"/>
      <c r="BC66" s="432"/>
      <c r="BD66" s="433"/>
      <c r="BE66" s="120"/>
    </row>
    <row r="67" spans="2:57" ht="15.6">
      <c r="B67" s="22"/>
      <c r="C67" s="221"/>
      <c r="E67" s="1"/>
      <c r="F67" s="222"/>
      <c r="G67" s="223"/>
      <c r="H67" s="222"/>
      <c r="J67" s="29"/>
      <c r="K67" s="30"/>
      <c r="L67" s="30"/>
      <c r="M67" s="30"/>
      <c r="N67" s="30"/>
      <c r="O67" s="32"/>
      <c r="P67" s="30"/>
      <c r="Q67" s="30"/>
      <c r="R67" s="30"/>
      <c r="S67" s="30"/>
      <c r="T67" s="30"/>
      <c r="U67" s="46"/>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row>
    <row r="68" spans="2:57" ht="15.6">
      <c r="B68" s="22"/>
      <c r="C68" s="221"/>
      <c r="E68" s="224">
        <f>SUM(E28:E51)</f>
        <v>118481.58344132434</v>
      </c>
      <c r="F68" s="224">
        <f>SUM(F28:F51)</f>
        <v>47136.216885698443</v>
      </c>
      <c r="G68" s="224">
        <f>SUM(G28:G51)</f>
        <v>71345.366555625864</v>
      </c>
      <c r="H68" s="222"/>
      <c r="J68" s="16"/>
      <c r="U68" s="216"/>
      <c r="W68" s="120"/>
      <c r="X68" s="120"/>
      <c r="Y68" s="120" t="s">
        <v>179</v>
      </c>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row>
    <row r="69" spans="2:57" ht="16.2" thickBot="1">
      <c r="B69" s="22"/>
      <c r="C69" s="221"/>
      <c r="E69" s="1"/>
      <c r="F69" s="222"/>
      <c r="G69" s="223"/>
      <c r="H69" s="222"/>
      <c r="J69" s="16"/>
      <c r="P69" s="452" t="s">
        <v>278</v>
      </c>
      <c r="Q69" s="452"/>
      <c r="R69" s="452"/>
      <c r="S69" s="452"/>
      <c r="T69" s="452"/>
      <c r="U69" s="225"/>
      <c r="W69" s="120"/>
      <c r="X69" s="120" t="s">
        <v>180</v>
      </c>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row>
    <row r="70" spans="2:57" ht="15.6">
      <c r="B70" s="22"/>
      <c r="C70" s="221"/>
      <c r="E70" s="1"/>
      <c r="F70" s="222"/>
      <c r="G70" s="223"/>
      <c r="H70" s="222"/>
      <c r="J70" s="29"/>
      <c r="K70" s="226" t="s">
        <v>80</v>
      </c>
      <c r="L70" s="226"/>
      <c r="M70" s="226"/>
      <c r="N70" s="30"/>
      <c r="O70" s="32"/>
      <c r="P70" s="30"/>
      <c r="Q70" s="30"/>
      <c r="R70" s="33" t="s">
        <v>78</v>
      </c>
      <c r="S70" s="33"/>
      <c r="T70" s="30"/>
      <c r="U70" s="46"/>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row>
    <row r="71" spans="2:57" ht="16.2" thickBot="1">
      <c r="B71" s="22"/>
      <c r="C71" s="221"/>
      <c r="E71" s="1"/>
      <c r="F71" s="222"/>
      <c r="G71" s="223"/>
      <c r="H71" s="222"/>
      <c r="J71" s="50"/>
      <c r="K71" s="51"/>
      <c r="L71" s="51"/>
      <c r="M71" s="51"/>
      <c r="N71" s="51"/>
      <c r="O71" s="52"/>
      <c r="P71" s="51"/>
      <c r="Q71" s="51"/>
      <c r="R71" s="51"/>
      <c r="S71" s="51"/>
      <c r="T71" s="51"/>
      <c r="U71" s="53"/>
      <c r="W71" s="120"/>
      <c r="X71" s="373" t="s">
        <v>279</v>
      </c>
      <c r="Y71" s="373"/>
      <c r="Z71" s="373"/>
      <c r="AA71" s="373"/>
      <c r="AB71" s="373"/>
      <c r="AC71" s="373"/>
      <c r="AD71" s="373"/>
      <c r="AE71" s="373"/>
      <c r="AF71" s="120"/>
      <c r="AG71" s="373" t="s">
        <v>280</v>
      </c>
      <c r="AH71" s="373"/>
      <c r="AI71" s="373"/>
      <c r="AJ71" s="373"/>
      <c r="AK71" s="373"/>
      <c r="AL71" s="373"/>
      <c r="AM71" s="373"/>
      <c r="AN71" s="120"/>
      <c r="AO71" s="120"/>
      <c r="AP71" s="373" t="s">
        <v>281</v>
      </c>
      <c r="AQ71" s="373"/>
      <c r="AR71" s="373"/>
      <c r="AS71" s="373"/>
      <c r="AT71" s="373"/>
      <c r="AU71" s="373"/>
      <c r="AV71" s="373"/>
      <c r="AW71" s="120"/>
      <c r="AX71" s="450" t="s">
        <v>282</v>
      </c>
      <c r="AY71" s="450"/>
      <c r="AZ71" s="450"/>
      <c r="BA71" s="450"/>
      <c r="BB71" s="450"/>
      <c r="BC71" s="450"/>
      <c r="BD71" s="450"/>
      <c r="BE71" s="120"/>
    </row>
    <row r="72" spans="2:57" ht="15.6">
      <c r="B72" s="22"/>
      <c r="C72" s="221"/>
      <c r="E72" s="1"/>
      <c r="F72" s="222"/>
      <c r="G72" s="223"/>
      <c r="H72" s="222"/>
      <c r="W72" s="120"/>
      <c r="X72" s="363" t="s">
        <v>181</v>
      </c>
      <c r="Y72" s="363"/>
      <c r="Z72" s="363"/>
      <c r="AA72" s="363"/>
      <c r="AB72" s="363"/>
      <c r="AC72" s="363"/>
      <c r="AD72" s="363"/>
      <c r="AE72" s="363"/>
      <c r="AF72" s="120"/>
      <c r="AG72" s="363" t="s">
        <v>182</v>
      </c>
      <c r="AH72" s="363"/>
      <c r="AI72" s="363"/>
      <c r="AJ72" s="363"/>
      <c r="AK72" s="363"/>
      <c r="AL72" s="363"/>
      <c r="AM72" s="363"/>
      <c r="AN72" s="120"/>
      <c r="AO72" s="120"/>
      <c r="AP72" s="363" t="s">
        <v>183</v>
      </c>
      <c r="AQ72" s="363"/>
      <c r="AR72" s="363"/>
      <c r="AS72" s="363"/>
      <c r="AT72" s="363"/>
      <c r="AU72" s="363"/>
      <c r="AV72" s="363"/>
      <c r="AW72" s="120"/>
      <c r="AX72" s="363" t="s">
        <v>184</v>
      </c>
      <c r="AY72" s="363"/>
      <c r="AZ72" s="363"/>
      <c r="BA72" s="363"/>
      <c r="BB72" s="363"/>
      <c r="BC72" s="363"/>
      <c r="BD72" s="363"/>
      <c r="BE72" s="120"/>
    </row>
    <row r="73" spans="2:57" ht="15.6">
      <c r="B73" s="22"/>
      <c r="W73" s="120"/>
      <c r="X73" s="363" t="s">
        <v>185</v>
      </c>
      <c r="Y73" s="363"/>
      <c r="Z73" s="363"/>
      <c r="AA73" s="363"/>
      <c r="AB73" s="363"/>
      <c r="AC73" s="363"/>
      <c r="AD73" s="363"/>
      <c r="AE73" s="363"/>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row>
    <row r="74" spans="2:57" ht="16.2" thickBot="1">
      <c r="B74" s="22"/>
      <c r="W74" s="120"/>
      <c r="X74" s="431" t="s">
        <v>186</v>
      </c>
      <c r="Y74" s="447"/>
      <c r="Z74" s="447"/>
      <c r="AA74" s="447"/>
      <c r="AB74" s="447"/>
      <c r="AC74" s="447"/>
      <c r="AD74" s="447"/>
      <c r="AE74" s="447"/>
      <c r="AF74" s="447"/>
      <c r="AG74" s="447"/>
      <c r="AH74" s="447"/>
      <c r="AI74" s="447"/>
      <c r="AJ74" s="447"/>
      <c r="AK74" s="447"/>
      <c r="AL74" s="447"/>
      <c r="AM74" s="447"/>
      <c r="AN74" s="447"/>
      <c r="AO74" s="447"/>
      <c r="AP74" s="447"/>
      <c r="AQ74" s="447"/>
      <c r="AR74" s="447"/>
      <c r="AS74" s="447"/>
      <c r="AT74" s="447"/>
      <c r="AU74" s="447"/>
      <c r="AV74" s="447"/>
      <c r="AW74" s="447"/>
      <c r="AX74" s="447"/>
      <c r="AY74" s="447"/>
      <c r="AZ74" s="447"/>
      <c r="BA74" s="447"/>
      <c r="BB74" s="447"/>
      <c r="BC74" s="447"/>
      <c r="BD74" s="448"/>
      <c r="BE74" s="120"/>
    </row>
    <row r="75" spans="2:57" ht="15.6">
      <c r="B75" s="22"/>
      <c r="J75" s="227"/>
      <c r="K75" s="228"/>
      <c r="L75" s="228"/>
      <c r="M75" s="228"/>
      <c r="N75" s="228"/>
      <c r="O75" s="228"/>
      <c r="P75" s="228"/>
      <c r="Q75" s="228"/>
      <c r="R75" s="228"/>
      <c r="S75" s="228"/>
      <c r="T75" s="228"/>
      <c r="U75" s="229"/>
      <c r="W75" s="120"/>
      <c r="X75" s="449" t="s">
        <v>187</v>
      </c>
      <c r="Y75" s="449"/>
      <c r="Z75" s="449"/>
      <c r="AA75" s="449" t="s">
        <v>188</v>
      </c>
      <c r="AB75" s="449"/>
      <c r="AC75" s="449"/>
      <c r="AD75" s="449"/>
      <c r="AE75" s="449" t="s">
        <v>189</v>
      </c>
      <c r="AF75" s="449"/>
      <c r="AG75" s="449"/>
      <c r="AH75" s="449"/>
      <c r="AI75" s="449"/>
      <c r="AJ75" s="449" t="s">
        <v>190</v>
      </c>
      <c r="AK75" s="449"/>
      <c r="AL75" s="449"/>
      <c r="AM75" s="449" t="s">
        <v>46</v>
      </c>
      <c r="AN75" s="449"/>
      <c r="AO75" s="449"/>
      <c r="AP75" s="449"/>
      <c r="AQ75" s="449"/>
      <c r="AR75" s="449" t="s">
        <v>191</v>
      </c>
      <c r="AS75" s="449"/>
      <c r="AT75" s="449"/>
      <c r="AU75" s="449" t="s">
        <v>192</v>
      </c>
      <c r="AV75" s="449"/>
      <c r="AW75" s="449"/>
      <c r="AX75" s="449"/>
      <c r="AY75" s="449"/>
      <c r="AZ75" s="449" t="s">
        <v>193</v>
      </c>
      <c r="BA75" s="449"/>
      <c r="BB75" s="449"/>
      <c r="BC75" s="449"/>
      <c r="BD75" s="449"/>
      <c r="BE75" s="120"/>
    </row>
    <row r="76" spans="2:57" ht="15.6">
      <c r="B76" s="22"/>
      <c r="J76" s="16"/>
      <c r="U76" s="216"/>
      <c r="W76" s="120"/>
      <c r="X76" s="440"/>
      <c r="Y76" s="438"/>
      <c r="Z76" s="438"/>
      <c r="AA76" s="441"/>
      <c r="AB76" s="438"/>
      <c r="AC76" s="438"/>
      <c r="AD76" s="438"/>
      <c r="AE76" s="439"/>
      <c r="AF76" s="439"/>
      <c r="AG76" s="439"/>
      <c r="AH76" s="439"/>
      <c r="AI76" s="439"/>
      <c r="AJ76" s="442"/>
      <c r="AK76" s="438"/>
      <c r="AL76" s="438"/>
      <c r="AM76" s="443"/>
      <c r="AN76" s="444"/>
      <c r="AO76" s="444"/>
      <c r="AP76" s="444"/>
      <c r="AQ76" s="445"/>
      <c r="AR76" s="446"/>
      <c r="AS76" s="446"/>
      <c r="AT76" s="446"/>
      <c r="AU76" s="438"/>
      <c r="AV76" s="438"/>
      <c r="AW76" s="438"/>
      <c r="AX76" s="438"/>
      <c r="AY76" s="438"/>
      <c r="AZ76" s="439"/>
      <c r="BA76" s="439"/>
      <c r="BB76" s="439"/>
      <c r="BC76" s="439"/>
      <c r="BD76" s="439"/>
      <c r="BE76" s="120"/>
    </row>
    <row r="77" spans="2:57" ht="15.6">
      <c r="B77" s="22"/>
      <c r="J77" s="16"/>
      <c r="U77" s="216"/>
      <c r="W77" s="120"/>
      <c r="X77" s="437"/>
      <c r="Y77" s="437"/>
      <c r="Z77" s="437"/>
      <c r="AA77" s="437"/>
      <c r="AB77" s="437"/>
      <c r="AC77" s="437"/>
      <c r="AD77" s="437"/>
      <c r="AE77" s="437"/>
      <c r="AF77" s="437"/>
      <c r="AG77" s="437"/>
      <c r="AH77" s="437"/>
      <c r="AI77" s="437"/>
      <c r="AJ77" s="437"/>
      <c r="AK77" s="437"/>
      <c r="AL77" s="437"/>
      <c r="AM77" s="437"/>
      <c r="AN77" s="437"/>
      <c r="AO77" s="437"/>
      <c r="AP77" s="437"/>
      <c r="AQ77" s="437"/>
      <c r="AR77" s="437"/>
      <c r="AS77" s="437"/>
      <c r="AT77" s="437"/>
      <c r="AU77" s="437"/>
      <c r="AV77" s="437"/>
      <c r="AW77" s="437"/>
      <c r="AX77" s="437"/>
      <c r="AY77" s="437"/>
      <c r="AZ77" s="437"/>
      <c r="BA77" s="437"/>
      <c r="BB77" s="437"/>
      <c r="BC77" s="437"/>
      <c r="BD77" s="437"/>
      <c r="BE77" s="120"/>
    </row>
    <row r="78" spans="2:57" ht="15.6">
      <c r="B78" s="22"/>
      <c r="J78" s="16"/>
      <c r="N78" s="230"/>
      <c r="U78" s="216"/>
      <c r="W78" s="120"/>
      <c r="X78" s="437"/>
      <c r="Y78" s="437"/>
      <c r="Z78" s="437"/>
      <c r="AA78" s="437"/>
      <c r="AB78" s="437"/>
      <c r="AC78" s="437"/>
      <c r="AD78" s="437"/>
      <c r="AE78" s="437"/>
      <c r="AF78" s="437"/>
      <c r="AG78" s="437"/>
      <c r="AH78" s="437"/>
      <c r="AI78" s="437"/>
      <c r="AJ78" s="437"/>
      <c r="AK78" s="437"/>
      <c r="AL78" s="437"/>
      <c r="AM78" s="437"/>
      <c r="AN78" s="437"/>
      <c r="AO78" s="437"/>
      <c r="AP78" s="437"/>
      <c r="AQ78" s="437"/>
      <c r="AR78" s="437"/>
      <c r="AS78" s="437"/>
      <c r="AT78" s="437"/>
      <c r="AU78" s="437"/>
      <c r="AV78" s="437"/>
      <c r="AW78" s="437"/>
      <c r="AX78" s="437"/>
      <c r="AY78" s="437"/>
      <c r="AZ78" s="437"/>
      <c r="BA78" s="437"/>
      <c r="BB78" s="437"/>
      <c r="BC78" s="437"/>
      <c r="BD78" s="437"/>
      <c r="BE78" s="120"/>
    </row>
    <row r="79" spans="2:57" ht="15.6">
      <c r="B79" s="22"/>
      <c r="J79" s="16"/>
      <c r="N79" s="423" t="s">
        <v>283</v>
      </c>
      <c r="O79" s="424"/>
      <c r="P79" s="424"/>
      <c r="Q79" s="424"/>
      <c r="U79" s="216"/>
      <c r="W79" s="120"/>
      <c r="X79" s="437"/>
      <c r="Y79" s="437"/>
      <c r="Z79" s="437"/>
      <c r="AA79" s="437"/>
      <c r="AB79" s="437"/>
      <c r="AC79" s="437"/>
      <c r="AD79" s="437"/>
      <c r="AE79" s="437"/>
      <c r="AF79" s="437"/>
      <c r="AG79" s="437"/>
      <c r="AH79" s="437"/>
      <c r="AI79" s="437"/>
      <c r="AJ79" s="437"/>
      <c r="AK79" s="437"/>
      <c r="AL79" s="437"/>
      <c r="AM79" s="437"/>
      <c r="AN79" s="437"/>
      <c r="AO79" s="437"/>
      <c r="AP79" s="437"/>
      <c r="AQ79" s="437"/>
      <c r="AR79" s="437"/>
      <c r="AS79" s="437"/>
      <c r="AT79" s="437"/>
      <c r="AU79" s="437"/>
      <c r="AV79" s="437"/>
      <c r="AW79" s="437"/>
      <c r="AX79" s="437"/>
      <c r="AY79" s="437"/>
      <c r="AZ79" s="437"/>
      <c r="BA79" s="437"/>
      <c r="BB79" s="437"/>
      <c r="BC79" s="437"/>
      <c r="BD79" s="437"/>
      <c r="BE79" s="120"/>
    </row>
    <row r="80" spans="2:57" ht="15.6">
      <c r="B80" s="22"/>
      <c r="J80" s="16"/>
      <c r="M80" s="423" t="s">
        <v>284</v>
      </c>
      <c r="N80" s="424"/>
      <c r="O80" s="424"/>
      <c r="P80" s="424"/>
      <c r="Q80" s="424"/>
      <c r="R80" s="424"/>
      <c r="U80" s="216"/>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row>
    <row r="81" spans="2:57" ht="15.6">
      <c r="B81" s="22"/>
      <c r="J81" s="16"/>
      <c r="N81" s="423" t="s">
        <v>285</v>
      </c>
      <c r="O81" s="424"/>
      <c r="P81" s="424"/>
      <c r="Q81" s="424"/>
      <c r="U81" s="216"/>
      <c r="W81" s="120"/>
      <c r="X81" s="431" t="s">
        <v>194</v>
      </c>
      <c r="Y81" s="432"/>
      <c r="Z81" s="432"/>
      <c r="AA81" s="432"/>
      <c r="AB81" s="432"/>
      <c r="AC81" s="432"/>
      <c r="AD81" s="432"/>
      <c r="AE81" s="432"/>
      <c r="AF81" s="432"/>
      <c r="AG81" s="432"/>
      <c r="AH81" s="432"/>
      <c r="AI81" s="432"/>
      <c r="AJ81" s="432"/>
      <c r="AK81" s="432"/>
      <c r="AL81" s="432"/>
      <c r="AM81" s="432"/>
      <c r="AN81" s="432"/>
      <c r="AO81" s="432"/>
      <c r="AP81" s="432"/>
      <c r="AQ81" s="432"/>
      <c r="AR81" s="432"/>
      <c r="AS81" s="432"/>
      <c r="AT81" s="432"/>
      <c r="AU81" s="432"/>
      <c r="AV81" s="432"/>
      <c r="AW81" s="432"/>
      <c r="AX81" s="432"/>
      <c r="AY81" s="432"/>
      <c r="AZ81" s="432"/>
      <c r="BA81" s="432"/>
      <c r="BB81" s="432"/>
      <c r="BC81" s="432"/>
      <c r="BD81" s="433"/>
      <c r="BE81" s="120"/>
    </row>
    <row r="82" spans="2:57" ht="15.6">
      <c r="B82" s="22"/>
      <c r="J82" s="16"/>
      <c r="U82" s="216"/>
      <c r="W82" s="120"/>
      <c r="X82" s="434" t="s">
        <v>195</v>
      </c>
      <c r="Y82" s="435"/>
      <c r="Z82" s="435"/>
      <c r="AA82" s="435"/>
      <c r="AB82" s="436"/>
      <c r="AC82" s="434" t="s">
        <v>196</v>
      </c>
      <c r="AD82" s="435"/>
      <c r="AE82" s="435"/>
      <c r="AF82" s="436"/>
      <c r="AG82" s="434" t="s">
        <v>47</v>
      </c>
      <c r="AH82" s="435"/>
      <c r="AI82" s="435"/>
      <c r="AJ82" s="436"/>
      <c r="AK82" s="434" t="s">
        <v>197</v>
      </c>
      <c r="AL82" s="435"/>
      <c r="AM82" s="435"/>
      <c r="AN82" s="435"/>
      <c r="AO82" s="435"/>
      <c r="AP82" s="435"/>
      <c r="AQ82" s="436"/>
      <c r="AR82" s="434" t="s">
        <v>198</v>
      </c>
      <c r="AS82" s="435"/>
      <c r="AT82" s="435"/>
      <c r="AU82" s="435"/>
      <c r="AV82" s="436"/>
      <c r="AW82" s="434" t="s">
        <v>199</v>
      </c>
      <c r="AX82" s="435"/>
      <c r="AY82" s="435"/>
      <c r="AZ82" s="435"/>
      <c r="BA82" s="435"/>
      <c r="BB82" s="435"/>
      <c r="BC82" s="435"/>
      <c r="BD82" s="436"/>
      <c r="BE82" s="120"/>
    </row>
    <row r="83" spans="2:57" ht="15.6">
      <c r="B83" s="22"/>
      <c r="J83" s="16"/>
      <c r="M83" s="426" t="s">
        <v>286</v>
      </c>
      <c r="N83" s="426"/>
      <c r="O83" s="426"/>
      <c r="P83" s="426"/>
      <c r="Q83" s="426"/>
      <c r="R83" s="426"/>
      <c r="U83" s="216"/>
      <c r="W83" s="120"/>
      <c r="X83" s="418">
        <f>'[3]Data Entry'!E11</f>
        <v>178237.5</v>
      </c>
      <c r="Y83" s="419"/>
      <c r="Z83" s="419"/>
      <c r="AA83" s="419"/>
      <c r="AB83" s="420"/>
      <c r="AC83" s="418">
        <f>AT39</f>
        <v>4936.7326433885128</v>
      </c>
      <c r="AD83" s="419"/>
      <c r="AE83" s="419"/>
      <c r="AF83" s="420"/>
      <c r="AG83" s="427" t="str">
        <f>AN35</f>
        <v>36 Months</v>
      </c>
      <c r="AH83" s="428"/>
      <c r="AI83" s="428"/>
      <c r="AJ83" s="429"/>
      <c r="AK83" s="418">
        <v>5000</v>
      </c>
      <c r="AL83" s="419"/>
      <c r="AM83" s="419"/>
      <c r="AN83" s="419"/>
      <c r="AO83" s="419"/>
      <c r="AP83" s="419"/>
      <c r="AQ83" s="420"/>
      <c r="AR83" s="430">
        <f>11617.19-(AC83+AK83)</f>
        <v>1680.4573566114868</v>
      </c>
      <c r="AS83" s="428"/>
      <c r="AT83" s="428"/>
      <c r="AU83" s="428"/>
      <c r="AV83" s="429"/>
      <c r="AW83" s="418">
        <f>'[3]Data Entry'!E3</f>
        <v>201960.56326226707</v>
      </c>
      <c r="AX83" s="419"/>
      <c r="AY83" s="419"/>
      <c r="AZ83" s="419"/>
      <c r="BA83" s="419"/>
      <c r="BB83" s="419"/>
      <c r="BC83" s="419"/>
      <c r="BD83" s="420"/>
      <c r="BE83" s="120"/>
    </row>
    <row r="84" spans="2:57" ht="15.6">
      <c r="B84" s="22"/>
      <c r="J84" s="16"/>
      <c r="U84" s="216"/>
      <c r="W84" s="120"/>
      <c r="X84" s="414" t="s">
        <v>200</v>
      </c>
      <c r="Y84" s="414"/>
      <c r="Z84" s="414"/>
      <c r="AA84" s="414"/>
      <c r="AB84" s="414"/>
      <c r="AC84" s="414"/>
      <c r="AD84" s="414"/>
      <c r="AE84" s="414"/>
      <c r="AF84" s="414"/>
      <c r="AG84" s="414"/>
      <c r="AH84" s="414"/>
      <c r="AI84" s="414"/>
      <c r="AJ84" s="414"/>
      <c r="AK84" s="414"/>
      <c r="AL84" s="414"/>
      <c r="AM84" s="414"/>
      <c r="AN84" s="414"/>
      <c r="AO84" s="414"/>
      <c r="AP84" s="414"/>
      <c r="AQ84" s="414"/>
      <c r="AR84" s="414"/>
      <c r="AS84" s="414"/>
      <c r="AT84" s="414"/>
      <c r="AU84" s="414"/>
      <c r="AV84" s="414"/>
      <c r="AW84" s="414"/>
      <c r="AX84" s="414"/>
      <c r="AY84" s="414"/>
      <c r="AZ84" s="414"/>
      <c r="BA84" s="414"/>
      <c r="BB84" s="414"/>
      <c r="BC84" s="414"/>
      <c r="BD84" s="414"/>
      <c r="BE84" s="120"/>
    </row>
    <row r="85" spans="2:57" ht="16.2" thickBot="1">
      <c r="B85" s="22"/>
      <c r="J85" s="16"/>
      <c r="R85" s="421">
        <f>S29</f>
        <v>45701</v>
      </c>
      <c r="S85" s="422"/>
      <c r="U85" s="216"/>
      <c r="W85" s="120"/>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0"/>
    </row>
    <row r="86" spans="2:57" ht="16.2" thickBot="1">
      <c r="B86" s="22"/>
      <c r="J86" s="16"/>
      <c r="R86" s="423" t="s">
        <v>287</v>
      </c>
      <c r="S86" s="424"/>
      <c r="U86" s="216"/>
      <c r="W86" s="120"/>
      <c r="X86" s="123"/>
      <c r="Y86" s="123"/>
      <c r="Z86" s="123"/>
      <c r="AA86" s="123"/>
      <c r="AB86" s="123"/>
      <c r="AC86" s="123"/>
      <c r="AD86" s="123"/>
      <c r="AE86" s="123"/>
      <c r="AF86" s="123"/>
      <c r="AG86" s="123"/>
      <c r="AH86" s="123"/>
      <c r="AI86" s="123"/>
      <c r="AJ86" s="425" t="s">
        <v>90</v>
      </c>
      <c r="AK86" s="425"/>
      <c r="AL86" s="425"/>
      <c r="AM86" s="425"/>
      <c r="AN86" s="425"/>
      <c r="AO86" s="425"/>
      <c r="AP86" s="425"/>
      <c r="AQ86" s="425"/>
      <c r="AR86" s="425"/>
      <c r="AS86" s="425"/>
      <c r="AT86" s="123"/>
      <c r="AU86" s="123"/>
      <c r="AV86" s="123"/>
      <c r="AW86" s="123"/>
      <c r="AX86" s="123"/>
      <c r="AY86" s="123"/>
      <c r="AZ86" s="123"/>
      <c r="BA86" s="123"/>
      <c r="BB86" s="123"/>
      <c r="BC86" s="123"/>
      <c r="BD86" s="123"/>
      <c r="BE86" s="120"/>
    </row>
    <row r="87" spans="2:57" ht="15.6">
      <c r="B87" s="22"/>
      <c r="J87" s="16"/>
      <c r="U87" s="216"/>
      <c r="W87" s="363" t="s">
        <v>201</v>
      </c>
      <c r="X87" s="363"/>
      <c r="Y87" s="363"/>
      <c r="Z87" s="363"/>
      <c r="AA87" s="363"/>
      <c r="AB87" s="363"/>
      <c r="AC87" s="363"/>
      <c r="AD87" s="363"/>
      <c r="AE87" s="363"/>
      <c r="AF87" s="363"/>
      <c r="AG87" s="363"/>
      <c r="AH87" s="363"/>
      <c r="AI87" s="363"/>
      <c r="AJ87" s="363"/>
      <c r="AK87" s="363"/>
      <c r="AL87" s="363"/>
      <c r="AM87" s="363"/>
      <c r="AN87" s="363"/>
      <c r="AO87" s="363"/>
      <c r="AP87" s="363"/>
      <c r="AQ87" s="363"/>
      <c r="AR87" s="363"/>
      <c r="AS87" s="363"/>
      <c r="AT87" s="363"/>
      <c r="AU87" s="363"/>
      <c r="AV87" s="363"/>
      <c r="AW87" s="363"/>
      <c r="AX87" s="363"/>
      <c r="AY87" s="363"/>
      <c r="AZ87" s="363"/>
      <c r="BA87" s="363"/>
      <c r="BB87" s="363"/>
      <c r="BC87" s="363"/>
      <c r="BD87" s="363"/>
      <c r="BE87" s="363"/>
    </row>
    <row r="88" spans="2:57" ht="15.6">
      <c r="J88" s="16"/>
      <c r="U88" s="216"/>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row>
    <row r="89" spans="2:57" ht="15.6">
      <c r="J89" s="16"/>
      <c r="U89" s="216"/>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row>
    <row r="90" spans="2:57" ht="15.6">
      <c r="J90" s="16"/>
      <c r="K90" s="411" t="s">
        <v>288</v>
      </c>
      <c r="L90" s="412"/>
      <c r="M90" s="412"/>
      <c r="U90" s="216"/>
      <c r="W90" s="120"/>
      <c r="X90" s="413" t="s">
        <v>202</v>
      </c>
      <c r="Y90" s="414"/>
      <c r="Z90" s="414"/>
      <c r="AA90" s="414"/>
      <c r="AB90" s="414"/>
      <c r="AC90" s="414"/>
      <c r="AD90" s="414"/>
      <c r="AE90" s="414"/>
      <c r="AF90" s="414"/>
      <c r="AG90" s="414"/>
      <c r="AH90" s="414"/>
      <c r="AI90" s="414"/>
      <c r="AJ90" s="414"/>
      <c r="AK90" s="414"/>
      <c r="AL90" s="414"/>
      <c r="AM90" s="414"/>
      <c r="AN90" s="415"/>
      <c r="AO90" s="413" t="s">
        <v>203</v>
      </c>
      <c r="AP90" s="414"/>
      <c r="AQ90" s="414"/>
      <c r="AR90" s="414"/>
      <c r="AS90" s="414"/>
      <c r="AT90" s="414"/>
      <c r="AU90" s="414"/>
      <c r="AV90" s="414"/>
      <c r="AW90" s="414"/>
      <c r="AX90" s="414"/>
      <c r="AY90" s="414"/>
      <c r="AZ90" s="414"/>
      <c r="BA90" s="414"/>
      <c r="BB90" s="414"/>
      <c r="BC90" s="414"/>
      <c r="BD90" s="415"/>
      <c r="BE90" s="120"/>
    </row>
    <row r="91" spans="2:57" ht="15.6">
      <c r="J91" s="16"/>
      <c r="U91" s="216"/>
      <c r="V91" s="30"/>
      <c r="W91" s="120"/>
      <c r="X91" s="158"/>
      <c r="Y91" s="157"/>
      <c r="Z91" s="157"/>
      <c r="AA91" s="157"/>
      <c r="AB91" s="157"/>
      <c r="AC91" s="157"/>
      <c r="AD91" s="157"/>
      <c r="AE91" s="157"/>
      <c r="AF91" s="157"/>
      <c r="AG91" s="157"/>
      <c r="AH91" s="157"/>
      <c r="AI91" s="157"/>
      <c r="AJ91" s="157"/>
      <c r="AK91" s="157"/>
      <c r="AL91" s="157"/>
      <c r="AM91" s="157"/>
      <c r="AN91" s="159"/>
      <c r="AO91" s="158"/>
      <c r="AP91" s="157"/>
      <c r="AQ91" s="157"/>
      <c r="AR91" s="157"/>
      <c r="AS91" s="157"/>
      <c r="AT91" s="157"/>
      <c r="AU91" s="157"/>
      <c r="AV91" s="157"/>
      <c r="AW91" s="157"/>
      <c r="AX91" s="157"/>
      <c r="AY91" s="157"/>
      <c r="AZ91" s="157"/>
      <c r="BA91" s="157"/>
      <c r="BB91" s="157"/>
      <c r="BC91" s="157"/>
      <c r="BD91" s="159"/>
      <c r="BE91" s="120"/>
    </row>
    <row r="92" spans="2:57" ht="16.2" thickBot="1">
      <c r="J92" s="16"/>
      <c r="K92" s="230" t="s">
        <v>289</v>
      </c>
      <c r="L92" s="230"/>
      <c r="O92" s="416" t="s">
        <v>290</v>
      </c>
      <c r="P92" s="416"/>
      <c r="Q92" s="416"/>
      <c r="R92" s="416"/>
      <c r="S92" s="416"/>
      <c r="U92" s="216"/>
      <c r="V92" s="30"/>
      <c r="W92" s="120"/>
      <c r="X92" s="160"/>
      <c r="Y92" s="130"/>
      <c r="Z92" s="130"/>
      <c r="AA92" s="161"/>
      <c r="AB92" s="417" t="s">
        <v>204</v>
      </c>
      <c r="AC92" s="417"/>
      <c r="AD92" s="417"/>
      <c r="AE92" s="417"/>
      <c r="AF92" s="417"/>
      <c r="AG92" s="417"/>
      <c r="AH92" s="417"/>
      <c r="AI92" s="417"/>
      <c r="AJ92" s="417"/>
      <c r="AK92" s="161"/>
      <c r="AL92" s="161"/>
      <c r="AM92" s="161"/>
      <c r="AN92" s="162"/>
      <c r="AO92" s="160"/>
      <c r="AP92" s="120"/>
      <c r="AQ92" s="120"/>
      <c r="AR92" s="120"/>
      <c r="AS92" s="373" t="s">
        <v>205</v>
      </c>
      <c r="AT92" s="373"/>
      <c r="AU92" s="373"/>
      <c r="AV92" s="373"/>
      <c r="AW92" s="373"/>
      <c r="AX92" s="373"/>
      <c r="AY92" s="373"/>
      <c r="AZ92" s="373"/>
      <c r="BA92" s="120"/>
      <c r="BB92" s="120"/>
      <c r="BC92" s="120"/>
      <c r="BD92" s="163"/>
      <c r="BE92" s="120"/>
    </row>
    <row r="93" spans="2:57" ht="16.2" customHeight="1" thickBot="1">
      <c r="J93" s="16"/>
      <c r="K93" s="230" t="s">
        <v>291</v>
      </c>
      <c r="L93" s="231"/>
      <c r="M93" s="230" t="s">
        <v>292</v>
      </c>
      <c r="P93" s="402" t="s">
        <v>293</v>
      </c>
      <c r="Q93" s="403"/>
      <c r="R93" s="403"/>
      <c r="S93" s="403"/>
      <c r="U93" s="216"/>
      <c r="V93" s="30"/>
      <c r="W93" s="120"/>
      <c r="X93" s="404" t="s">
        <v>201</v>
      </c>
      <c r="Y93" s="405"/>
      <c r="Z93" s="405"/>
      <c r="AA93" s="405"/>
      <c r="AB93" s="405"/>
      <c r="AC93" s="405"/>
      <c r="AD93" s="405"/>
      <c r="AE93" s="405"/>
      <c r="AF93" s="405"/>
      <c r="AG93" s="405"/>
      <c r="AH93" s="405"/>
      <c r="AI93" s="405"/>
      <c r="AJ93" s="405"/>
      <c r="AK93" s="405"/>
      <c r="AL93" s="405"/>
      <c r="AM93" s="405"/>
      <c r="AN93" s="406"/>
      <c r="AO93" s="404" t="s">
        <v>201</v>
      </c>
      <c r="AP93" s="405"/>
      <c r="AQ93" s="405"/>
      <c r="AR93" s="405"/>
      <c r="AS93" s="405"/>
      <c r="AT93" s="405"/>
      <c r="AU93" s="405"/>
      <c r="AV93" s="405"/>
      <c r="AW93" s="405"/>
      <c r="AX93" s="405"/>
      <c r="AY93" s="405"/>
      <c r="AZ93" s="405"/>
      <c r="BA93" s="405"/>
      <c r="BB93" s="405"/>
      <c r="BC93" s="405"/>
      <c r="BD93" s="406"/>
      <c r="BE93" s="120"/>
    </row>
    <row r="94" spans="2:57" ht="16.2" thickBot="1">
      <c r="J94" s="16"/>
      <c r="K94" s="232" t="s">
        <v>294</v>
      </c>
      <c r="L94" s="231"/>
      <c r="U94" s="216"/>
      <c r="V94" s="3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row>
    <row r="95" spans="2:57" ht="15.6">
      <c r="J95" s="16"/>
      <c r="U95" s="216"/>
      <c r="V95" s="3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row>
    <row r="96" spans="2:57">
      <c r="J96" s="16"/>
      <c r="U96" s="216"/>
      <c r="V96" s="30"/>
    </row>
    <row r="97" spans="10:57">
      <c r="J97" s="16"/>
      <c r="U97" s="216"/>
      <c r="V97" s="30"/>
    </row>
    <row r="98" spans="10:57">
      <c r="J98" s="16"/>
      <c r="U98" s="216"/>
      <c r="V98" s="30"/>
    </row>
    <row r="99" spans="10:57" ht="18">
      <c r="J99" s="16"/>
      <c r="U99" s="216"/>
      <c r="V99" s="3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65"/>
      <c r="AS99" s="120"/>
      <c r="AT99" s="120"/>
      <c r="AU99" s="120"/>
      <c r="AV99" s="120"/>
      <c r="AW99" s="120"/>
      <c r="AX99" s="120"/>
      <c r="AY99" s="120"/>
      <c r="AZ99" s="120"/>
      <c r="BA99" s="120"/>
      <c r="BB99" s="120"/>
      <c r="BC99" s="120"/>
      <c r="BD99" s="120"/>
      <c r="BE99" s="120"/>
    </row>
    <row r="100" spans="10:57" ht="18">
      <c r="J100" s="16"/>
      <c r="U100" s="216"/>
      <c r="V100" s="30"/>
      <c r="W100" s="120"/>
      <c r="X100" s="368" t="s">
        <v>206</v>
      </c>
      <c r="Y100" s="369"/>
      <c r="Z100" s="369"/>
      <c r="AA100" s="369"/>
      <c r="AB100" s="369"/>
      <c r="AC100" s="369"/>
      <c r="AD100" s="369"/>
      <c r="AE100" s="369"/>
      <c r="AF100" s="369"/>
      <c r="AG100" s="369"/>
      <c r="AH100" s="369"/>
      <c r="AI100" s="369"/>
      <c r="AJ100" s="369"/>
      <c r="AK100" s="369"/>
      <c r="AL100" s="120"/>
      <c r="AM100" s="120"/>
      <c r="AN100" s="120"/>
      <c r="AO100" s="120"/>
      <c r="AP100" s="120"/>
      <c r="AQ100" s="120"/>
      <c r="AR100" s="120"/>
      <c r="AS100" s="120"/>
      <c r="AT100" s="120"/>
      <c r="AU100" s="120"/>
      <c r="AV100" s="120"/>
      <c r="AW100" s="120"/>
      <c r="AX100" s="120"/>
      <c r="AY100" s="120"/>
    </row>
    <row r="101" spans="10:57" ht="18">
      <c r="J101" s="16"/>
      <c r="U101" s="216"/>
      <c r="V101" s="30"/>
      <c r="W101" s="120"/>
      <c r="X101" s="120"/>
      <c r="Y101" s="400" t="s">
        <v>207</v>
      </c>
      <c r="Z101" s="400"/>
      <c r="AA101" s="400"/>
      <c r="AB101" s="400"/>
      <c r="AC101" s="400"/>
      <c r="AD101" s="400"/>
      <c r="AE101" s="400"/>
      <c r="AF101" s="400"/>
      <c r="AG101" s="400"/>
      <c r="AH101" s="400"/>
      <c r="AI101" s="400"/>
      <c r="AJ101" s="400"/>
      <c r="AK101" s="400"/>
      <c r="AL101" s="400"/>
      <c r="AM101" s="400"/>
      <c r="AN101" s="400"/>
      <c r="AO101" s="400"/>
      <c r="AP101" s="400"/>
      <c r="AQ101" s="400"/>
      <c r="AR101" s="400"/>
      <c r="AS101" s="400"/>
      <c r="AT101" s="400"/>
      <c r="AU101" s="400"/>
      <c r="AV101" s="400"/>
      <c r="AW101" s="400"/>
      <c r="AX101" s="400"/>
      <c r="AY101" s="407">
        <f>AW83</f>
        <v>201960.56326226707</v>
      </c>
      <c r="AZ101" s="408"/>
      <c r="BA101" s="408"/>
      <c r="BB101" s="408"/>
      <c r="BC101" s="408"/>
      <c r="BD101" s="408"/>
      <c r="BE101" s="165"/>
    </row>
    <row r="102" spans="10:57" ht="18" customHeight="1">
      <c r="J102" s="16"/>
      <c r="U102" s="216"/>
      <c r="V102" s="30"/>
      <c r="W102" s="120"/>
      <c r="X102" s="398"/>
      <c r="Y102" s="399"/>
      <c r="Z102" s="399"/>
      <c r="AA102" s="166" t="s">
        <v>208</v>
      </c>
      <c r="AB102" s="167">
        <v>36</v>
      </c>
      <c r="AC102" s="400" t="s">
        <v>209</v>
      </c>
      <c r="AD102" s="400"/>
      <c r="AE102" s="400"/>
      <c r="AF102" s="400"/>
      <c r="AG102" s="400"/>
      <c r="AH102" s="400"/>
      <c r="AI102" s="400"/>
      <c r="AJ102" s="400"/>
      <c r="AK102" s="400"/>
      <c r="AL102" s="400"/>
      <c r="AM102" s="400"/>
      <c r="AN102" s="399">
        <f>AC83</f>
        <v>4936.7326433885128</v>
      </c>
      <c r="AO102" s="399"/>
      <c r="AP102" s="399"/>
      <c r="AQ102" s="399"/>
      <c r="AR102" s="400" t="s">
        <v>210</v>
      </c>
      <c r="AS102" s="400"/>
      <c r="AT102" s="400"/>
      <c r="AU102" s="400"/>
      <c r="AV102" s="400"/>
      <c r="AW102" s="400"/>
      <c r="AX102" s="400"/>
      <c r="AY102" s="400"/>
      <c r="AZ102" s="400"/>
      <c r="BA102" s="400"/>
      <c r="BB102" s="400"/>
      <c r="BC102" s="400"/>
      <c r="BD102" s="400"/>
      <c r="BE102" s="165"/>
    </row>
    <row r="103" spans="10:57" ht="18" customHeight="1">
      <c r="J103" s="16"/>
      <c r="U103" s="216"/>
      <c r="V103" s="38"/>
      <c r="W103" s="120"/>
      <c r="X103" s="401">
        <f>B28</f>
        <v>45729</v>
      </c>
      <c r="Y103" s="401"/>
      <c r="Z103" s="401"/>
      <c r="AA103" s="401"/>
      <c r="AB103" s="377" t="s">
        <v>211</v>
      </c>
      <c r="AC103" s="377"/>
      <c r="AD103" s="377"/>
      <c r="AE103" s="377"/>
      <c r="AF103" s="377"/>
      <c r="AG103" s="377"/>
      <c r="AH103" s="377"/>
      <c r="AI103" s="377"/>
      <c r="AJ103" s="377"/>
      <c r="AK103" s="377"/>
      <c r="AL103" s="377"/>
      <c r="AM103" s="377"/>
      <c r="AN103" s="377"/>
      <c r="AO103" s="377"/>
      <c r="AP103" s="377"/>
      <c r="AQ103" s="377"/>
      <c r="AR103" s="377"/>
      <c r="AS103" s="377"/>
      <c r="AT103" s="377"/>
      <c r="AU103" s="377"/>
      <c r="AV103" s="377"/>
      <c r="AW103" s="377"/>
      <c r="AX103" s="377"/>
      <c r="AY103" s="377"/>
      <c r="AZ103" s="377"/>
      <c r="BA103" s="377"/>
      <c r="BB103" s="377"/>
      <c r="BC103" s="377"/>
      <c r="BD103" s="377"/>
      <c r="BE103" s="165"/>
    </row>
    <row r="104" spans="10:57" ht="18" customHeight="1">
      <c r="J104" s="16"/>
      <c r="U104" s="216"/>
      <c r="V104" s="38"/>
      <c r="W104" s="120"/>
      <c r="X104" s="377" t="s">
        <v>212</v>
      </c>
      <c r="Y104" s="377"/>
      <c r="Z104" s="377"/>
      <c r="AA104" s="377"/>
      <c r="AB104" s="377"/>
      <c r="AC104" s="377"/>
      <c r="AD104" s="377"/>
      <c r="AE104" s="377"/>
      <c r="AF104" s="377"/>
      <c r="AG104" s="377"/>
      <c r="AH104" s="377"/>
      <c r="AI104" s="377"/>
      <c r="AJ104" s="377"/>
      <c r="AK104" s="377"/>
      <c r="AL104" s="377"/>
      <c r="AM104" s="377"/>
      <c r="AN104" s="377"/>
      <c r="AO104" s="377"/>
      <c r="AP104" s="377"/>
      <c r="AQ104" s="377"/>
      <c r="AR104" s="377"/>
      <c r="AS104" s="377"/>
      <c r="AT104" s="377"/>
      <c r="AU104" s="377"/>
      <c r="AV104" s="377"/>
      <c r="AW104" s="377"/>
      <c r="AX104" s="377"/>
      <c r="AY104" s="377"/>
      <c r="AZ104" s="377"/>
      <c r="BA104" s="377"/>
      <c r="BB104" s="377"/>
      <c r="BC104" s="377"/>
      <c r="BD104" s="377"/>
      <c r="BE104" s="165"/>
    </row>
    <row r="105" spans="10:57" ht="18" customHeight="1">
      <c r="J105" s="16"/>
      <c r="U105" s="216"/>
      <c r="V105" s="38"/>
      <c r="W105" s="120"/>
      <c r="X105" s="377" t="s">
        <v>213</v>
      </c>
      <c r="Y105" s="377"/>
      <c r="Z105" s="377"/>
      <c r="AA105" s="377"/>
      <c r="AB105" s="377"/>
      <c r="AC105" s="377"/>
      <c r="AD105" s="377"/>
      <c r="AE105" s="377"/>
      <c r="AF105" s="377"/>
      <c r="AG105" s="377"/>
      <c r="AH105" s="377"/>
      <c r="AI105" s="377"/>
      <c r="AJ105" s="377"/>
      <c r="AK105" s="377"/>
      <c r="AL105" s="377"/>
      <c r="AM105" s="377"/>
      <c r="AN105" s="377"/>
      <c r="AO105" s="377"/>
      <c r="AP105" s="377"/>
      <c r="AQ105" s="377"/>
      <c r="AR105" s="377"/>
      <c r="AS105" s="377"/>
      <c r="AT105" s="377"/>
      <c r="AU105" s="377"/>
      <c r="AV105" s="377"/>
      <c r="AW105" s="377"/>
      <c r="AX105" s="377"/>
      <c r="AY105" s="377"/>
      <c r="AZ105" s="377"/>
      <c r="BA105" s="377"/>
      <c r="BB105" s="377"/>
      <c r="BC105" s="377"/>
      <c r="BD105" s="377"/>
      <c r="BE105" s="165"/>
    </row>
    <row r="106" spans="10:57" ht="18" customHeight="1">
      <c r="J106" s="16"/>
      <c r="U106" s="216"/>
      <c r="V106" s="30"/>
      <c r="W106" s="120"/>
      <c r="X106" s="377"/>
      <c r="Y106" s="377"/>
      <c r="Z106" s="377"/>
      <c r="AA106" s="377"/>
      <c r="AB106" s="377"/>
      <c r="AC106" s="377"/>
      <c r="AD106" s="377"/>
      <c r="AE106" s="377"/>
      <c r="AF106" s="377"/>
      <c r="AG106" s="377"/>
      <c r="AH106" s="377"/>
      <c r="AI106" s="377"/>
      <c r="AJ106" s="377"/>
      <c r="AK106" s="377"/>
      <c r="AL106" s="377"/>
      <c r="AM106" s="377"/>
      <c r="AN106" s="377"/>
      <c r="AO106" s="377"/>
      <c r="AP106" s="377"/>
      <c r="AQ106" s="377"/>
      <c r="AR106" s="377"/>
      <c r="AS106" s="377"/>
      <c r="AT106" s="377"/>
      <c r="AU106" s="377"/>
      <c r="AV106" s="377"/>
      <c r="AW106" s="377"/>
      <c r="AX106" s="377"/>
      <c r="AY106" s="377"/>
      <c r="AZ106" s="377"/>
      <c r="BA106" s="377"/>
      <c r="BB106" s="377"/>
      <c r="BC106" s="377"/>
      <c r="BD106" s="377"/>
      <c r="BE106" s="165"/>
    </row>
    <row r="107" spans="10:57" ht="18">
      <c r="J107" s="16"/>
      <c r="U107" s="216"/>
      <c r="V107" s="30"/>
      <c r="W107" s="120"/>
      <c r="X107" s="377"/>
      <c r="Y107" s="377"/>
      <c r="Z107" s="377"/>
      <c r="AA107" s="377"/>
      <c r="AB107" s="377"/>
      <c r="AC107" s="377"/>
      <c r="AD107" s="377"/>
      <c r="AE107" s="377"/>
      <c r="AF107" s="377"/>
      <c r="AG107" s="377"/>
      <c r="AH107" s="377"/>
      <c r="AI107" s="377"/>
      <c r="AJ107" s="377"/>
      <c r="AK107" s="377"/>
      <c r="AL107" s="377"/>
      <c r="AM107" s="377"/>
      <c r="AN107" s="377"/>
      <c r="AO107" s="377"/>
      <c r="AP107" s="377"/>
      <c r="AQ107" s="377"/>
      <c r="AR107" s="377"/>
      <c r="AS107" s="377"/>
      <c r="AT107" s="377"/>
      <c r="AU107" s="377"/>
      <c r="AV107" s="377"/>
      <c r="AW107" s="377"/>
      <c r="AX107" s="377"/>
      <c r="AY107" s="377"/>
      <c r="AZ107" s="377"/>
      <c r="BA107" s="377"/>
      <c r="BB107" s="377"/>
      <c r="BC107" s="377"/>
      <c r="BD107" s="377"/>
      <c r="BE107" s="165"/>
    </row>
    <row r="108" spans="10:57" ht="18">
      <c r="J108" s="16"/>
      <c r="U108" s="216"/>
      <c r="V108" s="30"/>
      <c r="W108" s="120"/>
      <c r="X108" s="377" t="s">
        <v>214</v>
      </c>
      <c r="Y108" s="377"/>
      <c r="Z108" s="377"/>
      <c r="AA108" s="377"/>
      <c r="AB108" s="377"/>
      <c r="AC108" s="377"/>
      <c r="AD108" s="377"/>
      <c r="AE108" s="377"/>
      <c r="AF108" s="377"/>
      <c r="AG108" s="377"/>
      <c r="AH108" s="377"/>
      <c r="AI108" s="377"/>
      <c r="AJ108" s="377"/>
      <c r="AK108" s="377"/>
      <c r="AL108" s="377"/>
      <c r="AM108" s="377"/>
      <c r="AN108" s="377"/>
      <c r="AO108" s="377"/>
      <c r="AP108" s="377"/>
      <c r="AQ108" s="377"/>
      <c r="AR108" s="377"/>
      <c r="AS108" s="377"/>
      <c r="AT108" s="377"/>
      <c r="AU108" s="377"/>
      <c r="AV108" s="377"/>
      <c r="AW108" s="377"/>
      <c r="AX108" s="377"/>
      <c r="AY108" s="377"/>
      <c r="AZ108" s="377"/>
      <c r="BA108" s="377"/>
      <c r="BB108" s="377"/>
      <c r="BC108" s="377"/>
      <c r="BD108" s="377"/>
      <c r="BE108" s="165"/>
    </row>
    <row r="109" spans="10:57" ht="18" customHeight="1">
      <c r="J109" s="16"/>
      <c r="U109" s="216"/>
      <c r="V109" s="36"/>
      <c r="W109" s="120"/>
      <c r="X109" s="377"/>
      <c r="Y109" s="377"/>
      <c r="Z109" s="377"/>
      <c r="AA109" s="377"/>
      <c r="AB109" s="377"/>
      <c r="AC109" s="377"/>
      <c r="AD109" s="377"/>
      <c r="AE109" s="377"/>
      <c r="AF109" s="377"/>
      <c r="AG109" s="377"/>
      <c r="AH109" s="377"/>
      <c r="AI109" s="377"/>
      <c r="AJ109" s="377"/>
      <c r="AK109" s="377"/>
      <c r="AL109" s="377"/>
      <c r="AM109" s="377"/>
      <c r="AN109" s="377"/>
      <c r="AO109" s="377"/>
      <c r="AP109" s="377"/>
      <c r="AQ109" s="377"/>
      <c r="AR109" s="377"/>
      <c r="AS109" s="377"/>
      <c r="AT109" s="377"/>
      <c r="AU109" s="377"/>
      <c r="AV109" s="377"/>
      <c r="AW109" s="377"/>
      <c r="AX109" s="377"/>
      <c r="AY109" s="377"/>
      <c r="AZ109" s="377"/>
      <c r="BA109" s="377"/>
      <c r="BB109" s="377"/>
      <c r="BC109" s="377"/>
      <c r="BD109" s="377"/>
      <c r="BE109" s="165"/>
    </row>
    <row r="110" spans="10:57" ht="18.600000000000001" thickBot="1">
      <c r="J110" s="233"/>
      <c r="K110" s="231"/>
      <c r="L110" s="231"/>
      <c r="M110" s="231"/>
      <c r="N110" s="231"/>
      <c r="O110" s="231"/>
      <c r="P110" s="231"/>
      <c r="Q110" s="231"/>
      <c r="R110" s="231"/>
      <c r="S110" s="231"/>
      <c r="T110" s="231"/>
      <c r="U110" s="234"/>
      <c r="V110" s="36"/>
      <c r="W110" s="120"/>
      <c r="X110" s="377"/>
      <c r="Y110" s="377"/>
      <c r="Z110" s="377"/>
      <c r="AA110" s="377"/>
      <c r="AB110" s="377"/>
      <c r="AC110" s="377"/>
      <c r="AD110" s="377"/>
      <c r="AE110" s="377"/>
      <c r="AF110" s="377"/>
      <c r="AG110" s="377"/>
      <c r="AH110" s="377"/>
      <c r="AI110" s="377"/>
      <c r="AJ110" s="377"/>
      <c r="AK110" s="377"/>
      <c r="AL110" s="377"/>
      <c r="AM110" s="377"/>
      <c r="AN110" s="377"/>
      <c r="AO110" s="377"/>
      <c r="AP110" s="377"/>
      <c r="AQ110" s="377"/>
      <c r="AR110" s="377"/>
      <c r="AS110" s="377"/>
      <c r="AT110" s="377"/>
      <c r="AU110" s="377"/>
      <c r="AV110" s="377"/>
      <c r="AW110" s="377"/>
      <c r="AX110" s="377"/>
      <c r="AY110" s="377"/>
      <c r="AZ110" s="377"/>
      <c r="BA110" s="377"/>
      <c r="BB110" s="377"/>
      <c r="BC110" s="377"/>
      <c r="BD110" s="377"/>
      <c r="BE110" s="165"/>
    </row>
    <row r="111" spans="10:57" ht="18">
      <c r="V111" s="36"/>
      <c r="W111" s="120"/>
      <c r="X111" s="377" t="s">
        <v>215</v>
      </c>
      <c r="Y111" s="377"/>
      <c r="Z111" s="377"/>
      <c r="AA111" s="377"/>
      <c r="AB111" s="377"/>
      <c r="AC111" s="377"/>
      <c r="AD111" s="377"/>
      <c r="AE111" s="377"/>
      <c r="AF111" s="377"/>
      <c r="AG111" s="377"/>
      <c r="AH111" s="377"/>
      <c r="AI111" s="377"/>
      <c r="AJ111" s="377"/>
      <c r="AK111" s="377"/>
      <c r="AL111" s="377"/>
      <c r="AM111" s="377"/>
      <c r="AN111" s="377"/>
      <c r="AO111" s="377"/>
      <c r="AP111" s="377"/>
      <c r="AQ111" s="377"/>
      <c r="AR111" s="377"/>
      <c r="AS111" s="377"/>
      <c r="AT111" s="377"/>
      <c r="AU111" s="377"/>
      <c r="AV111" s="377"/>
      <c r="AW111" s="377"/>
      <c r="AX111" s="377"/>
      <c r="AY111" s="377"/>
      <c r="AZ111" s="377"/>
      <c r="BA111" s="377"/>
      <c r="BB111" s="377"/>
      <c r="BC111" s="377"/>
      <c r="BD111" s="377"/>
      <c r="BE111" s="165"/>
    </row>
    <row r="112" spans="10:57" ht="18" customHeight="1">
      <c r="V112" s="36"/>
      <c r="W112" s="120"/>
      <c r="X112" s="377"/>
      <c r="Y112" s="377"/>
      <c r="Z112" s="377"/>
      <c r="AA112" s="377"/>
      <c r="AB112" s="377"/>
      <c r="AC112" s="377"/>
      <c r="AD112" s="377"/>
      <c r="AE112" s="377"/>
      <c r="AF112" s="377"/>
      <c r="AG112" s="377"/>
      <c r="AH112" s="377"/>
      <c r="AI112" s="377"/>
      <c r="AJ112" s="377"/>
      <c r="AK112" s="377"/>
      <c r="AL112" s="377"/>
      <c r="AM112" s="377"/>
      <c r="AN112" s="377"/>
      <c r="AO112" s="377"/>
      <c r="AP112" s="377"/>
      <c r="AQ112" s="377"/>
      <c r="AR112" s="377"/>
      <c r="AS112" s="377"/>
      <c r="AT112" s="377"/>
      <c r="AU112" s="377"/>
      <c r="AV112" s="377"/>
      <c r="AW112" s="377"/>
      <c r="AX112" s="377"/>
      <c r="AY112" s="377"/>
      <c r="AZ112" s="377"/>
      <c r="BA112" s="377"/>
      <c r="BB112" s="377"/>
      <c r="BC112" s="377"/>
      <c r="BD112" s="377"/>
      <c r="BE112" s="165"/>
    </row>
    <row r="113" spans="22:57" ht="18">
      <c r="V113" s="36"/>
      <c r="W113" s="120"/>
      <c r="X113" s="377"/>
      <c r="Y113" s="377"/>
      <c r="Z113" s="377"/>
      <c r="AA113" s="377"/>
      <c r="AB113" s="377"/>
      <c r="AC113" s="377"/>
      <c r="AD113" s="377"/>
      <c r="AE113" s="377"/>
      <c r="AF113" s="377"/>
      <c r="AG113" s="377"/>
      <c r="AH113" s="377"/>
      <c r="AI113" s="377"/>
      <c r="AJ113" s="377"/>
      <c r="AK113" s="377"/>
      <c r="AL113" s="377"/>
      <c r="AM113" s="377"/>
      <c r="AN113" s="377"/>
      <c r="AO113" s="377"/>
      <c r="AP113" s="377"/>
      <c r="AQ113" s="377"/>
      <c r="AR113" s="377"/>
      <c r="AS113" s="377"/>
      <c r="AT113" s="377"/>
      <c r="AU113" s="377"/>
      <c r="AV113" s="377"/>
      <c r="AW113" s="377"/>
      <c r="AX113" s="377"/>
      <c r="AY113" s="377"/>
      <c r="AZ113" s="377"/>
      <c r="BA113" s="377"/>
      <c r="BB113" s="377"/>
      <c r="BC113" s="377"/>
      <c r="BD113" s="377"/>
      <c r="BE113" s="165"/>
    </row>
    <row r="114" spans="22:57" ht="18">
      <c r="V114" s="30"/>
      <c r="W114" s="120"/>
      <c r="X114" s="377"/>
      <c r="Y114" s="377"/>
      <c r="Z114" s="377"/>
      <c r="AA114" s="377"/>
      <c r="AB114" s="377"/>
      <c r="AC114" s="377"/>
      <c r="AD114" s="377"/>
      <c r="AE114" s="377"/>
      <c r="AF114" s="377"/>
      <c r="AG114" s="377"/>
      <c r="AH114" s="377"/>
      <c r="AI114" s="377"/>
      <c r="AJ114" s="377"/>
      <c r="AK114" s="377"/>
      <c r="AL114" s="377"/>
      <c r="AM114" s="377"/>
      <c r="AN114" s="377"/>
      <c r="AO114" s="377"/>
      <c r="AP114" s="377"/>
      <c r="AQ114" s="377"/>
      <c r="AR114" s="377"/>
      <c r="AS114" s="377"/>
      <c r="AT114" s="377"/>
      <c r="AU114" s="377"/>
      <c r="AV114" s="377"/>
      <c r="AW114" s="377"/>
      <c r="AX114" s="377"/>
      <c r="AY114" s="377"/>
      <c r="AZ114" s="377"/>
      <c r="BA114" s="377"/>
      <c r="BB114" s="377"/>
      <c r="BC114" s="377"/>
      <c r="BD114" s="377"/>
      <c r="BE114" s="165"/>
    </row>
    <row r="115" spans="22:57" ht="18">
      <c r="V115" s="30"/>
      <c r="W115" s="120"/>
      <c r="X115" s="377"/>
      <c r="Y115" s="377"/>
      <c r="Z115" s="377"/>
      <c r="AA115" s="377"/>
      <c r="AB115" s="377"/>
      <c r="AC115" s="377"/>
      <c r="AD115" s="377"/>
      <c r="AE115" s="377"/>
      <c r="AF115" s="377"/>
      <c r="AG115" s="377"/>
      <c r="AH115" s="377"/>
      <c r="AI115" s="377"/>
      <c r="AJ115" s="377"/>
      <c r="AK115" s="377"/>
      <c r="AL115" s="377"/>
      <c r="AM115" s="377"/>
      <c r="AN115" s="377"/>
      <c r="AO115" s="377"/>
      <c r="AP115" s="377"/>
      <c r="AQ115" s="377"/>
      <c r="AR115" s="377"/>
      <c r="AS115" s="377"/>
      <c r="AT115" s="377"/>
      <c r="AU115" s="377"/>
      <c r="AV115" s="377"/>
      <c r="AW115" s="377"/>
      <c r="AX115" s="377"/>
      <c r="AY115" s="377"/>
      <c r="AZ115" s="377"/>
      <c r="BA115" s="377"/>
      <c r="BB115" s="377"/>
      <c r="BC115" s="377"/>
      <c r="BD115" s="377"/>
      <c r="BE115" s="165"/>
    </row>
    <row r="116" spans="22:57" ht="18">
      <c r="V116" s="30"/>
      <c r="W116" s="120"/>
      <c r="X116" s="377" t="s">
        <v>216</v>
      </c>
      <c r="Y116" s="377"/>
      <c r="Z116" s="377"/>
      <c r="AA116" s="377"/>
      <c r="AB116" s="377"/>
      <c r="AC116" s="377"/>
      <c r="AD116" s="377"/>
      <c r="AE116" s="377"/>
      <c r="AF116" s="377"/>
      <c r="AG116" s="377"/>
      <c r="AH116" s="377"/>
      <c r="AI116" s="377"/>
      <c r="AJ116" s="377"/>
      <c r="AK116" s="377"/>
      <c r="AL116" s="377"/>
      <c r="AM116" s="377"/>
      <c r="AN116" s="377"/>
      <c r="AO116" s="377"/>
      <c r="AP116" s="377"/>
      <c r="AQ116" s="377"/>
      <c r="AR116" s="377"/>
      <c r="AS116" s="377"/>
      <c r="AT116" s="377"/>
      <c r="AU116" s="377"/>
      <c r="AV116" s="377"/>
      <c r="AW116" s="377"/>
      <c r="AX116" s="377"/>
      <c r="AY116" s="377"/>
      <c r="AZ116" s="377"/>
      <c r="BA116" s="377"/>
      <c r="BB116" s="377"/>
      <c r="BC116" s="377"/>
      <c r="BD116" s="377"/>
      <c r="BE116" s="165"/>
    </row>
    <row r="117" spans="22:57" ht="18" customHeight="1">
      <c r="V117" s="30"/>
      <c r="W117" s="120"/>
      <c r="X117" s="377"/>
      <c r="Y117" s="377"/>
      <c r="Z117" s="377"/>
      <c r="AA117" s="377"/>
      <c r="AB117" s="377"/>
      <c r="AC117" s="377"/>
      <c r="AD117" s="377"/>
      <c r="AE117" s="377"/>
      <c r="AF117" s="377"/>
      <c r="AG117" s="377"/>
      <c r="AH117" s="377"/>
      <c r="AI117" s="377"/>
      <c r="AJ117" s="377"/>
      <c r="AK117" s="377"/>
      <c r="AL117" s="377"/>
      <c r="AM117" s="377"/>
      <c r="AN117" s="377"/>
      <c r="AO117" s="377"/>
      <c r="AP117" s="377"/>
      <c r="AQ117" s="377"/>
      <c r="AR117" s="377"/>
      <c r="AS117" s="377"/>
      <c r="AT117" s="377"/>
      <c r="AU117" s="377"/>
      <c r="AV117" s="377"/>
      <c r="AW117" s="377"/>
      <c r="AX117" s="377"/>
      <c r="AY117" s="377"/>
      <c r="AZ117" s="377"/>
      <c r="BA117" s="377"/>
      <c r="BB117" s="377"/>
      <c r="BC117" s="377"/>
      <c r="BD117" s="377"/>
      <c r="BE117" s="165"/>
    </row>
    <row r="118" spans="22:57" ht="18">
      <c r="V118" s="30"/>
      <c r="W118" s="120"/>
      <c r="X118" s="377"/>
      <c r="Y118" s="377"/>
      <c r="Z118" s="377"/>
      <c r="AA118" s="377"/>
      <c r="AB118" s="377"/>
      <c r="AC118" s="377"/>
      <c r="AD118" s="377"/>
      <c r="AE118" s="377"/>
      <c r="AF118" s="377"/>
      <c r="AG118" s="377"/>
      <c r="AH118" s="377"/>
      <c r="AI118" s="377"/>
      <c r="AJ118" s="377"/>
      <c r="AK118" s="377"/>
      <c r="AL118" s="377"/>
      <c r="AM118" s="377"/>
      <c r="AN118" s="377"/>
      <c r="AO118" s="377"/>
      <c r="AP118" s="377"/>
      <c r="AQ118" s="377"/>
      <c r="AR118" s="377"/>
      <c r="AS118" s="377"/>
      <c r="AT118" s="377"/>
      <c r="AU118" s="377"/>
      <c r="AV118" s="377"/>
      <c r="AW118" s="377"/>
      <c r="AX118" s="377"/>
      <c r="AY118" s="377"/>
      <c r="AZ118" s="377"/>
      <c r="BA118" s="377"/>
      <c r="BB118" s="377"/>
      <c r="BC118" s="377"/>
      <c r="BD118" s="377"/>
      <c r="BE118" s="165"/>
    </row>
    <row r="119" spans="22:57" ht="18.600000000000001" thickBot="1">
      <c r="V119" s="30"/>
      <c r="W119" s="120"/>
      <c r="X119" s="377"/>
      <c r="Y119" s="377"/>
      <c r="Z119" s="377"/>
      <c r="AA119" s="377"/>
      <c r="AB119" s="377"/>
      <c r="AC119" s="377"/>
      <c r="AD119" s="377"/>
      <c r="AE119" s="377"/>
      <c r="AF119" s="377"/>
      <c r="AG119" s="377"/>
      <c r="AH119" s="377"/>
      <c r="AI119" s="377"/>
      <c r="AJ119" s="377"/>
      <c r="AK119" s="377"/>
      <c r="AL119" s="377"/>
      <c r="AM119" s="377"/>
      <c r="AN119" s="377"/>
      <c r="AO119" s="377"/>
      <c r="AP119" s="377"/>
      <c r="AQ119" s="377"/>
      <c r="AR119" s="377"/>
      <c r="AS119" s="377"/>
      <c r="AT119" s="377"/>
      <c r="AU119" s="377"/>
      <c r="AV119" s="377"/>
      <c r="AW119" s="377"/>
      <c r="AX119" s="377"/>
      <c r="AY119" s="377"/>
      <c r="AZ119" s="377"/>
      <c r="BA119" s="377"/>
      <c r="BB119" s="377"/>
      <c r="BC119" s="377"/>
      <c r="BD119" s="377"/>
      <c r="BE119" s="165"/>
    </row>
    <row r="120" spans="22:57" ht="15.6">
      <c r="V120" s="30"/>
      <c r="W120" s="120"/>
      <c r="X120" s="168"/>
      <c r="Y120" s="168"/>
      <c r="Z120" s="168"/>
      <c r="AA120" s="168"/>
      <c r="AB120" s="168"/>
      <c r="AC120" s="168"/>
      <c r="AD120" s="168"/>
      <c r="AE120" s="168"/>
      <c r="AF120" s="168"/>
      <c r="AG120" s="168"/>
      <c r="AH120" s="168"/>
      <c r="AI120" s="168"/>
      <c r="AJ120" s="168"/>
      <c r="AK120" s="168"/>
      <c r="AL120" s="129"/>
      <c r="AM120" s="120" t="s">
        <v>217</v>
      </c>
      <c r="AN120" s="120"/>
      <c r="AO120" s="169"/>
      <c r="AP120" s="120"/>
      <c r="AQ120" s="120"/>
      <c r="AR120" s="168"/>
      <c r="AS120" s="168"/>
      <c r="AT120" s="378"/>
      <c r="AU120" s="379"/>
      <c r="AV120" s="379"/>
      <c r="AW120" s="379"/>
      <c r="AX120" s="380"/>
      <c r="AY120" s="170"/>
      <c r="AZ120" s="387"/>
      <c r="BA120" s="388"/>
      <c r="BB120" s="388"/>
      <c r="BC120" s="388"/>
      <c r="BD120" s="389"/>
      <c r="BE120" s="168"/>
    </row>
    <row r="121" spans="22:57" ht="15.6">
      <c r="V121" s="30"/>
      <c r="W121" s="120"/>
      <c r="X121" s="120"/>
      <c r="Y121" s="120"/>
      <c r="Z121" s="120"/>
      <c r="AA121" s="120"/>
      <c r="AB121" s="120"/>
      <c r="AC121" s="120"/>
      <c r="AD121" s="120"/>
      <c r="AE121" s="120"/>
      <c r="AF121" s="120"/>
      <c r="AG121" s="120"/>
      <c r="AH121" s="120"/>
      <c r="AI121" s="120"/>
      <c r="AJ121" s="120"/>
      <c r="AK121" s="120"/>
      <c r="AL121" s="129"/>
      <c r="AM121" s="120" t="s">
        <v>218</v>
      </c>
      <c r="AN121" s="120"/>
      <c r="AO121" s="120"/>
      <c r="AP121" s="120"/>
      <c r="AQ121" s="120"/>
      <c r="AR121" s="120"/>
      <c r="AS121" s="120"/>
      <c r="AT121" s="381"/>
      <c r="AU121" s="382"/>
      <c r="AV121" s="382"/>
      <c r="AW121" s="382"/>
      <c r="AX121" s="383"/>
      <c r="AY121" s="168"/>
      <c r="AZ121" s="390"/>
      <c r="BA121" s="391"/>
      <c r="BB121" s="391"/>
      <c r="BC121" s="391"/>
      <c r="BD121" s="392"/>
      <c r="BE121" s="168"/>
    </row>
    <row r="122" spans="22:57" ht="15.6">
      <c r="V122" s="30"/>
      <c r="W122" s="120"/>
      <c r="X122" s="120"/>
      <c r="Y122" s="120"/>
      <c r="Z122" s="120"/>
      <c r="AA122" s="120"/>
      <c r="AB122" s="120"/>
      <c r="AC122" s="120"/>
      <c r="AD122" s="120"/>
      <c r="AE122" s="120"/>
      <c r="AF122" s="120"/>
      <c r="AG122" s="120"/>
      <c r="AH122" s="120"/>
      <c r="AI122" s="120"/>
      <c r="AJ122" s="120"/>
      <c r="AK122" s="120"/>
      <c r="AL122" s="129"/>
      <c r="AM122" s="120" t="s">
        <v>219</v>
      </c>
      <c r="AN122" s="120"/>
      <c r="AO122" s="120"/>
      <c r="AP122" s="120"/>
      <c r="AQ122" s="120"/>
      <c r="AR122" s="120"/>
      <c r="AS122" s="120"/>
      <c r="AT122" s="381"/>
      <c r="AU122" s="382"/>
      <c r="AV122" s="382"/>
      <c r="AW122" s="382"/>
      <c r="AX122" s="383"/>
      <c r="AY122" s="168"/>
      <c r="AZ122" s="390"/>
      <c r="BA122" s="391"/>
      <c r="BB122" s="391"/>
      <c r="BC122" s="391"/>
      <c r="BD122" s="392"/>
      <c r="BE122" s="168"/>
    </row>
    <row r="123" spans="22:57" ht="16.2" thickBot="1">
      <c r="V123" s="30"/>
      <c r="W123" s="120"/>
      <c r="X123" s="120"/>
      <c r="Y123" s="120"/>
      <c r="Z123" s="396" t="str">
        <f>AU64</f>
        <v>MADONNA LYN O MARQUEZ</v>
      </c>
      <c r="AA123" s="396"/>
      <c r="AB123" s="396"/>
      <c r="AC123" s="396"/>
      <c r="AD123" s="396"/>
      <c r="AE123" s="396"/>
      <c r="AF123" s="396"/>
      <c r="AG123" s="396"/>
      <c r="AH123" s="396"/>
      <c r="AI123" s="120"/>
      <c r="AJ123" s="120"/>
      <c r="AK123" s="120"/>
      <c r="AL123" s="129"/>
      <c r="AM123" s="120" t="s">
        <v>127</v>
      </c>
      <c r="AN123" s="120"/>
      <c r="AO123" s="373" t="s">
        <v>295</v>
      </c>
      <c r="AP123" s="373"/>
      <c r="AQ123" s="373"/>
      <c r="AR123" s="120"/>
      <c r="AS123" s="120"/>
      <c r="AT123" s="381"/>
      <c r="AU123" s="382"/>
      <c r="AV123" s="382"/>
      <c r="AW123" s="382"/>
      <c r="AX123" s="383"/>
      <c r="AY123" s="168"/>
      <c r="AZ123" s="390"/>
      <c r="BA123" s="391"/>
      <c r="BB123" s="391"/>
      <c r="BC123" s="391"/>
      <c r="BD123" s="392"/>
      <c r="BE123" s="168"/>
    </row>
    <row r="124" spans="22:57" ht="15.6">
      <c r="V124" s="30"/>
      <c r="W124" s="120"/>
      <c r="X124" s="397" t="s">
        <v>220</v>
      </c>
      <c r="Y124" s="397"/>
      <c r="Z124" s="397"/>
      <c r="AA124" s="397"/>
      <c r="AB124" s="397"/>
      <c r="AC124" s="397"/>
      <c r="AD124" s="397"/>
      <c r="AE124" s="397"/>
      <c r="AF124" s="397"/>
      <c r="AG124" s="397"/>
      <c r="AH124" s="397"/>
      <c r="AI124" s="397"/>
      <c r="AJ124" s="397"/>
      <c r="AK124" s="120"/>
      <c r="AL124" s="120"/>
      <c r="AM124" s="120"/>
      <c r="AN124" s="120"/>
      <c r="AO124" s="120"/>
      <c r="AP124" s="120"/>
      <c r="AQ124" s="120"/>
      <c r="AR124" s="120"/>
      <c r="AS124" s="120"/>
      <c r="AT124" s="381"/>
      <c r="AU124" s="382"/>
      <c r="AV124" s="382"/>
      <c r="AW124" s="382"/>
      <c r="AX124" s="383"/>
      <c r="AY124" s="168"/>
      <c r="AZ124" s="390"/>
      <c r="BA124" s="391"/>
      <c r="BB124" s="391"/>
      <c r="BC124" s="391"/>
      <c r="BD124" s="392"/>
      <c r="BE124" s="168"/>
    </row>
    <row r="125" spans="22:57" ht="15.6">
      <c r="V125" s="30"/>
      <c r="W125" s="120"/>
      <c r="X125" s="123"/>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381"/>
      <c r="AU125" s="382"/>
      <c r="AV125" s="382"/>
      <c r="AW125" s="382"/>
      <c r="AX125" s="383"/>
      <c r="AY125" s="168"/>
      <c r="AZ125" s="390"/>
      <c r="BA125" s="391"/>
      <c r="BB125" s="391"/>
      <c r="BC125" s="391"/>
      <c r="BD125" s="392"/>
      <c r="BE125" s="168"/>
    </row>
    <row r="126" spans="22:57" ht="16.2" thickBot="1">
      <c r="V126" s="30"/>
      <c r="W126" s="120"/>
      <c r="X126" s="120" t="s">
        <v>221</v>
      </c>
      <c r="Y126" s="120"/>
      <c r="Z126" s="373" t="s">
        <v>296</v>
      </c>
      <c r="AA126" s="373"/>
      <c r="AB126" s="373"/>
      <c r="AC126" s="373"/>
      <c r="AD126" s="373"/>
      <c r="AE126" s="373"/>
      <c r="AF126" s="373"/>
      <c r="AG126" s="373"/>
      <c r="AH126" s="373"/>
      <c r="AI126" s="373"/>
      <c r="AJ126" s="120"/>
      <c r="AK126" s="120"/>
      <c r="AL126" s="120"/>
      <c r="AM126" s="120"/>
      <c r="AN126" s="120"/>
      <c r="AO126" s="120"/>
      <c r="AP126" s="120"/>
      <c r="AQ126" s="120"/>
      <c r="AR126" s="120"/>
      <c r="AS126" s="120"/>
      <c r="AT126" s="384"/>
      <c r="AU126" s="385"/>
      <c r="AV126" s="385"/>
      <c r="AW126" s="385"/>
      <c r="AX126" s="386"/>
      <c r="AY126" s="171"/>
      <c r="AZ126" s="393"/>
      <c r="BA126" s="394"/>
      <c r="BB126" s="394"/>
      <c r="BC126" s="394"/>
      <c r="BD126" s="395"/>
      <c r="BE126" s="168"/>
    </row>
    <row r="127" spans="22:57" ht="16.2" thickBot="1">
      <c r="V127" s="30"/>
      <c r="W127" s="120"/>
      <c r="X127" s="120" t="s">
        <v>222</v>
      </c>
      <c r="Y127" s="120"/>
      <c r="Z127" s="120"/>
      <c r="AA127" s="120"/>
      <c r="AB127" s="374"/>
      <c r="AC127" s="374"/>
      <c r="AD127" s="374"/>
      <c r="AE127" s="374"/>
      <c r="AF127" s="374"/>
      <c r="AG127" s="374"/>
      <c r="AH127" s="374"/>
      <c r="AI127" s="374"/>
      <c r="AJ127" s="120"/>
      <c r="AK127" s="120"/>
      <c r="AL127" s="120"/>
      <c r="AM127" s="120"/>
      <c r="AN127" s="120"/>
      <c r="AO127" s="120"/>
      <c r="AP127" s="120"/>
      <c r="AQ127" s="120"/>
      <c r="AR127" s="120"/>
      <c r="AS127" s="120"/>
      <c r="AT127" s="375" t="s">
        <v>223</v>
      </c>
      <c r="AU127" s="375"/>
      <c r="AV127" s="375"/>
      <c r="AW127" s="375"/>
      <c r="AX127" s="375"/>
      <c r="AY127" s="133"/>
      <c r="AZ127" s="375" t="s">
        <v>224</v>
      </c>
      <c r="BA127" s="375"/>
      <c r="BB127" s="375"/>
      <c r="BC127" s="375"/>
      <c r="BD127" s="375"/>
      <c r="BE127" s="134"/>
    </row>
    <row r="128" spans="22:57" ht="15.6">
      <c r="V128" s="3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row>
    <row r="129" spans="10:57" ht="15.6">
      <c r="V129" s="3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row>
    <row r="130" spans="10:57" ht="18">
      <c r="V130" s="30"/>
      <c r="W130" s="120"/>
      <c r="X130" s="368" t="s">
        <v>225</v>
      </c>
      <c r="Y130" s="369"/>
      <c r="Z130" s="369"/>
      <c r="AA130" s="369"/>
      <c r="AB130" s="369"/>
      <c r="AC130" s="369"/>
      <c r="AD130" s="369"/>
      <c r="AE130" s="369"/>
      <c r="AF130" s="369"/>
      <c r="AG130" s="369"/>
      <c r="AH130" s="369"/>
      <c r="AI130" s="369"/>
      <c r="AJ130" s="369"/>
      <c r="AK130" s="369"/>
      <c r="AL130" s="369"/>
      <c r="AM130" s="369"/>
      <c r="AN130" s="369"/>
      <c r="AO130" s="369"/>
      <c r="AP130" s="369"/>
      <c r="AQ130" s="369"/>
      <c r="AR130" s="369"/>
      <c r="AS130" s="369"/>
      <c r="AT130" s="369"/>
      <c r="AU130" s="369"/>
      <c r="AV130" s="369"/>
      <c r="AW130" s="369"/>
      <c r="AX130" s="369"/>
      <c r="AY130" s="369"/>
      <c r="AZ130" s="369"/>
      <c r="BA130" s="369"/>
      <c r="BB130" s="369"/>
      <c r="BC130" s="369"/>
      <c r="BD130" s="369"/>
      <c r="BE130" s="369"/>
    </row>
    <row r="131" spans="10:57" ht="15.6">
      <c r="V131" s="3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row>
    <row r="132" spans="10:57" ht="17.399999999999999">
      <c r="V132" s="30"/>
      <c r="W132" s="120"/>
      <c r="X132" s="172" t="s">
        <v>226</v>
      </c>
      <c r="Y132" s="173"/>
      <c r="Z132" s="173"/>
      <c r="AA132" s="173"/>
      <c r="AB132" s="173"/>
      <c r="AC132" s="173"/>
      <c r="AD132" s="173"/>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row>
    <row r="133" spans="10:57" ht="17.399999999999999">
      <c r="V133" s="30"/>
      <c r="W133" s="120"/>
      <c r="X133" s="174" t="s">
        <v>227</v>
      </c>
      <c r="Y133" s="173"/>
      <c r="Z133" s="173"/>
      <c r="AA133" s="173"/>
      <c r="AB133" s="173"/>
      <c r="AC133" s="173"/>
      <c r="AD133" s="173"/>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row>
    <row r="134" spans="10:57" ht="17.399999999999999">
      <c r="V134" s="30"/>
      <c r="W134" s="120"/>
      <c r="X134" s="173"/>
      <c r="Y134" s="173"/>
      <c r="Z134" s="173"/>
      <c r="AA134" s="173"/>
      <c r="AB134" s="173"/>
      <c r="AC134" s="173"/>
      <c r="AD134" s="173"/>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row>
    <row r="135" spans="10:57" ht="17.399999999999999">
      <c r="J135" s="30"/>
      <c r="K135" s="30"/>
      <c r="L135" s="30"/>
      <c r="M135" s="30"/>
      <c r="N135" s="30"/>
      <c r="O135" s="32"/>
      <c r="P135" s="30"/>
      <c r="Q135" s="30"/>
      <c r="R135" s="30"/>
      <c r="S135" s="30"/>
      <c r="T135" s="30"/>
      <c r="U135" s="30"/>
      <c r="V135" s="30"/>
      <c r="W135" s="120"/>
      <c r="X135" s="376" t="s">
        <v>228</v>
      </c>
      <c r="Y135" s="376"/>
      <c r="Z135" s="376"/>
      <c r="AA135" s="376"/>
      <c r="AB135" s="376"/>
      <c r="AC135" s="376"/>
      <c r="AD135" s="376"/>
      <c r="AE135" s="376"/>
      <c r="AF135" s="376"/>
      <c r="AG135" s="376"/>
      <c r="AH135" s="376"/>
      <c r="AI135" s="376"/>
      <c r="AJ135" s="376"/>
      <c r="AK135" s="376"/>
      <c r="AL135" s="376"/>
      <c r="AM135" s="376"/>
      <c r="AN135" s="376"/>
      <c r="AO135" s="376"/>
      <c r="AP135" s="376"/>
      <c r="AQ135" s="376"/>
      <c r="AR135" s="376"/>
      <c r="AS135" s="376"/>
      <c r="AT135" s="376"/>
      <c r="AU135" s="376"/>
      <c r="AV135" s="376"/>
      <c r="AW135" s="376"/>
      <c r="AX135" s="376"/>
      <c r="AY135" s="376"/>
      <c r="AZ135" s="376"/>
      <c r="BA135" s="376"/>
      <c r="BB135" s="376"/>
      <c r="BC135" s="376"/>
      <c r="BD135" s="376"/>
      <c r="BE135" s="175"/>
    </row>
    <row r="136" spans="10:57" ht="17.399999999999999">
      <c r="W136" s="120"/>
      <c r="X136" s="370" t="s">
        <v>229</v>
      </c>
      <c r="Y136" s="370"/>
      <c r="Z136" s="370"/>
      <c r="AA136" s="370"/>
      <c r="AB136" s="370"/>
      <c r="AC136" s="370"/>
      <c r="AD136" s="370"/>
      <c r="AE136" s="370"/>
      <c r="AF136" s="370"/>
      <c r="AG136" s="370"/>
      <c r="AH136" s="370"/>
      <c r="AI136" s="370"/>
      <c r="AJ136" s="370"/>
      <c r="AK136" s="370"/>
      <c r="AL136" s="370"/>
      <c r="AM136" s="370"/>
      <c r="AN136" s="370"/>
      <c r="AO136" s="370"/>
      <c r="AP136" s="370"/>
      <c r="AQ136" s="370"/>
      <c r="AR136" s="370"/>
      <c r="AS136" s="370"/>
      <c r="AT136" s="370"/>
      <c r="AU136" s="370"/>
      <c r="AV136" s="370"/>
      <c r="AW136" s="370"/>
      <c r="AX136" s="370"/>
      <c r="AY136" s="370"/>
      <c r="AZ136" s="370"/>
      <c r="BA136" s="370"/>
      <c r="BB136" s="370"/>
      <c r="BC136" s="370"/>
      <c r="BD136" s="370"/>
      <c r="BE136" s="175"/>
    </row>
    <row r="137" spans="10:57" ht="17.399999999999999">
      <c r="W137" s="120"/>
      <c r="X137" s="370"/>
      <c r="Y137" s="370"/>
      <c r="Z137" s="370"/>
      <c r="AA137" s="370"/>
      <c r="AB137" s="370"/>
      <c r="AC137" s="370"/>
      <c r="AD137" s="370"/>
      <c r="AE137" s="370"/>
      <c r="AF137" s="370"/>
      <c r="AG137" s="370"/>
      <c r="AH137" s="370"/>
      <c r="AI137" s="370"/>
      <c r="AJ137" s="370"/>
      <c r="AK137" s="370"/>
      <c r="AL137" s="370"/>
      <c r="AM137" s="370"/>
      <c r="AN137" s="370"/>
      <c r="AO137" s="370"/>
      <c r="AP137" s="370"/>
      <c r="AQ137" s="370"/>
      <c r="AR137" s="370"/>
      <c r="AS137" s="370"/>
      <c r="AT137" s="370"/>
      <c r="AU137" s="370"/>
      <c r="AV137" s="370"/>
      <c r="AW137" s="370"/>
      <c r="AX137" s="370"/>
      <c r="AY137" s="370"/>
      <c r="AZ137" s="370"/>
      <c r="BA137" s="370"/>
      <c r="BB137" s="370"/>
      <c r="BC137" s="370"/>
      <c r="BD137" s="370"/>
      <c r="BE137" s="175"/>
    </row>
    <row r="138" spans="10:57" ht="17.399999999999999">
      <c r="W138" s="120"/>
      <c r="X138" s="370"/>
      <c r="Y138" s="370"/>
      <c r="Z138" s="370"/>
      <c r="AA138" s="370"/>
      <c r="AB138" s="370"/>
      <c r="AC138" s="370"/>
      <c r="AD138" s="370"/>
      <c r="AE138" s="370"/>
      <c r="AF138" s="370"/>
      <c r="AG138" s="370"/>
      <c r="AH138" s="370"/>
      <c r="AI138" s="370"/>
      <c r="AJ138" s="370"/>
      <c r="AK138" s="370"/>
      <c r="AL138" s="370"/>
      <c r="AM138" s="370"/>
      <c r="AN138" s="370"/>
      <c r="AO138" s="370"/>
      <c r="AP138" s="370"/>
      <c r="AQ138" s="370"/>
      <c r="AR138" s="370"/>
      <c r="AS138" s="370"/>
      <c r="AT138" s="370"/>
      <c r="AU138" s="370"/>
      <c r="AV138" s="370"/>
      <c r="AW138" s="370"/>
      <c r="AX138" s="370"/>
      <c r="AY138" s="370"/>
      <c r="AZ138" s="370"/>
      <c r="BA138" s="370"/>
      <c r="BB138" s="370"/>
      <c r="BC138" s="370"/>
      <c r="BD138" s="370"/>
      <c r="BE138" s="175"/>
    </row>
    <row r="139" spans="10:57" ht="17.399999999999999">
      <c r="W139" s="120"/>
      <c r="X139" s="370"/>
      <c r="Y139" s="370"/>
      <c r="Z139" s="370"/>
      <c r="AA139" s="370"/>
      <c r="AB139" s="370"/>
      <c r="AC139" s="370"/>
      <c r="AD139" s="370"/>
      <c r="AE139" s="370"/>
      <c r="AF139" s="370"/>
      <c r="AG139" s="370"/>
      <c r="AH139" s="370"/>
      <c r="AI139" s="370"/>
      <c r="AJ139" s="370"/>
      <c r="AK139" s="370"/>
      <c r="AL139" s="370"/>
      <c r="AM139" s="370"/>
      <c r="AN139" s="370"/>
      <c r="AO139" s="370"/>
      <c r="AP139" s="370"/>
      <c r="AQ139" s="370"/>
      <c r="AR139" s="370"/>
      <c r="AS139" s="370"/>
      <c r="AT139" s="370"/>
      <c r="AU139" s="370"/>
      <c r="AV139" s="370"/>
      <c r="AW139" s="370"/>
      <c r="AX139" s="370"/>
      <c r="AY139" s="370"/>
      <c r="AZ139" s="370"/>
      <c r="BA139" s="370"/>
      <c r="BB139" s="370"/>
      <c r="BC139" s="370"/>
      <c r="BD139" s="370"/>
      <c r="BE139" s="176"/>
    </row>
    <row r="140" spans="10:57" ht="17.399999999999999">
      <c r="W140" s="120"/>
      <c r="X140" s="173"/>
      <c r="Y140" s="177" t="s">
        <v>230</v>
      </c>
      <c r="Z140" s="173"/>
      <c r="AA140" s="173"/>
      <c r="AB140" s="173"/>
      <c r="AC140" s="173"/>
      <c r="AD140" s="173"/>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row>
    <row r="141" spans="10:57" ht="17.399999999999999">
      <c r="W141" s="120"/>
      <c r="X141" s="173"/>
      <c r="Y141" s="173"/>
      <c r="Z141" s="173"/>
      <c r="AA141" s="173"/>
      <c r="AB141" s="173"/>
      <c r="AC141" s="173"/>
      <c r="AD141" s="173"/>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row>
    <row r="142" spans="10:57" ht="18" thickBot="1">
      <c r="W142" s="120"/>
      <c r="X142" s="178" t="s">
        <v>231</v>
      </c>
      <c r="Y142" s="173"/>
      <c r="Z142" s="173"/>
      <c r="AA142" s="371"/>
      <c r="AB142" s="371"/>
      <c r="AC142" s="371"/>
      <c r="AD142" s="173"/>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row>
    <row r="143" spans="10:57" ht="18" thickBot="1">
      <c r="W143" s="120"/>
      <c r="X143" s="178" t="s">
        <v>232</v>
      </c>
      <c r="Y143" s="173"/>
      <c r="Z143" s="173"/>
      <c r="AA143" s="372"/>
      <c r="AB143" s="372"/>
      <c r="AC143" s="372"/>
      <c r="AD143" s="173"/>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row>
    <row r="144" spans="10:57" ht="18" thickBot="1">
      <c r="W144" s="120"/>
      <c r="X144" s="178" t="s">
        <v>233</v>
      </c>
      <c r="Y144" s="173"/>
      <c r="Z144" s="173"/>
      <c r="AA144" s="372"/>
      <c r="AB144" s="372"/>
      <c r="AC144" s="372"/>
      <c r="AD144" s="173"/>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row>
    <row r="145" spans="23:57" ht="18" thickBot="1">
      <c r="W145" s="120"/>
      <c r="X145" s="178" t="s">
        <v>234</v>
      </c>
      <c r="Y145" s="173"/>
      <c r="Z145" s="173"/>
      <c r="AA145" s="372"/>
      <c r="AB145" s="372"/>
      <c r="AC145" s="372"/>
      <c r="AD145" s="173"/>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row>
    <row r="146" spans="23:57" ht="15.6">
      <c r="W146" s="120"/>
      <c r="X146" s="179"/>
      <c r="Y146" s="120"/>
      <c r="Z146" s="120"/>
      <c r="AA146" s="130"/>
      <c r="AB146" s="130"/>
      <c r="AC146" s="13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row>
    <row r="147" spans="23:57" ht="18">
      <c r="W147" s="120"/>
      <c r="X147" s="368" t="s">
        <v>235</v>
      </c>
      <c r="Y147" s="369"/>
      <c r="Z147" s="369"/>
      <c r="AA147" s="369"/>
      <c r="AB147" s="369"/>
      <c r="AC147" s="369"/>
      <c r="AD147" s="369"/>
      <c r="AE147" s="369"/>
      <c r="AF147" s="369"/>
      <c r="AG147" s="369"/>
      <c r="AH147" s="369"/>
      <c r="AI147" s="369"/>
      <c r="AJ147" s="369"/>
      <c r="AK147" s="369"/>
      <c r="AL147" s="369"/>
      <c r="AM147" s="369"/>
      <c r="AN147" s="369"/>
      <c r="AO147" s="369"/>
      <c r="AP147" s="369"/>
      <c r="AQ147" s="369"/>
      <c r="AR147" s="369"/>
      <c r="AS147" s="369"/>
      <c r="AT147" s="369"/>
      <c r="AU147" s="369"/>
      <c r="AV147" s="369"/>
      <c r="AW147" s="369"/>
      <c r="AX147" s="369"/>
      <c r="AY147" s="369"/>
      <c r="AZ147" s="369"/>
      <c r="BA147" s="369"/>
      <c r="BB147" s="369"/>
      <c r="BC147" s="369"/>
      <c r="BD147" s="369"/>
      <c r="BE147" s="180"/>
    </row>
    <row r="148" spans="23:57" ht="15.6">
      <c r="W148" s="120"/>
      <c r="X148" s="181"/>
      <c r="Y148" s="182"/>
      <c r="Z148" s="182"/>
      <c r="AA148" s="182"/>
      <c r="AB148" s="182"/>
      <c r="AC148" s="182"/>
      <c r="AD148" s="182"/>
      <c r="AE148" s="182"/>
      <c r="AF148" s="182"/>
      <c r="AG148" s="182"/>
      <c r="AH148" s="182"/>
      <c r="AI148" s="182"/>
      <c r="AJ148" s="182"/>
      <c r="AK148" s="182"/>
      <c r="AL148" s="182"/>
      <c r="AM148" s="182"/>
      <c r="AN148" s="182"/>
      <c r="AO148" s="182"/>
      <c r="AP148" s="182"/>
      <c r="AQ148" s="182"/>
      <c r="AR148" s="182"/>
      <c r="AS148" s="182"/>
      <c r="AT148" s="182"/>
      <c r="AU148" s="182"/>
      <c r="AV148" s="182"/>
      <c r="AW148" s="182"/>
      <c r="AX148" s="182"/>
      <c r="AY148" s="182"/>
      <c r="AZ148" s="182"/>
      <c r="BA148" s="182"/>
      <c r="BB148" s="182"/>
      <c r="BC148" s="182"/>
      <c r="BD148" s="182"/>
      <c r="BE148" s="182"/>
    </row>
    <row r="149" spans="23:57" ht="17.399999999999999">
      <c r="W149" s="120"/>
      <c r="X149" s="173"/>
      <c r="Y149" s="173" t="s">
        <v>236</v>
      </c>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row>
    <row r="150" spans="23:57" ht="17.399999999999999">
      <c r="W150" s="120"/>
      <c r="X150" s="183" t="s">
        <v>237</v>
      </c>
      <c r="Y150" s="173"/>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row>
    <row r="151" spans="23:57" ht="18.600000000000001" thickBot="1">
      <c r="W151" s="120"/>
      <c r="X151" s="183" t="s">
        <v>238</v>
      </c>
      <c r="Y151" s="173"/>
      <c r="Z151" s="120"/>
      <c r="AA151" s="120"/>
      <c r="AB151" s="120"/>
      <c r="AC151" s="184"/>
      <c r="AD151" s="364">
        <f>AN102</f>
        <v>4936.7326433885128</v>
      </c>
      <c r="AE151" s="364"/>
      <c r="AF151" s="364"/>
      <c r="AG151" s="364"/>
      <c r="AH151" s="365" t="s">
        <v>239</v>
      </c>
      <c r="AI151" s="365"/>
      <c r="AJ151" s="365"/>
      <c r="AK151" s="365"/>
      <c r="AL151" s="185">
        <f>AB102</f>
        <v>36</v>
      </c>
      <c r="AM151" s="186" t="s">
        <v>240</v>
      </c>
      <c r="AQ151" s="120"/>
      <c r="AR151" s="120"/>
      <c r="AS151" s="120"/>
      <c r="AT151" s="120"/>
      <c r="AU151" s="366">
        <f>AB39</f>
        <v>150000</v>
      </c>
      <c r="AV151" s="366"/>
      <c r="AW151" s="366"/>
      <c r="AX151" s="366"/>
      <c r="AY151" s="366"/>
      <c r="AZ151" s="186" t="s">
        <v>241</v>
      </c>
      <c r="BA151" s="187"/>
      <c r="BB151" s="187"/>
      <c r="BC151" s="187"/>
      <c r="BE151" s="120"/>
    </row>
    <row r="152" spans="23:57" ht="17.399999999999999">
      <c r="W152" s="120"/>
      <c r="X152" s="173"/>
      <c r="Y152" s="177" t="s">
        <v>242</v>
      </c>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row>
    <row r="153" spans="23:57" ht="17.399999999999999">
      <c r="W153" s="120"/>
      <c r="X153" s="177" t="s">
        <v>243</v>
      </c>
      <c r="Y153" s="173"/>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row>
    <row r="154" spans="23:57" ht="15.6">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row>
    <row r="155" spans="23:57" ht="18.600000000000001" thickBot="1">
      <c r="W155" s="120"/>
      <c r="X155" s="120"/>
      <c r="Y155" s="120"/>
      <c r="Z155" s="120"/>
      <c r="AA155" s="120"/>
      <c r="AB155" s="120"/>
      <c r="AC155" s="120"/>
      <c r="AD155" s="120"/>
      <c r="AE155" s="120"/>
      <c r="AF155" s="120"/>
      <c r="AG155" s="120"/>
      <c r="AH155" s="120"/>
      <c r="AI155" s="367" t="str">
        <f>Z123</f>
        <v>MADONNA LYN O MARQUEZ</v>
      </c>
      <c r="AJ155" s="367"/>
      <c r="AK155" s="367"/>
      <c r="AL155" s="367"/>
      <c r="AM155" s="367"/>
      <c r="AN155" s="367"/>
      <c r="AO155" s="367"/>
      <c r="AP155" s="367"/>
      <c r="AQ155" s="367"/>
      <c r="AR155" s="367"/>
      <c r="AS155" s="367"/>
      <c r="AT155" s="188"/>
      <c r="AU155" s="188"/>
      <c r="AV155" s="120"/>
      <c r="AW155" s="120"/>
      <c r="AX155" s="120"/>
      <c r="AY155" s="120"/>
      <c r="AZ155" s="120"/>
      <c r="BA155" s="120"/>
      <c r="BB155" s="120"/>
      <c r="BC155" s="120"/>
      <c r="BD155" s="120"/>
      <c r="BE155" s="120"/>
    </row>
    <row r="156" spans="23:57" ht="15.6">
      <c r="W156" s="120"/>
      <c r="X156" s="363" t="s">
        <v>244</v>
      </c>
      <c r="Y156" s="363"/>
      <c r="Z156" s="363"/>
      <c r="AA156" s="363"/>
      <c r="AB156" s="363"/>
      <c r="AC156" s="363"/>
      <c r="AD156" s="363"/>
      <c r="AE156" s="363"/>
      <c r="AF156" s="363"/>
      <c r="AG156" s="363"/>
      <c r="AH156" s="363"/>
      <c r="AI156" s="363"/>
      <c r="AJ156" s="363"/>
      <c r="AK156" s="363"/>
      <c r="AL156" s="363"/>
      <c r="AM156" s="363"/>
      <c r="AN156" s="363"/>
      <c r="AO156" s="363"/>
      <c r="AP156" s="363"/>
      <c r="AQ156" s="363"/>
      <c r="AR156" s="363"/>
      <c r="AS156" s="363"/>
      <c r="AT156" s="363"/>
      <c r="AU156" s="363"/>
      <c r="AV156" s="363"/>
      <c r="AW156" s="363"/>
      <c r="AX156" s="363"/>
      <c r="AY156" s="363"/>
      <c r="AZ156" s="363"/>
      <c r="BA156" s="363"/>
      <c r="BB156" s="363"/>
      <c r="BC156" s="363"/>
      <c r="BD156" s="363"/>
      <c r="BE156" s="123"/>
    </row>
    <row r="157" spans="23:57" ht="15.6">
      <c r="W157" s="120"/>
      <c r="X157" s="164"/>
      <c r="Y157" s="164"/>
      <c r="Z157" s="164"/>
      <c r="AA157" s="164"/>
      <c r="AB157" s="164"/>
      <c r="AC157" s="164"/>
      <c r="AD157" s="164"/>
      <c r="AE157" s="164"/>
      <c r="AF157" s="164"/>
      <c r="AG157" s="164"/>
      <c r="AH157" s="164"/>
      <c r="AI157" s="164"/>
      <c r="AJ157" s="164"/>
      <c r="AK157" s="164"/>
      <c r="AL157" s="164"/>
      <c r="AM157" s="164"/>
      <c r="AN157" s="164"/>
      <c r="AO157" s="164"/>
      <c r="AP157" s="164"/>
      <c r="AQ157" s="164"/>
      <c r="AR157" s="164"/>
      <c r="AS157" s="164"/>
      <c r="AT157" s="164"/>
      <c r="AU157" s="164"/>
      <c r="AV157" s="164"/>
      <c r="AW157" s="164"/>
      <c r="AX157" s="164"/>
      <c r="AY157" s="164"/>
      <c r="AZ157" s="164"/>
      <c r="BA157" s="164"/>
      <c r="BB157" s="164"/>
      <c r="BC157" s="164"/>
      <c r="BD157" s="164"/>
      <c r="BE157" s="157"/>
    </row>
    <row r="158" spans="23:57" ht="18">
      <c r="W158" s="120"/>
      <c r="X158" s="368" t="s">
        <v>178</v>
      </c>
      <c r="Y158" s="369"/>
      <c r="Z158" s="369"/>
      <c r="AA158" s="369"/>
      <c r="AB158" s="369"/>
      <c r="AC158" s="369"/>
      <c r="AD158" s="369"/>
      <c r="AE158" s="369"/>
      <c r="AF158" s="369"/>
      <c r="AG158" s="369"/>
      <c r="AH158" s="369"/>
      <c r="AI158" s="369"/>
      <c r="AJ158" s="369"/>
      <c r="AK158" s="369"/>
      <c r="AL158" s="369"/>
      <c r="AM158" s="369"/>
      <c r="AN158" s="369"/>
      <c r="AO158" s="369"/>
      <c r="AP158" s="369"/>
      <c r="AQ158" s="369"/>
      <c r="AR158" s="369"/>
      <c r="AS158" s="369"/>
      <c r="AT158" s="369"/>
      <c r="AU158" s="369"/>
      <c r="AV158" s="369"/>
      <c r="AW158" s="369"/>
      <c r="AX158" s="369"/>
      <c r="AY158" s="369"/>
      <c r="AZ158" s="369"/>
      <c r="BA158" s="369"/>
      <c r="BB158" s="369"/>
      <c r="BC158" s="369"/>
      <c r="BD158" s="369"/>
      <c r="BE158" s="180"/>
    </row>
    <row r="159" spans="23:57" ht="15.6">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row>
    <row r="160" spans="23:57" ht="17.399999999999999">
      <c r="W160" s="120"/>
      <c r="X160" s="173"/>
      <c r="Y160" s="177" t="s">
        <v>245</v>
      </c>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row>
    <row r="161" spans="23:57" ht="17.399999999999999">
      <c r="W161" s="120"/>
      <c r="X161" s="177" t="s">
        <v>246</v>
      </c>
      <c r="Y161" s="173"/>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row>
    <row r="162" spans="23:57" ht="17.399999999999999">
      <c r="W162" s="120"/>
      <c r="X162" s="177" t="s">
        <v>247</v>
      </c>
      <c r="Y162" s="173"/>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row>
    <row r="163" spans="23:57" ht="17.399999999999999">
      <c r="W163" s="120"/>
      <c r="X163" s="177"/>
      <c r="Y163" s="173"/>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row>
    <row r="164" spans="23:57" ht="17.399999999999999">
      <c r="W164" s="120"/>
      <c r="X164" s="177"/>
      <c r="Y164" s="173"/>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row>
    <row r="165" spans="23:57" ht="16.2" thickBot="1">
      <c r="W165" s="120"/>
      <c r="X165" s="120"/>
      <c r="Y165" s="120"/>
      <c r="Z165" s="120"/>
      <c r="AA165" s="120"/>
      <c r="AB165" s="120"/>
      <c r="AC165" s="120"/>
      <c r="AD165" s="120"/>
      <c r="AE165" s="120"/>
      <c r="AF165" s="123"/>
      <c r="AG165" s="123"/>
      <c r="AH165" s="123"/>
      <c r="AI165" s="235"/>
      <c r="AJ165" s="235"/>
      <c r="AK165" s="235"/>
      <c r="AL165" s="235"/>
      <c r="AM165" s="235" t="s">
        <v>297</v>
      </c>
      <c r="AN165" s="235"/>
      <c r="AO165" s="235"/>
      <c r="AP165" s="235"/>
      <c r="AQ165" s="235"/>
      <c r="AR165" s="235"/>
      <c r="AS165" s="235"/>
      <c r="AT165" s="235"/>
      <c r="AU165" s="235"/>
      <c r="AV165" s="123"/>
      <c r="AW165" s="123"/>
      <c r="AX165" s="123"/>
      <c r="AZ165" s="120"/>
      <c r="BA165" s="120"/>
      <c r="BB165" s="120"/>
      <c r="BC165" s="120"/>
      <c r="BD165" s="120"/>
      <c r="BE165" s="120"/>
    </row>
    <row r="166" spans="23:57" ht="15.6">
      <c r="W166" s="120"/>
      <c r="Z166" s="123"/>
      <c r="AA166" s="123"/>
      <c r="AB166" s="123"/>
      <c r="AC166" s="123"/>
      <c r="AD166" s="123"/>
      <c r="AE166" s="123"/>
      <c r="AF166" s="363" t="s">
        <v>248</v>
      </c>
      <c r="AG166" s="363"/>
      <c r="AH166" s="363"/>
      <c r="AI166" s="363"/>
      <c r="AJ166" s="363"/>
      <c r="AK166" s="363"/>
      <c r="AL166" s="363"/>
      <c r="AM166" s="363"/>
      <c r="AN166" s="363"/>
      <c r="AO166" s="363"/>
      <c r="AP166" s="363"/>
      <c r="AQ166" s="363"/>
      <c r="AR166" s="363"/>
      <c r="AS166" s="363"/>
      <c r="AT166" s="363"/>
      <c r="AU166" s="363"/>
      <c r="AV166" s="363"/>
      <c r="AW166" s="363"/>
      <c r="AX166" s="363"/>
      <c r="AY166" s="123"/>
      <c r="AZ166" s="123"/>
      <c r="BA166" s="123"/>
      <c r="BB166" s="123"/>
      <c r="BC166" s="123"/>
      <c r="BD166" s="123"/>
      <c r="BE166" s="123"/>
    </row>
    <row r="167" spans="23:57" ht="15.6">
      <c r="W167" s="120"/>
      <c r="X167" s="120"/>
      <c r="Y167" s="120"/>
      <c r="Z167" s="120"/>
      <c r="AA167" s="120"/>
      <c r="AB167" s="123"/>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row>
  </sheetData>
  <protectedRanges>
    <protectedRange sqref="E25" name="Range20_1"/>
    <protectedRange sqref="G24" name="Range19_1"/>
    <protectedRange sqref="E24" name="Range18_1"/>
    <protectedRange sqref="D23" name="Range17_1"/>
    <protectedRange sqref="G24" name="Range15_1"/>
    <protectedRange sqref="D22" name="Range13_1"/>
    <protectedRange sqref="C1" name="Range12_1"/>
    <protectedRange sqref="C3:C9" name="Range11_1"/>
    <protectedRange sqref="C10:CT10" name="Range21_1"/>
    <protectedRange sqref="C12" name="Range22_1"/>
    <protectedRange sqref="B28:C72 B73:B87" name="Range23_1"/>
  </protectedRanges>
  <mergeCells count="222">
    <mergeCell ref="X25:BD25"/>
    <mergeCell ref="X26:BD26"/>
    <mergeCell ref="K27:T27"/>
    <mergeCell ref="X27:BD27"/>
    <mergeCell ref="S29:T29"/>
    <mergeCell ref="X29:BD29"/>
    <mergeCell ref="C20:H21"/>
    <mergeCell ref="D22:F22"/>
    <mergeCell ref="F23:H23"/>
    <mergeCell ref="C24:C27"/>
    <mergeCell ref="K24:T24"/>
    <mergeCell ref="K25:T25"/>
    <mergeCell ref="N33:S33"/>
    <mergeCell ref="Y33:AD33"/>
    <mergeCell ref="AF33:AL33"/>
    <mergeCell ref="AU33:BD33"/>
    <mergeCell ref="N34:S34"/>
    <mergeCell ref="Y34:AD34"/>
    <mergeCell ref="AF34:AL34"/>
    <mergeCell ref="AU34:BD34"/>
    <mergeCell ref="S30:T30"/>
    <mergeCell ref="AU30:AV30"/>
    <mergeCell ref="N32:S32"/>
    <mergeCell ref="X32:AD32"/>
    <mergeCell ref="AE32:AL32"/>
    <mergeCell ref="AM32:AS32"/>
    <mergeCell ref="AT32:BD32"/>
    <mergeCell ref="R37:T37"/>
    <mergeCell ref="Y37:AD37"/>
    <mergeCell ref="AF37:AL37"/>
    <mergeCell ref="R38:T38"/>
    <mergeCell ref="X38:AD38"/>
    <mergeCell ref="AH38:AL38"/>
    <mergeCell ref="Y35:AD35"/>
    <mergeCell ref="AF35:AL35"/>
    <mergeCell ref="AW35:BA35"/>
    <mergeCell ref="R36:T36"/>
    <mergeCell ref="Y36:AD36"/>
    <mergeCell ref="AF36:AL36"/>
    <mergeCell ref="AP38:AT38"/>
    <mergeCell ref="R39:T39"/>
    <mergeCell ref="AB39:AM40"/>
    <mergeCell ref="AT39:BD40"/>
    <mergeCell ref="R40:T40"/>
    <mergeCell ref="R41:T41"/>
    <mergeCell ref="X41:Y41"/>
    <mergeCell ref="Z41:AE41"/>
    <mergeCell ref="AJ41:AQ41"/>
    <mergeCell ref="AV41:BD41"/>
    <mergeCell ref="R44:T44"/>
    <mergeCell ref="X44:BD44"/>
    <mergeCell ref="X45:AC45"/>
    <mergeCell ref="AD45:AM45"/>
    <mergeCell ref="AN45:AY45"/>
    <mergeCell ref="AZ45:BA45"/>
    <mergeCell ref="R42:T42"/>
    <mergeCell ref="X42:Y43"/>
    <mergeCell ref="Z42:AE43"/>
    <mergeCell ref="AS42:AU42"/>
    <mergeCell ref="R43:T43"/>
    <mergeCell ref="AS43:AU43"/>
    <mergeCell ref="X47:AC47"/>
    <mergeCell ref="AD47:AH47"/>
    <mergeCell ref="AI47:AN47"/>
    <mergeCell ref="AO47:AV47"/>
    <mergeCell ref="AW47:BD47"/>
    <mergeCell ref="R48:S48"/>
    <mergeCell ref="X48:AC48"/>
    <mergeCell ref="AD48:AH48"/>
    <mergeCell ref="AI48:AN48"/>
    <mergeCell ref="AU51:AW51"/>
    <mergeCell ref="AX51:BD51"/>
    <mergeCell ref="R52:T52"/>
    <mergeCell ref="X52:AD52"/>
    <mergeCell ref="AE52:AL52"/>
    <mergeCell ref="AR52:AS52"/>
    <mergeCell ref="AU52:AW52"/>
    <mergeCell ref="AX52:BD52"/>
    <mergeCell ref="R49:T49"/>
    <mergeCell ref="R50:T50"/>
    <mergeCell ref="R51:T51"/>
    <mergeCell ref="AK51:AL51"/>
    <mergeCell ref="AM51:AP52"/>
    <mergeCell ref="AR51:AS51"/>
    <mergeCell ref="AT55:BD55"/>
    <mergeCell ref="X56:AF56"/>
    <mergeCell ref="AG56:AS56"/>
    <mergeCell ref="AB57:BD57"/>
    <mergeCell ref="X58:BD58"/>
    <mergeCell ref="K60:M60"/>
    <mergeCell ref="R60:T60"/>
    <mergeCell ref="R53:T53"/>
    <mergeCell ref="X53:AD53"/>
    <mergeCell ref="AE53:AT53"/>
    <mergeCell ref="X54:AD54"/>
    <mergeCell ref="AE54:AW54"/>
    <mergeCell ref="AX54:BD54"/>
    <mergeCell ref="X71:AE71"/>
    <mergeCell ref="AG71:AM71"/>
    <mergeCell ref="AP71:AV71"/>
    <mergeCell ref="AX71:BD71"/>
    <mergeCell ref="X72:AE72"/>
    <mergeCell ref="AG72:AM72"/>
    <mergeCell ref="AP72:AV72"/>
    <mergeCell ref="AX72:BD72"/>
    <mergeCell ref="K61:M61"/>
    <mergeCell ref="R61:T61"/>
    <mergeCell ref="AU64:BC64"/>
    <mergeCell ref="AU65:BC65"/>
    <mergeCell ref="X66:BD66"/>
    <mergeCell ref="P69:T69"/>
    <mergeCell ref="X73:AE73"/>
    <mergeCell ref="X74:BD74"/>
    <mergeCell ref="X75:Z75"/>
    <mergeCell ref="AA75:AD75"/>
    <mergeCell ref="AE75:AI75"/>
    <mergeCell ref="AJ75:AL75"/>
    <mergeCell ref="AM75:AQ75"/>
    <mergeCell ref="AR75:AT75"/>
    <mergeCell ref="AU75:AY75"/>
    <mergeCell ref="AZ75:BD75"/>
    <mergeCell ref="AU76:AY76"/>
    <mergeCell ref="AZ76:BD76"/>
    <mergeCell ref="X77:Z77"/>
    <mergeCell ref="AA77:AD77"/>
    <mergeCell ref="AE77:AI77"/>
    <mergeCell ref="AJ77:AL77"/>
    <mergeCell ref="AM77:AQ77"/>
    <mergeCell ref="AR77:AT77"/>
    <mergeCell ref="AU77:AY77"/>
    <mergeCell ref="AZ77:BD77"/>
    <mergeCell ref="X76:Z76"/>
    <mergeCell ref="AA76:AD76"/>
    <mergeCell ref="AE76:AI76"/>
    <mergeCell ref="AJ76:AL76"/>
    <mergeCell ref="AM76:AQ76"/>
    <mergeCell ref="AR76:AT76"/>
    <mergeCell ref="AU78:AY78"/>
    <mergeCell ref="AZ78:BD78"/>
    <mergeCell ref="N79:Q79"/>
    <mergeCell ref="X79:Z79"/>
    <mergeCell ref="AA79:AD79"/>
    <mergeCell ref="AE79:AI79"/>
    <mergeCell ref="AJ79:AL79"/>
    <mergeCell ref="AM79:AQ79"/>
    <mergeCell ref="AR79:AT79"/>
    <mergeCell ref="AU79:AY79"/>
    <mergeCell ref="X78:Z78"/>
    <mergeCell ref="AA78:AD78"/>
    <mergeCell ref="AE78:AI78"/>
    <mergeCell ref="AJ78:AL78"/>
    <mergeCell ref="AM78:AQ78"/>
    <mergeCell ref="AR78:AT78"/>
    <mergeCell ref="AZ79:BD79"/>
    <mergeCell ref="M80:R80"/>
    <mergeCell ref="N81:Q81"/>
    <mergeCell ref="X81:BD81"/>
    <mergeCell ref="X82:AB82"/>
    <mergeCell ref="AC82:AF82"/>
    <mergeCell ref="AG82:AJ82"/>
    <mergeCell ref="AK82:AQ82"/>
    <mergeCell ref="AR82:AV82"/>
    <mergeCell ref="AW82:BD82"/>
    <mergeCell ref="K90:M90"/>
    <mergeCell ref="X90:AN90"/>
    <mergeCell ref="AO90:BD90"/>
    <mergeCell ref="O92:S92"/>
    <mergeCell ref="AB92:AJ92"/>
    <mergeCell ref="AS92:AZ92"/>
    <mergeCell ref="AW83:BD83"/>
    <mergeCell ref="X84:BD84"/>
    <mergeCell ref="R85:S85"/>
    <mergeCell ref="R86:S86"/>
    <mergeCell ref="AJ86:AS86"/>
    <mergeCell ref="W87:BE87"/>
    <mergeCell ref="M83:R83"/>
    <mergeCell ref="X83:AB83"/>
    <mergeCell ref="AC83:AF83"/>
    <mergeCell ref="AG83:AJ83"/>
    <mergeCell ref="AK83:AQ83"/>
    <mergeCell ref="AR83:AV83"/>
    <mergeCell ref="X102:Z102"/>
    <mergeCell ref="AC102:AM102"/>
    <mergeCell ref="AN102:AQ102"/>
    <mergeCell ref="AR102:BD102"/>
    <mergeCell ref="X103:AA103"/>
    <mergeCell ref="AB103:BD103"/>
    <mergeCell ref="P93:S93"/>
    <mergeCell ref="X93:AN93"/>
    <mergeCell ref="AO93:BD93"/>
    <mergeCell ref="X100:AK100"/>
    <mergeCell ref="Y101:AX101"/>
    <mergeCell ref="AY101:BD101"/>
    <mergeCell ref="Z126:AI126"/>
    <mergeCell ref="AB127:AI127"/>
    <mergeCell ref="AT127:AX127"/>
    <mergeCell ref="AZ127:BD127"/>
    <mergeCell ref="X130:BE130"/>
    <mergeCell ref="X135:BD135"/>
    <mergeCell ref="X104:BD104"/>
    <mergeCell ref="X105:BD107"/>
    <mergeCell ref="X108:BD110"/>
    <mergeCell ref="X111:BD115"/>
    <mergeCell ref="X116:BD119"/>
    <mergeCell ref="AT120:AX126"/>
    <mergeCell ref="AZ120:BD126"/>
    <mergeCell ref="Z123:AH123"/>
    <mergeCell ref="AO123:AQ123"/>
    <mergeCell ref="X124:AJ124"/>
    <mergeCell ref="AF166:AX166"/>
    <mergeCell ref="AD151:AG151"/>
    <mergeCell ref="AH151:AK151"/>
    <mergeCell ref="AU151:AY151"/>
    <mergeCell ref="AI155:AS155"/>
    <mergeCell ref="X156:BD156"/>
    <mergeCell ref="X158:BD158"/>
    <mergeCell ref="X136:BD139"/>
    <mergeCell ref="AA142:AC142"/>
    <mergeCell ref="AA143:AC143"/>
    <mergeCell ref="AA144:AC144"/>
    <mergeCell ref="AA145:AC145"/>
    <mergeCell ref="X147:BD147"/>
  </mergeCells>
  <hyperlinks>
    <hyperlink ref="AG56" r:id="rId1" xr:uid="{1F6FD5D9-FC59-4566-88C9-CC660EBB7A5A}"/>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437BE-67CF-4485-86F8-3A6D5735AD4F}">
  <sheetPr>
    <pageSetUpPr fitToPage="1"/>
  </sheetPr>
  <dimension ref="A1:CT167"/>
  <sheetViews>
    <sheetView topLeftCell="R34" zoomScale="85" zoomScaleNormal="85" workbookViewId="0">
      <selection activeCell="AT56" sqref="AT56:BD56"/>
    </sheetView>
  </sheetViews>
  <sheetFormatPr defaultColWidth="8.88671875" defaultRowHeight="14.4"/>
  <cols>
    <col min="1" max="1" width="2.88671875" customWidth="1"/>
    <col min="2" max="2" width="27.33203125" customWidth="1"/>
    <col min="3" max="3" width="13.44140625" customWidth="1"/>
    <col min="4" max="5" width="15.6640625" customWidth="1"/>
    <col min="6" max="6" width="15.5546875" customWidth="1"/>
    <col min="7" max="9" width="15.6640625" customWidth="1"/>
    <col min="10" max="10" width="4.6640625" customWidth="1"/>
    <col min="11" max="20" width="10.6640625" customWidth="1"/>
    <col min="21" max="21" width="4.6640625" customWidth="1"/>
    <col min="22" max="22" width="15.6640625" customWidth="1"/>
    <col min="23" max="57" width="4.88671875" customWidth="1"/>
    <col min="58" max="98" width="15.6640625" customWidth="1"/>
  </cols>
  <sheetData>
    <row r="1" spans="1:98">
      <c r="B1" t="s">
        <v>34</v>
      </c>
      <c r="C1" s="1">
        <f>'DATA ENTRY'!E15</f>
        <v>1499.9958369144247</v>
      </c>
      <c r="T1" t="s">
        <v>253</v>
      </c>
    </row>
    <row r="2" spans="1:98">
      <c r="B2" s="2" t="s">
        <v>35</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c r="AB2" s="3">
        <v>25</v>
      </c>
      <c r="AC2" s="3">
        <v>26</v>
      </c>
      <c r="AD2" s="3">
        <v>27</v>
      </c>
      <c r="AE2" s="3">
        <v>28</v>
      </c>
      <c r="AF2" s="3">
        <v>29</v>
      </c>
      <c r="AG2" s="3">
        <v>30</v>
      </c>
      <c r="AH2" s="3">
        <v>31</v>
      </c>
      <c r="AI2" s="3">
        <v>32</v>
      </c>
      <c r="AJ2" s="3">
        <v>33</v>
      </c>
      <c r="AK2" s="3">
        <v>34</v>
      </c>
      <c r="AL2" s="3">
        <v>35</v>
      </c>
      <c r="AM2" s="3">
        <v>36</v>
      </c>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c r="BL2" s="191"/>
      <c r="BM2" s="191"/>
      <c r="BN2" s="191"/>
      <c r="BO2" s="191"/>
      <c r="BP2" s="191"/>
      <c r="BQ2" s="191"/>
      <c r="BR2" s="191"/>
      <c r="BS2" s="191"/>
      <c r="BT2" s="191"/>
      <c r="BU2" s="191"/>
      <c r="BV2" s="191"/>
      <c r="BW2" s="191"/>
      <c r="BX2" s="191"/>
      <c r="BY2" s="191"/>
      <c r="BZ2" s="191"/>
      <c r="CA2" s="191"/>
      <c r="CB2" s="191"/>
      <c r="CC2" s="191"/>
      <c r="CD2" s="191"/>
      <c r="CE2" s="191"/>
      <c r="CF2" s="191"/>
      <c r="CG2" s="191"/>
      <c r="CH2" s="191"/>
      <c r="CI2" s="191"/>
      <c r="CJ2" s="191"/>
      <c r="CK2" s="191"/>
      <c r="CL2" s="191"/>
      <c r="CM2" s="191"/>
      <c r="CN2" s="191"/>
      <c r="CO2" s="191"/>
      <c r="CP2" s="191"/>
      <c r="CQ2" s="191"/>
      <c r="CR2" s="191"/>
      <c r="CS2" s="191"/>
      <c r="CT2" s="191"/>
    </row>
    <row r="3" spans="1:98">
      <c r="B3" s="2" t="s">
        <v>6</v>
      </c>
      <c r="C3" s="4">
        <f>'DATA ENTRY'!E4</f>
        <v>53999.850128919286</v>
      </c>
      <c r="D3" s="4"/>
      <c r="E3" s="4"/>
      <c r="F3" s="4"/>
      <c r="G3" s="4"/>
      <c r="H3" s="4"/>
      <c r="I3" s="4"/>
      <c r="J3" s="4"/>
      <c r="K3" s="4"/>
      <c r="L3" s="4"/>
      <c r="M3" s="4"/>
      <c r="N3" s="4"/>
      <c r="O3" s="4"/>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row>
    <row r="4" spans="1:98">
      <c r="A4">
        <v>41</v>
      </c>
      <c r="B4" s="2" t="s">
        <v>14</v>
      </c>
      <c r="C4" s="4">
        <f>'DATA ENTRY'!E12</f>
        <v>47517.036783333329</v>
      </c>
      <c r="D4" s="6">
        <f t="shared" ref="D4:AM4" si="0">-$C1</f>
        <v>-1499.9958369144247</v>
      </c>
      <c r="E4" s="6">
        <f t="shared" si="0"/>
        <v>-1499.9958369144247</v>
      </c>
      <c r="F4" s="6">
        <f t="shared" si="0"/>
        <v>-1499.9958369144247</v>
      </c>
      <c r="G4" s="6">
        <f t="shared" si="0"/>
        <v>-1499.9958369144247</v>
      </c>
      <c r="H4" s="6">
        <f t="shared" si="0"/>
        <v>-1499.9958369144247</v>
      </c>
      <c r="I4" s="6">
        <f t="shared" si="0"/>
        <v>-1499.9958369144247</v>
      </c>
      <c r="J4" s="6">
        <f t="shared" si="0"/>
        <v>-1499.9958369144247</v>
      </c>
      <c r="K4" s="6">
        <f t="shared" si="0"/>
        <v>-1499.9958369144247</v>
      </c>
      <c r="L4" s="6">
        <f t="shared" si="0"/>
        <v>-1499.9958369144247</v>
      </c>
      <c r="M4" s="6">
        <f t="shared" si="0"/>
        <v>-1499.9958369144247</v>
      </c>
      <c r="N4" s="6">
        <f t="shared" si="0"/>
        <v>-1499.9958369144247</v>
      </c>
      <c r="O4" s="6">
        <f t="shared" si="0"/>
        <v>-1499.9958369144247</v>
      </c>
      <c r="P4" s="6">
        <f t="shared" si="0"/>
        <v>-1499.9958369144247</v>
      </c>
      <c r="Q4" s="6">
        <f t="shared" si="0"/>
        <v>-1499.9958369144247</v>
      </c>
      <c r="R4" s="6">
        <f t="shared" si="0"/>
        <v>-1499.9958369144247</v>
      </c>
      <c r="S4" s="6">
        <f t="shared" si="0"/>
        <v>-1499.9958369144247</v>
      </c>
      <c r="T4" s="6">
        <f t="shared" si="0"/>
        <v>-1499.9958369144247</v>
      </c>
      <c r="U4" s="6">
        <f t="shared" si="0"/>
        <v>-1499.9958369144247</v>
      </c>
      <c r="V4" s="6">
        <f t="shared" si="0"/>
        <v>-1499.9958369144247</v>
      </c>
      <c r="W4" s="6">
        <f t="shared" si="0"/>
        <v>-1499.9958369144247</v>
      </c>
      <c r="X4" s="6">
        <f t="shared" si="0"/>
        <v>-1499.9958369144247</v>
      </c>
      <c r="Y4" s="6">
        <f t="shared" si="0"/>
        <v>-1499.9958369144247</v>
      </c>
      <c r="Z4" s="6">
        <f t="shared" si="0"/>
        <v>-1499.9958369144247</v>
      </c>
      <c r="AA4" s="6">
        <f t="shared" si="0"/>
        <v>-1499.9958369144247</v>
      </c>
      <c r="AB4" s="6">
        <f t="shared" si="0"/>
        <v>-1499.9958369144247</v>
      </c>
      <c r="AC4" s="6">
        <f t="shared" si="0"/>
        <v>-1499.9958369144247</v>
      </c>
      <c r="AD4" s="6">
        <f t="shared" si="0"/>
        <v>-1499.9958369144247</v>
      </c>
      <c r="AE4" s="6">
        <f t="shared" si="0"/>
        <v>-1499.9958369144247</v>
      </c>
      <c r="AF4" s="6">
        <f t="shared" si="0"/>
        <v>-1499.9958369144247</v>
      </c>
      <c r="AG4" s="6">
        <f t="shared" si="0"/>
        <v>-1499.9958369144247</v>
      </c>
      <c r="AH4" s="6">
        <f t="shared" si="0"/>
        <v>-1499.9958369144247</v>
      </c>
      <c r="AI4" s="6">
        <f t="shared" si="0"/>
        <v>-1499.9958369144247</v>
      </c>
      <c r="AJ4" s="6">
        <f t="shared" si="0"/>
        <v>-1499.9958369144247</v>
      </c>
      <c r="AK4" s="6">
        <f t="shared" si="0"/>
        <v>-1499.9958369144247</v>
      </c>
      <c r="AL4" s="6">
        <f t="shared" si="0"/>
        <v>-1499.9958369144247</v>
      </c>
      <c r="AM4" s="6">
        <f t="shared" si="0"/>
        <v>-1499.9958369144247</v>
      </c>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row>
    <row r="5" spans="1:98">
      <c r="B5" s="2" t="s">
        <v>9</v>
      </c>
      <c r="C5" s="4">
        <f>'DATA ENTRY'!E7</f>
        <v>2988.3759999999997</v>
      </c>
      <c r="D5" s="4"/>
      <c r="E5" s="4"/>
      <c r="F5" s="4"/>
      <c r="G5" s="4"/>
      <c r="H5" s="4"/>
      <c r="I5" s="4"/>
      <c r="J5" s="4"/>
      <c r="K5" s="4"/>
      <c r="L5" s="4"/>
      <c r="M5" s="4"/>
      <c r="N5" s="4"/>
      <c r="O5" s="4"/>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row>
    <row r="6" spans="1:98">
      <c r="B6" s="2" t="s">
        <v>10</v>
      </c>
      <c r="C6" s="4">
        <f>'DATA ENTRY'!E8</f>
        <v>1344.7691999999997</v>
      </c>
      <c r="D6" s="4"/>
      <c r="E6" s="4"/>
      <c r="F6" s="4"/>
      <c r="G6" s="4"/>
      <c r="H6" s="4"/>
      <c r="I6" s="4"/>
      <c r="J6" s="4"/>
      <c r="K6" s="4"/>
      <c r="L6" s="4"/>
      <c r="M6" s="4"/>
      <c r="N6" s="4"/>
      <c r="O6" s="4"/>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row>
    <row r="7" spans="1:98">
      <c r="B7" s="2" t="s">
        <v>11</v>
      </c>
      <c r="C7" s="4">
        <f>'DATA ENTRY'!E9</f>
        <v>5000</v>
      </c>
      <c r="D7" s="4"/>
      <c r="E7" s="4"/>
      <c r="F7" s="4"/>
      <c r="G7" s="4"/>
      <c r="H7" s="4"/>
      <c r="I7" s="4"/>
      <c r="J7" s="4"/>
      <c r="K7" s="4"/>
      <c r="L7" s="4"/>
      <c r="M7" s="4"/>
      <c r="N7" s="4"/>
      <c r="O7" s="4"/>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row>
    <row r="8" spans="1:98">
      <c r="B8" s="2" t="s">
        <v>12</v>
      </c>
      <c r="C8" s="4">
        <f>'DATA ENTRY'!E10</f>
        <v>300</v>
      </c>
      <c r="D8" s="4"/>
      <c r="E8" s="4"/>
      <c r="F8" s="4"/>
      <c r="G8" s="4"/>
      <c r="H8" s="4"/>
      <c r="I8" s="4"/>
      <c r="J8" s="4"/>
      <c r="K8" s="4"/>
      <c r="L8" s="4"/>
      <c r="M8" s="4"/>
      <c r="N8" s="4"/>
      <c r="O8" s="4"/>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row>
    <row r="9" spans="1:98">
      <c r="B9" s="2" t="s">
        <v>13</v>
      </c>
      <c r="C9" s="4">
        <f>'DATA ENTRY'!E11</f>
        <v>529.19158333333337</v>
      </c>
      <c r="D9" s="4"/>
      <c r="E9" s="4"/>
      <c r="F9" s="4"/>
      <c r="G9" s="4"/>
      <c r="H9" s="4"/>
      <c r="I9" s="4"/>
      <c r="J9" s="4"/>
      <c r="K9" s="4"/>
      <c r="L9" s="4"/>
      <c r="M9" s="4"/>
      <c r="N9" s="4"/>
      <c r="O9" s="4"/>
      <c r="P9" s="67"/>
      <c r="Q9" s="67"/>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7"/>
      <c r="BK9" s="67"/>
      <c r="BL9" s="67"/>
      <c r="BM9" s="67"/>
      <c r="BN9" s="67"/>
      <c r="BO9" s="67"/>
      <c r="BP9" s="67"/>
      <c r="BQ9" s="67"/>
      <c r="BR9" s="67"/>
      <c r="BS9" s="67"/>
      <c r="BT9" s="67"/>
      <c r="BU9" s="67"/>
      <c r="BV9" s="67"/>
      <c r="BW9" s="67"/>
      <c r="BX9" s="67"/>
      <c r="BY9" s="67"/>
      <c r="BZ9" s="67"/>
      <c r="CA9" s="67"/>
      <c r="CB9" s="67"/>
      <c r="CC9" s="67"/>
      <c r="CD9" s="67"/>
      <c r="CE9" s="67"/>
      <c r="CF9" s="67"/>
      <c r="CG9" s="67"/>
      <c r="CH9" s="67"/>
      <c r="CI9" s="67"/>
      <c r="CJ9" s="67"/>
      <c r="CK9" s="67"/>
      <c r="CL9" s="67"/>
      <c r="CM9" s="67"/>
      <c r="CN9" s="67"/>
      <c r="CO9" s="67"/>
      <c r="CP9" s="67"/>
      <c r="CQ9" s="67"/>
      <c r="CR9" s="67"/>
      <c r="CS9" s="67"/>
      <c r="CT9" s="67"/>
    </row>
    <row r="10" spans="1:98">
      <c r="B10" s="5" t="s">
        <v>36</v>
      </c>
      <c r="C10" s="6">
        <f>C4-C5-C6-C7-C8-C9</f>
        <v>37354.699999999997</v>
      </c>
      <c r="AN10" s="67"/>
      <c r="AO10" s="67"/>
      <c r="AP10" s="67"/>
      <c r="AQ10" s="67"/>
      <c r="AR10" s="67"/>
      <c r="AS10" s="67"/>
      <c r="AT10" s="67"/>
      <c r="AU10" s="67"/>
      <c r="AV10" s="67"/>
      <c r="AW10" s="67"/>
      <c r="AX10" s="67"/>
      <c r="AY10" s="67"/>
      <c r="AZ10" s="67"/>
      <c r="BA10" s="67"/>
      <c r="BB10" s="67"/>
      <c r="BC10" s="67"/>
      <c r="BD10" s="67"/>
      <c r="BE10" s="67"/>
      <c r="BF10" s="67"/>
      <c r="BG10" s="67"/>
      <c r="BH10" s="67"/>
      <c r="BI10" s="67"/>
      <c r="BJ10" s="67"/>
      <c r="BK10" s="67"/>
      <c r="BL10" s="67"/>
      <c r="BM10" s="67"/>
      <c r="BN10" s="67"/>
      <c r="BO10" s="67"/>
      <c r="BP10" s="67"/>
      <c r="BQ10" s="67"/>
      <c r="BR10" s="67"/>
      <c r="BS10" s="67"/>
      <c r="BT10" s="67"/>
      <c r="BU10" s="67"/>
      <c r="BV10" s="67"/>
      <c r="BW10" s="67"/>
      <c r="BX10" s="67"/>
      <c r="BY10" s="67"/>
      <c r="BZ10" s="67"/>
      <c r="CA10" s="67"/>
      <c r="CB10" s="67"/>
      <c r="CC10" s="67"/>
      <c r="CD10" s="67"/>
      <c r="CE10" s="67"/>
      <c r="CF10" s="67"/>
      <c r="CG10" s="67"/>
      <c r="CH10" s="67"/>
      <c r="CI10" s="67"/>
      <c r="CJ10" s="67"/>
      <c r="CK10" s="67"/>
      <c r="CL10" s="67"/>
      <c r="CM10" s="67"/>
      <c r="CN10" s="67"/>
      <c r="CO10" s="67"/>
      <c r="CP10" s="67"/>
      <c r="CQ10" s="67"/>
      <c r="CR10" s="67"/>
      <c r="CS10" s="67"/>
      <c r="CT10" s="67"/>
    </row>
    <row r="12" spans="1:98">
      <c r="B12" t="s">
        <v>37</v>
      </c>
      <c r="C12" s="7">
        <f>IRR(C4:AM4)</f>
        <v>7.0833333333333304E-3</v>
      </c>
      <c r="D12">
        <f>C12/5</f>
        <v>1.4166666666666661E-3</v>
      </c>
    </row>
    <row r="13" spans="1:98">
      <c r="C13" s="8"/>
    </row>
    <row r="14" spans="1:98">
      <c r="B14" t="s">
        <v>254</v>
      </c>
      <c r="C14" s="192"/>
    </row>
    <row r="15" spans="1:98">
      <c r="B15" t="s">
        <v>29</v>
      </c>
      <c r="C15" s="9">
        <f>'[3]Data Entry'!D12/12</f>
        <v>7.0833333333333338E-3</v>
      </c>
    </row>
    <row r="16" spans="1:98">
      <c r="B16" t="s">
        <v>16</v>
      </c>
      <c r="C16" s="115">
        <f>'[3]Data Entry'!D13</f>
        <v>8.855359027416676E-2</v>
      </c>
    </row>
    <row r="17" spans="2:57">
      <c r="B17" t="s">
        <v>190</v>
      </c>
      <c r="C17">
        <v>36</v>
      </c>
    </row>
    <row r="19" spans="2:57" ht="15" thickBot="1">
      <c r="H19" s="10"/>
    </row>
    <row r="20" spans="2:57" ht="15.75" customHeight="1">
      <c r="B20" s="1"/>
      <c r="C20" s="350" t="s">
        <v>38</v>
      </c>
      <c r="D20" s="351"/>
      <c r="E20" s="351"/>
      <c r="F20" s="351"/>
      <c r="G20" s="351"/>
      <c r="H20" s="352"/>
      <c r="I20" s="24"/>
      <c r="J20" s="26"/>
      <c r="K20" s="27"/>
      <c r="L20" s="27"/>
      <c r="M20" s="27"/>
      <c r="N20" s="27"/>
      <c r="O20" s="28"/>
      <c r="P20" s="27"/>
      <c r="Q20" s="27"/>
      <c r="R20" s="27"/>
      <c r="S20" s="27"/>
      <c r="T20" s="27"/>
      <c r="U20" s="45"/>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row>
    <row r="21" spans="2:57" ht="15.6">
      <c r="C21" s="353"/>
      <c r="D21" s="354"/>
      <c r="E21" s="354"/>
      <c r="F21" s="354"/>
      <c r="G21" s="354"/>
      <c r="H21" s="355"/>
      <c r="J21" s="29"/>
      <c r="K21" s="30"/>
      <c r="L21" s="30"/>
      <c r="M21" s="30"/>
      <c r="N21" s="30"/>
      <c r="O21" s="31"/>
      <c r="P21" s="30"/>
      <c r="Q21" s="30"/>
      <c r="R21" s="30"/>
      <c r="S21" s="30"/>
      <c r="T21" s="30"/>
      <c r="U21" s="46"/>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row>
    <row r="22" spans="2:57" ht="15.6">
      <c r="C22" s="11" t="s">
        <v>39</v>
      </c>
      <c r="D22" s="535" t="s">
        <v>345</v>
      </c>
      <c r="E22" s="287"/>
      <c r="F22" s="288"/>
      <c r="G22" s="2" t="s">
        <v>40</v>
      </c>
      <c r="H22" s="284" t="s">
        <v>350</v>
      </c>
      <c r="J22" s="29"/>
      <c r="K22" s="30"/>
      <c r="L22" s="30"/>
      <c r="M22" s="30"/>
      <c r="N22" s="30"/>
      <c r="O22" s="32"/>
      <c r="P22" s="30"/>
      <c r="Q22" s="30"/>
      <c r="R22" s="30"/>
      <c r="S22" s="30"/>
      <c r="T22" s="30"/>
      <c r="U22" s="46"/>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row>
    <row r="23" spans="2:57" ht="15.75" customHeight="1">
      <c r="C23" s="11" t="s">
        <v>257</v>
      </c>
      <c r="D23" s="283" t="s">
        <v>344</v>
      </c>
      <c r="E23" s="20" t="s">
        <v>42</v>
      </c>
      <c r="F23" s="519" t="s">
        <v>346</v>
      </c>
      <c r="G23" s="519"/>
      <c r="H23" s="520"/>
      <c r="I23" s="121"/>
      <c r="J23" s="194"/>
      <c r="K23" s="121"/>
      <c r="L23" s="121"/>
      <c r="M23" s="121"/>
      <c r="N23" s="121"/>
      <c r="O23" s="121"/>
      <c r="P23" s="121"/>
      <c r="Q23" s="121"/>
      <c r="R23" s="121"/>
      <c r="S23" s="121"/>
      <c r="T23" s="121"/>
      <c r="U23" s="195"/>
      <c r="V23" s="121"/>
      <c r="W23" s="121"/>
      <c r="X23" s="121"/>
      <c r="Y23" s="121"/>
      <c r="Z23" s="121"/>
      <c r="AA23" s="121"/>
      <c r="AB23" s="121"/>
      <c r="AC23" s="121"/>
      <c r="AD23" s="121"/>
      <c r="AE23" s="121"/>
      <c r="AF23" s="121"/>
      <c r="AG23" s="121"/>
      <c r="AH23" s="121"/>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row>
    <row r="24" spans="2:57" ht="21">
      <c r="C24" s="322" t="s">
        <v>44</v>
      </c>
      <c r="D24" s="2" t="s">
        <v>45</v>
      </c>
      <c r="E24" s="196">
        <v>46031</v>
      </c>
      <c r="F24" s="2" t="s">
        <v>46</v>
      </c>
      <c r="G24" s="20">
        <f>B63</f>
        <v>47186</v>
      </c>
      <c r="H24" s="15"/>
      <c r="J24" s="29"/>
      <c r="K24" s="334" t="s">
        <v>55</v>
      </c>
      <c r="L24" s="334"/>
      <c r="M24" s="334"/>
      <c r="N24" s="334"/>
      <c r="O24" s="334"/>
      <c r="P24" s="334"/>
      <c r="Q24" s="334"/>
      <c r="R24" s="334"/>
      <c r="S24" s="334"/>
      <c r="T24" s="334"/>
      <c r="U24" s="46"/>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row>
    <row r="25" spans="2:57" ht="15.6">
      <c r="C25" s="322"/>
      <c r="D25" s="2" t="s">
        <v>47</v>
      </c>
      <c r="E25" s="2">
        <v>36</v>
      </c>
      <c r="F25" s="2" t="s">
        <v>48</v>
      </c>
      <c r="G25" s="2"/>
      <c r="H25" s="15"/>
      <c r="J25" s="29"/>
      <c r="K25" s="335" t="s">
        <v>56</v>
      </c>
      <c r="L25" s="335"/>
      <c r="M25" s="335"/>
      <c r="N25" s="335"/>
      <c r="O25" s="335"/>
      <c r="P25" s="335"/>
      <c r="Q25" s="335"/>
      <c r="R25" s="335"/>
      <c r="S25" s="335"/>
      <c r="T25" s="335"/>
      <c r="U25" s="46"/>
      <c r="W25" s="120"/>
      <c r="X25" s="514" t="s">
        <v>108</v>
      </c>
      <c r="Y25" s="514"/>
      <c r="Z25" s="514"/>
      <c r="AA25" s="514"/>
      <c r="AB25" s="514"/>
      <c r="AC25" s="514"/>
      <c r="AD25" s="514"/>
      <c r="AE25" s="514"/>
      <c r="AF25" s="514"/>
      <c r="AG25" s="514"/>
      <c r="AH25" s="514"/>
      <c r="AI25" s="514"/>
      <c r="AJ25" s="514"/>
      <c r="AK25" s="514"/>
      <c r="AL25" s="514"/>
      <c r="AM25" s="514"/>
      <c r="AN25" s="514"/>
      <c r="AO25" s="514"/>
      <c r="AP25" s="514"/>
      <c r="AQ25" s="514"/>
      <c r="AR25" s="514"/>
      <c r="AS25" s="514"/>
      <c r="AT25" s="514"/>
      <c r="AU25" s="514"/>
      <c r="AV25" s="514"/>
      <c r="AW25" s="514"/>
      <c r="AX25" s="514"/>
      <c r="AY25" s="514"/>
      <c r="AZ25" s="514"/>
      <c r="BA25" s="514"/>
      <c r="BB25" s="514"/>
      <c r="BC25" s="514"/>
      <c r="BD25" s="514"/>
      <c r="BE25" s="120"/>
    </row>
    <row r="26" spans="2:57" ht="15.6">
      <c r="C26" s="322"/>
      <c r="D26" s="2" t="s">
        <v>49</v>
      </c>
      <c r="E26" s="92" t="s">
        <v>50</v>
      </c>
      <c r="F26" s="92" t="s">
        <v>51</v>
      </c>
      <c r="G26" s="92" t="s">
        <v>52</v>
      </c>
      <c r="H26" s="107" t="s">
        <v>53</v>
      </c>
      <c r="J26" s="29"/>
      <c r="K26" s="30"/>
      <c r="L26" s="30"/>
      <c r="M26" s="30"/>
      <c r="N26" s="30"/>
      <c r="O26" s="32"/>
      <c r="P26" s="30"/>
      <c r="Q26" s="30"/>
      <c r="R26" s="30"/>
      <c r="S26" s="30"/>
      <c r="T26" s="30"/>
      <c r="U26" s="46"/>
      <c r="W26" s="120"/>
      <c r="X26" s="514" t="s">
        <v>109</v>
      </c>
      <c r="Y26" s="514"/>
      <c r="Z26" s="514"/>
      <c r="AA26" s="514"/>
      <c r="AB26" s="514"/>
      <c r="AC26" s="514"/>
      <c r="AD26" s="514"/>
      <c r="AE26" s="514"/>
      <c r="AF26" s="514"/>
      <c r="AG26" s="514"/>
      <c r="AH26" s="514"/>
      <c r="AI26" s="514"/>
      <c r="AJ26" s="514"/>
      <c r="AK26" s="514"/>
      <c r="AL26" s="514"/>
      <c r="AM26" s="514"/>
      <c r="AN26" s="514"/>
      <c r="AO26" s="514"/>
      <c r="AP26" s="514"/>
      <c r="AQ26" s="514"/>
      <c r="AR26" s="514"/>
      <c r="AS26" s="514"/>
      <c r="AT26" s="514"/>
      <c r="AU26" s="514"/>
      <c r="AV26" s="514"/>
      <c r="AW26" s="514"/>
      <c r="AX26" s="514"/>
      <c r="AY26" s="514"/>
      <c r="AZ26" s="514"/>
      <c r="BA26" s="514"/>
      <c r="BB26" s="514"/>
      <c r="BC26" s="514"/>
      <c r="BD26" s="514"/>
      <c r="BE26" s="120"/>
    </row>
    <row r="27" spans="2:57" ht="17.399999999999999">
      <c r="C27" s="322"/>
      <c r="D27" s="2" t="s">
        <v>54</v>
      </c>
      <c r="E27" s="2"/>
      <c r="F27" s="2"/>
      <c r="G27" s="2"/>
      <c r="H27" s="21">
        <f>C4</f>
        <v>47517.036783333329</v>
      </c>
      <c r="J27" s="29"/>
      <c r="K27" s="336" t="s">
        <v>57</v>
      </c>
      <c r="L27" s="336"/>
      <c r="M27" s="336"/>
      <c r="N27" s="336"/>
      <c r="O27" s="336"/>
      <c r="P27" s="336"/>
      <c r="Q27" s="336"/>
      <c r="R27" s="336"/>
      <c r="S27" s="336"/>
      <c r="T27" s="336"/>
      <c r="U27" s="46"/>
      <c r="W27" s="120"/>
      <c r="X27" s="514" t="s">
        <v>110</v>
      </c>
      <c r="Y27" s="514"/>
      <c r="Z27" s="514"/>
      <c r="AA27" s="514"/>
      <c r="AB27" s="514"/>
      <c r="AC27" s="514"/>
      <c r="AD27" s="514"/>
      <c r="AE27" s="514"/>
      <c r="AF27" s="514"/>
      <c r="AG27" s="514"/>
      <c r="AH27" s="514"/>
      <c r="AI27" s="514"/>
      <c r="AJ27" s="514"/>
      <c r="AK27" s="514"/>
      <c r="AL27" s="514"/>
      <c r="AM27" s="514"/>
      <c r="AN27" s="514"/>
      <c r="AO27" s="514"/>
      <c r="AP27" s="514"/>
      <c r="AQ27" s="514"/>
      <c r="AR27" s="514"/>
      <c r="AS27" s="514"/>
      <c r="AT27" s="514"/>
      <c r="AU27" s="514"/>
      <c r="AV27" s="514"/>
      <c r="AW27" s="514"/>
      <c r="AX27" s="514"/>
      <c r="AY27" s="514"/>
      <c r="AZ27" s="514"/>
      <c r="BA27" s="514"/>
      <c r="BB27" s="514"/>
      <c r="BC27" s="514"/>
      <c r="BD27" s="514"/>
      <c r="BE27" s="120"/>
    </row>
    <row r="28" spans="2:57" ht="15.6">
      <c r="B28" s="22">
        <f>DATE(YEAR(E$24),MONTH(E$24)+D28+2,DAY(E$24))</f>
        <v>46121</v>
      </c>
      <c r="C28" s="23" t="str">
        <f t="shared" ref="C28:C63" si="1">TEXT(B28,"mmm-yyyy")</f>
        <v>Apr-2026</v>
      </c>
      <c r="D28" s="2">
        <v>1</v>
      </c>
      <c r="E28" s="93">
        <f t="shared" ref="E28:E63" si="2">C$1</f>
        <v>1499.9958369144247</v>
      </c>
      <c r="F28" s="104">
        <f>E28-G28</f>
        <v>1163.4168263658137</v>
      </c>
      <c r="G28" s="105">
        <f>H27*C$12</f>
        <v>336.57901054861094</v>
      </c>
      <c r="H28" s="21">
        <f>H27-F28</f>
        <v>46353.619956967515</v>
      </c>
      <c r="J28" s="29"/>
      <c r="K28" s="33"/>
      <c r="L28" s="33"/>
      <c r="M28" s="33"/>
      <c r="N28" s="33"/>
      <c r="O28" s="31"/>
      <c r="P28" s="33"/>
      <c r="Q28" s="30"/>
      <c r="R28" s="30"/>
      <c r="S28" s="30"/>
      <c r="T28" s="30"/>
      <c r="U28" s="46"/>
      <c r="W28" s="120"/>
      <c r="X28" s="120"/>
      <c r="Y28" s="120"/>
      <c r="Z28" s="120"/>
      <c r="AA28" s="120"/>
      <c r="AB28" s="120"/>
      <c r="AC28" s="120"/>
      <c r="AD28" s="120"/>
      <c r="AE28" s="122"/>
      <c r="AF28" s="122"/>
      <c r="AG28" s="122"/>
      <c r="AH28" s="122"/>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row>
    <row r="29" spans="2:57" ht="15.6">
      <c r="B29" s="22">
        <f t="shared" ref="B29:B63" si="3">DATE(YEAR(E$24),MONTH(E$24)+D29+2,DAY(E$24))</f>
        <v>46151</v>
      </c>
      <c r="C29" s="23" t="str">
        <f t="shared" si="1"/>
        <v>May-2026</v>
      </c>
      <c r="D29" s="2">
        <v>2</v>
      </c>
      <c r="E29" s="93">
        <f t="shared" si="2"/>
        <v>1499.9958369144247</v>
      </c>
      <c r="F29" s="104">
        <f t="shared" ref="F29:F63" si="4">E29-G29</f>
        <v>1171.6576955525716</v>
      </c>
      <c r="G29" s="105">
        <f t="shared" ref="G29:G63" si="5">H28*C$12</f>
        <v>328.3381413618531</v>
      </c>
      <c r="H29" s="21">
        <f t="shared" ref="H29:H63" si="6">H28-F29</f>
        <v>45181.962261414941</v>
      </c>
      <c r="J29" s="29"/>
      <c r="K29" s="33"/>
      <c r="L29" s="33"/>
      <c r="M29" s="33"/>
      <c r="N29" s="33"/>
      <c r="O29" s="31"/>
      <c r="P29" s="33"/>
      <c r="Q29" s="30"/>
      <c r="R29" s="35" t="s">
        <v>58</v>
      </c>
      <c r="S29" s="534" t="s">
        <v>358</v>
      </c>
      <c r="T29" s="534"/>
      <c r="U29" s="46"/>
      <c r="W29" s="123"/>
      <c r="X29" s="486" t="s">
        <v>111</v>
      </c>
      <c r="Y29" s="487"/>
      <c r="Z29" s="487"/>
      <c r="AA29" s="487"/>
      <c r="AB29" s="487"/>
      <c r="AC29" s="487"/>
      <c r="AD29" s="487"/>
      <c r="AE29" s="487"/>
      <c r="AF29" s="487"/>
      <c r="AG29" s="487"/>
      <c r="AH29" s="487"/>
      <c r="AI29" s="487"/>
      <c r="AJ29" s="487"/>
      <c r="AK29" s="487"/>
      <c r="AL29" s="487"/>
      <c r="AM29" s="487"/>
      <c r="AN29" s="487"/>
      <c r="AO29" s="487"/>
      <c r="AP29" s="487"/>
      <c r="AQ29" s="487"/>
      <c r="AR29" s="487"/>
      <c r="AS29" s="487"/>
      <c r="AT29" s="487"/>
      <c r="AU29" s="487"/>
      <c r="AV29" s="487"/>
      <c r="AW29" s="487"/>
      <c r="AX29" s="487"/>
      <c r="AY29" s="487"/>
      <c r="AZ29" s="487"/>
      <c r="BA29" s="487"/>
      <c r="BB29" s="487"/>
      <c r="BC29" s="487"/>
      <c r="BD29" s="488"/>
      <c r="BE29" s="120"/>
    </row>
    <row r="30" spans="2:57" ht="15.6">
      <c r="B30" s="22">
        <f t="shared" si="3"/>
        <v>46182</v>
      </c>
      <c r="C30" s="23" t="str">
        <f t="shared" si="1"/>
        <v>Jun-2026</v>
      </c>
      <c r="D30" s="2">
        <v>3</v>
      </c>
      <c r="E30" s="93">
        <f t="shared" si="2"/>
        <v>1499.9958369144247</v>
      </c>
      <c r="F30" s="104">
        <f t="shared" si="4"/>
        <v>1179.9569375627357</v>
      </c>
      <c r="G30" s="105">
        <f t="shared" si="5"/>
        <v>320.03889935168905</v>
      </c>
      <c r="H30" s="21">
        <f t="shared" si="6"/>
        <v>44002.005323852209</v>
      </c>
      <c r="J30" s="29"/>
      <c r="K30" s="33"/>
      <c r="L30" s="33"/>
      <c r="M30" s="33"/>
      <c r="N30" s="33"/>
      <c r="O30" s="31"/>
      <c r="P30" s="33"/>
      <c r="Q30" s="30"/>
      <c r="R30" s="35" t="s">
        <v>59</v>
      </c>
      <c r="S30" s="512" t="str">
        <f>H22</f>
        <v>LV-059</v>
      </c>
      <c r="T30" s="512"/>
      <c r="U30" s="46"/>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513" t="s">
        <v>58</v>
      </c>
      <c r="AV30" s="513"/>
      <c r="AW30" s="124">
        <v>0</v>
      </c>
      <c r="AX30" s="125">
        <v>1</v>
      </c>
      <c r="AY30" s="125">
        <v>0</v>
      </c>
      <c r="AZ30" s="125">
        <v>9</v>
      </c>
      <c r="BA30" s="125">
        <v>2</v>
      </c>
      <c r="BB30" s="125">
        <v>0</v>
      </c>
      <c r="BC30" s="125">
        <v>2</v>
      </c>
      <c r="BD30" s="126">
        <v>6</v>
      </c>
      <c r="BE30" s="120"/>
    </row>
    <row r="31" spans="2:57" ht="15.6">
      <c r="B31" s="22">
        <f t="shared" si="3"/>
        <v>46212</v>
      </c>
      <c r="C31" s="23" t="str">
        <f t="shared" si="1"/>
        <v>Jul-2026</v>
      </c>
      <c r="D31" s="108">
        <v>4</v>
      </c>
      <c r="E31" s="93">
        <f t="shared" si="2"/>
        <v>1499.9958369144247</v>
      </c>
      <c r="F31" s="104">
        <f t="shared" si="4"/>
        <v>1188.3149658704717</v>
      </c>
      <c r="G31" s="105">
        <f t="shared" si="5"/>
        <v>311.680871043953</v>
      </c>
      <c r="H31" s="21">
        <f t="shared" si="6"/>
        <v>42813.690357981737</v>
      </c>
      <c r="J31" s="29"/>
      <c r="K31" s="33"/>
      <c r="L31" s="33"/>
      <c r="M31" s="33"/>
      <c r="N31" s="33"/>
      <c r="O31" s="31"/>
      <c r="P31" s="33"/>
      <c r="Q31" s="30"/>
      <c r="R31" s="35"/>
      <c r="S31" s="47"/>
      <c r="T31" s="30"/>
      <c r="U31" s="46"/>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7" t="s">
        <v>112</v>
      </c>
      <c r="AX31" s="127" t="s">
        <v>112</v>
      </c>
      <c r="AY31" s="127" t="s">
        <v>113</v>
      </c>
      <c r="AZ31" s="127" t="s">
        <v>113</v>
      </c>
      <c r="BA31" s="127" t="s">
        <v>114</v>
      </c>
      <c r="BB31" s="127" t="s">
        <v>114</v>
      </c>
      <c r="BC31" s="127" t="s">
        <v>114</v>
      </c>
      <c r="BD31" s="127" t="s">
        <v>114</v>
      </c>
      <c r="BE31" s="120"/>
    </row>
    <row r="32" spans="2:57" ht="15.6">
      <c r="B32" s="22">
        <f t="shared" si="3"/>
        <v>46243</v>
      </c>
      <c r="C32" s="23" t="str">
        <f t="shared" si="1"/>
        <v>Aug-2026</v>
      </c>
      <c r="D32" s="2">
        <v>5</v>
      </c>
      <c r="E32" s="93">
        <f t="shared" si="2"/>
        <v>1499.9958369144247</v>
      </c>
      <c r="F32" s="104">
        <f t="shared" si="4"/>
        <v>1196.7321968787207</v>
      </c>
      <c r="G32" s="105">
        <f t="shared" si="5"/>
        <v>303.26364003570387</v>
      </c>
      <c r="H32" s="21">
        <f t="shared" si="6"/>
        <v>41616.958161103015</v>
      </c>
      <c r="J32" s="34"/>
      <c r="K32" s="35" t="s">
        <v>60</v>
      </c>
      <c r="L32" s="35"/>
      <c r="M32" s="35"/>
      <c r="N32" s="357" t="str">
        <f>D22</f>
        <v>TABAQUERO, ARTHUR I.</v>
      </c>
      <c r="O32" s="357"/>
      <c r="P32" s="357"/>
      <c r="Q32" s="357"/>
      <c r="R32" s="357"/>
      <c r="S32" s="357"/>
      <c r="T32" s="38"/>
      <c r="U32" s="48"/>
      <c r="W32" s="120"/>
      <c r="X32" s="454" t="s">
        <v>115</v>
      </c>
      <c r="Y32" s="454"/>
      <c r="Z32" s="454"/>
      <c r="AA32" s="454"/>
      <c r="AB32" s="454"/>
      <c r="AC32" s="454"/>
      <c r="AD32" s="454"/>
      <c r="AE32" s="454" t="s">
        <v>116</v>
      </c>
      <c r="AF32" s="454"/>
      <c r="AG32" s="454"/>
      <c r="AH32" s="454"/>
      <c r="AI32" s="454"/>
      <c r="AJ32" s="454"/>
      <c r="AK32" s="454"/>
      <c r="AL32" s="454"/>
      <c r="AM32" s="454" t="s">
        <v>117</v>
      </c>
      <c r="AN32" s="454"/>
      <c r="AO32" s="454"/>
      <c r="AP32" s="454"/>
      <c r="AQ32" s="454"/>
      <c r="AR32" s="454"/>
      <c r="AS32" s="454"/>
      <c r="AT32" s="454" t="s">
        <v>118</v>
      </c>
      <c r="AU32" s="454"/>
      <c r="AV32" s="454"/>
      <c r="AW32" s="454"/>
      <c r="AX32" s="454"/>
      <c r="AY32" s="454"/>
      <c r="AZ32" s="454"/>
      <c r="BA32" s="454"/>
      <c r="BB32" s="454"/>
      <c r="BC32" s="454"/>
      <c r="BD32" s="454"/>
      <c r="BE32" s="123"/>
    </row>
    <row r="33" spans="2:57" ht="15.6">
      <c r="B33" s="22">
        <f t="shared" si="3"/>
        <v>46274</v>
      </c>
      <c r="C33" s="23" t="str">
        <f t="shared" si="1"/>
        <v>Sep-2026</v>
      </c>
      <c r="D33" s="2">
        <v>6</v>
      </c>
      <c r="E33" s="93">
        <f t="shared" si="2"/>
        <v>1499.9958369144247</v>
      </c>
      <c r="F33" s="104">
        <f t="shared" si="4"/>
        <v>1205.2090499399451</v>
      </c>
      <c r="G33" s="105">
        <f t="shared" si="5"/>
        <v>294.78678697447958</v>
      </c>
      <c r="H33" s="21">
        <f t="shared" si="6"/>
        <v>40411.749111163073</v>
      </c>
      <c r="J33" s="34"/>
      <c r="K33" s="35" t="s">
        <v>61</v>
      </c>
      <c r="L33" s="35"/>
      <c r="M33" s="35"/>
      <c r="N33" s="533" t="str">
        <f>D23</f>
        <v>O-7704</v>
      </c>
      <c r="O33" s="509"/>
      <c r="P33" s="509"/>
      <c r="Q33" s="509"/>
      <c r="R33" s="509"/>
      <c r="S33" s="509"/>
      <c r="T33" s="38"/>
      <c r="U33" s="48"/>
      <c r="W33" s="120"/>
      <c r="X33" s="129"/>
      <c r="Y33" s="454" t="s">
        <v>119</v>
      </c>
      <c r="Z33" s="454"/>
      <c r="AA33" s="454"/>
      <c r="AB33" s="454"/>
      <c r="AC33" s="454"/>
      <c r="AD33" s="454"/>
      <c r="AE33" s="129"/>
      <c r="AF33" s="454" t="s">
        <v>120</v>
      </c>
      <c r="AG33" s="454"/>
      <c r="AH33" s="454"/>
      <c r="AI33" s="454"/>
      <c r="AJ33" s="454"/>
      <c r="AK33" s="454"/>
      <c r="AL33" s="454"/>
      <c r="AM33" s="129"/>
      <c r="AN33" s="123" t="s">
        <v>83</v>
      </c>
      <c r="AO33" s="120"/>
      <c r="AP33" s="120"/>
      <c r="AQ33" s="120"/>
      <c r="AR33" s="120"/>
      <c r="AS33" s="120"/>
      <c r="AT33" s="129"/>
      <c r="AU33" s="454" t="s">
        <v>121</v>
      </c>
      <c r="AV33" s="454"/>
      <c r="AW33" s="454"/>
      <c r="AX33" s="454"/>
      <c r="AY33" s="454"/>
      <c r="AZ33" s="454"/>
      <c r="BA33" s="454"/>
      <c r="BB33" s="454"/>
      <c r="BC33" s="454"/>
      <c r="BD33" s="454"/>
      <c r="BE33" s="120"/>
    </row>
    <row r="34" spans="2:57" ht="15.6">
      <c r="B34" s="22">
        <f t="shared" si="3"/>
        <v>46304</v>
      </c>
      <c r="C34" s="23" t="str">
        <f t="shared" si="1"/>
        <v>Oct-2026</v>
      </c>
      <c r="D34" s="2">
        <v>7</v>
      </c>
      <c r="E34" s="93">
        <f t="shared" si="2"/>
        <v>1499.9958369144247</v>
      </c>
      <c r="F34" s="104">
        <f t="shared" si="4"/>
        <v>1213.7459473770195</v>
      </c>
      <c r="G34" s="105">
        <f t="shared" si="5"/>
        <v>286.24988953740501</v>
      </c>
      <c r="H34" s="21">
        <f t="shared" si="6"/>
        <v>39198.003163786052</v>
      </c>
      <c r="J34" s="34"/>
      <c r="K34" s="35" t="s">
        <v>42</v>
      </c>
      <c r="L34" s="35"/>
      <c r="M34" s="35"/>
      <c r="N34" s="510" t="str">
        <f>F23</f>
        <v>#49 RICARTE ST. AFPOVAI WESTERN BICUTAN TAGUIG CITY METRO MANILA</v>
      </c>
      <c r="O34" s="511"/>
      <c r="P34" s="511"/>
      <c r="Q34" s="511"/>
      <c r="R34" s="511"/>
      <c r="S34" s="511"/>
      <c r="T34" s="38"/>
      <c r="U34" s="48"/>
      <c r="W34" s="120"/>
      <c r="X34" s="129"/>
      <c r="Y34" s="454" t="s">
        <v>122</v>
      </c>
      <c r="Z34" s="454"/>
      <c r="AA34" s="454"/>
      <c r="AB34" s="454"/>
      <c r="AC34" s="454"/>
      <c r="AD34" s="454"/>
      <c r="AE34" s="129"/>
      <c r="AF34" s="454" t="s">
        <v>123</v>
      </c>
      <c r="AG34" s="454"/>
      <c r="AH34" s="454"/>
      <c r="AI34" s="454"/>
      <c r="AJ34" s="454"/>
      <c r="AK34" s="454"/>
      <c r="AL34" s="454"/>
      <c r="AM34" s="129"/>
      <c r="AN34" s="123" t="s">
        <v>84</v>
      </c>
      <c r="AO34" s="120"/>
      <c r="AP34" s="120"/>
      <c r="AQ34" s="120"/>
      <c r="AR34" s="120"/>
      <c r="AS34" s="120"/>
      <c r="AT34" s="129"/>
      <c r="AU34" s="454" t="s">
        <v>124</v>
      </c>
      <c r="AV34" s="454"/>
      <c r="AW34" s="454"/>
      <c r="AX34" s="454"/>
      <c r="AY34" s="454"/>
      <c r="AZ34" s="454"/>
      <c r="BA34" s="454"/>
      <c r="BB34" s="454"/>
      <c r="BC34" s="454"/>
      <c r="BD34" s="454"/>
      <c r="BE34" s="120"/>
    </row>
    <row r="35" spans="2:57" ht="16.2" thickBot="1">
      <c r="B35" s="22">
        <f t="shared" si="3"/>
        <v>46335</v>
      </c>
      <c r="C35" s="23" t="str">
        <f t="shared" si="1"/>
        <v>Nov-2026</v>
      </c>
      <c r="D35" s="2">
        <v>8</v>
      </c>
      <c r="E35" s="93">
        <f t="shared" si="2"/>
        <v>1499.9958369144247</v>
      </c>
      <c r="F35" s="104">
        <f t="shared" si="4"/>
        <v>1222.3433145042736</v>
      </c>
      <c r="G35" s="105">
        <f t="shared" si="5"/>
        <v>277.65252241015111</v>
      </c>
      <c r="H35" s="21">
        <f t="shared" si="6"/>
        <v>37975.659849281779</v>
      </c>
      <c r="J35" s="29"/>
      <c r="K35" s="33"/>
      <c r="L35" s="33"/>
      <c r="M35" s="33"/>
      <c r="N35" s="36"/>
      <c r="O35" s="38"/>
      <c r="P35" s="38"/>
      <c r="Q35" s="30"/>
      <c r="R35" s="30"/>
      <c r="S35" s="30"/>
      <c r="T35" s="30"/>
      <c r="U35" s="46"/>
      <c r="W35" s="120"/>
      <c r="X35" s="129"/>
      <c r="Y35" s="454" t="s">
        <v>125</v>
      </c>
      <c r="Z35" s="454"/>
      <c r="AA35" s="454"/>
      <c r="AB35" s="454"/>
      <c r="AC35" s="454"/>
      <c r="AD35" s="454"/>
      <c r="AE35" s="129"/>
      <c r="AF35" s="454" t="s">
        <v>126</v>
      </c>
      <c r="AG35" s="454"/>
      <c r="AH35" s="454"/>
      <c r="AI35" s="454"/>
      <c r="AJ35" s="454"/>
      <c r="AK35" s="454"/>
      <c r="AL35" s="454"/>
      <c r="AM35" s="129"/>
      <c r="AN35" s="123" t="s">
        <v>85</v>
      </c>
      <c r="AO35" s="120"/>
      <c r="AP35" s="120"/>
      <c r="AQ35" s="120"/>
      <c r="AR35" s="120"/>
      <c r="AS35" s="120"/>
      <c r="AT35" s="129"/>
      <c r="AU35" s="123" t="s">
        <v>127</v>
      </c>
      <c r="AV35" s="123"/>
      <c r="AW35" s="507"/>
      <c r="AX35" s="507"/>
      <c r="AY35" s="507"/>
      <c r="AZ35" s="507"/>
      <c r="BA35" s="507"/>
      <c r="BB35" s="123"/>
      <c r="BC35" s="123"/>
      <c r="BD35" s="123"/>
      <c r="BE35" s="120"/>
    </row>
    <row r="36" spans="2:57" ht="15.6">
      <c r="B36" s="22">
        <f t="shared" si="3"/>
        <v>46365</v>
      </c>
      <c r="C36" s="23" t="str">
        <f t="shared" si="1"/>
        <v>Dec-2026</v>
      </c>
      <c r="D36" s="2">
        <v>9</v>
      </c>
      <c r="E36" s="93">
        <f t="shared" si="2"/>
        <v>1499.9958369144247</v>
      </c>
      <c r="F36" s="104">
        <f t="shared" si="4"/>
        <v>1231.0015796486789</v>
      </c>
      <c r="G36" s="105">
        <f t="shared" si="5"/>
        <v>268.99425726574583</v>
      </c>
      <c r="H36" s="21">
        <f t="shared" si="6"/>
        <v>36744.658269633102</v>
      </c>
      <c r="J36" s="29"/>
      <c r="K36" s="33"/>
      <c r="L36" s="35" t="s">
        <v>62</v>
      </c>
      <c r="M36" s="33"/>
      <c r="N36" s="33"/>
      <c r="O36" s="31"/>
      <c r="P36" s="33"/>
      <c r="Q36" s="49"/>
      <c r="R36" s="331">
        <f>C4</f>
        <v>47517.036783333329</v>
      </c>
      <c r="S36" s="331"/>
      <c r="T36" s="331"/>
      <c r="U36" s="46"/>
      <c r="W36" s="120"/>
      <c r="X36" s="129"/>
      <c r="Y36" s="454" t="s">
        <v>128</v>
      </c>
      <c r="Z36" s="454"/>
      <c r="AA36" s="454"/>
      <c r="AB36" s="454"/>
      <c r="AC36" s="454"/>
      <c r="AD36" s="454"/>
      <c r="AE36" s="129"/>
      <c r="AF36" s="454" t="s">
        <v>129</v>
      </c>
      <c r="AG36" s="454"/>
      <c r="AH36" s="454"/>
      <c r="AI36" s="454"/>
      <c r="AJ36" s="454"/>
      <c r="AK36" s="454"/>
      <c r="AL36" s="454"/>
      <c r="AM36" s="129"/>
      <c r="AN36" s="123" t="s">
        <v>86</v>
      </c>
      <c r="AO36" s="120"/>
      <c r="AP36" s="120"/>
      <c r="AQ36" s="120"/>
      <c r="AR36" s="120"/>
      <c r="AS36" s="120"/>
      <c r="AT36" s="120"/>
      <c r="AU36" s="120"/>
      <c r="AV36" s="120"/>
      <c r="AW36" s="120"/>
      <c r="AX36" s="120"/>
      <c r="AY36" s="120"/>
      <c r="AZ36" s="120"/>
      <c r="BA36" s="120"/>
      <c r="BB36" s="120"/>
      <c r="BC36" s="120"/>
      <c r="BD36" s="120"/>
      <c r="BE36" s="120"/>
    </row>
    <row r="37" spans="2:57" ht="15.6">
      <c r="B37" s="22">
        <f t="shared" si="3"/>
        <v>46396</v>
      </c>
      <c r="C37" s="23" t="str">
        <f t="shared" si="1"/>
        <v>Jan-2027</v>
      </c>
      <c r="D37" s="2">
        <v>10</v>
      </c>
      <c r="E37" s="93">
        <f t="shared" si="2"/>
        <v>1499.9958369144247</v>
      </c>
      <c r="F37" s="104">
        <f t="shared" si="4"/>
        <v>1239.7211741711903</v>
      </c>
      <c r="G37" s="105">
        <f t="shared" si="5"/>
        <v>260.27466274323439</v>
      </c>
      <c r="H37" s="21">
        <f t="shared" si="6"/>
        <v>35504.937095461915</v>
      </c>
      <c r="J37" s="29"/>
      <c r="K37" s="33"/>
      <c r="L37" s="35"/>
      <c r="M37" s="33"/>
      <c r="N37" s="33"/>
      <c r="O37" s="31"/>
      <c r="P37" s="33"/>
      <c r="Q37" s="49"/>
      <c r="R37" s="333"/>
      <c r="S37" s="333"/>
      <c r="T37" s="333"/>
      <c r="U37" s="46"/>
      <c r="W37" s="120"/>
      <c r="X37" s="129"/>
      <c r="Y37" s="454" t="s">
        <v>130</v>
      </c>
      <c r="Z37" s="454"/>
      <c r="AA37" s="454"/>
      <c r="AB37" s="454"/>
      <c r="AC37" s="454"/>
      <c r="AD37" s="454"/>
      <c r="AE37" s="129"/>
      <c r="AF37" s="454" t="s">
        <v>131</v>
      </c>
      <c r="AG37" s="454"/>
      <c r="AH37" s="454"/>
      <c r="AI37" s="454"/>
      <c r="AJ37" s="454"/>
      <c r="AK37" s="454"/>
      <c r="AL37" s="454"/>
      <c r="AM37" s="129"/>
      <c r="AN37" s="123" t="s">
        <v>87</v>
      </c>
      <c r="AO37" s="120"/>
      <c r="AP37" s="120"/>
      <c r="AQ37" s="120"/>
      <c r="AR37" s="120"/>
      <c r="AS37" s="120"/>
      <c r="AT37" s="120"/>
      <c r="AU37" s="120"/>
      <c r="AV37" s="120"/>
      <c r="AW37" s="120"/>
      <c r="AX37" s="120"/>
      <c r="AY37" s="120"/>
      <c r="AZ37" s="120"/>
      <c r="BA37" s="120"/>
      <c r="BB37" s="120"/>
      <c r="BC37" s="120"/>
      <c r="BD37" s="120"/>
      <c r="BE37" s="120"/>
    </row>
    <row r="38" spans="2:57" ht="16.2" thickBot="1">
      <c r="B38" s="22">
        <f t="shared" si="3"/>
        <v>46427</v>
      </c>
      <c r="C38" s="23" t="str">
        <f t="shared" si="1"/>
        <v>Feb-2027</v>
      </c>
      <c r="D38" s="2">
        <v>11</v>
      </c>
      <c r="E38" s="93">
        <f t="shared" si="2"/>
        <v>1499.9958369144247</v>
      </c>
      <c r="F38" s="104">
        <f t="shared" si="4"/>
        <v>1248.5025324882363</v>
      </c>
      <c r="G38" s="105">
        <f t="shared" si="5"/>
        <v>251.49330442618847</v>
      </c>
      <c r="H38" s="21">
        <f t="shared" si="6"/>
        <v>34256.434562973678</v>
      </c>
      <c r="J38" s="39"/>
      <c r="K38" s="40"/>
      <c r="L38" s="41" t="s">
        <v>63</v>
      </c>
      <c r="M38" s="40" t="s">
        <v>64</v>
      </c>
      <c r="N38" s="40"/>
      <c r="O38" s="42"/>
      <c r="P38" s="40"/>
      <c r="Q38" s="36"/>
      <c r="R38" s="331">
        <f>-C14</f>
        <v>0</v>
      </c>
      <c r="S38" s="331"/>
      <c r="T38" s="331"/>
      <c r="U38" s="37"/>
      <c r="W38" s="120"/>
      <c r="X38" s="410"/>
      <c r="Y38" s="410"/>
      <c r="Z38" s="410"/>
      <c r="AA38" s="410"/>
      <c r="AB38" s="410"/>
      <c r="AC38" s="410"/>
      <c r="AD38" s="410"/>
      <c r="AE38" s="131"/>
      <c r="AF38" s="123" t="s">
        <v>132</v>
      </c>
      <c r="AG38" s="123"/>
      <c r="AH38" s="425"/>
      <c r="AI38" s="425"/>
      <c r="AJ38" s="425"/>
      <c r="AK38" s="425"/>
      <c r="AL38" s="506"/>
      <c r="AM38" s="131"/>
      <c r="AN38" s="123" t="s">
        <v>127</v>
      </c>
      <c r="AO38" s="120"/>
      <c r="AP38" s="508"/>
      <c r="AQ38" s="508"/>
      <c r="AR38" s="508"/>
      <c r="AS38" s="508"/>
      <c r="AT38" s="508"/>
      <c r="AU38" s="120"/>
      <c r="AV38" s="120"/>
      <c r="AW38" s="120"/>
      <c r="AX38" s="120"/>
      <c r="AY38" s="120"/>
      <c r="AZ38" s="120"/>
      <c r="BA38" s="120"/>
      <c r="BB38" s="120"/>
      <c r="BC38" s="120"/>
      <c r="BD38" s="120"/>
      <c r="BE38" s="120"/>
    </row>
    <row r="39" spans="2:57" ht="15.6">
      <c r="B39" s="22">
        <f t="shared" si="3"/>
        <v>46455</v>
      </c>
      <c r="C39" s="23" t="str">
        <f t="shared" si="1"/>
        <v>Mar-2027</v>
      </c>
      <c r="D39" s="2">
        <v>12</v>
      </c>
      <c r="E39" s="93">
        <f t="shared" si="2"/>
        <v>1499.9958369144247</v>
      </c>
      <c r="F39" s="104">
        <f t="shared" si="4"/>
        <v>1257.3460920933612</v>
      </c>
      <c r="G39" s="105">
        <f t="shared" si="5"/>
        <v>242.64974482106345</v>
      </c>
      <c r="H39" s="21">
        <f t="shared" si="6"/>
        <v>32999.088470880321</v>
      </c>
      <c r="J39" s="39"/>
      <c r="K39" s="40"/>
      <c r="L39" s="41" t="s">
        <v>63</v>
      </c>
      <c r="M39" s="40" t="s">
        <v>65</v>
      </c>
      <c r="N39" s="40"/>
      <c r="O39" s="42"/>
      <c r="P39" s="40"/>
      <c r="Q39" s="36"/>
      <c r="R39" s="331">
        <f>-C8</f>
        <v>-300</v>
      </c>
      <c r="S39" s="331"/>
      <c r="T39" s="331"/>
      <c r="U39" s="37"/>
      <c r="W39" s="120"/>
      <c r="X39" s="132" t="s">
        <v>133</v>
      </c>
      <c r="Y39" s="133"/>
      <c r="Z39" s="133"/>
      <c r="AA39" s="133"/>
      <c r="AB39" s="503">
        <f>R44</f>
        <v>37354.699999999997</v>
      </c>
      <c r="AC39" s="503"/>
      <c r="AD39" s="503"/>
      <c r="AE39" s="503"/>
      <c r="AF39" s="503"/>
      <c r="AG39" s="503"/>
      <c r="AH39" s="504"/>
      <c r="AI39" s="504"/>
      <c r="AJ39" s="504"/>
      <c r="AK39" s="504"/>
      <c r="AL39" s="504"/>
      <c r="AM39" s="505"/>
      <c r="AN39" s="132" t="s">
        <v>134</v>
      </c>
      <c r="AO39" s="133"/>
      <c r="AP39" s="134"/>
      <c r="AQ39" s="134"/>
      <c r="AR39" s="134"/>
      <c r="AS39" s="134"/>
      <c r="AT39" s="504">
        <f>R49</f>
        <v>1499.9958369144247</v>
      </c>
      <c r="AU39" s="503"/>
      <c r="AV39" s="503"/>
      <c r="AW39" s="503"/>
      <c r="AX39" s="503"/>
      <c r="AY39" s="503"/>
      <c r="AZ39" s="503"/>
      <c r="BA39" s="503"/>
      <c r="BB39" s="503"/>
      <c r="BC39" s="503"/>
      <c r="BD39" s="505"/>
      <c r="BE39" s="120"/>
    </row>
    <row r="40" spans="2:57" ht="15.6">
      <c r="B40" s="22">
        <f t="shared" si="3"/>
        <v>46486</v>
      </c>
      <c r="C40" s="23" t="str">
        <f t="shared" si="1"/>
        <v>Apr-2027</v>
      </c>
      <c r="D40" s="2">
        <v>13</v>
      </c>
      <c r="E40" s="93">
        <f t="shared" si="2"/>
        <v>1499.9958369144247</v>
      </c>
      <c r="F40" s="104">
        <f t="shared" si="4"/>
        <v>1266.2522935790225</v>
      </c>
      <c r="G40" s="105">
        <f t="shared" si="5"/>
        <v>233.74354333540217</v>
      </c>
      <c r="H40" s="21">
        <f t="shared" si="6"/>
        <v>31732.836177301298</v>
      </c>
      <c r="J40" s="39"/>
      <c r="K40" s="40"/>
      <c r="L40" s="41" t="s">
        <v>63</v>
      </c>
      <c r="M40" s="40" t="s">
        <v>66</v>
      </c>
      <c r="N40" s="40"/>
      <c r="O40" s="42"/>
      <c r="P40" s="40"/>
      <c r="Q40" s="36"/>
      <c r="R40" s="332">
        <f>-C7</f>
        <v>-5000</v>
      </c>
      <c r="S40" s="332"/>
      <c r="T40" s="332"/>
      <c r="U40" s="37"/>
      <c r="W40" s="120"/>
      <c r="X40" s="135"/>
      <c r="Y40" s="136"/>
      <c r="Z40" s="136"/>
      <c r="AA40" s="136"/>
      <c r="AB40" s="419"/>
      <c r="AC40" s="419"/>
      <c r="AD40" s="419"/>
      <c r="AE40" s="419"/>
      <c r="AF40" s="419"/>
      <c r="AG40" s="419"/>
      <c r="AH40" s="419"/>
      <c r="AI40" s="419"/>
      <c r="AJ40" s="419"/>
      <c r="AK40" s="419"/>
      <c r="AL40" s="419"/>
      <c r="AM40" s="420"/>
      <c r="AN40" s="135"/>
      <c r="AO40" s="136"/>
      <c r="AP40" s="136"/>
      <c r="AQ40" s="136"/>
      <c r="AR40" s="136"/>
      <c r="AS40" s="136"/>
      <c r="AT40" s="419"/>
      <c r="AU40" s="419"/>
      <c r="AV40" s="419"/>
      <c r="AW40" s="419"/>
      <c r="AX40" s="419"/>
      <c r="AY40" s="419"/>
      <c r="AZ40" s="419"/>
      <c r="BA40" s="419"/>
      <c r="BB40" s="419"/>
      <c r="BC40" s="419"/>
      <c r="BD40" s="420"/>
      <c r="BE40" s="120"/>
    </row>
    <row r="41" spans="2:57" ht="15.6">
      <c r="B41" s="22">
        <f t="shared" si="3"/>
        <v>46516</v>
      </c>
      <c r="C41" s="23" t="str">
        <f t="shared" si="1"/>
        <v>May-2027</v>
      </c>
      <c r="D41" s="2">
        <v>14</v>
      </c>
      <c r="E41" s="93">
        <f t="shared" si="2"/>
        <v>1499.9958369144247</v>
      </c>
      <c r="F41" s="104">
        <f t="shared" si="4"/>
        <v>1275.2215806585405</v>
      </c>
      <c r="G41" s="105">
        <f t="shared" si="5"/>
        <v>224.7742562558841</v>
      </c>
      <c r="H41" s="21">
        <f t="shared" si="6"/>
        <v>30457.614596642758</v>
      </c>
      <c r="J41" s="39"/>
      <c r="K41" s="40"/>
      <c r="L41" s="41" t="s">
        <v>63</v>
      </c>
      <c r="M41" s="40" t="s">
        <v>9</v>
      </c>
      <c r="N41" s="40"/>
      <c r="O41" s="42"/>
      <c r="P41" s="40"/>
      <c r="Q41" s="36"/>
      <c r="R41" s="332">
        <f>-C5</f>
        <v>-2988.3759999999997</v>
      </c>
      <c r="S41" s="332"/>
      <c r="T41" s="332"/>
      <c r="U41" s="37"/>
      <c r="W41" s="120"/>
      <c r="X41" s="493" t="s">
        <v>135</v>
      </c>
      <c r="Y41" s="494"/>
      <c r="Z41" s="498"/>
      <c r="AA41" s="499"/>
      <c r="AB41" s="499"/>
      <c r="AC41" s="499"/>
      <c r="AD41" s="499"/>
      <c r="AE41" s="500"/>
      <c r="AF41" s="138" t="s">
        <v>136</v>
      </c>
      <c r="AG41" s="136"/>
      <c r="AH41" s="136"/>
      <c r="AI41" s="136"/>
      <c r="AJ41" s="470" t="s">
        <v>356</v>
      </c>
      <c r="AK41" s="470"/>
      <c r="AL41" s="470"/>
      <c r="AM41" s="470"/>
      <c r="AN41" s="470"/>
      <c r="AO41" s="470"/>
      <c r="AP41" s="470"/>
      <c r="AQ41" s="471"/>
      <c r="AR41" s="139" t="s">
        <v>137</v>
      </c>
      <c r="AS41" s="140"/>
      <c r="AT41" s="140"/>
      <c r="AU41" s="140"/>
      <c r="AV41" s="470"/>
      <c r="AW41" s="470"/>
      <c r="AX41" s="470"/>
      <c r="AY41" s="470"/>
      <c r="AZ41" s="470"/>
      <c r="BA41" s="470"/>
      <c r="BB41" s="470"/>
      <c r="BC41" s="470"/>
      <c r="BD41" s="471"/>
      <c r="BE41" s="120"/>
    </row>
    <row r="42" spans="2:57" ht="15.6">
      <c r="B42" s="22">
        <f t="shared" si="3"/>
        <v>46547</v>
      </c>
      <c r="C42" s="23" t="str">
        <f t="shared" si="1"/>
        <v>Jun-2027</v>
      </c>
      <c r="D42" s="2">
        <v>15</v>
      </c>
      <c r="E42" s="93">
        <f t="shared" si="2"/>
        <v>1499.9958369144247</v>
      </c>
      <c r="F42" s="104">
        <f t="shared" si="4"/>
        <v>1284.2544001882052</v>
      </c>
      <c r="G42" s="105">
        <f t="shared" si="5"/>
        <v>215.74143672621943</v>
      </c>
      <c r="H42" s="21">
        <f t="shared" si="6"/>
        <v>29173.360196454552</v>
      </c>
      <c r="J42" s="39"/>
      <c r="K42" s="40"/>
      <c r="L42" s="41" t="s">
        <v>63</v>
      </c>
      <c r="M42" s="40" t="s">
        <v>67</v>
      </c>
      <c r="N42" s="40"/>
      <c r="O42" s="42"/>
      <c r="P42" s="40"/>
      <c r="Q42" s="36"/>
      <c r="R42" s="332">
        <f>-C6</f>
        <v>-1344.7691999999997</v>
      </c>
      <c r="S42" s="332"/>
      <c r="T42" s="332"/>
      <c r="U42" s="37"/>
      <c r="W42" s="120"/>
      <c r="X42" s="491" t="s">
        <v>138</v>
      </c>
      <c r="Y42" s="492"/>
      <c r="Z42" s="495"/>
      <c r="AA42" s="496"/>
      <c r="AB42" s="496"/>
      <c r="AC42" s="496"/>
      <c r="AD42" s="496"/>
      <c r="AE42" s="497"/>
      <c r="AF42" s="142"/>
      <c r="AG42" s="141" t="s">
        <v>139</v>
      </c>
      <c r="AH42" s="143"/>
      <c r="AI42" s="143"/>
      <c r="AJ42" s="143"/>
      <c r="AK42" s="143"/>
      <c r="AL42" s="143"/>
      <c r="AM42" s="143"/>
      <c r="AN42" s="143"/>
      <c r="AO42" s="143"/>
      <c r="AP42" s="143"/>
      <c r="AQ42" s="144"/>
      <c r="AR42" s="145"/>
      <c r="AS42" s="491" t="s">
        <v>140</v>
      </c>
      <c r="AT42" s="501"/>
      <c r="AU42" s="501"/>
      <c r="AV42" s="143"/>
      <c r="AW42" s="143"/>
      <c r="AX42" s="143"/>
      <c r="AY42" s="143"/>
      <c r="AZ42" s="143"/>
      <c r="BA42" s="143"/>
      <c r="BB42" s="143"/>
      <c r="BC42" s="143"/>
      <c r="BD42" s="144"/>
      <c r="BE42" s="120"/>
    </row>
    <row r="43" spans="2:57" ht="15.6">
      <c r="B43" s="22">
        <f t="shared" si="3"/>
        <v>46577</v>
      </c>
      <c r="C43" s="23" t="str">
        <f t="shared" si="1"/>
        <v>Jul-2027</v>
      </c>
      <c r="D43" s="2">
        <v>16</v>
      </c>
      <c r="E43" s="93">
        <f t="shared" si="2"/>
        <v>1499.9958369144247</v>
      </c>
      <c r="F43" s="104">
        <f t="shared" si="4"/>
        <v>1293.3512021895383</v>
      </c>
      <c r="G43" s="105">
        <f t="shared" si="5"/>
        <v>206.64463472488632</v>
      </c>
      <c r="H43" s="21">
        <f t="shared" si="6"/>
        <v>27880.008994265016</v>
      </c>
      <c r="J43" s="16"/>
      <c r="L43" s="41" t="s">
        <v>63</v>
      </c>
      <c r="M43" s="40" t="s">
        <v>13</v>
      </c>
      <c r="R43" s="332">
        <f>-C9</f>
        <v>-529.19158333333337</v>
      </c>
      <c r="S43" s="332"/>
      <c r="T43" s="332"/>
      <c r="U43" s="216"/>
      <c r="W43" s="120"/>
      <c r="X43" s="493"/>
      <c r="Y43" s="494"/>
      <c r="Z43" s="498"/>
      <c r="AA43" s="499"/>
      <c r="AB43" s="499"/>
      <c r="AC43" s="499"/>
      <c r="AD43" s="499"/>
      <c r="AE43" s="500"/>
      <c r="AF43" s="129"/>
      <c r="AG43" s="137" t="s">
        <v>141</v>
      </c>
      <c r="AH43" s="146"/>
      <c r="AI43" s="146"/>
      <c r="AJ43" s="146"/>
      <c r="AK43" s="146"/>
      <c r="AL43" s="146"/>
      <c r="AM43" s="146"/>
      <c r="AN43" s="146"/>
      <c r="AO43" s="146"/>
      <c r="AP43" s="146"/>
      <c r="AQ43" s="147"/>
      <c r="AR43" s="129"/>
      <c r="AS43" s="493" t="s">
        <v>142</v>
      </c>
      <c r="AT43" s="502"/>
      <c r="AU43" s="502"/>
      <c r="AV43" s="146"/>
      <c r="AW43" s="146"/>
      <c r="AX43" s="146"/>
      <c r="AY43" s="146"/>
      <c r="AZ43" s="146"/>
      <c r="BA43" s="146"/>
      <c r="BB43" s="146"/>
      <c r="BC43" s="146"/>
      <c r="BD43" s="147"/>
      <c r="BE43" s="120"/>
    </row>
    <row r="44" spans="2:57" ht="15.6">
      <c r="B44" s="22">
        <f t="shared" si="3"/>
        <v>46608</v>
      </c>
      <c r="C44" s="23" t="str">
        <f t="shared" si="1"/>
        <v>Aug-2027</v>
      </c>
      <c r="D44" s="2">
        <v>17</v>
      </c>
      <c r="E44" s="93">
        <f t="shared" si="2"/>
        <v>1499.9958369144247</v>
      </c>
      <c r="F44" s="104">
        <f t="shared" si="4"/>
        <v>1302.5124398717142</v>
      </c>
      <c r="G44" s="105">
        <f t="shared" si="5"/>
        <v>197.48339704271044</v>
      </c>
      <c r="H44" s="21">
        <f t="shared" si="6"/>
        <v>26577.496554393303</v>
      </c>
      <c r="J44" s="29"/>
      <c r="K44" s="33"/>
      <c r="L44" s="35" t="s">
        <v>68</v>
      </c>
      <c r="M44" s="33"/>
      <c r="N44" s="33"/>
      <c r="O44" s="31"/>
      <c r="P44" s="33"/>
      <c r="Q44" s="30"/>
      <c r="R44" s="331">
        <f>SUM(R36:T43)</f>
        <v>37354.699999999997</v>
      </c>
      <c r="S44" s="331"/>
      <c r="T44" s="331"/>
      <c r="U44" s="46"/>
      <c r="W44" s="120"/>
      <c r="X44" s="486" t="s">
        <v>143</v>
      </c>
      <c r="Y44" s="487"/>
      <c r="Z44" s="487"/>
      <c r="AA44" s="487"/>
      <c r="AB44" s="487"/>
      <c r="AC44" s="487"/>
      <c r="AD44" s="487"/>
      <c r="AE44" s="487"/>
      <c r="AF44" s="487"/>
      <c r="AG44" s="487"/>
      <c r="AH44" s="487"/>
      <c r="AI44" s="487"/>
      <c r="AJ44" s="487"/>
      <c r="AK44" s="487"/>
      <c r="AL44" s="487"/>
      <c r="AM44" s="487"/>
      <c r="AN44" s="487"/>
      <c r="AO44" s="487"/>
      <c r="AP44" s="487"/>
      <c r="AQ44" s="487"/>
      <c r="AR44" s="487"/>
      <c r="AS44" s="487"/>
      <c r="AT44" s="487"/>
      <c r="AU44" s="487"/>
      <c r="AV44" s="487"/>
      <c r="AW44" s="487"/>
      <c r="AX44" s="487"/>
      <c r="AY44" s="487"/>
      <c r="AZ44" s="487"/>
      <c r="BA44" s="487"/>
      <c r="BB44" s="487"/>
      <c r="BC44" s="487"/>
      <c r="BD44" s="488"/>
      <c r="BE44" s="120"/>
    </row>
    <row r="45" spans="2:57" ht="16.2" thickBot="1">
      <c r="B45" s="22">
        <f t="shared" si="3"/>
        <v>46639</v>
      </c>
      <c r="C45" s="23" t="str">
        <f t="shared" si="1"/>
        <v>Sep-2027</v>
      </c>
      <c r="D45" s="2">
        <v>18</v>
      </c>
      <c r="E45" s="93">
        <f t="shared" si="2"/>
        <v>1499.9958369144247</v>
      </c>
      <c r="F45" s="104">
        <f t="shared" si="4"/>
        <v>1311.7385696541389</v>
      </c>
      <c r="G45" s="105">
        <f t="shared" si="5"/>
        <v>188.25726726028583</v>
      </c>
      <c r="H45" s="21">
        <f t="shared" si="6"/>
        <v>25265.757984739164</v>
      </c>
      <c r="J45" s="29"/>
      <c r="K45" s="30"/>
      <c r="L45" s="30"/>
      <c r="M45" s="30"/>
      <c r="N45" s="30"/>
      <c r="O45" s="32"/>
      <c r="P45" s="30"/>
      <c r="Q45" s="30"/>
      <c r="R45" s="30"/>
      <c r="S45" s="30"/>
      <c r="T45" s="30"/>
      <c r="U45" s="46"/>
      <c r="W45" s="120"/>
      <c r="X45" s="489" t="s">
        <v>352</v>
      </c>
      <c r="Y45" s="489"/>
      <c r="Z45" s="489"/>
      <c r="AA45" s="489"/>
      <c r="AB45" s="489"/>
      <c r="AC45" s="489"/>
      <c r="AD45" s="489" t="s">
        <v>353</v>
      </c>
      <c r="AE45" s="489"/>
      <c r="AF45" s="489"/>
      <c r="AG45" s="489"/>
      <c r="AH45" s="489"/>
      <c r="AI45" s="489"/>
      <c r="AJ45" s="489"/>
      <c r="AK45" s="489"/>
      <c r="AL45" s="489"/>
      <c r="AM45" s="489"/>
      <c r="AN45" s="489" t="s">
        <v>354</v>
      </c>
      <c r="AO45" s="489"/>
      <c r="AP45" s="489"/>
      <c r="AQ45" s="489"/>
      <c r="AR45" s="489"/>
      <c r="AS45" s="489"/>
      <c r="AT45" s="489"/>
      <c r="AU45" s="489"/>
      <c r="AV45" s="489"/>
      <c r="AW45" s="489"/>
      <c r="AX45" s="489"/>
      <c r="AY45" s="489"/>
      <c r="AZ45" s="490"/>
      <c r="BA45" s="490"/>
      <c r="BB45" s="134"/>
      <c r="BC45" s="134"/>
      <c r="BD45" s="134"/>
      <c r="BE45" s="120"/>
    </row>
    <row r="46" spans="2:57" ht="15.6">
      <c r="B46" s="22">
        <f t="shared" si="3"/>
        <v>46669</v>
      </c>
      <c r="C46" s="23" t="str">
        <f t="shared" si="1"/>
        <v>Oct-2027</v>
      </c>
      <c r="D46" s="2">
        <v>19</v>
      </c>
      <c r="E46" s="93">
        <f t="shared" si="2"/>
        <v>1499.9958369144247</v>
      </c>
      <c r="F46" s="104">
        <f t="shared" si="4"/>
        <v>1321.030051189189</v>
      </c>
      <c r="G46" s="105">
        <f t="shared" si="5"/>
        <v>178.96578572523566</v>
      </c>
      <c r="H46" s="21">
        <f t="shared" si="6"/>
        <v>23944.727933549977</v>
      </c>
      <c r="J46" s="29"/>
      <c r="K46" s="190" t="s">
        <v>69</v>
      </c>
      <c r="L46" s="190"/>
      <c r="M46" s="190"/>
      <c r="N46" s="190"/>
      <c r="O46" s="190"/>
      <c r="P46" s="190"/>
      <c r="Q46" s="190"/>
      <c r="R46" s="190"/>
      <c r="S46" s="190"/>
      <c r="T46" s="190"/>
      <c r="U46" s="46"/>
      <c r="W46" s="120"/>
      <c r="X46" s="123" t="s">
        <v>144</v>
      </c>
      <c r="Y46" s="128"/>
      <c r="Z46" s="128"/>
      <c r="AA46" s="123"/>
      <c r="AB46" s="123"/>
      <c r="AC46" s="123"/>
      <c r="AD46" s="123" t="s">
        <v>145</v>
      </c>
      <c r="AE46" s="123"/>
      <c r="AF46" s="123"/>
      <c r="AG46" s="123"/>
      <c r="AH46" s="123"/>
      <c r="AI46" s="123"/>
      <c r="AJ46" s="123"/>
      <c r="AK46" s="123"/>
      <c r="AL46" s="120"/>
      <c r="AM46" s="123"/>
      <c r="AN46" s="123" t="s">
        <v>146</v>
      </c>
      <c r="AO46" s="123"/>
      <c r="AP46" s="123"/>
      <c r="AQ46" s="123"/>
      <c r="AR46" s="123"/>
      <c r="AS46" s="120"/>
      <c r="AT46" s="123"/>
      <c r="AU46" s="123"/>
      <c r="AV46" s="123"/>
      <c r="AW46" s="123"/>
      <c r="AX46" s="120"/>
      <c r="AY46" s="123"/>
      <c r="AZ46" s="123" t="s">
        <v>147</v>
      </c>
      <c r="BA46" s="123"/>
      <c r="BB46" s="148"/>
      <c r="BC46" s="149"/>
      <c r="BD46" s="149"/>
      <c r="BE46" s="120"/>
    </row>
    <row r="47" spans="2:57" ht="15.6">
      <c r="B47" s="22">
        <f t="shared" si="3"/>
        <v>46700</v>
      </c>
      <c r="C47" s="23" t="str">
        <f t="shared" si="1"/>
        <v>Nov-2027</v>
      </c>
      <c r="D47" s="2">
        <v>20</v>
      </c>
      <c r="E47" s="93">
        <f t="shared" si="2"/>
        <v>1499.9958369144247</v>
      </c>
      <c r="F47" s="104">
        <f t="shared" si="4"/>
        <v>1330.3873473851124</v>
      </c>
      <c r="G47" s="105">
        <f t="shared" si="5"/>
        <v>169.60848952931227</v>
      </c>
      <c r="H47" s="21">
        <f t="shared" si="6"/>
        <v>22614.340586164864</v>
      </c>
      <c r="J47" s="29"/>
      <c r="K47" s="30"/>
      <c r="L47" s="30"/>
      <c r="M47" s="30"/>
      <c r="N47" s="30"/>
      <c r="O47" s="32"/>
      <c r="P47" s="30"/>
      <c r="Q47" s="30"/>
      <c r="R47" s="30"/>
      <c r="S47" s="30"/>
      <c r="T47" s="30"/>
      <c r="U47" s="46"/>
      <c r="W47" s="120"/>
      <c r="X47" s="473" t="s">
        <v>148</v>
      </c>
      <c r="Y47" s="474"/>
      <c r="Z47" s="474"/>
      <c r="AA47" s="474"/>
      <c r="AB47" s="474"/>
      <c r="AC47" s="475"/>
      <c r="AD47" s="473" t="s">
        <v>61</v>
      </c>
      <c r="AE47" s="474"/>
      <c r="AF47" s="474"/>
      <c r="AG47" s="474"/>
      <c r="AH47" s="475"/>
      <c r="AI47" s="473" t="s">
        <v>149</v>
      </c>
      <c r="AJ47" s="474"/>
      <c r="AK47" s="474"/>
      <c r="AL47" s="474"/>
      <c r="AM47" s="474"/>
      <c r="AN47" s="475"/>
      <c r="AO47" s="476" t="s">
        <v>150</v>
      </c>
      <c r="AP47" s="477"/>
      <c r="AQ47" s="477"/>
      <c r="AR47" s="477"/>
      <c r="AS47" s="477"/>
      <c r="AT47" s="477"/>
      <c r="AU47" s="477"/>
      <c r="AV47" s="477"/>
      <c r="AW47" s="476" t="s">
        <v>151</v>
      </c>
      <c r="AX47" s="477"/>
      <c r="AY47" s="477"/>
      <c r="AZ47" s="477"/>
      <c r="BA47" s="477"/>
      <c r="BB47" s="477"/>
      <c r="BC47" s="477"/>
      <c r="BD47" s="478"/>
      <c r="BE47" s="120"/>
    </row>
    <row r="48" spans="2:57" ht="15.6">
      <c r="B48" s="22">
        <f t="shared" si="3"/>
        <v>46730</v>
      </c>
      <c r="C48" s="23" t="str">
        <f t="shared" si="1"/>
        <v>Dec-2027</v>
      </c>
      <c r="D48" s="2">
        <v>21</v>
      </c>
      <c r="E48" s="93">
        <f t="shared" si="2"/>
        <v>1499.9958369144247</v>
      </c>
      <c r="F48" s="104">
        <f t="shared" si="4"/>
        <v>1339.8109244290904</v>
      </c>
      <c r="G48" s="105">
        <f t="shared" si="5"/>
        <v>160.18491248533439</v>
      </c>
      <c r="H48" s="21">
        <f t="shared" si="6"/>
        <v>21274.529661735774</v>
      </c>
      <c r="J48" s="29"/>
      <c r="K48" s="30"/>
      <c r="L48" s="40" t="s">
        <v>263</v>
      </c>
      <c r="M48" s="40"/>
      <c r="N48" s="40"/>
      <c r="O48" s="40"/>
      <c r="P48" s="40"/>
      <c r="Q48" s="40"/>
      <c r="R48" s="479">
        <f>E25</f>
        <v>36</v>
      </c>
      <c r="S48" s="479"/>
      <c r="T48" s="217" t="s">
        <v>264</v>
      </c>
      <c r="U48" s="46"/>
      <c r="W48" s="120"/>
      <c r="X48" s="480" t="s">
        <v>347</v>
      </c>
      <c r="Y48" s="481"/>
      <c r="Z48" s="481"/>
      <c r="AA48" s="481"/>
      <c r="AB48" s="481"/>
      <c r="AC48" s="482"/>
      <c r="AD48" s="532" t="str">
        <f>N33</f>
        <v>O-7704</v>
      </c>
      <c r="AE48" s="484"/>
      <c r="AF48" s="484"/>
      <c r="AG48" s="484"/>
      <c r="AH48" s="485"/>
      <c r="AI48" s="480" t="s">
        <v>343</v>
      </c>
      <c r="AJ48" s="481"/>
      <c r="AK48" s="481"/>
      <c r="AL48" s="481"/>
      <c r="AM48" s="481"/>
      <c r="AN48" s="482"/>
      <c r="AO48" s="124"/>
      <c r="AP48" s="125"/>
      <c r="AQ48" s="125"/>
      <c r="AR48" s="125"/>
      <c r="AS48" s="125"/>
      <c r="AT48" s="125"/>
      <c r="AU48" s="125"/>
      <c r="AV48" s="126"/>
      <c r="AW48" s="124"/>
      <c r="AX48" s="125"/>
      <c r="AY48" s="125"/>
      <c r="AZ48" s="125"/>
      <c r="BA48" s="125"/>
      <c r="BB48" s="125"/>
      <c r="BC48" s="125"/>
      <c r="BD48" s="126"/>
      <c r="BE48" s="120"/>
    </row>
    <row r="49" spans="2:57" ht="15.6">
      <c r="B49" s="22">
        <f t="shared" si="3"/>
        <v>46761</v>
      </c>
      <c r="C49" s="23" t="str">
        <f t="shared" si="1"/>
        <v>Jan-2028</v>
      </c>
      <c r="D49" s="2">
        <v>22</v>
      </c>
      <c r="E49" s="93">
        <f t="shared" si="2"/>
        <v>1499.9958369144247</v>
      </c>
      <c r="F49" s="104">
        <f t="shared" si="4"/>
        <v>1349.3012518104629</v>
      </c>
      <c r="G49" s="105">
        <f t="shared" si="5"/>
        <v>150.69458510396169</v>
      </c>
      <c r="H49" s="21">
        <f t="shared" si="6"/>
        <v>19925.228409925312</v>
      </c>
      <c r="J49" s="29"/>
      <c r="K49" s="30"/>
      <c r="L49" s="40" t="s">
        <v>267</v>
      </c>
      <c r="M49" s="40"/>
      <c r="N49" s="40"/>
      <c r="O49" s="40"/>
      <c r="P49" s="40"/>
      <c r="Q49" s="40"/>
      <c r="R49" s="330">
        <f>C1</f>
        <v>1499.9958369144247</v>
      </c>
      <c r="S49" s="330"/>
      <c r="T49" s="330"/>
      <c r="U49" s="46"/>
      <c r="W49" s="120"/>
      <c r="X49" s="120"/>
      <c r="Y49" s="120"/>
      <c r="Z49" s="120"/>
      <c r="AA49" s="120"/>
      <c r="AB49" s="120"/>
      <c r="AC49" s="120"/>
      <c r="AD49" s="120"/>
      <c r="AE49" s="120"/>
      <c r="AF49" s="120"/>
      <c r="AG49" s="120"/>
      <c r="AH49" s="120"/>
      <c r="AI49" s="120"/>
      <c r="AJ49" s="120"/>
      <c r="AK49" s="120"/>
      <c r="AL49" s="120"/>
      <c r="AM49" s="120"/>
      <c r="AN49" s="120"/>
      <c r="AO49" s="150" t="s">
        <v>112</v>
      </c>
      <c r="AP49" s="150" t="s">
        <v>112</v>
      </c>
      <c r="AQ49" s="150" t="s">
        <v>113</v>
      </c>
      <c r="AR49" s="150" t="s">
        <v>113</v>
      </c>
      <c r="AS49" s="150" t="s">
        <v>114</v>
      </c>
      <c r="AT49" s="150" t="s">
        <v>114</v>
      </c>
      <c r="AU49" s="150" t="s">
        <v>114</v>
      </c>
      <c r="AV49" s="150" t="s">
        <v>114</v>
      </c>
      <c r="AW49" s="150" t="s">
        <v>112</v>
      </c>
      <c r="AX49" s="150" t="s">
        <v>112</v>
      </c>
      <c r="AY49" s="150" t="s">
        <v>113</v>
      </c>
      <c r="AZ49" s="150" t="s">
        <v>113</v>
      </c>
      <c r="BA49" s="150" t="s">
        <v>114</v>
      </c>
      <c r="BB49" s="150" t="s">
        <v>114</v>
      </c>
      <c r="BC49" s="150" t="s">
        <v>114</v>
      </c>
      <c r="BD49" s="150" t="s">
        <v>114</v>
      </c>
      <c r="BE49" s="120"/>
    </row>
    <row r="50" spans="2:57" ht="15.6">
      <c r="B50" s="22">
        <f t="shared" si="3"/>
        <v>46792</v>
      </c>
      <c r="C50" s="23" t="str">
        <f t="shared" si="1"/>
        <v>Feb-2028</v>
      </c>
      <c r="D50" s="2">
        <v>23</v>
      </c>
      <c r="E50" s="93">
        <f t="shared" si="2"/>
        <v>1499.9958369144247</v>
      </c>
      <c r="F50" s="104">
        <f t="shared" si="4"/>
        <v>1358.8588023441205</v>
      </c>
      <c r="G50" s="105">
        <f t="shared" si="5"/>
        <v>141.13703457030422</v>
      </c>
      <c r="H50" s="21">
        <f t="shared" si="6"/>
        <v>18566.369607581193</v>
      </c>
      <c r="J50" s="29"/>
      <c r="K50" s="30"/>
      <c r="L50" s="40" t="s">
        <v>71</v>
      </c>
      <c r="M50" s="40"/>
      <c r="N50" s="40"/>
      <c r="O50" s="40"/>
      <c r="P50" s="40"/>
      <c r="Q50" s="40"/>
      <c r="R50" s="344">
        <f>B28</f>
        <v>46121</v>
      </c>
      <c r="S50" s="344"/>
      <c r="T50" s="344"/>
      <c r="U50" s="46"/>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row>
    <row r="51" spans="2:57" ht="15.6">
      <c r="B51" s="22">
        <f t="shared" si="3"/>
        <v>46821</v>
      </c>
      <c r="C51" s="23" t="str">
        <f t="shared" si="1"/>
        <v>Mar-2028</v>
      </c>
      <c r="D51" s="2">
        <v>24</v>
      </c>
      <c r="E51" s="93">
        <f t="shared" si="2"/>
        <v>1499.9958369144247</v>
      </c>
      <c r="F51" s="104">
        <f t="shared" si="4"/>
        <v>1368.484052194058</v>
      </c>
      <c r="G51" s="105">
        <f t="shared" si="5"/>
        <v>131.51178472036673</v>
      </c>
      <c r="H51" s="21">
        <f t="shared" si="6"/>
        <v>17197.885555387136</v>
      </c>
      <c r="J51" s="29"/>
      <c r="K51" s="30"/>
      <c r="L51" s="40" t="s">
        <v>72</v>
      </c>
      <c r="M51" s="40"/>
      <c r="N51" s="40"/>
      <c r="O51" s="40"/>
      <c r="P51" s="40"/>
      <c r="Q51" s="40"/>
      <c r="R51" s="344">
        <f>B63</f>
        <v>47186</v>
      </c>
      <c r="S51" s="344"/>
      <c r="T51" s="344"/>
      <c r="U51" s="46"/>
      <c r="W51" s="120"/>
      <c r="X51" s="123" t="s">
        <v>153</v>
      </c>
      <c r="Y51" s="123"/>
      <c r="Z51" s="123"/>
      <c r="AA51" s="123"/>
      <c r="AB51" s="123"/>
      <c r="AC51" s="123"/>
      <c r="AD51" s="123"/>
      <c r="AE51" s="123" t="s">
        <v>154</v>
      </c>
      <c r="AF51" s="123"/>
      <c r="AG51" s="123"/>
      <c r="AH51" s="123"/>
      <c r="AI51" s="120"/>
      <c r="AJ51" s="151" t="s">
        <v>155</v>
      </c>
      <c r="AK51" s="469">
        <v>69</v>
      </c>
      <c r="AL51" s="471"/>
      <c r="AM51" s="472" t="s">
        <v>156</v>
      </c>
      <c r="AN51" s="472"/>
      <c r="AO51" s="472"/>
      <c r="AP51" s="472"/>
      <c r="AQ51" s="152"/>
      <c r="AR51" s="454" t="s">
        <v>157</v>
      </c>
      <c r="AS51" s="454"/>
      <c r="AT51" s="152"/>
      <c r="AU51" s="454" t="s">
        <v>158</v>
      </c>
      <c r="AV51" s="454"/>
      <c r="AW51" s="454"/>
      <c r="AX51" s="454" t="s">
        <v>159</v>
      </c>
      <c r="AY51" s="454"/>
      <c r="AZ51" s="454"/>
      <c r="BA51" s="454"/>
      <c r="BB51" s="454"/>
      <c r="BC51" s="454"/>
      <c r="BD51" s="454"/>
      <c r="BE51" s="120"/>
    </row>
    <row r="52" spans="2:57" ht="15.6">
      <c r="B52" s="22">
        <f t="shared" si="3"/>
        <v>46852</v>
      </c>
      <c r="C52" s="23" t="str">
        <f t="shared" si="1"/>
        <v>Apr-2028</v>
      </c>
      <c r="D52" s="2">
        <v>25</v>
      </c>
      <c r="E52" s="93">
        <f t="shared" si="2"/>
        <v>1499.9958369144247</v>
      </c>
      <c r="F52" s="104">
        <f t="shared" si="4"/>
        <v>1378.1774808970993</v>
      </c>
      <c r="G52" s="105">
        <f t="shared" si="5"/>
        <v>121.8183560173255</v>
      </c>
      <c r="H52" s="21">
        <f t="shared" si="6"/>
        <v>15819.708074490038</v>
      </c>
      <c r="J52" s="29"/>
      <c r="K52" s="30"/>
      <c r="L52" s="40" t="s">
        <v>73</v>
      </c>
      <c r="M52" s="40"/>
      <c r="N52" s="40"/>
      <c r="O52" s="40"/>
      <c r="P52" s="40"/>
      <c r="Q52" s="40"/>
      <c r="R52" s="329">
        <f>C16</f>
        <v>8.855359027416676E-2</v>
      </c>
      <c r="S52" s="329"/>
      <c r="T52" s="329"/>
      <c r="U52" s="46"/>
      <c r="W52" s="120"/>
      <c r="X52" s="466"/>
      <c r="Y52" s="467"/>
      <c r="Z52" s="467"/>
      <c r="AA52" s="467"/>
      <c r="AB52" s="467"/>
      <c r="AC52" s="467"/>
      <c r="AD52" s="468"/>
      <c r="AE52" s="531">
        <v>20562</v>
      </c>
      <c r="AF52" s="470"/>
      <c r="AG52" s="470"/>
      <c r="AH52" s="470"/>
      <c r="AI52" s="470"/>
      <c r="AJ52" s="470"/>
      <c r="AK52" s="470"/>
      <c r="AL52" s="471"/>
      <c r="AM52" s="472"/>
      <c r="AN52" s="472"/>
      <c r="AO52" s="472"/>
      <c r="AP52" s="472"/>
      <c r="AQ52" s="152"/>
      <c r="AR52" s="454" t="s">
        <v>160</v>
      </c>
      <c r="AS52" s="454"/>
      <c r="AT52" s="152"/>
      <c r="AU52" s="454" t="s">
        <v>161</v>
      </c>
      <c r="AV52" s="454"/>
      <c r="AW52" s="454"/>
      <c r="AX52" s="465"/>
      <c r="AY52" s="459"/>
      <c r="AZ52" s="459"/>
      <c r="BA52" s="459"/>
      <c r="BB52" s="459"/>
      <c r="BC52" s="459"/>
      <c r="BD52" s="460"/>
      <c r="BE52" s="120"/>
    </row>
    <row r="53" spans="2:57" ht="15.6">
      <c r="B53" s="22">
        <f t="shared" si="3"/>
        <v>46882</v>
      </c>
      <c r="C53" s="23" t="str">
        <f t="shared" si="1"/>
        <v>May-2028</v>
      </c>
      <c r="D53" s="2">
        <v>26</v>
      </c>
      <c r="E53" s="93">
        <f t="shared" si="2"/>
        <v>1499.9958369144247</v>
      </c>
      <c r="F53" s="104">
        <f t="shared" si="4"/>
        <v>1387.9395713867871</v>
      </c>
      <c r="G53" s="105">
        <f t="shared" si="5"/>
        <v>112.05626552763772</v>
      </c>
      <c r="H53" s="21">
        <f t="shared" si="6"/>
        <v>14431.768503103251</v>
      </c>
      <c r="J53" s="29"/>
      <c r="K53" s="30"/>
      <c r="L53" s="40" t="s">
        <v>74</v>
      </c>
      <c r="M53" s="40"/>
      <c r="N53" s="40"/>
      <c r="O53" s="40"/>
      <c r="P53" s="40"/>
      <c r="Q53" s="40"/>
      <c r="R53" s="329">
        <f>'[3]Data Entry'!E12/12</f>
        <v>6.9166666666666673E-3</v>
      </c>
      <c r="S53" s="329"/>
      <c r="T53" s="329"/>
      <c r="U53" s="46"/>
      <c r="W53" s="120"/>
      <c r="X53" s="464" t="s">
        <v>162</v>
      </c>
      <c r="Y53" s="464"/>
      <c r="Z53" s="464"/>
      <c r="AA53" s="464"/>
      <c r="AB53" s="464"/>
      <c r="AC53" s="464"/>
      <c r="AD53" s="464"/>
      <c r="AE53" s="464" t="s">
        <v>163</v>
      </c>
      <c r="AF53" s="464"/>
      <c r="AG53" s="464"/>
      <c r="AH53" s="464"/>
      <c r="AI53" s="464"/>
      <c r="AJ53" s="464"/>
      <c r="AK53" s="464"/>
      <c r="AL53" s="464"/>
      <c r="AM53" s="464"/>
      <c r="AN53" s="464"/>
      <c r="AO53" s="464"/>
      <c r="AP53" s="464"/>
      <c r="AQ53" s="464"/>
      <c r="AR53" s="464"/>
      <c r="AS53" s="464"/>
      <c r="AT53" s="464"/>
      <c r="AU53" s="120"/>
      <c r="AV53" s="134"/>
      <c r="AW53" s="134"/>
      <c r="AX53" s="134" t="s">
        <v>164</v>
      </c>
      <c r="AY53" s="134"/>
      <c r="AZ53" s="134"/>
      <c r="BA53" s="134"/>
      <c r="BB53" s="134"/>
      <c r="BC53" s="134"/>
      <c r="BD53" s="134"/>
      <c r="BE53" s="120"/>
    </row>
    <row r="54" spans="2:57" ht="16.2" thickBot="1">
      <c r="B54" s="22">
        <f t="shared" si="3"/>
        <v>46913</v>
      </c>
      <c r="C54" s="23" t="str">
        <f t="shared" si="1"/>
        <v>Jun-2028</v>
      </c>
      <c r="D54" s="2">
        <v>27</v>
      </c>
      <c r="E54" s="93">
        <f t="shared" si="2"/>
        <v>1499.9958369144247</v>
      </c>
      <c r="F54" s="104">
        <f t="shared" si="4"/>
        <v>1397.7708100174434</v>
      </c>
      <c r="G54" s="105">
        <f t="shared" si="5"/>
        <v>102.22502689698132</v>
      </c>
      <c r="H54" s="21">
        <f t="shared" si="6"/>
        <v>13033.997693085807</v>
      </c>
      <c r="J54" s="29"/>
      <c r="K54" s="43"/>
      <c r="L54" s="43"/>
      <c r="M54" s="43"/>
      <c r="N54" s="43"/>
      <c r="O54" s="44"/>
      <c r="P54" s="43"/>
      <c r="Q54" s="43"/>
      <c r="R54" s="43"/>
      <c r="S54" s="43"/>
      <c r="T54" s="43"/>
      <c r="U54" s="46"/>
      <c r="W54" s="120"/>
      <c r="X54" s="465"/>
      <c r="Y54" s="459"/>
      <c r="Z54" s="459"/>
      <c r="AA54" s="459"/>
      <c r="AB54" s="459"/>
      <c r="AC54" s="459"/>
      <c r="AD54" s="460"/>
      <c r="AE54" s="455"/>
      <c r="AF54" s="456"/>
      <c r="AG54" s="456"/>
      <c r="AH54" s="456"/>
      <c r="AI54" s="456"/>
      <c r="AJ54" s="456"/>
      <c r="AK54" s="456"/>
      <c r="AL54" s="456"/>
      <c r="AM54" s="456"/>
      <c r="AN54" s="456"/>
      <c r="AO54" s="456"/>
      <c r="AP54" s="456"/>
      <c r="AQ54" s="456"/>
      <c r="AR54" s="456"/>
      <c r="AS54" s="456"/>
      <c r="AT54" s="456"/>
      <c r="AU54" s="456"/>
      <c r="AV54" s="456"/>
      <c r="AW54" s="457"/>
      <c r="AX54" s="455"/>
      <c r="AY54" s="456"/>
      <c r="AZ54" s="456"/>
      <c r="BA54" s="456"/>
      <c r="BB54" s="456"/>
      <c r="BC54" s="456"/>
      <c r="BD54" s="457"/>
      <c r="BE54" s="120"/>
    </row>
    <row r="55" spans="2:57" ht="16.2" thickTop="1">
      <c r="B55" s="22">
        <f t="shared" si="3"/>
        <v>46943</v>
      </c>
      <c r="C55" s="23" t="str">
        <f t="shared" si="1"/>
        <v>Jul-2028</v>
      </c>
      <c r="D55" s="2">
        <v>28</v>
      </c>
      <c r="E55" s="93">
        <f t="shared" si="2"/>
        <v>1499.9958369144247</v>
      </c>
      <c r="F55" s="104">
        <f t="shared" si="4"/>
        <v>1407.6716865884002</v>
      </c>
      <c r="G55" s="105">
        <f t="shared" si="5"/>
        <v>92.324150326024423</v>
      </c>
      <c r="H55" s="21">
        <f t="shared" si="6"/>
        <v>11626.326006497406</v>
      </c>
      <c r="J55" s="29"/>
      <c r="K55" s="30"/>
      <c r="L55" s="30"/>
      <c r="M55" s="30"/>
      <c r="N55" s="30"/>
      <c r="O55" s="32"/>
      <c r="P55" s="30"/>
      <c r="Q55" s="30"/>
      <c r="R55" s="30"/>
      <c r="S55" s="30"/>
      <c r="T55" s="30"/>
      <c r="U55" s="46"/>
      <c r="W55" s="120"/>
      <c r="X55" s="123" t="s">
        <v>165</v>
      </c>
      <c r="Y55" s="123"/>
      <c r="Z55" s="123"/>
      <c r="AA55" s="123"/>
      <c r="AB55" s="123"/>
      <c r="AC55" s="123"/>
      <c r="AD55" s="123"/>
      <c r="AE55" s="120"/>
      <c r="AF55" s="123"/>
      <c r="AG55" s="134" t="s">
        <v>166</v>
      </c>
      <c r="AH55" s="120"/>
      <c r="AI55" s="120"/>
      <c r="AJ55" s="120"/>
      <c r="AK55" s="134"/>
      <c r="AL55" s="134"/>
      <c r="AM55" s="134"/>
      <c r="AN55" s="134"/>
      <c r="AO55" s="134"/>
      <c r="AP55" s="134"/>
      <c r="AQ55" s="134"/>
      <c r="AR55" s="134"/>
      <c r="AS55" s="134"/>
      <c r="AT55" s="454" t="s">
        <v>167</v>
      </c>
      <c r="AU55" s="454"/>
      <c r="AV55" s="454"/>
      <c r="AW55" s="454"/>
      <c r="AX55" s="454"/>
      <c r="AY55" s="454"/>
      <c r="AZ55" s="454"/>
      <c r="BA55" s="454"/>
      <c r="BB55" s="454"/>
      <c r="BC55" s="454"/>
      <c r="BD55" s="454"/>
      <c r="BE55" s="120"/>
    </row>
    <row r="56" spans="2:57" ht="15.6">
      <c r="B56" s="22">
        <f t="shared" si="3"/>
        <v>46974</v>
      </c>
      <c r="C56" s="23" t="str">
        <f t="shared" si="1"/>
        <v>Aug-2028</v>
      </c>
      <c r="D56" s="2">
        <v>29</v>
      </c>
      <c r="E56" s="93">
        <f t="shared" si="2"/>
        <v>1499.9958369144247</v>
      </c>
      <c r="F56" s="104">
        <f t="shared" si="4"/>
        <v>1417.6426943684014</v>
      </c>
      <c r="G56" s="105">
        <f t="shared" si="5"/>
        <v>82.35314254602325</v>
      </c>
      <c r="H56" s="21">
        <f t="shared" si="6"/>
        <v>10208.683312129004</v>
      </c>
      <c r="J56" s="29"/>
      <c r="K56" s="30" t="s">
        <v>75</v>
      </c>
      <c r="L56" s="30"/>
      <c r="M56" s="30"/>
      <c r="O56" s="30"/>
      <c r="P56" s="30"/>
      <c r="R56" s="30" t="s">
        <v>272</v>
      </c>
      <c r="S56" s="30"/>
      <c r="T56" s="30"/>
      <c r="U56" s="46"/>
      <c r="W56" s="120"/>
      <c r="X56" s="455"/>
      <c r="Y56" s="456"/>
      <c r="Z56" s="456"/>
      <c r="AA56" s="456"/>
      <c r="AB56" s="456"/>
      <c r="AC56" s="456"/>
      <c r="AD56" s="456"/>
      <c r="AE56" s="456"/>
      <c r="AF56" s="457"/>
      <c r="AG56" s="458" t="s">
        <v>357</v>
      </c>
      <c r="AH56" s="459"/>
      <c r="AI56" s="459"/>
      <c r="AJ56" s="459"/>
      <c r="AK56" s="459"/>
      <c r="AL56" s="459"/>
      <c r="AM56" s="459"/>
      <c r="AN56" s="459"/>
      <c r="AO56" s="459"/>
      <c r="AP56" s="459"/>
      <c r="AQ56" s="459"/>
      <c r="AR56" s="459"/>
      <c r="AS56" s="460"/>
      <c r="AT56" s="153" t="s">
        <v>169</v>
      </c>
      <c r="AU56" s="154" t="s">
        <v>298</v>
      </c>
      <c r="AV56" s="154" t="s">
        <v>348</v>
      </c>
      <c r="AW56" s="155" t="s">
        <v>168</v>
      </c>
      <c r="AX56" s="154" t="s">
        <v>274</v>
      </c>
      <c r="AY56" s="154" t="s">
        <v>274</v>
      </c>
      <c r="AZ56" s="154" t="s">
        <v>170</v>
      </c>
      <c r="BA56" s="155" t="s">
        <v>168</v>
      </c>
      <c r="BB56" s="154" t="s">
        <v>322</v>
      </c>
      <c r="BC56" s="154" t="s">
        <v>340</v>
      </c>
      <c r="BD56" s="154" t="s">
        <v>298</v>
      </c>
      <c r="BE56" s="120"/>
    </row>
    <row r="57" spans="2:57" ht="15.6">
      <c r="B57" s="22">
        <f t="shared" si="3"/>
        <v>47005</v>
      </c>
      <c r="C57" s="23" t="str">
        <f t="shared" si="1"/>
        <v>Sep-2028</v>
      </c>
      <c r="D57" s="2">
        <v>30</v>
      </c>
      <c r="E57" s="93">
        <f t="shared" si="2"/>
        <v>1499.9958369144247</v>
      </c>
      <c r="F57" s="104">
        <f t="shared" si="4"/>
        <v>1427.6843301201775</v>
      </c>
      <c r="G57" s="105">
        <f t="shared" si="5"/>
        <v>72.31150679424708</v>
      </c>
      <c r="H57" s="21">
        <f t="shared" si="6"/>
        <v>8780.9989820088267</v>
      </c>
      <c r="J57" s="29"/>
      <c r="K57" s="30"/>
      <c r="L57" s="30"/>
      <c r="M57" s="30"/>
      <c r="N57" s="30"/>
      <c r="O57" s="30"/>
      <c r="P57" s="30"/>
      <c r="Q57" s="30"/>
      <c r="R57" s="30"/>
      <c r="S57" s="30"/>
      <c r="T57" s="30"/>
      <c r="U57" s="46"/>
      <c r="W57" s="120"/>
      <c r="X57" s="156" t="s">
        <v>171</v>
      </c>
      <c r="Y57" s="134"/>
      <c r="Z57" s="134"/>
      <c r="AA57" s="134"/>
      <c r="AB57" s="530" t="str">
        <f>N34</f>
        <v>#49 RICARTE ST. AFPOVAI WESTERN BICUTAN TAGUIG CITY METRO MANILA</v>
      </c>
      <c r="AC57" s="462"/>
      <c r="AD57" s="462"/>
      <c r="AE57" s="462"/>
      <c r="AF57" s="462"/>
      <c r="AG57" s="462"/>
      <c r="AH57" s="462"/>
      <c r="AI57" s="462"/>
      <c r="AJ57" s="462"/>
      <c r="AK57" s="462"/>
      <c r="AL57" s="462"/>
      <c r="AM57" s="462"/>
      <c r="AN57" s="462"/>
      <c r="AO57" s="462"/>
      <c r="AP57" s="462"/>
      <c r="AQ57" s="462"/>
      <c r="AR57" s="462"/>
      <c r="AS57" s="462"/>
      <c r="AT57" s="462"/>
      <c r="AU57" s="462"/>
      <c r="AV57" s="462"/>
      <c r="AW57" s="462"/>
      <c r="AX57" s="462"/>
      <c r="AY57" s="462"/>
      <c r="AZ57" s="462"/>
      <c r="BA57" s="462"/>
      <c r="BB57" s="462"/>
      <c r="BC57" s="462"/>
      <c r="BD57" s="463"/>
      <c r="BE57" s="120"/>
    </row>
    <row r="58" spans="2:57" ht="15.6" customHeight="1">
      <c r="B58" s="22">
        <f t="shared" si="3"/>
        <v>47035</v>
      </c>
      <c r="C58" s="23" t="str">
        <f t="shared" si="1"/>
        <v>Oct-2028</v>
      </c>
      <c r="D58" s="2">
        <v>31</v>
      </c>
      <c r="E58" s="93">
        <f t="shared" si="2"/>
        <v>1499.9958369144247</v>
      </c>
      <c r="F58" s="104">
        <f t="shared" si="4"/>
        <v>1437.7970941251956</v>
      </c>
      <c r="G58" s="105">
        <f t="shared" si="5"/>
        <v>62.198742789229165</v>
      </c>
      <c r="H58" s="21">
        <f t="shared" si="6"/>
        <v>7343.2018878836316</v>
      </c>
      <c r="J58" s="16"/>
      <c r="U58" s="216"/>
      <c r="W58" s="120"/>
      <c r="X58" s="431" t="s">
        <v>172</v>
      </c>
      <c r="Y58" s="432"/>
      <c r="Z58" s="432"/>
      <c r="AA58" s="432"/>
      <c r="AB58" s="432"/>
      <c r="AC58" s="432"/>
      <c r="AD58" s="432"/>
      <c r="AE58" s="432"/>
      <c r="AF58" s="432"/>
      <c r="AG58" s="432"/>
      <c r="AH58" s="432"/>
      <c r="AI58" s="432"/>
      <c r="AJ58" s="432"/>
      <c r="AK58" s="432"/>
      <c r="AL58" s="432"/>
      <c r="AM58" s="432"/>
      <c r="AN58" s="432"/>
      <c r="AO58" s="432"/>
      <c r="AP58" s="432"/>
      <c r="AQ58" s="432"/>
      <c r="AR58" s="432"/>
      <c r="AS58" s="432"/>
      <c r="AT58" s="432"/>
      <c r="AU58" s="432"/>
      <c r="AV58" s="432"/>
      <c r="AW58" s="432"/>
      <c r="AX58" s="432"/>
      <c r="AY58" s="432"/>
      <c r="AZ58" s="432"/>
      <c r="BA58" s="432"/>
      <c r="BB58" s="432"/>
      <c r="BC58" s="432"/>
      <c r="BD58" s="433"/>
      <c r="BE58" s="120"/>
    </row>
    <row r="59" spans="2:57" ht="15.6">
      <c r="B59" s="22">
        <f t="shared" si="3"/>
        <v>47066</v>
      </c>
      <c r="C59" s="23" t="str">
        <f t="shared" si="1"/>
        <v>Nov-2028</v>
      </c>
      <c r="D59" s="2">
        <v>32</v>
      </c>
      <c r="E59" s="93">
        <f t="shared" si="2"/>
        <v>1499.9958369144247</v>
      </c>
      <c r="F59" s="104">
        <f t="shared" si="4"/>
        <v>1447.9814902085823</v>
      </c>
      <c r="G59" s="105">
        <f t="shared" si="5"/>
        <v>52.014346705842371</v>
      </c>
      <c r="H59" s="21">
        <f t="shared" si="6"/>
        <v>5895.2203976750498</v>
      </c>
      <c r="J59" s="16"/>
      <c r="U59" s="216"/>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row>
    <row r="60" spans="2:57" ht="16.2" thickBot="1">
      <c r="B60" s="22">
        <f t="shared" si="3"/>
        <v>47096</v>
      </c>
      <c r="C60" s="23" t="str">
        <f t="shared" si="1"/>
        <v>Dec-2028</v>
      </c>
      <c r="D60" s="2">
        <v>33</v>
      </c>
      <c r="E60" s="93">
        <f t="shared" si="2"/>
        <v>1499.9958369144247</v>
      </c>
      <c r="F60" s="104">
        <f t="shared" si="4"/>
        <v>1458.2380257642264</v>
      </c>
      <c r="G60" s="105">
        <f t="shared" si="5"/>
        <v>41.757811150198251</v>
      </c>
      <c r="H60" s="21">
        <f t="shared" si="6"/>
        <v>4436.9823719108235</v>
      </c>
      <c r="J60" s="29"/>
      <c r="K60" s="453" t="s">
        <v>204</v>
      </c>
      <c r="L60" s="453"/>
      <c r="M60" s="453"/>
      <c r="N60" s="33"/>
      <c r="O60" s="33"/>
      <c r="P60" s="33"/>
      <c r="R60" s="452" t="s">
        <v>275</v>
      </c>
      <c r="S60" s="452"/>
      <c r="T60" s="452"/>
      <c r="U60" s="46"/>
      <c r="W60" s="120"/>
      <c r="X60" s="120"/>
      <c r="Y60" s="120" t="s">
        <v>173</v>
      </c>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row>
    <row r="61" spans="2:57" ht="15.6">
      <c r="B61" s="22">
        <f t="shared" si="3"/>
        <v>47127</v>
      </c>
      <c r="C61" s="23" t="str">
        <f t="shared" si="1"/>
        <v>Jan-2029</v>
      </c>
      <c r="D61" s="2">
        <v>34</v>
      </c>
      <c r="E61" s="93">
        <f t="shared" si="2"/>
        <v>1499.9958369144247</v>
      </c>
      <c r="F61" s="104">
        <f t="shared" si="4"/>
        <v>1468.5672117800564</v>
      </c>
      <c r="G61" s="105">
        <f t="shared" si="5"/>
        <v>31.428625134368321</v>
      </c>
      <c r="H61" s="21">
        <f t="shared" si="6"/>
        <v>2968.4151601307672</v>
      </c>
      <c r="J61" s="29"/>
      <c r="K61" s="451" t="s">
        <v>77</v>
      </c>
      <c r="L61" s="451"/>
      <c r="M61" s="451"/>
      <c r="N61" s="30"/>
      <c r="O61" s="32"/>
      <c r="P61" s="30"/>
      <c r="R61" s="451" t="s">
        <v>276</v>
      </c>
      <c r="S61" s="451"/>
      <c r="T61" s="451"/>
      <c r="U61" s="46"/>
      <c r="W61" s="120"/>
      <c r="X61" s="120" t="s">
        <v>174</v>
      </c>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row>
    <row r="62" spans="2:57" ht="15.6">
      <c r="B62" s="22">
        <f t="shared" si="3"/>
        <v>47158</v>
      </c>
      <c r="C62" s="23" t="str">
        <f t="shared" si="1"/>
        <v>Feb-2029</v>
      </c>
      <c r="D62" s="2">
        <v>35</v>
      </c>
      <c r="E62" s="93">
        <f t="shared" si="2"/>
        <v>1499.9958369144247</v>
      </c>
      <c r="F62" s="104">
        <f t="shared" si="4"/>
        <v>1478.9695628634984</v>
      </c>
      <c r="G62" s="105">
        <f>H61*C$12</f>
        <v>21.026274050926258</v>
      </c>
      <c r="H62" s="21">
        <f t="shared" si="6"/>
        <v>1489.4455972672688</v>
      </c>
      <c r="J62" s="16"/>
      <c r="U62" s="216"/>
      <c r="W62" s="120"/>
      <c r="X62" s="120" t="s">
        <v>175</v>
      </c>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row>
    <row r="63" spans="2:57" ht="15.6">
      <c r="B63" s="22">
        <f t="shared" si="3"/>
        <v>47186</v>
      </c>
      <c r="C63" s="23" t="str">
        <f t="shared" si="1"/>
        <v>Mar-2029</v>
      </c>
      <c r="D63" s="2">
        <v>36</v>
      </c>
      <c r="E63" s="93">
        <f t="shared" si="2"/>
        <v>1499.9958369144247</v>
      </c>
      <c r="F63" s="104">
        <f t="shared" si="4"/>
        <v>1489.4455972671149</v>
      </c>
      <c r="G63" s="105">
        <f t="shared" si="5"/>
        <v>10.550239647309816</v>
      </c>
      <c r="H63" s="21">
        <f t="shared" si="6"/>
        <v>1.539319782750681E-10</v>
      </c>
      <c r="J63" s="16"/>
      <c r="U63" s="216"/>
      <c r="W63" s="120"/>
      <c r="X63" s="120" t="s">
        <v>176</v>
      </c>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row>
    <row r="64" spans="2:57" ht="16.2" thickBot="1">
      <c r="B64" s="22"/>
      <c r="C64" s="210"/>
      <c r="D64" s="211"/>
      <c r="E64" s="212">
        <f>SUM(E28:E63)</f>
        <v>53999.850128919265</v>
      </c>
      <c r="F64" s="212">
        <f t="shared" ref="F64:G64" si="7">SUM(F28:F63)</f>
        <v>47517.036783333198</v>
      </c>
      <c r="G64" s="212">
        <f t="shared" si="7"/>
        <v>6482.8133455860952</v>
      </c>
      <c r="H64" s="215"/>
      <c r="J64" s="16"/>
      <c r="U64" s="216"/>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425" t="str">
        <f>D22</f>
        <v>TABAQUERO, ARTHUR I.</v>
      </c>
      <c r="AV64" s="425"/>
      <c r="AW64" s="425"/>
      <c r="AX64" s="425"/>
      <c r="AY64" s="425"/>
      <c r="AZ64" s="425"/>
      <c r="BA64" s="425"/>
      <c r="BB64" s="425"/>
      <c r="BC64" s="425"/>
      <c r="BD64" s="120"/>
      <c r="BE64" s="120"/>
    </row>
    <row r="65" spans="2:57" ht="15.6">
      <c r="B65" s="22"/>
      <c r="C65" s="221"/>
      <c r="E65" s="1"/>
      <c r="F65" s="222"/>
      <c r="G65" s="223"/>
      <c r="H65" s="222"/>
      <c r="J65" s="29"/>
      <c r="K65" s="30"/>
      <c r="L65" s="30"/>
      <c r="M65" s="30"/>
      <c r="N65" s="30"/>
      <c r="O65" s="32"/>
      <c r="P65" s="30"/>
      <c r="Q65" s="30"/>
      <c r="R65" s="30"/>
      <c r="S65" s="30"/>
      <c r="T65" s="30"/>
      <c r="U65" s="46"/>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410" t="s">
        <v>177</v>
      </c>
      <c r="AV65" s="410"/>
      <c r="AW65" s="410"/>
      <c r="AX65" s="410"/>
      <c r="AY65" s="410"/>
      <c r="AZ65" s="410"/>
      <c r="BA65" s="410"/>
      <c r="BB65" s="410"/>
      <c r="BC65" s="410"/>
      <c r="BD65" s="120"/>
      <c r="BE65" s="120"/>
    </row>
    <row r="66" spans="2:57" ht="15.6">
      <c r="B66" s="22"/>
      <c r="C66" s="221"/>
      <c r="E66" s="1"/>
      <c r="F66" s="222"/>
      <c r="G66" s="223"/>
      <c r="H66" s="222"/>
      <c r="J66" s="29"/>
      <c r="K66" s="30" t="s">
        <v>79</v>
      </c>
      <c r="L66" s="30"/>
      <c r="M66" s="30"/>
      <c r="N66" s="30"/>
      <c r="O66" s="32"/>
      <c r="P66" s="30"/>
      <c r="Q66" s="30"/>
      <c r="R66" s="30" t="s">
        <v>76</v>
      </c>
      <c r="S66" s="30"/>
      <c r="T66" s="30"/>
      <c r="U66" s="46"/>
      <c r="W66" s="120"/>
      <c r="X66" s="431" t="s">
        <v>178</v>
      </c>
      <c r="Y66" s="432"/>
      <c r="Z66" s="432"/>
      <c r="AA66" s="432"/>
      <c r="AB66" s="432"/>
      <c r="AC66" s="432"/>
      <c r="AD66" s="432"/>
      <c r="AE66" s="432"/>
      <c r="AF66" s="432"/>
      <c r="AG66" s="432"/>
      <c r="AH66" s="432"/>
      <c r="AI66" s="432"/>
      <c r="AJ66" s="432"/>
      <c r="AK66" s="432"/>
      <c r="AL66" s="432"/>
      <c r="AM66" s="432"/>
      <c r="AN66" s="432"/>
      <c r="AO66" s="432"/>
      <c r="AP66" s="432"/>
      <c r="AQ66" s="432"/>
      <c r="AR66" s="432"/>
      <c r="AS66" s="432"/>
      <c r="AT66" s="432"/>
      <c r="AU66" s="432"/>
      <c r="AV66" s="432"/>
      <c r="AW66" s="432"/>
      <c r="AX66" s="432"/>
      <c r="AY66" s="432"/>
      <c r="AZ66" s="432"/>
      <c r="BA66" s="432"/>
      <c r="BB66" s="432"/>
      <c r="BC66" s="432"/>
      <c r="BD66" s="433"/>
      <c r="BE66" s="120"/>
    </row>
    <row r="67" spans="2:57" ht="15.6">
      <c r="B67" s="22"/>
      <c r="C67" s="221"/>
      <c r="J67" s="29"/>
      <c r="K67" s="30"/>
      <c r="L67" s="30"/>
      <c r="M67" s="30"/>
      <c r="N67" s="30"/>
      <c r="O67" s="32"/>
      <c r="P67" s="30"/>
      <c r="Q67" s="30"/>
      <c r="R67" s="30"/>
      <c r="S67" s="30"/>
      <c r="T67" s="30"/>
      <c r="U67" s="46"/>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row>
    <row r="68" spans="2:57" ht="15.6">
      <c r="B68" s="22"/>
      <c r="C68" s="221"/>
      <c r="J68" s="16"/>
      <c r="U68" s="216"/>
      <c r="W68" s="120"/>
      <c r="X68" s="120"/>
      <c r="Y68" s="120" t="s">
        <v>179</v>
      </c>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row>
    <row r="69" spans="2:57" ht="16.2" thickBot="1">
      <c r="B69" s="22"/>
      <c r="C69" s="221"/>
      <c r="J69" s="16"/>
      <c r="K69" s="453" t="str">
        <f>D22</f>
        <v>TABAQUERO, ARTHUR I.</v>
      </c>
      <c r="L69" s="453"/>
      <c r="M69" s="453"/>
      <c r="P69" s="452" t="s">
        <v>278</v>
      </c>
      <c r="Q69" s="452"/>
      <c r="R69" s="452"/>
      <c r="S69" s="452"/>
      <c r="T69" s="452"/>
      <c r="U69" s="225"/>
      <c r="W69" s="120"/>
      <c r="X69" s="120" t="s">
        <v>180</v>
      </c>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row>
    <row r="70" spans="2:57" ht="15.6">
      <c r="B70" s="22"/>
      <c r="C70" s="221"/>
      <c r="J70" s="29"/>
      <c r="K70" s="226" t="s">
        <v>80</v>
      </c>
      <c r="L70" s="226"/>
      <c r="M70" s="226"/>
      <c r="N70" s="30"/>
      <c r="O70" s="32"/>
      <c r="P70" s="30"/>
      <c r="Q70" s="30"/>
      <c r="R70" s="33" t="s">
        <v>78</v>
      </c>
      <c r="S70" s="33"/>
      <c r="T70" s="30"/>
      <c r="U70" s="46"/>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row>
    <row r="71" spans="2:57" ht="16.2" thickBot="1">
      <c r="B71" s="22"/>
      <c r="C71" s="221"/>
      <c r="J71" s="50"/>
      <c r="K71" s="51"/>
      <c r="L71" s="51"/>
      <c r="M71" s="51"/>
      <c r="N71" s="51"/>
      <c r="O71" s="52"/>
      <c r="P71" s="51"/>
      <c r="Q71" s="51"/>
      <c r="R71" s="51"/>
      <c r="S71" s="51"/>
      <c r="T71" s="51"/>
      <c r="U71" s="53"/>
      <c r="W71" s="120"/>
      <c r="X71" s="373"/>
      <c r="Y71" s="373"/>
      <c r="Z71" s="373"/>
      <c r="AA71" s="373"/>
      <c r="AB71" s="373"/>
      <c r="AC71" s="373"/>
      <c r="AD71" s="373"/>
      <c r="AE71" s="373"/>
      <c r="AF71" s="120"/>
      <c r="AG71" s="373"/>
      <c r="AH71" s="373"/>
      <c r="AI71" s="373"/>
      <c r="AJ71" s="373"/>
      <c r="AK71" s="373"/>
      <c r="AL71" s="373"/>
      <c r="AM71" s="373"/>
      <c r="AN71" s="120"/>
      <c r="AO71" s="120"/>
      <c r="AP71" s="373"/>
      <c r="AQ71" s="373"/>
      <c r="AR71" s="373"/>
      <c r="AS71" s="373"/>
      <c r="AT71" s="373"/>
      <c r="AU71" s="373"/>
      <c r="AV71" s="373"/>
      <c r="AW71" s="120"/>
      <c r="AX71" s="450"/>
      <c r="AY71" s="450"/>
      <c r="AZ71" s="450"/>
      <c r="BA71" s="450"/>
      <c r="BB71" s="450"/>
      <c r="BC71" s="450"/>
      <c r="BD71" s="450"/>
      <c r="BE71" s="120"/>
    </row>
    <row r="72" spans="2:57" ht="15.6">
      <c r="B72" s="22"/>
      <c r="C72" s="221"/>
      <c r="E72" s="1"/>
      <c r="F72" s="222"/>
      <c r="G72" s="223"/>
      <c r="H72" s="222"/>
      <c r="W72" s="120"/>
      <c r="X72" s="363" t="s">
        <v>181</v>
      </c>
      <c r="Y72" s="363"/>
      <c r="Z72" s="363"/>
      <c r="AA72" s="363"/>
      <c r="AB72" s="363"/>
      <c r="AC72" s="363"/>
      <c r="AD72" s="363"/>
      <c r="AE72" s="363"/>
      <c r="AF72" s="120"/>
      <c r="AG72" s="363" t="s">
        <v>182</v>
      </c>
      <c r="AH72" s="363"/>
      <c r="AI72" s="363"/>
      <c r="AJ72" s="363"/>
      <c r="AK72" s="363"/>
      <c r="AL72" s="363"/>
      <c r="AM72" s="363"/>
      <c r="AN72" s="120"/>
      <c r="AO72" s="120"/>
      <c r="AP72" s="363" t="s">
        <v>183</v>
      </c>
      <c r="AQ72" s="363"/>
      <c r="AR72" s="363"/>
      <c r="AS72" s="363"/>
      <c r="AT72" s="363"/>
      <c r="AU72" s="363"/>
      <c r="AV72" s="363"/>
      <c r="AW72" s="120"/>
      <c r="AX72" s="363" t="s">
        <v>184</v>
      </c>
      <c r="AY72" s="363"/>
      <c r="AZ72" s="363"/>
      <c r="BA72" s="363"/>
      <c r="BB72" s="363"/>
      <c r="BC72" s="363"/>
      <c r="BD72" s="363"/>
      <c r="BE72" s="120"/>
    </row>
    <row r="73" spans="2:57" ht="15.6">
      <c r="B73" s="22"/>
      <c r="W73" s="120"/>
      <c r="X73" s="363" t="s">
        <v>185</v>
      </c>
      <c r="Y73" s="363"/>
      <c r="Z73" s="363"/>
      <c r="AA73" s="363"/>
      <c r="AB73" s="363"/>
      <c r="AC73" s="363"/>
      <c r="AD73" s="363"/>
      <c r="AE73" s="363"/>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row>
    <row r="74" spans="2:57" ht="16.2" thickBot="1">
      <c r="B74" s="22"/>
      <c r="W74" s="120"/>
      <c r="X74" s="431" t="s">
        <v>186</v>
      </c>
      <c r="Y74" s="447"/>
      <c r="Z74" s="447"/>
      <c r="AA74" s="447"/>
      <c r="AB74" s="447"/>
      <c r="AC74" s="447"/>
      <c r="AD74" s="447"/>
      <c r="AE74" s="447"/>
      <c r="AF74" s="447"/>
      <c r="AG74" s="447"/>
      <c r="AH74" s="447"/>
      <c r="AI74" s="447"/>
      <c r="AJ74" s="447"/>
      <c r="AK74" s="447"/>
      <c r="AL74" s="447"/>
      <c r="AM74" s="447"/>
      <c r="AN74" s="447"/>
      <c r="AO74" s="447"/>
      <c r="AP74" s="447"/>
      <c r="AQ74" s="447"/>
      <c r="AR74" s="447"/>
      <c r="AS74" s="447"/>
      <c r="AT74" s="447"/>
      <c r="AU74" s="447"/>
      <c r="AV74" s="447"/>
      <c r="AW74" s="447"/>
      <c r="AX74" s="447"/>
      <c r="AY74" s="447"/>
      <c r="AZ74" s="447"/>
      <c r="BA74" s="447"/>
      <c r="BB74" s="447"/>
      <c r="BC74" s="447"/>
      <c r="BD74" s="448"/>
      <c r="BE74" s="120"/>
    </row>
    <row r="75" spans="2:57" ht="15.6">
      <c r="B75" s="22"/>
      <c r="J75" s="227"/>
      <c r="K75" s="228"/>
      <c r="L75" s="228"/>
      <c r="M75" s="228"/>
      <c r="N75" s="228"/>
      <c r="O75" s="228"/>
      <c r="P75" s="228"/>
      <c r="Q75" s="228"/>
      <c r="R75" s="228"/>
      <c r="S75" s="228"/>
      <c r="T75" s="228"/>
      <c r="U75" s="229"/>
      <c r="W75" s="120"/>
      <c r="X75" s="449" t="s">
        <v>187</v>
      </c>
      <c r="Y75" s="449"/>
      <c r="Z75" s="449"/>
      <c r="AA75" s="449" t="s">
        <v>188</v>
      </c>
      <c r="AB75" s="449"/>
      <c r="AC75" s="449"/>
      <c r="AD75" s="449"/>
      <c r="AE75" s="449" t="s">
        <v>189</v>
      </c>
      <c r="AF75" s="449"/>
      <c r="AG75" s="449"/>
      <c r="AH75" s="449"/>
      <c r="AI75" s="449"/>
      <c r="AJ75" s="449" t="s">
        <v>190</v>
      </c>
      <c r="AK75" s="449"/>
      <c r="AL75" s="449"/>
      <c r="AM75" s="449" t="s">
        <v>46</v>
      </c>
      <c r="AN75" s="449"/>
      <c r="AO75" s="449"/>
      <c r="AP75" s="449"/>
      <c r="AQ75" s="449"/>
      <c r="AR75" s="449" t="s">
        <v>191</v>
      </c>
      <c r="AS75" s="449"/>
      <c r="AT75" s="449"/>
      <c r="AU75" s="449" t="s">
        <v>192</v>
      </c>
      <c r="AV75" s="449"/>
      <c r="AW75" s="449"/>
      <c r="AX75" s="449"/>
      <c r="AY75" s="449"/>
      <c r="AZ75" s="449" t="s">
        <v>193</v>
      </c>
      <c r="BA75" s="449"/>
      <c r="BB75" s="449"/>
      <c r="BC75" s="449"/>
      <c r="BD75" s="449"/>
      <c r="BE75" s="120"/>
    </row>
    <row r="76" spans="2:57" ht="15.6">
      <c r="B76" s="22"/>
      <c r="J76" s="16"/>
      <c r="U76" s="216"/>
      <c r="W76" s="120"/>
      <c r="X76" s="440"/>
      <c r="Y76" s="438"/>
      <c r="Z76" s="438"/>
      <c r="AA76" s="441"/>
      <c r="AB76" s="438"/>
      <c r="AC76" s="438"/>
      <c r="AD76" s="438"/>
      <c r="AE76" s="439"/>
      <c r="AF76" s="439"/>
      <c r="AG76" s="439"/>
      <c r="AH76" s="439"/>
      <c r="AI76" s="439"/>
      <c r="AJ76" s="442"/>
      <c r="AK76" s="438"/>
      <c r="AL76" s="438"/>
      <c r="AM76" s="443"/>
      <c r="AN76" s="444"/>
      <c r="AO76" s="444"/>
      <c r="AP76" s="444"/>
      <c r="AQ76" s="445"/>
      <c r="AR76" s="446"/>
      <c r="AS76" s="446"/>
      <c r="AT76" s="446"/>
      <c r="AU76" s="438"/>
      <c r="AV76" s="438"/>
      <c r="AW76" s="438"/>
      <c r="AX76" s="438"/>
      <c r="AY76" s="438"/>
      <c r="AZ76" s="439"/>
      <c r="BA76" s="439"/>
      <c r="BB76" s="439"/>
      <c r="BC76" s="439"/>
      <c r="BD76" s="439"/>
      <c r="BE76" s="120"/>
    </row>
    <row r="77" spans="2:57" ht="15.6">
      <c r="B77" s="22"/>
      <c r="J77" s="16"/>
      <c r="U77" s="216"/>
      <c r="W77" s="120"/>
      <c r="X77" s="437"/>
      <c r="Y77" s="437"/>
      <c r="Z77" s="437"/>
      <c r="AA77" s="437"/>
      <c r="AB77" s="437"/>
      <c r="AC77" s="437"/>
      <c r="AD77" s="437"/>
      <c r="AE77" s="437"/>
      <c r="AF77" s="437"/>
      <c r="AG77" s="437"/>
      <c r="AH77" s="437"/>
      <c r="AI77" s="437"/>
      <c r="AJ77" s="437"/>
      <c r="AK77" s="437"/>
      <c r="AL77" s="437"/>
      <c r="AM77" s="437"/>
      <c r="AN77" s="437"/>
      <c r="AO77" s="437"/>
      <c r="AP77" s="437"/>
      <c r="AQ77" s="437"/>
      <c r="AR77" s="437"/>
      <c r="AS77" s="437"/>
      <c r="AT77" s="437"/>
      <c r="AU77" s="437"/>
      <c r="AV77" s="437"/>
      <c r="AW77" s="437"/>
      <c r="AX77" s="437"/>
      <c r="AY77" s="437"/>
      <c r="AZ77" s="437"/>
      <c r="BA77" s="437"/>
      <c r="BB77" s="437"/>
      <c r="BC77" s="437"/>
      <c r="BD77" s="437"/>
      <c r="BE77" s="120"/>
    </row>
    <row r="78" spans="2:57" ht="15.6">
      <c r="B78" s="22"/>
      <c r="J78" s="16"/>
      <c r="N78" s="230"/>
      <c r="U78" s="216"/>
      <c r="W78" s="120"/>
      <c r="X78" s="437"/>
      <c r="Y78" s="437"/>
      <c r="Z78" s="437"/>
      <c r="AA78" s="437"/>
      <c r="AB78" s="437"/>
      <c r="AC78" s="437"/>
      <c r="AD78" s="437"/>
      <c r="AE78" s="437"/>
      <c r="AF78" s="437"/>
      <c r="AG78" s="437"/>
      <c r="AH78" s="437"/>
      <c r="AI78" s="437"/>
      <c r="AJ78" s="437"/>
      <c r="AK78" s="437"/>
      <c r="AL78" s="437"/>
      <c r="AM78" s="437"/>
      <c r="AN78" s="437"/>
      <c r="AO78" s="437"/>
      <c r="AP78" s="437"/>
      <c r="AQ78" s="437"/>
      <c r="AR78" s="437"/>
      <c r="AS78" s="437"/>
      <c r="AT78" s="437"/>
      <c r="AU78" s="437"/>
      <c r="AV78" s="437"/>
      <c r="AW78" s="437"/>
      <c r="AX78" s="437"/>
      <c r="AY78" s="437"/>
      <c r="AZ78" s="437"/>
      <c r="BA78" s="437"/>
      <c r="BB78" s="437"/>
      <c r="BC78" s="437"/>
      <c r="BD78" s="437"/>
      <c r="BE78" s="120"/>
    </row>
    <row r="79" spans="2:57" ht="15.6">
      <c r="B79" s="22"/>
      <c r="J79" s="16"/>
      <c r="N79" s="423" t="s">
        <v>283</v>
      </c>
      <c r="O79" s="424"/>
      <c r="P79" s="424"/>
      <c r="Q79" s="424"/>
      <c r="U79" s="216"/>
      <c r="W79" s="120"/>
      <c r="X79" s="437"/>
      <c r="Y79" s="437"/>
      <c r="Z79" s="437"/>
      <c r="AA79" s="437"/>
      <c r="AB79" s="437"/>
      <c r="AC79" s="437"/>
      <c r="AD79" s="437"/>
      <c r="AE79" s="437"/>
      <c r="AF79" s="437"/>
      <c r="AG79" s="437"/>
      <c r="AH79" s="437"/>
      <c r="AI79" s="437"/>
      <c r="AJ79" s="437"/>
      <c r="AK79" s="437"/>
      <c r="AL79" s="437"/>
      <c r="AM79" s="437"/>
      <c r="AN79" s="437"/>
      <c r="AO79" s="437"/>
      <c r="AP79" s="437"/>
      <c r="AQ79" s="437"/>
      <c r="AR79" s="437"/>
      <c r="AS79" s="437"/>
      <c r="AT79" s="437"/>
      <c r="AU79" s="437"/>
      <c r="AV79" s="437"/>
      <c r="AW79" s="437"/>
      <c r="AX79" s="437"/>
      <c r="AY79" s="437"/>
      <c r="AZ79" s="437"/>
      <c r="BA79" s="437"/>
      <c r="BB79" s="437"/>
      <c r="BC79" s="437"/>
      <c r="BD79" s="437"/>
      <c r="BE79" s="120"/>
    </row>
    <row r="80" spans="2:57" ht="15.6">
      <c r="B80" s="22"/>
      <c r="J80" s="16"/>
      <c r="M80" s="423" t="s">
        <v>284</v>
      </c>
      <c r="N80" s="424"/>
      <c r="O80" s="424"/>
      <c r="P80" s="424"/>
      <c r="Q80" s="424"/>
      <c r="R80" s="424"/>
      <c r="U80" s="216"/>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row>
    <row r="81" spans="2:57" ht="15.6">
      <c r="B81" s="22"/>
      <c r="J81" s="16"/>
      <c r="N81" s="423" t="s">
        <v>285</v>
      </c>
      <c r="O81" s="424"/>
      <c r="P81" s="424"/>
      <c r="Q81" s="424"/>
      <c r="U81" s="216"/>
      <c r="W81" s="120"/>
      <c r="X81" s="431" t="s">
        <v>194</v>
      </c>
      <c r="Y81" s="432"/>
      <c r="Z81" s="432"/>
      <c r="AA81" s="432"/>
      <c r="AB81" s="432"/>
      <c r="AC81" s="432"/>
      <c r="AD81" s="432"/>
      <c r="AE81" s="432"/>
      <c r="AF81" s="432"/>
      <c r="AG81" s="432"/>
      <c r="AH81" s="432"/>
      <c r="AI81" s="432"/>
      <c r="AJ81" s="432"/>
      <c r="AK81" s="432"/>
      <c r="AL81" s="432"/>
      <c r="AM81" s="432"/>
      <c r="AN81" s="432"/>
      <c r="AO81" s="432"/>
      <c r="AP81" s="432"/>
      <c r="AQ81" s="432"/>
      <c r="AR81" s="432"/>
      <c r="AS81" s="432"/>
      <c r="AT81" s="432"/>
      <c r="AU81" s="432"/>
      <c r="AV81" s="432"/>
      <c r="AW81" s="432"/>
      <c r="AX81" s="432"/>
      <c r="AY81" s="432"/>
      <c r="AZ81" s="432"/>
      <c r="BA81" s="432"/>
      <c r="BB81" s="432"/>
      <c r="BC81" s="432"/>
      <c r="BD81" s="433"/>
      <c r="BE81" s="120"/>
    </row>
    <row r="82" spans="2:57" ht="15.6">
      <c r="B82" s="22"/>
      <c r="J82" s="16"/>
      <c r="U82" s="216"/>
      <c r="W82" s="120"/>
      <c r="X82" s="434" t="s">
        <v>195</v>
      </c>
      <c r="Y82" s="435"/>
      <c r="Z82" s="435"/>
      <c r="AA82" s="435"/>
      <c r="AB82" s="436"/>
      <c r="AC82" s="434" t="s">
        <v>196</v>
      </c>
      <c r="AD82" s="435"/>
      <c r="AE82" s="435"/>
      <c r="AF82" s="436"/>
      <c r="AG82" s="434" t="s">
        <v>47</v>
      </c>
      <c r="AH82" s="435"/>
      <c r="AI82" s="435"/>
      <c r="AJ82" s="436"/>
      <c r="AK82" s="434" t="s">
        <v>197</v>
      </c>
      <c r="AL82" s="435"/>
      <c r="AM82" s="435"/>
      <c r="AN82" s="435"/>
      <c r="AO82" s="435"/>
      <c r="AP82" s="435"/>
      <c r="AQ82" s="436"/>
      <c r="AR82" s="434" t="s">
        <v>198</v>
      </c>
      <c r="AS82" s="435"/>
      <c r="AT82" s="435"/>
      <c r="AU82" s="435"/>
      <c r="AV82" s="436"/>
      <c r="AW82" s="434" t="s">
        <v>199</v>
      </c>
      <c r="AX82" s="435"/>
      <c r="AY82" s="435"/>
      <c r="AZ82" s="435"/>
      <c r="BA82" s="435"/>
      <c r="BB82" s="435"/>
      <c r="BC82" s="435"/>
      <c r="BD82" s="436"/>
      <c r="BE82" s="120"/>
    </row>
    <row r="83" spans="2:57" ht="15.6">
      <c r="B83" s="22"/>
      <c r="J83" s="16"/>
      <c r="M83" s="426" t="s">
        <v>286</v>
      </c>
      <c r="N83" s="426"/>
      <c r="O83" s="426"/>
      <c r="P83" s="426"/>
      <c r="Q83" s="426"/>
      <c r="R83" s="426"/>
      <c r="U83" s="216"/>
      <c r="W83" s="120"/>
      <c r="X83" s="418">
        <f>C4</f>
        <v>47517.036783333329</v>
      </c>
      <c r="Y83" s="419"/>
      <c r="Z83" s="419"/>
      <c r="AA83" s="419"/>
      <c r="AB83" s="420"/>
      <c r="AC83" s="418">
        <f>R49</f>
        <v>1499.9958369144247</v>
      </c>
      <c r="AD83" s="419"/>
      <c r="AE83" s="419"/>
      <c r="AF83" s="420"/>
      <c r="AG83" s="427" t="str">
        <f>AN35</f>
        <v>36 Months</v>
      </c>
      <c r="AH83" s="428"/>
      <c r="AI83" s="428"/>
      <c r="AJ83" s="429"/>
      <c r="AK83" s="418">
        <v>650</v>
      </c>
      <c r="AL83" s="419"/>
      <c r="AM83" s="419"/>
      <c r="AN83" s="419"/>
      <c r="AO83" s="419"/>
      <c r="AP83" s="419"/>
      <c r="AQ83" s="420"/>
      <c r="AR83" s="430"/>
      <c r="AS83" s="428"/>
      <c r="AT83" s="428"/>
      <c r="AU83" s="428"/>
      <c r="AV83" s="429"/>
      <c r="AW83" s="418">
        <f>C3</f>
        <v>53999.850128919286</v>
      </c>
      <c r="AX83" s="419"/>
      <c r="AY83" s="419"/>
      <c r="AZ83" s="419"/>
      <c r="BA83" s="419"/>
      <c r="BB83" s="419"/>
      <c r="BC83" s="419"/>
      <c r="BD83" s="420"/>
      <c r="BE83" s="120"/>
    </row>
    <row r="84" spans="2:57" ht="15.6">
      <c r="B84" s="22"/>
      <c r="J84" s="16"/>
      <c r="U84" s="216"/>
      <c r="W84" s="120"/>
      <c r="X84" s="414" t="s">
        <v>200</v>
      </c>
      <c r="Y84" s="414"/>
      <c r="Z84" s="414"/>
      <c r="AA84" s="414"/>
      <c r="AB84" s="414"/>
      <c r="AC84" s="414"/>
      <c r="AD84" s="414"/>
      <c r="AE84" s="414"/>
      <c r="AF84" s="414"/>
      <c r="AG84" s="414"/>
      <c r="AH84" s="414"/>
      <c r="AI84" s="414"/>
      <c r="AJ84" s="414"/>
      <c r="AK84" s="414"/>
      <c r="AL84" s="414"/>
      <c r="AM84" s="414"/>
      <c r="AN84" s="414"/>
      <c r="AO84" s="414"/>
      <c r="AP84" s="414"/>
      <c r="AQ84" s="414"/>
      <c r="AR84" s="414"/>
      <c r="AS84" s="414"/>
      <c r="AT84" s="414"/>
      <c r="AU84" s="414"/>
      <c r="AV84" s="414"/>
      <c r="AW84" s="414"/>
      <c r="AX84" s="414"/>
      <c r="AY84" s="414"/>
      <c r="AZ84" s="414"/>
      <c r="BA84" s="414"/>
      <c r="BB84" s="414"/>
      <c r="BC84" s="414"/>
      <c r="BD84" s="414"/>
      <c r="BE84" s="120"/>
    </row>
    <row r="85" spans="2:57" ht="16.2" thickBot="1">
      <c r="B85" s="22"/>
      <c r="J85" s="16"/>
      <c r="R85" s="421" t="str">
        <f>S29</f>
        <v xml:space="preserve"> 01/09/2026</v>
      </c>
      <c r="S85" s="422"/>
      <c r="U85" s="216"/>
      <c r="W85" s="120"/>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0"/>
    </row>
    <row r="86" spans="2:57" ht="16.2" thickBot="1">
      <c r="B86" s="22"/>
      <c r="J86" s="16"/>
      <c r="R86" s="423" t="s">
        <v>287</v>
      </c>
      <c r="S86" s="424"/>
      <c r="U86" s="216"/>
      <c r="W86" s="120"/>
      <c r="X86" s="123"/>
      <c r="Y86" s="123"/>
      <c r="Z86" s="123"/>
      <c r="AA86" s="123"/>
      <c r="AB86" s="123"/>
      <c r="AC86" s="123"/>
      <c r="AD86" s="123"/>
      <c r="AE86" s="123"/>
      <c r="AF86" s="123"/>
      <c r="AG86" s="123"/>
      <c r="AH86" s="123"/>
      <c r="AI86" s="123"/>
      <c r="AJ86" s="425" t="s">
        <v>204</v>
      </c>
      <c r="AK86" s="425"/>
      <c r="AL86" s="425"/>
      <c r="AM86" s="425"/>
      <c r="AN86" s="425"/>
      <c r="AO86" s="425"/>
      <c r="AP86" s="425"/>
      <c r="AQ86" s="425"/>
      <c r="AR86" s="425"/>
      <c r="AS86" s="425"/>
      <c r="AT86" s="123"/>
      <c r="AU86" s="123"/>
      <c r="AV86" s="123"/>
      <c r="AW86" s="123"/>
      <c r="AX86" s="123"/>
      <c r="AY86" s="123"/>
      <c r="AZ86" s="123"/>
      <c r="BA86" s="123"/>
      <c r="BB86" s="123"/>
      <c r="BC86" s="123"/>
      <c r="BD86" s="123"/>
      <c r="BE86" s="120"/>
    </row>
    <row r="87" spans="2:57" ht="15.6">
      <c r="B87" s="22"/>
      <c r="J87" s="16"/>
      <c r="U87" s="216"/>
      <c r="W87" s="363" t="s">
        <v>201</v>
      </c>
      <c r="X87" s="363"/>
      <c r="Y87" s="363"/>
      <c r="Z87" s="363"/>
      <c r="AA87" s="363"/>
      <c r="AB87" s="363"/>
      <c r="AC87" s="363"/>
      <c r="AD87" s="363"/>
      <c r="AE87" s="363"/>
      <c r="AF87" s="363"/>
      <c r="AG87" s="363"/>
      <c r="AH87" s="363"/>
      <c r="AI87" s="363"/>
      <c r="AJ87" s="363"/>
      <c r="AK87" s="363"/>
      <c r="AL87" s="363"/>
      <c r="AM87" s="363"/>
      <c r="AN87" s="363"/>
      <c r="AO87" s="363"/>
      <c r="AP87" s="363"/>
      <c r="AQ87" s="363"/>
      <c r="AR87" s="363"/>
      <c r="AS87" s="363"/>
      <c r="AT87" s="363"/>
      <c r="AU87" s="363"/>
      <c r="AV87" s="363"/>
      <c r="AW87" s="363"/>
      <c r="AX87" s="363"/>
      <c r="AY87" s="363"/>
      <c r="AZ87" s="363"/>
      <c r="BA87" s="363"/>
      <c r="BB87" s="363"/>
      <c r="BC87" s="363"/>
      <c r="BD87" s="363"/>
      <c r="BE87" s="363"/>
    </row>
    <row r="88" spans="2:57" ht="15.6">
      <c r="J88" s="16"/>
      <c r="U88" s="216"/>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row>
    <row r="89" spans="2:57" ht="15.6">
      <c r="J89" s="16"/>
      <c r="U89" s="216"/>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row>
    <row r="90" spans="2:57" ht="15.6">
      <c r="J90" s="16"/>
      <c r="K90" s="411" t="s">
        <v>288</v>
      </c>
      <c r="L90" s="412"/>
      <c r="M90" s="412"/>
      <c r="U90" s="216"/>
      <c r="W90" s="120"/>
      <c r="X90" s="413" t="s">
        <v>202</v>
      </c>
      <c r="Y90" s="414"/>
      <c r="Z90" s="414"/>
      <c r="AA90" s="414"/>
      <c r="AB90" s="414"/>
      <c r="AC90" s="414"/>
      <c r="AD90" s="414"/>
      <c r="AE90" s="414"/>
      <c r="AF90" s="414"/>
      <c r="AG90" s="414"/>
      <c r="AH90" s="414"/>
      <c r="AI90" s="414"/>
      <c r="AJ90" s="414"/>
      <c r="AK90" s="414"/>
      <c r="AL90" s="414"/>
      <c r="AM90" s="414"/>
      <c r="AN90" s="415"/>
      <c r="AO90" s="413" t="s">
        <v>203</v>
      </c>
      <c r="AP90" s="414"/>
      <c r="AQ90" s="414"/>
      <c r="AR90" s="414"/>
      <c r="AS90" s="414"/>
      <c r="AT90" s="414"/>
      <c r="AU90" s="414"/>
      <c r="AV90" s="414"/>
      <c r="AW90" s="414"/>
      <c r="AX90" s="414"/>
      <c r="AY90" s="414"/>
      <c r="AZ90" s="414"/>
      <c r="BA90" s="414"/>
      <c r="BB90" s="414"/>
      <c r="BC90" s="414"/>
      <c r="BD90" s="415"/>
      <c r="BE90" s="120"/>
    </row>
    <row r="91" spans="2:57" ht="15.6">
      <c r="J91" s="16"/>
      <c r="U91" s="216"/>
      <c r="V91" s="30"/>
      <c r="W91" s="120"/>
      <c r="X91" s="158"/>
      <c r="Y91" s="157"/>
      <c r="Z91" s="157"/>
      <c r="AA91" s="157"/>
      <c r="AB91" s="157"/>
      <c r="AC91" s="157"/>
      <c r="AD91" s="157"/>
      <c r="AE91" s="157"/>
      <c r="AF91" s="157"/>
      <c r="AG91" s="157"/>
      <c r="AH91" s="157"/>
      <c r="AI91" s="157"/>
      <c r="AJ91" s="157"/>
      <c r="AK91" s="157"/>
      <c r="AL91" s="157"/>
      <c r="AM91" s="157"/>
      <c r="AN91" s="159"/>
      <c r="AO91" s="158"/>
      <c r="AP91" s="157"/>
      <c r="AQ91" s="157"/>
      <c r="AR91" s="157"/>
      <c r="AS91" s="157"/>
      <c r="AT91" s="157"/>
      <c r="AU91" s="157"/>
      <c r="AV91" s="157"/>
      <c r="AW91" s="157"/>
      <c r="AX91" s="157"/>
      <c r="AY91" s="157"/>
      <c r="AZ91" s="157"/>
      <c r="BA91" s="157"/>
      <c r="BB91" s="157"/>
      <c r="BC91" s="157"/>
      <c r="BD91" s="159"/>
      <c r="BE91" s="120"/>
    </row>
    <row r="92" spans="2:57" ht="16.2" thickBot="1">
      <c r="J92" s="16"/>
      <c r="K92" s="230" t="s">
        <v>289</v>
      </c>
      <c r="L92" s="230"/>
      <c r="O92" s="416" t="s">
        <v>290</v>
      </c>
      <c r="P92" s="416"/>
      <c r="Q92" s="416"/>
      <c r="R92" s="416"/>
      <c r="S92" s="416"/>
      <c r="U92" s="216"/>
      <c r="V92" s="30"/>
      <c r="W92" s="120"/>
      <c r="X92" s="160"/>
      <c r="Y92" s="130"/>
      <c r="Z92" s="130"/>
      <c r="AA92" s="161"/>
      <c r="AB92" s="529" t="s">
        <v>89</v>
      </c>
      <c r="AC92" s="529"/>
      <c r="AD92" s="529"/>
      <c r="AE92" s="529"/>
      <c r="AF92" s="529"/>
      <c r="AG92" s="529"/>
      <c r="AH92" s="529"/>
      <c r="AI92" s="529"/>
      <c r="AJ92" s="529"/>
      <c r="AK92" s="161"/>
      <c r="AL92" s="161"/>
      <c r="AM92" s="161"/>
      <c r="AN92" s="162"/>
      <c r="AO92" s="160"/>
      <c r="AP92" s="120"/>
      <c r="AQ92" s="120"/>
      <c r="AR92" s="425" t="s">
        <v>351</v>
      </c>
      <c r="AS92" s="425"/>
      <c r="AT92" s="425"/>
      <c r="AU92" s="425"/>
      <c r="AV92" s="425"/>
      <c r="AW92" s="425"/>
      <c r="AX92" s="425"/>
      <c r="AY92" s="425"/>
      <c r="AZ92" s="425"/>
      <c r="BA92" s="425"/>
      <c r="BB92" s="120"/>
      <c r="BC92" s="120"/>
      <c r="BD92" s="163"/>
      <c r="BE92" s="120"/>
    </row>
    <row r="93" spans="2:57" ht="16.2" customHeight="1" thickBot="1">
      <c r="J93" s="16"/>
      <c r="K93" s="230" t="s">
        <v>291</v>
      </c>
      <c r="L93" s="231"/>
      <c r="M93" s="230" t="s">
        <v>292</v>
      </c>
      <c r="P93" s="402" t="s">
        <v>293</v>
      </c>
      <c r="Q93" s="403"/>
      <c r="R93" s="403"/>
      <c r="S93" s="403"/>
      <c r="U93" s="216"/>
      <c r="V93" s="30"/>
      <c r="W93" s="120"/>
      <c r="X93" s="404" t="s">
        <v>201</v>
      </c>
      <c r="Y93" s="405"/>
      <c r="Z93" s="405"/>
      <c r="AA93" s="405"/>
      <c r="AB93" s="405"/>
      <c r="AC93" s="405"/>
      <c r="AD93" s="405"/>
      <c r="AE93" s="405"/>
      <c r="AF93" s="405"/>
      <c r="AG93" s="405"/>
      <c r="AH93" s="405"/>
      <c r="AI93" s="405"/>
      <c r="AJ93" s="405"/>
      <c r="AK93" s="405"/>
      <c r="AL93" s="405"/>
      <c r="AM93" s="405"/>
      <c r="AN93" s="406"/>
      <c r="AO93" s="404" t="s">
        <v>201</v>
      </c>
      <c r="AP93" s="405"/>
      <c r="AQ93" s="405"/>
      <c r="AR93" s="405"/>
      <c r="AS93" s="405"/>
      <c r="AT93" s="405"/>
      <c r="AU93" s="405"/>
      <c r="AV93" s="405"/>
      <c r="AW93" s="405"/>
      <c r="AX93" s="405"/>
      <c r="AY93" s="405"/>
      <c r="AZ93" s="405"/>
      <c r="BA93" s="405"/>
      <c r="BB93" s="405"/>
      <c r="BC93" s="405"/>
      <c r="BD93" s="406"/>
      <c r="BE93" s="120"/>
    </row>
    <row r="94" spans="2:57" ht="16.2" thickBot="1">
      <c r="J94" s="16"/>
      <c r="K94" s="232" t="s">
        <v>294</v>
      </c>
      <c r="L94" s="231"/>
      <c r="U94" s="216"/>
      <c r="V94" s="3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row>
    <row r="95" spans="2:57" ht="15.6">
      <c r="J95" s="16"/>
      <c r="U95" s="216"/>
      <c r="V95" s="3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row>
    <row r="96" spans="2:57">
      <c r="J96" s="16"/>
      <c r="U96" s="216"/>
      <c r="V96" s="30"/>
    </row>
    <row r="97" spans="10:57">
      <c r="J97" s="16"/>
      <c r="U97" s="216"/>
      <c r="V97" s="30"/>
    </row>
    <row r="98" spans="10:57">
      <c r="J98" s="16"/>
      <c r="U98" s="216"/>
      <c r="V98" s="30"/>
    </row>
    <row r="99" spans="10:57" ht="18">
      <c r="J99" s="16"/>
      <c r="U99" s="216"/>
      <c r="V99" s="3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65"/>
      <c r="AS99" s="120"/>
      <c r="AT99" s="120"/>
      <c r="AU99" s="120"/>
      <c r="AV99" s="120"/>
      <c r="AW99" s="120"/>
      <c r="AX99" s="120"/>
      <c r="AY99" s="120"/>
      <c r="AZ99" s="120"/>
      <c r="BA99" s="120"/>
      <c r="BB99" s="120"/>
      <c r="BC99" s="120"/>
      <c r="BD99" s="120"/>
      <c r="BE99" s="120"/>
    </row>
    <row r="100" spans="10:57" ht="18.600000000000001" thickBot="1">
      <c r="J100" s="16"/>
      <c r="U100" s="216"/>
      <c r="V100" s="30"/>
      <c r="W100" s="120"/>
      <c r="X100" s="368" t="s">
        <v>206</v>
      </c>
      <c r="Y100" s="369"/>
      <c r="Z100" s="369"/>
      <c r="AA100" s="369"/>
      <c r="AB100" s="369"/>
      <c r="AC100" s="369"/>
      <c r="AD100" s="369"/>
      <c r="AE100" s="369"/>
      <c r="AF100" s="369"/>
      <c r="AG100" s="369"/>
      <c r="AH100" s="369"/>
      <c r="AI100" s="369"/>
      <c r="AJ100" s="369"/>
      <c r="AK100" s="369"/>
      <c r="AL100" s="528" t="str">
        <f>S30</f>
        <v>LV-059</v>
      </c>
      <c r="AM100" s="373"/>
      <c r="AN100" s="373"/>
      <c r="AO100" s="120"/>
      <c r="AP100" s="120"/>
      <c r="AQ100" s="120"/>
      <c r="AR100" s="120"/>
      <c r="AS100" s="120"/>
      <c r="AT100" s="120"/>
      <c r="AU100" s="120"/>
      <c r="AV100" s="120"/>
      <c r="AW100" s="120"/>
      <c r="AX100" s="120"/>
      <c r="AY100" s="120"/>
    </row>
    <row r="101" spans="10:57" ht="18">
      <c r="J101" s="16"/>
      <c r="U101" s="216"/>
      <c r="V101" s="30"/>
      <c r="W101" s="120"/>
      <c r="X101" s="120"/>
      <c r="Y101" s="400" t="s">
        <v>207</v>
      </c>
      <c r="Z101" s="400"/>
      <c r="AA101" s="400"/>
      <c r="AB101" s="400"/>
      <c r="AC101" s="400"/>
      <c r="AD101" s="400"/>
      <c r="AE101" s="400"/>
      <c r="AF101" s="400"/>
      <c r="AG101" s="400"/>
      <c r="AH101" s="400"/>
      <c r="AI101" s="400"/>
      <c r="AJ101" s="400"/>
      <c r="AK101" s="400"/>
      <c r="AL101" s="400"/>
      <c r="AM101" s="400"/>
      <c r="AN101" s="400"/>
      <c r="AO101" s="400"/>
      <c r="AP101" s="400"/>
      <c r="AQ101" s="400"/>
      <c r="AR101" s="400"/>
      <c r="AS101" s="400"/>
      <c r="AT101" s="400"/>
      <c r="AU101" s="400"/>
      <c r="AV101" s="400"/>
      <c r="AW101" s="400"/>
      <c r="AX101" s="400"/>
      <c r="AY101" s="407">
        <f>AW83</f>
        <v>53999.850128919286</v>
      </c>
      <c r="AZ101" s="408"/>
      <c r="BA101" s="408"/>
      <c r="BB101" s="408"/>
      <c r="BC101" s="408"/>
      <c r="BD101" s="408"/>
      <c r="BE101" s="165"/>
    </row>
    <row r="102" spans="10:57" ht="18" customHeight="1">
      <c r="J102" s="16"/>
      <c r="U102" s="216"/>
      <c r="V102" s="30"/>
      <c r="W102" s="120"/>
      <c r="X102" s="398"/>
      <c r="Y102" s="399"/>
      <c r="Z102" s="399"/>
      <c r="AA102" s="166" t="s">
        <v>208</v>
      </c>
      <c r="AB102" s="167">
        <v>36</v>
      </c>
      <c r="AC102" s="400" t="s">
        <v>209</v>
      </c>
      <c r="AD102" s="400"/>
      <c r="AE102" s="400"/>
      <c r="AF102" s="400"/>
      <c r="AG102" s="400"/>
      <c r="AH102" s="400"/>
      <c r="AI102" s="400"/>
      <c r="AJ102" s="400"/>
      <c r="AK102" s="400"/>
      <c r="AL102" s="400"/>
      <c r="AM102" s="400"/>
      <c r="AN102" s="399">
        <f>AC83</f>
        <v>1499.9958369144247</v>
      </c>
      <c r="AO102" s="399"/>
      <c r="AP102" s="399"/>
      <c r="AQ102" s="399"/>
      <c r="AR102" s="400" t="s">
        <v>210</v>
      </c>
      <c r="AS102" s="400"/>
      <c r="AT102" s="400"/>
      <c r="AU102" s="400"/>
      <c r="AV102" s="400"/>
      <c r="AW102" s="400"/>
      <c r="AX102" s="400"/>
      <c r="AY102" s="400"/>
      <c r="AZ102" s="400"/>
      <c r="BA102" s="400"/>
      <c r="BB102" s="400"/>
      <c r="BC102" s="400"/>
      <c r="BD102" s="400"/>
      <c r="BE102" s="165"/>
    </row>
    <row r="103" spans="10:57" ht="18" customHeight="1">
      <c r="J103" s="16"/>
      <c r="U103" s="216"/>
      <c r="V103" s="38"/>
      <c r="W103" s="120"/>
      <c r="X103" s="401">
        <f>B28</f>
        <v>46121</v>
      </c>
      <c r="Y103" s="401"/>
      <c r="Z103" s="401"/>
      <c r="AA103" s="401"/>
      <c r="AB103" s="377" t="s">
        <v>211</v>
      </c>
      <c r="AC103" s="377"/>
      <c r="AD103" s="377"/>
      <c r="AE103" s="377"/>
      <c r="AF103" s="377"/>
      <c r="AG103" s="377"/>
      <c r="AH103" s="377"/>
      <c r="AI103" s="377"/>
      <c r="AJ103" s="377"/>
      <c r="AK103" s="377"/>
      <c r="AL103" s="377"/>
      <c r="AM103" s="377"/>
      <c r="AN103" s="377"/>
      <c r="AO103" s="377"/>
      <c r="AP103" s="377"/>
      <c r="AQ103" s="377"/>
      <c r="AR103" s="377"/>
      <c r="AS103" s="377"/>
      <c r="AT103" s="377"/>
      <c r="AU103" s="377"/>
      <c r="AV103" s="377"/>
      <c r="AW103" s="377"/>
      <c r="AX103" s="377"/>
      <c r="AY103" s="377"/>
      <c r="AZ103" s="377"/>
      <c r="BA103" s="377"/>
      <c r="BB103" s="377"/>
      <c r="BC103" s="377"/>
      <c r="BD103" s="377"/>
      <c r="BE103" s="165"/>
    </row>
    <row r="104" spans="10:57" ht="18" customHeight="1">
      <c r="J104" s="16"/>
      <c r="U104" s="216"/>
      <c r="V104" s="38"/>
      <c r="W104" s="120"/>
      <c r="X104" s="377" t="s">
        <v>212</v>
      </c>
      <c r="Y104" s="377"/>
      <c r="Z104" s="377"/>
      <c r="AA104" s="377"/>
      <c r="AB104" s="377"/>
      <c r="AC104" s="377"/>
      <c r="AD104" s="377"/>
      <c r="AE104" s="377"/>
      <c r="AF104" s="377"/>
      <c r="AG104" s="377"/>
      <c r="AH104" s="377"/>
      <c r="AI104" s="377"/>
      <c r="AJ104" s="377"/>
      <c r="AK104" s="377"/>
      <c r="AL104" s="377"/>
      <c r="AM104" s="377"/>
      <c r="AN104" s="377"/>
      <c r="AO104" s="377"/>
      <c r="AP104" s="377"/>
      <c r="AQ104" s="377"/>
      <c r="AR104" s="377"/>
      <c r="AS104" s="377"/>
      <c r="AT104" s="377"/>
      <c r="AU104" s="377"/>
      <c r="AV104" s="377"/>
      <c r="AW104" s="377"/>
      <c r="AX104" s="377"/>
      <c r="AY104" s="377"/>
      <c r="AZ104" s="377"/>
      <c r="BA104" s="377"/>
      <c r="BB104" s="377"/>
      <c r="BC104" s="377"/>
      <c r="BD104" s="377"/>
      <c r="BE104" s="165"/>
    </row>
    <row r="105" spans="10:57" ht="18" customHeight="1">
      <c r="J105" s="16"/>
      <c r="U105" s="216"/>
      <c r="V105" s="38"/>
      <c r="W105" s="120"/>
      <c r="X105" s="377" t="s">
        <v>213</v>
      </c>
      <c r="Y105" s="377"/>
      <c r="Z105" s="377"/>
      <c r="AA105" s="377"/>
      <c r="AB105" s="377"/>
      <c r="AC105" s="377"/>
      <c r="AD105" s="377"/>
      <c r="AE105" s="377"/>
      <c r="AF105" s="377"/>
      <c r="AG105" s="377"/>
      <c r="AH105" s="377"/>
      <c r="AI105" s="377"/>
      <c r="AJ105" s="377"/>
      <c r="AK105" s="377"/>
      <c r="AL105" s="377"/>
      <c r="AM105" s="377"/>
      <c r="AN105" s="377"/>
      <c r="AO105" s="377"/>
      <c r="AP105" s="377"/>
      <c r="AQ105" s="377"/>
      <c r="AR105" s="377"/>
      <c r="AS105" s="377"/>
      <c r="AT105" s="377"/>
      <c r="AU105" s="377"/>
      <c r="AV105" s="377"/>
      <c r="AW105" s="377"/>
      <c r="AX105" s="377"/>
      <c r="AY105" s="377"/>
      <c r="AZ105" s="377"/>
      <c r="BA105" s="377"/>
      <c r="BB105" s="377"/>
      <c r="BC105" s="377"/>
      <c r="BD105" s="377"/>
      <c r="BE105" s="165"/>
    </row>
    <row r="106" spans="10:57" ht="18" customHeight="1">
      <c r="J106" s="16"/>
      <c r="U106" s="216"/>
      <c r="V106" s="30"/>
      <c r="W106" s="120"/>
      <c r="X106" s="377"/>
      <c r="Y106" s="377"/>
      <c r="Z106" s="377"/>
      <c r="AA106" s="377"/>
      <c r="AB106" s="377"/>
      <c r="AC106" s="377"/>
      <c r="AD106" s="377"/>
      <c r="AE106" s="377"/>
      <c r="AF106" s="377"/>
      <c r="AG106" s="377"/>
      <c r="AH106" s="377"/>
      <c r="AI106" s="377"/>
      <c r="AJ106" s="377"/>
      <c r="AK106" s="377"/>
      <c r="AL106" s="377"/>
      <c r="AM106" s="377"/>
      <c r="AN106" s="377"/>
      <c r="AO106" s="377"/>
      <c r="AP106" s="377"/>
      <c r="AQ106" s="377"/>
      <c r="AR106" s="377"/>
      <c r="AS106" s="377"/>
      <c r="AT106" s="377"/>
      <c r="AU106" s="377"/>
      <c r="AV106" s="377"/>
      <c r="AW106" s="377"/>
      <c r="AX106" s="377"/>
      <c r="AY106" s="377"/>
      <c r="AZ106" s="377"/>
      <c r="BA106" s="377"/>
      <c r="BB106" s="377"/>
      <c r="BC106" s="377"/>
      <c r="BD106" s="377"/>
      <c r="BE106" s="165"/>
    </row>
    <row r="107" spans="10:57" ht="18">
      <c r="J107" s="16"/>
      <c r="U107" s="216"/>
      <c r="V107" s="30"/>
      <c r="W107" s="120"/>
      <c r="X107" s="377"/>
      <c r="Y107" s="377"/>
      <c r="Z107" s="377"/>
      <c r="AA107" s="377"/>
      <c r="AB107" s="377"/>
      <c r="AC107" s="377"/>
      <c r="AD107" s="377"/>
      <c r="AE107" s="377"/>
      <c r="AF107" s="377"/>
      <c r="AG107" s="377"/>
      <c r="AH107" s="377"/>
      <c r="AI107" s="377"/>
      <c r="AJ107" s="377"/>
      <c r="AK107" s="377"/>
      <c r="AL107" s="377"/>
      <c r="AM107" s="377"/>
      <c r="AN107" s="377"/>
      <c r="AO107" s="377"/>
      <c r="AP107" s="377"/>
      <c r="AQ107" s="377"/>
      <c r="AR107" s="377"/>
      <c r="AS107" s="377"/>
      <c r="AT107" s="377"/>
      <c r="AU107" s="377"/>
      <c r="AV107" s="377"/>
      <c r="AW107" s="377"/>
      <c r="AX107" s="377"/>
      <c r="AY107" s="377"/>
      <c r="AZ107" s="377"/>
      <c r="BA107" s="377"/>
      <c r="BB107" s="377"/>
      <c r="BC107" s="377"/>
      <c r="BD107" s="377"/>
      <c r="BE107" s="165"/>
    </row>
    <row r="108" spans="10:57" ht="18">
      <c r="J108" s="16"/>
      <c r="U108" s="216"/>
      <c r="V108" s="30"/>
      <c r="W108" s="120"/>
      <c r="X108" s="377" t="s">
        <v>355</v>
      </c>
      <c r="Y108" s="377"/>
      <c r="Z108" s="377"/>
      <c r="AA108" s="377"/>
      <c r="AB108" s="377"/>
      <c r="AC108" s="377"/>
      <c r="AD108" s="377"/>
      <c r="AE108" s="377"/>
      <c r="AF108" s="377"/>
      <c r="AG108" s="377"/>
      <c r="AH108" s="377"/>
      <c r="AI108" s="377"/>
      <c r="AJ108" s="377"/>
      <c r="AK108" s="377"/>
      <c r="AL108" s="377"/>
      <c r="AM108" s="377"/>
      <c r="AN108" s="377"/>
      <c r="AO108" s="377"/>
      <c r="AP108" s="377"/>
      <c r="AQ108" s="377"/>
      <c r="AR108" s="377"/>
      <c r="AS108" s="377"/>
      <c r="AT108" s="377"/>
      <c r="AU108" s="377"/>
      <c r="AV108" s="377"/>
      <c r="AW108" s="377"/>
      <c r="AX108" s="377"/>
      <c r="AY108" s="377"/>
      <c r="AZ108" s="377"/>
      <c r="BA108" s="377"/>
      <c r="BB108" s="377"/>
      <c r="BC108" s="377"/>
      <c r="BD108" s="377"/>
      <c r="BE108" s="165"/>
    </row>
    <row r="109" spans="10:57" ht="18" customHeight="1">
      <c r="J109" s="16"/>
      <c r="U109" s="216"/>
      <c r="V109" s="36"/>
      <c r="W109" s="120"/>
      <c r="X109" s="377"/>
      <c r="Y109" s="377"/>
      <c r="Z109" s="377"/>
      <c r="AA109" s="377"/>
      <c r="AB109" s="377"/>
      <c r="AC109" s="377"/>
      <c r="AD109" s="377"/>
      <c r="AE109" s="377"/>
      <c r="AF109" s="377"/>
      <c r="AG109" s="377"/>
      <c r="AH109" s="377"/>
      <c r="AI109" s="377"/>
      <c r="AJ109" s="377"/>
      <c r="AK109" s="377"/>
      <c r="AL109" s="377"/>
      <c r="AM109" s="377"/>
      <c r="AN109" s="377"/>
      <c r="AO109" s="377"/>
      <c r="AP109" s="377"/>
      <c r="AQ109" s="377"/>
      <c r="AR109" s="377"/>
      <c r="AS109" s="377"/>
      <c r="AT109" s="377"/>
      <c r="AU109" s="377"/>
      <c r="AV109" s="377"/>
      <c r="AW109" s="377"/>
      <c r="AX109" s="377"/>
      <c r="AY109" s="377"/>
      <c r="AZ109" s="377"/>
      <c r="BA109" s="377"/>
      <c r="BB109" s="377"/>
      <c r="BC109" s="377"/>
      <c r="BD109" s="377"/>
      <c r="BE109" s="165"/>
    </row>
    <row r="110" spans="10:57" ht="18.600000000000001" thickBot="1">
      <c r="J110" s="233"/>
      <c r="K110" s="231"/>
      <c r="L110" s="231"/>
      <c r="M110" s="231"/>
      <c r="N110" s="231"/>
      <c r="O110" s="231"/>
      <c r="P110" s="231"/>
      <c r="Q110" s="231"/>
      <c r="R110" s="231"/>
      <c r="S110" s="231"/>
      <c r="T110" s="231"/>
      <c r="U110" s="234"/>
      <c r="V110" s="36"/>
      <c r="W110" s="120"/>
      <c r="X110" s="377"/>
      <c r="Y110" s="377"/>
      <c r="Z110" s="377"/>
      <c r="AA110" s="377"/>
      <c r="AB110" s="377"/>
      <c r="AC110" s="377"/>
      <c r="AD110" s="377"/>
      <c r="AE110" s="377"/>
      <c r="AF110" s="377"/>
      <c r="AG110" s="377"/>
      <c r="AH110" s="377"/>
      <c r="AI110" s="377"/>
      <c r="AJ110" s="377"/>
      <c r="AK110" s="377"/>
      <c r="AL110" s="377"/>
      <c r="AM110" s="377"/>
      <c r="AN110" s="377"/>
      <c r="AO110" s="377"/>
      <c r="AP110" s="377"/>
      <c r="AQ110" s="377"/>
      <c r="AR110" s="377"/>
      <c r="AS110" s="377"/>
      <c r="AT110" s="377"/>
      <c r="AU110" s="377"/>
      <c r="AV110" s="377"/>
      <c r="AW110" s="377"/>
      <c r="AX110" s="377"/>
      <c r="AY110" s="377"/>
      <c r="AZ110" s="377"/>
      <c r="BA110" s="377"/>
      <c r="BB110" s="377"/>
      <c r="BC110" s="377"/>
      <c r="BD110" s="377"/>
      <c r="BE110" s="165"/>
    </row>
    <row r="111" spans="10:57" ht="18">
      <c r="V111" s="36"/>
      <c r="W111" s="120"/>
      <c r="X111" s="377" t="s">
        <v>215</v>
      </c>
      <c r="Y111" s="377"/>
      <c r="Z111" s="377"/>
      <c r="AA111" s="377"/>
      <c r="AB111" s="377"/>
      <c r="AC111" s="377"/>
      <c r="AD111" s="377"/>
      <c r="AE111" s="377"/>
      <c r="AF111" s="377"/>
      <c r="AG111" s="377"/>
      <c r="AH111" s="377"/>
      <c r="AI111" s="377"/>
      <c r="AJ111" s="377"/>
      <c r="AK111" s="377"/>
      <c r="AL111" s="377"/>
      <c r="AM111" s="377"/>
      <c r="AN111" s="377"/>
      <c r="AO111" s="377"/>
      <c r="AP111" s="377"/>
      <c r="AQ111" s="377"/>
      <c r="AR111" s="377"/>
      <c r="AS111" s="377"/>
      <c r="AT111" s="377"/>
      <c r="AU111" s="377"/>
      <c r="AV111" s="377"/>
      <c r="AW111" s="377"/>
      <c r="AX111" s="377"/>
      <c r="AY111" s="377"/>
      <c r="AZ111" s="377"/>
      <c r="BA111" s="377"/>
      <c r="BB111" s="377"/>
      <c r="BC111" s="377"/>
      <c r="BD111" s="377"/>
      <c r="BE111" s="165"/>
    </row>
    <row r="112" spans="10:57" ht="18" customHeight="1">
      <c r="V112" s="36"/>
      <c r="W112" s="120"/>
      <c r="X112" s="377"/>
      <c r="Y112" s="377"/>
      <c r="Z112" s="377"/>
      <c r="AA112" s="377"/>
      <c r="AB112" s="377"/>
      <c r="AC112" s="377"/>
      <c r="AD112" s="377"/>
      <c r="AE112" s="377"/>
      <c r="AF112" s="377"/>
      <c r="AG112" s="377"/>
      <c r="AH112" s="377"/>
      <c r="AI112" s="377"/>
      <c r="AJ112" s="377"/>
      <c r="AK112" s="377"/>
      <c r="AL112" s="377"/>
      <c r="AM112" s="377"/>
      <c r="AN112" s="377"/>
      <c r="AO112" s="377"/>
      <c r="AP112" s="377"/>
      <c r="AQ112" s="377"/>
      <c r="AR112" s="377"/>
      <c r="AS112" s="377"/>
      <c r="AT112" s="377"/>
      <c r="AU112" s="377"/>
      <c r="AV112" s="377"/>
      <c r="AW112" s="377"/>
      <c r="AX112" s="377"/>
      <c r="AY112" s="377"/>
      <c r="AZ112" s="377"/>
      <c r="BA112" s="377"/>
      <c r="BB112" s="377"/>
      <c r="BC112" s="377"/>
      <c r="BD112" s="377"/>
      <c r="BE112" s="165"/>
    </row>
    <row r="113" spans="22:57" ht="18">
      <c r="V113" s="36"/>
      <c r="W113" s="120"/>
      <c r="X113" s="377"/>
      <c r="Y113" s="377"/>
      <c r="Z113" s="377"/>
      <c r="AA113" s="377"/>
      <c r="AB113" s="377"/>
      <c r="AC113" s="377"/>
      <c r="AD113" s="377"/>
      <c r="AE113" s="377"/>
      <c r="AF113" s="377"/>
      <c r="AG113" s="377"/>
      <c r="AH113" s="377"/>
      <c r="AI113" s="377"/>
      <c r="AJ113" s="377"/>
      <c r="AK113" s="377"/>
      <c r="AL113" s="377"/>
      <c r="AM113" s="377"/>
      <c r="AN113" s="377"/>
      <c r="AO113" s="377"/>
      <c r="AP113" s="377"/>
      <c r="AQ113" s="377"/>
      <c r="AR113" s="377"/>
      <c r="AS113" s="377"/>
      <c r="AT113" s="377"/>
      <c r="AU113" s="377"/>
      <c r="AV113" s="377"/>
      <c r="AW113" s="377"/>
      <c r="AX113" s="377"/>
      <c r="AY113" s="377"/>
      <c r="AZ113" s="377"/>
      <c r="BA113" s="377"/>
      <c r="BB113" s="377"/>
      <c r="BC113" s="377"/>
      <c r="BD113" s="377"/>
      <c r="BE113" s="165"/>
    </row>
    <row r="114" spans="22:57" ht="18">
      <c r="V114" s="30"/>
      <c r="W114" s="120"/>
      <c r="X114" s="377"/>
      <c r="Y114" s="377"/>
      <c r="Z114" s="377"/>
      <c r="AA114" s="377"/>
      <c r="AB114" s="377"/>
      <c r="AC114" s="377"/>
      <c r="AD114" s="377"/>
      <c r="AE114" s="377"/>
      <c r="AF114" s="377"/>
      <c r="AG114" s="377"/>
      <c r="AH114" s="377"/>
      <c r="AI114" s="377"/>
      <c r="AJ114" s="377"/>
      <c r="AK114" s="377"/>
      <c r="AL114" s="377"/>
      <c r="AM114" s="377"/>
      <c r="AN114" s="377"/>
      <c r="AO114" s="377"/>
      <c r="AP114" s="377"/>
      <c r="AQ114" s="377"/>
      <c r="AR114" s="377"/>
      <c r="AS114" s="377"/>
      <c r="AT114" s="377"/>
      <c r="AU114" s="377"/>
      <c r="AV114" s="377"/>
      <c r="AW114" s="377"/>
      <c r="AX114" s="377"/>
      <c r="AY114" s="377"/>
      <c r="AZ114" s="377"/>
      <c r="BA114" s="377"/>
      <c r="BB114" s="377"/>
      <c r="BC114" s="377"/>
      <c r="BD114" s="377"/>
      <c r="BE114" s="165"/>
    </row>
    <row r="115" spans="22:57" ht="18">
      <c r="V115" s="30"/>
      <c r="W115" s="120"/>
      <c r="X115" s="377"/>
      <c r="Y115" s="377"/>
      <c r="Z115" s="377"/>
      <c r="AA115" s="377"/>
      <c r="AB115" s="377"/>
      <c r="AC115" s="377"/>
      <c r="AD115" s="377"/>
      <c r="AE115" s="377"/>
      <c r="AF115" s="377"/>
      <c r="AG115" s="377"/>
      <c r="AH115" s="377"/>
      <c r="AI115" s="377"/>
      <c r="AJ115" s="377"/>
      <c r="AK115" s="377"/>
      <c r="AL115" s="377"/>
      <c r="AM115" s="377"/>
      <c r="AN115" s="377"/>
      <c r="AO115" s="377"/>
      <c r="AP115" s="377"/>
      <c r="AQ115" s="377"/>
      <c r="AR115" s="377"/>
      <c r="AS115" s="377"/>
      <c r="AT115" s="377"/>
      <c r="AU115" s="377"/>
      <c r="AV115" s="377"/>
      <c r="AW115" s="377"/>
      <c r="AX115" s="377"/>
      <c r="AY115" s="377"/>
      <c r="AZ115" s="377"/>
      <c r="BA115" s="377"/>
      <c r="BB115" s="377"/>
      <c r="BC115" s="377"/>
      <c r="BD115" s="377"/>
      <c r="BE115" s="165"/>
    </row>
    <row r="116" spans="22:57" ht="18">
      <c r="V116" s="30"/>
      <c r="W116" s="120"/>
      <c r="X116" s="377" t="s">
        <v>216</v>
      </c>
      <c r="Y116" s="377"/>
      <c r="Z116" s="377"/>
      <c r="AA116" s="377"/>
      <c r="AB116" s="377"/>
      <c r="AC116" s="377"/>
      <c r="AD116" s="377"/>
      <c r="AE116" s="377"/>
      <c r="AF116" s="377"/>
      <c r="AG116" s="377"/>
      <c r="AH116" s="377"/>
      <c r="AI116" s="377"/>
      <c r="AJ116" s="377"/>
      <c r="AK116" s="377"/>
      <c r="AL116" s="377"/>
      <c r="AM116" s="377"/>
      <c r="AN116" s="377"/>
      <c r="AO116" s="377"/>
      <c r="AP116" s="377"/>
      <c r="AQ116" s="377"/>
      <c r="AR116" s="377"/>
      <c r="AS116" s="377"/>
      <c r="AT116" s="377"/>
      <c r="AU116" s="377"/>
      <c r="AV116" s="377"/>
      <c r="AW116" s="377"/>
      <c r="AX116" s="377"/>
      <c r="AY116" s="377"/>
      <c r="AZ116" s="377"/>
      <c r="BA116" s="377"/>
      <c r="BB116" s="377"/>
      <c r="BC116" s="377"/>
      <c r="BD116" s="377"/>
      <c r="BE116" s="165"/>
    </row>
    <row r="117" spans="22:57" ht="18" customHeight="1">
      <c r="V117" s="30"/>
      <c r="W117" s="120"/>
      <c r="X117" s="377"/>
      <c r="Y117" s="377"/>
      <c r="Z117" s="377"/>
      <c r="AA117" s="377"/>
      <c r="AB117" s="377"/>
      <c r="AC117" s="377"/>
      <c r="AD117" s="377"/>
      <c r="AE117" s="377"/>
      <c r="AF117" s="377"/>
      <c r="AG117" s="377"/>
      <c r="AH117" s="377"/>
      <c r="AI117" s="377"/>
      <c r="AJ117" s="377"/>
      <c r="AK117" s="377"/>
      <c r="AL117" s="377"/>
      <c r="AM117" s="377"/>
      <c r="AN117" s="377"/>
      <c r="AO117" s="377"/>
      <c r="AP117" s="377"/>
      <c r="AQ117" s="377"/>
      <c r="AR117" s="377"/>
      <c r="AS117" s="377"/>
      <c r="AT117" s="377"/>
      <c r="AU117" s="377"/>
      <c r="AV117" s="377"/>
      <c r="AW117" s="377"/>
      <c r="AX117" s="377"/>
      <c r="AY117" s="377"/>
      <c r="AZ117" s="377"/>
      <c r="BA117" s="377"/>
      <c r="BB117" s="377"/>
      <c r="BC117" s="377"/>
      <c r="BD117" s="377"/>
      <c r="BE117" s="165"/>
    </row>
    <row r="118" spans="22:57" ht="18">
      <c r="V118" s="30"/>
      <c r="W118" s="120"/>
      <c r="X118" s="377"/>
      <c r="Y118" s="377"/>
      <c r="Z118" s="377"/>
      <c r="AA118" s="377"/>
      <c r="AB118" s="377"/>
      <c r="AC118" s="377"/>
      <c r="AD118" s="377"/>
      <c r="AE118" s="377"/>
      <c r="AF118" s="377"/>
      <c r="AG118" s="377"/>
      <c r="AH118" s="377"/>
      <c r="AI118" s="377"/>
      <c r="AJ118" s="377"/>
      <c r="AK118" s="377"/>
      <c r="AL118" s="377"/>
      <c r="AM118" s="377"/>
      <c r="AN118" s="377"/>
      <c r="AO118" s="377"/>
      <c r="AP118" s="377"/>
      <c r="AQ118" s="377"/>
      <c r="AR118" s="377"/>
      <c r="AS118" s="377"/>
      <c r="AT118" s="377"/>
      <c r="AU118" s="377"/>
      <c r="AV118" s="377"/>
      <c r="AW118" s="377"/>
      <c r="AX118" s="377"/>
      <c r="AY118" s="377"/>
      <c r="AZ118" s="377"/>
      <c r="BA118" s="377"/>
      <c r="BB118" s="377"/>
      <c r="BC118" s="377"/>
      <c r="BD118" s="377"/>
      <c r="BE118" s="165"/>
    </row>
    <row r="119" spans="22:57" ht="18.600000000000001" thickBot="1">
      <c r="V119" s="30"/>
      <c r="W119" s="120"/>
      <c r="X119" s="377"/>
      <c r="Y119" s="377"/>
      <c r="Z119" s="377"/>
      <c r="AA119" s="377"/>
      <c r="AB119" s="377"/>
      <c r="AC119" s="377"/>
      <c r="AD119" s="377"/>
      <c r="AE119" s="377"/>
      <c r="AF119" s="377"/>
      <c r="AG119" s="377"/>
      <c r="AH119" s="377"/>
      <c r="AI119" s="377"/>
      <c r="AJ119" s="377"/>
      <c r="AK119" s="377"/>
      <c r="AL119" s="377"/>
      <c r="AM119" s="377"/>
      <c r="AN119" s="377"/>
      <c r="AO119" s="377"/>
      <c r="AP119" s="377"/>
      <c r="AQ119" s="377"/>
      <c r="AR119" s="377"/>
      <c r="AS119" s="377"/>
      <c r="AT119" s="377"/>
      <c r="AU119" s="377"/>
      <c r="AV119" s="377"/>
      <c r="AW119" s="377"/>
      <c r="AX119" s="377"/>
      <c r="AY119" s="377"/>
      <c r="AZ119" s="377"/>
      <c r="BA119" s="377"/>
      <c r="BB119" s="377"/>
      <c r="BC119" s="377"/>
      <c r="BD119" s="377"/>
      <c r="BE119" s="165"/>
    </row>
    <row r="120" spans="22:57" ht="15.6">
      <c r="V120" s="30"/>
      <c r="W120" s="120"/>
      <c r="X120" s="168"/>
      <c r="Y120" s="168"/>
      <c r="Z120" s="168"/>
      <c r="AA120" s="168"/>
      <c r="AB120" s="168"/>
      <c r="AC120" s="168"/>
      <c r="AD120" s="168"/>
      <c r="AE120" s="168"/>
      <c r="AF120" s="168"/>
      <c r="AG120" s="168"/>
      <c r="AH120" s="168"/>
      <c r="AI120" s="168"/>
      <c r="AJ120" s="168"/>
      <c r="AK120" s="168"/>
      <c r="AL120" s="129"/>
      <c r="AM120" s="120" t="s">
        <v>217</v>
      </c>
      <c r="AN120" s="120"/>
      <c r="AO120" s="169"/>
      <c r="AP120" s="120"/>
      <c r="AQ120" s="120"/>
      <c r="AR120" s="168"/>
      <c r="AS120" s="168"/>
      <c r="AT120" s="378"/>
      <c r="AU120" s="379"/>
      <c r="AV120" s="379"/>
      <c r="AW120" s="379"/>
      <c r="AX120" s="380"/>
      <c r="AY120" s="170"/>
      <c r="AZ120" s="387"/>
      <c r="BA120" s="388"/>
      <c r="BB120" s="388"/>
      <c r="BC120" s="388"/>
      <c r="BD120" s="389"/>
      <c r="BE120" s="168"/>
    </row>
    <row r="121" spans="22:57" ht="15.6">
      <c r="V121" s="30"/>
      <c r="W121" s="120"/>
      <c r="X121" s="120"/>
      <c r="Y121" s="120"/>
      <c r="Z121" s="120"/>
      <c r="AA121" s="120"/>
      <c r="AB121" s="120"/>
      <c r="AC121" s="120"/>
      <c r="AD121" s="120"/>
      <c r="AE121" s="120"/>
      <c r="AF121" s="120"/>
      <c r="AG121" s="120"/>
      <c r="AH121" s="120"/>
      <c r="AI121" s="120"/>
      <c r="AJ121" s="120"/>
      <c r="AK121" s="120"/>
      <c r="AL121" s="129"/>
      <c r="AM121" s="120" t="s">
        <v>218</v>
      </c>
      <c r="AN121" s="120"/>
      <c r="AO121" s="120"/>
      <c r="AP121" s="120"/>
      <c r="AQ121" s="120"/>
      <c r="AR121" s="120"/>
      <c r="AS121" s="120"/>
      <c r="AT121" s="381"/>
      <c r="AU121" s="382"/>
      <c r="AV121" s="382"/>
      <c r="AW121" s="382"/>
      <c r="AX121" s="383"/>
      <c r="AY121" s="168"/>
      <c r="AZ121" s="390"/>
      <c r="BA121" s="391"/>
      <c r="BB121" s="391"/>
      <c r="BC121" s="391"/>
      <c r="BD121" s="392"/>
      <c r="BE121" s="168"/>
    </row>
    <row r="122" spans="22:57" ht="15.6">
      <c r="V122" s="30"/>
      <c r="W122" s="120"/>
      <c r="X122" s="120"/>
      <c r="Y122" s="120"/>
      <c r="Z122" s="120"/>
      <c r="AA122" s="120"/>
      <c r="AB122" s="120"/>
      <c r="AC122" s="120"/>
      <c r="AD122" s="120"/>
      <c r="AE122" s="120"/>
      <c r="AF122" s="120"/>
      <c r="AG122" s="120"/>
      <c r="AH122" s="120"/>
      <c r="AI122" s="120"/>
      <c r="AJ122" s="120"/>
      <c r="AK122" s="120"/>
      <c r="AL122" s="129"/>
      <c r="AM122" s="120" t="s">
        <v>219</v>
      </c>
      <c r="AN122" s="120"/>
      <c r="AO122" s="120"/>
      <c r="AP122" s="120"/>
      <c r="AQ122" s="120"/>
      <c r="AR122" s="120"/>
      <c r="AS122" s="120"/>
      <c r="AT122" s="381"/>
      <c r="AU122" s="382"/>
      <c r="AV122" s="382"/>
      <c r="AW122" s="382"/>
      <c r="AX122" s="383"/>
      <c r="AY122" s="168"/>
      <c r="AZ122" s="390"/>
      <c r="BA122" s="391"/>
      <c r="BB122" s="391"/>
      <c r="BC122" s="391"/>
      <c r="BD122" s="392"/>
      <c r="BE122" s="168"/>
    </row>
    <row r="123" spans="22:57" ht="16.2" thickBot="1">
      <c r="V123" s="30"/>
      <c r="W123" s="120"/>
      <c r="X123" s="120"/>
      <c r="Y123" s="120"/>
      <c r="Z123" s="396" t="str">
        <f>AU64</f>
        <v>TABAQUERO, ARTHUR I.</v>
      </c>
      <c r="AA123" s="396"/>
      <c r="AB123" s="396"/>
      <c r="AC123" s="396"/>
      <c r="AD123" s="396"/>
      <c r="AE123" s="396"/>
      <c r="AF123" s="396"/>
      <c r="AG123" s="396"/>
      <c r="AH123" s="396"/>
      <c r="AI123" s="120"/>
      <c r="AJ123" s="120"/>
      <c r="AK123" s="120"/>
      <c r="AL123" s="129"/>
      <c r="AM123" s="120" t="s">
        <v>127</v>
      </c>
      <c r="AN123" s="120"/>
      <c r="AO123" s="373"/>
      <c r="AP123" s="373"/>
      <c r="AQ123" s="373"/>
      <c r="AR123" s="120"/>
      <c r="AS123" s="120"/>
      <c r="AT123" s="381"/>
      <c r="AU123" s="382"/>
      <c r="AV123" s="382"/>
      <c r="AW123" s="382"/>
      <c r="AX123" s="383"/>
      <c r="AY123" s="168"/>
      <c r="AZ123" s="390"/>
      <c r="BA123" s="391"/>
      <c r="BB123" s="391"/>
      <c r="BC123" s="391"/>
      <c r="BD123" s="392"/>
      <c r="BE123" s="168"/>
    </row>
    <row r="124" spans="22:57" ht="15.6">
      <c r="V124" s="30"/>
      <c r="W124" s="120"/>
      <c r="X124" s="397" t="s">
        <v>220</v>
      </c>
      <c r="Y124" s="397"/>
      <c r="Z124" s="397"/>
      <c r="AA124" s="397"/>
      <c r="AB124" s="397"/>
      <c r="AC124" s="397"/>
      <c r="AD124" s="397"/>
      <c r="AE124" s="397"/>
      <c r="AF124" s="397"/>
      <c r="AG124" s="397"/>
      <c r="AH124" s="397"/>
      <c r="AI124" s="397"/>
      <c r="AJ124" s="397"/>
      <c r="AK124" s="120"/>
      <c r="AL124" s="120"/>
      <c r="AM124" s="120"/>
      <c r="AN124" s="120"/>
      <c r="AO124" s="120"/>
      <c r="AP124" s="120"/>
      <c r="AQ124" s="120"/>
      <c r="AR124" s="120"/>
      <c r="AS124" s="120"/>
      <c r="AT124" s="381"/>
      <c r="AU124" s="382"/>
      <c r="AV124" s="382"/>
      <c r="AW124" s="382"/>
      <c r="AX124" s="383"/>
      <c r="AY124" s="168"/>
      <c r="AZ124" s="390"/>
      <c r="BA124" s="391"/>
      <c r="BB124" s="391"/>
      <c r="BC124" s="391"/>
      <c r="BD124" s="392"/>
      <c r="BE124" s="168"/>
    </row>
    <row r="125" spans="22:57" ht="15.6">
      <c r="V125" s="30"/>
      <c r="W125" s="120"/>
      <c r="X125" s="123"/>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381"/>
      <c r="AU125" s="382"/>
      <c r="AV125" s="382"/>
      <c r="AW125" s="382"/>
      <c r="AX125" s="383"/>
      <c r="AY125" s="168"/>
      <c r="AZ125" s="390"/>
      <c r="BA125" s="391"/>
      <c r="BB125" s="391"/>
      <c r="BC125" s="391"/>
      <c r="BD125" s="392"/>
      <c r="BE125" s="168"/>
    </row>
    <row r="126" spans="22:57" ht="16.2" thickBot="1">
      <c r="V126" s="30"/>
      <c r="W126" s="120"/>
      <c r="X126" s="120" t="s">
        <v>221</v>
      </c>
      <c r="Y126" s="120"/>
      <c r="Z126" s="527" t="str">
        <f>AD48</f>
        <v>O-7704</v>
      </c>
      <c r="AA126" s="373"/>
      <c r="AB126" s="373"/>
      <c r="AC126" s="373"/>
      <c r="AD126" s="373"/>
      <c r="AE126" s="373"/>
      <c r="AF126" s="373"/>
      <c r="AG126" s="373"/>
      <c r="AH126" s="373"/>
      <c r="AI126" s="373"/>
      <c r="AJ126" s="120"/>
      <c r="AK126" s="120"/>
      <c r="AL126" s="120"/>
      <c r="AM126" s="120"/>
      <c r="AN126" s="120"/>
      <c r="AO126" s="120"/>
      <c r="AP126" s="120"/>
      <c r="AQ126" s="120"/>
      <c r="AR126" s="120"/>
      <c r="AS126" s="120"/>
      <c r="AT126" s="384"/>
      <c r="AU126" s="385"/>
      <c r="AV126" s="385"/>
      <c r="AW126" s="385"/>
      <c r="AX126" s="386"/>
      <c r="AY126" s="171"/>
      <c r="AZ126" s="393"/>
      <c r="BA126" s="394"/>
      <c r="BB126" s="394"/>
      <c r="BC126" s="394"/>
      <c r="BD126" s="395"/>
      <c r="BE126" s="168"/>
    </row>
    <row r="127" spans="22:57" ht="16.2" thickBot="1">
      <c r="V127" s="30"/>
      <c r="W127" s="120"/>
      <c r="X127" s="120" t="s">
        <v>222</v>
      </c>
      <c r="Y127" s="120"/>
      <c r="Z127" s="120"/>
      <c r="AA127" s="120"/>
      <c r="AB127" s="374"/>
      <c r="AC127" s="374"/>
      <c r="AD127" s="374"/>
      <c r="AE127" s="374"/>
      <c r="AF127" s="374"/>
      <c r="AG127" s="374"/>
      <c r="AH127" s="374"/>
      <c r="AI127" s="374"/>
      <c r="AJ127" s="120"/>
      <c r="AK127" s="120"/>
      <c r="AL127" s="120"/>
      <c r="AM127" s="120"/>
      <c r="AN127" s="120"/>
      <c r="AO127" s="120"/>
      <c r="AP127" s="120"/>
      <c r="AQ127" s="120"/>
      <c r="AR127" s="120"/>
      <c r="AS127" s="120"/>
      <c r="AT127" s="375" t="s">
        <v>223</v>
      </c>
      <c r="AU127" s="375"/>
      <c r="AV127" s="375"/>
      <c r="AW127" s="375"/>
      <c r="AX127" s="375"/>
      <c r="AY127" s="133"/>
      <c r="AZ127" s="375" t="s">
        <v>224</v>
      </c>
      <c r="BA127" s="375"/>
      <c r="BB127" s="375"/>
      <c r="BC127" s="375"/>
      <c r="BD127" s="375"/>
      <c r="BE127" s="134"/>
    </row>
    <row r="128" spans="22:57" ht="15.6">
      <c r="V128" s="3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row>
    <row r="129" spans="10:57" ht="15.6">
      <c r="V129" s="3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row>
    <row r="130" spans="10:57" ht="18">
      <c r="V130" s="30"/>
      <c r="W130" s="120"/>
      <c r="X130" s="368" t="s">
        <v>225</v>
      </c>
      <c r="Y130" s="369"/>
      <c r="Z130" s="369"/>
      <c r="AA130" s="369"/>
      <c r="AB130" s="369"/>
      <c r="AC130" s="369"/>
      <c r="AD130" s="369"/>
      <c r="AE130" s="369"/>
      <c r="AF130" s="369"/>
      <c r="AG130" s="369"/>
      <c r="AH130" s="369"/>
      <c r="AI130" s="369"/>
      <c r="AJ130" s="369"/>
      <c r="AK130" s="369"/>
      <c r="AL130" s="369"/>
      <c r="AM130" s="369"/>
      <c r="AN130" s="369"/>
      <c r="AO130" s="369"/>
      <c r="AP130" s="369"/>
      <c r="AQ130" s="369"/>
      <c r="AR130" s="369"/>
      <c r="AS130" s="369"/>
      <c r="AT130" s="369"/>
      <c r="AU130" s="369"/>
      <c r="AV130" s="369"/>
      <c r="AW130" s="369"/>
      <c r="AX130" s="369"/>
      <c r="AY130" s="369"/>
      <c r="AZ130" s="369"/>
      <c r="BA130" s="369"/>
      <c r="BB130" s="369"/>
      <c r="BC130" s="369"/>
      <c r="BD130" s="369"/>
      <c r="BE130" s="369"/>
    </row>
    <row r="131" spans="10:57" ht="15.6">
      <c r="V131" s="3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row>
    <row r="132" spans="10:57" ht="17.399999999999999">
      <c r="V132" s="30"/>
      <c r="W132" s="120"/>
      <c r="X132" s="172" t="s">
        <v>226</v>
      </c>
      <c r="Y132" s="173"/>
      <c r="Z132" s="173"/>
      <c r="AA132" s="173"/>
      <c r="AB132" s="173"/>
      <c r="AC132" s="173"/>
      <c r="AD132" s="173"/>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row>
    <row r="133" spans="10:57" ht="17.399999999999999">
      <c r="V133" s="30"/>
      <c r="W133" s="120"/>
      <c r="X133" s="174" t="s">
        <v>227</v>
      </c>
      <c r="Y133" s="173"/>
      <c r="Z133" s="173"/>
      <c r="AA133" s="173"/>
      <c r="AB133" s="173"/>
      <c r="AC133" s="173"/>
      <c r="AD133" s="173"/>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row>
    <row r="134" spans="10:57" ht="17.399999999999999">
      <c r="V134" s="30"/>
      <c r="W134" s="120"/>
      <c r="X134" s="173"/>
      <c r="Y134" s="173"/>
      <c r="Z134" s="173"/>
      <c r="AA134" s="173"/>
      <c r="AB134" s="173"/>
      <c r="AC134" s="173"/>
      <c r="AD134" s="173"/>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row>
    <row r="135" spans="10:57" ht="17.399999999999999">
      <c r="J135" s="30"/>
      <c r="K135" s="30"/>
      <c r="L135" s="30"/>
      <c r="M135" s="30"/>
      <c r="N135" s="30"/>
      <c r="O135" s="32"/>
      <c r="P135" s="30"/>
      <c r="Q135" s="30"/>
      <c r="R135" s="30"/>
      <c r="S135" s="30"/>
      <c r="T135" s="30"/>
      <c r="U135" s="30"/>
      <c r="V135" s="30"/>
      <c r="W135" s="120"/>
      <c r="X135" s="376" t="s">
        <v>228</v>
      </c>
      <c r="Y135" s="376"/>
      <c r="Z135" s="376"/>
      <c r="AA135" s="376"/>
      <c r="AB135" s="376"/>
      <c r="AC135" s="376"/>
      <c r="AD135" s="376"/>
      <c r="AE135" s="376"/>
      <c r="AF135" s="376"/>
      <c r="AG135" s="376"/>
      <c r="AH135" s="376"/>
      <c r="AI135" s="376"/>
      <c r="AJ135" s="376"/>
      <c r="AK135" s="376"/>
      <c r="AL135" s="376"/>
      <c r="AM135" s="376"/>
      <c r="AN135" s="376"/>
      <c r="AO135" s="376"/>
      <c r="AP135" s="376"/>
      <c r="AQ135" s="376"/>
      <c r="AR135" s="376"/>
      <c r="AS135" s="376"/>
      <c r="AT135" s="376"/>
      <c r="AU135" s="376"/>
      <c r="AV135" s="376"/>
      <c r="AW135" s="376"/>
      <c r="AX135" s="376"/>
      <c r="AY135" s="376"/>
      <c r="AZ135" s="376"/>
      <c r="BA135" s="376"/>
      <c r="BB135" s="376"/>
      <c r="BC135" s="376"/>
      <c r="BD135" s="376"/>
      <c r="BE135" s="175"/>
    </row>
    <row r="136" spans="10:57" ht="17.399999999999999">
      <c r="W136" s="120"/>
      <c r="X136" s="370" t="s">
        <v>229</v>
      </c>
      <c r="Y136" s="370"/>
      <c r="Z136" s="370"/>
      <c r="AA136" s="370"/>
      <c r="AB136" s="370"/>
      <c r="AC136" s="370"/>
      <c r="AD136" s="370"/>
      <c r="AE136" s="370"/>
      <c r="AF136" s="370"/>
      <c r="AG136" s="370"/>
      <c r="AH136" s="370"/>
      <c r="AI136" s="370"/>
      <c r="AJ136" s="370"/>
      <c r="AK136" s="370"/>
      <c r="AL136" s="370"/>
      <c r="AM136" s="370"/>
      <c r="AN136" s="370"/>
      <c r="AO136" s="370"/>
      <c r="AP136" s="370"/>
      <c r="AQ136" s="370"/>
      <c r="AR136" s="370"/>
      <c r="AS136" s="370"/>
      <c r="AT136" s="370"/>
      <c r="AU136" s="370"/>
      <c r="AV136" s="370"/>
      <c r="AW136" s="370"/>
      <c r="AX136" s="370"/>
      <c r="AY136" s="370"/>
      <c r="AZ136" s="370"/>
      <c r="BA136" s="370"/>
      <c r="BB136" s="370"/>
      <c r="BC136" s="370"/>
      <c r="BD136" s="370"/>
      <c r="BE136" s="175"/>
    </row>
    <row r="137" spans="10:57" ht="17.399999999999999">
      <c r="W137" s="120"/>
      <c r="X137" s="370"/>
      <c r="Y137" s="370"/>
      <c r="Z137" s="370"/>
      <c r="AA137" s="370"/>
      <c r="AB137" s="370"/>
      <c r="AC137" s="370"/>
      <c r="AD137" s="370"/>
      <c r="AE137" s="370"/>
      <c r="AF137" s="370"/>
      <c r="AG137" s="370"/>
      <c r="AH137" s="370"/>
      <c r="AI137" s="370"/>
      <c r="AJ137" s="370"/>
      <c r="AK137" s="370"/>
      <c r="AL137" s="370"/>
      <c r="AM137" s="370"/>
      <c r="AN137" s="370"/>
      <c r="AO137" s="370"/>
      <c r="AP137" s="370"/>
      <c r="AQ137" s="370"/>
      <c r="AR137" s="370"/>
      <c r="AS137" s="370"/>
      <c r="AT137" s="370"/>
      <c r="AU137" s="370"/>
      <c r="AV137" s="370"/>
      <c r="AW137" s="370"/>
      <c r="AX137" s="370"/>
      <c r="AY137" s="370"/>
      <c r="AZ137" s="370"/>
      <c r="BA137" s="370"/>
      <c r="BB137" s="370"/>
      <c r="BC137" s="370"/>
      <c r="BD137" s="370"/>
      <c r="BE137" s="175"/>
    </row>
    <row r="138" spans="10:57" ht="17.399999999999999">
      <c r="W138" s="120"/>
      <c r="X138" s="370"/>
      <c r="Y138" s="370"/>
      <c r="Z138" s="370"/>
      <c r="AA138" s="370"/>
      <c r="AB138" s="370"/>
      <c r="AC138" s="370"/>
      <c r="AD138" s="370"/>
      <c r="AE138" s="370"/>
      <c r="AF138" s="370"/>
      <c r="AG138" s="370"/>
      <c r="AH138" s="370"/>
      <c r="AI138" s="370"/>
      <c r="AJ138" s="370"/>
      <c r="AK138" s="370"/>
      <c r="AL138" s="370"/>
      <c r="AM138" s="370"/>
      <c r="AN138" s="370"/>
      <c r="AO138" s="370"/>
      <c r="AP138" s="370"/>
      <c r="AQ138" s="370"/>
      <c r="AR138" s="370"/>
      <c r="AS138" s="370"/>
      <c r="AT138" s="370"/>
      <c r="AU138" s="370"/>
      <c r="AV138" s="370"/>
      <c r="AW138" s="370"/>
      <c r="AX138" s="370"/>
      <c r="AY138" s="370"/>
      <c r="AZ138" s="370"/>
      <c r="BA138" s="370"/>
      <c r="BB138" s="370"/>
      <c r="BC138" s="370"/>
      <c r="BD138" s="370"/>
      <c r="BE138" s="175"/>
    </row>
    <row r="139" spans="10:57" ht="17.399999999999999">
      <c r="W139" s="120"/>
      <c r="X139" s="370"/>
      <c r="Y139" s="370"/>
      <c r="Z139" s="370"/>
      <c r="AA139" s="370"/>
      <c r="AB139" s="370"/>
      <c r="AC139" s="370"/>
      <c r="AD139" s="370"/>
      <c r="AE139" s="370"/>
      <c r="AF139" s="370"/>
      <c r="AG139" s="370"/>
      <c r="AH139" s="370"/>
      <c r="AI139" s="370"/>
      <c r="AJ139" s="370"/>
      <c r="AK139" s="370"/>
      <c r="AL139" s="370"/>
      <c r="AM139" s="370"/>
      <c r="AN139" s="370"/>
      <c r="AO139" s="370"/>
      <c r="AP139" s="370"/>
      <c r="AQ139" s="370"/>
      <c r="AR139" s="370"/>
      <c r="AS139" s="370"/>
      <c r="AT139" s="370"/>
      <c r="AU139" s="370"/>
      <c r="AV139" s="370"/>
      <c r="AW139" s="370"/>
      <c r="AX139" s="370"/>
      <c r="AY139" s="370"/>
      <c r="AZ139" s="370"/>
      <c r="BA139" s="370"/>
      <c r="BB139" s="370"/>
      <c r="BC139" s="370"/>
      <c r="BD139" s="370"/>
      <c r="BE139" s="176"/>
    </row>
    <row r="140" spans="10:57" ht="17.399999999999999">
      <c r="W140" s="120"/>
      <c r="X140" s="173"/>
      <c r="Y140" s="177" t="s">
        <v>230</v>
      </c>
      <c r="Z140" s="173"/>
      <c r="AA140" s="173"/>
      <c r="AB140" s="173"/>
      <c r="AC140" s="173"/>
      <c r="AD140" s="173"/>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row>
    <row r="141" spans="10:57" ht="17.399999999999999">
      <c r="W141" s="120"/>
      <c r="X141" s="173"/>
      <c r="Y141" s="173"/>
      <c r="Z141" s="173"/>
      <c r="AA141" s="173"/>
      <c r="AB141" s="173"/>
      <c r="AC141" s="173"/>
      <c r="AD141" s="173"/>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row>
    <row r="142" spans="10:57" ht="18" thickBot="1">
      <c r="W142" s="120"/>
      <c r="X142" s="178" t="s">
        <v>231</v>
      </c>
      <c r="Y142" s="173"/>
      <c r="Z142" s="173"/>
      <c r="AA142" s="371"/>
      <c r="AB142" s="371"/>
      <c r="AC142" s="371"/>
      <c r="AD142" s="173"/>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row>
    <row r="143" spans="10:57" ht="18" thickBot="1">
      <c r="W143" s="120"/>
      <c r="X143" s="178" t="s">
        <v>232</v>
      </c>
      <c r="Y143" s="173"/>
      <c r="Z143" s="173"/>
      <c r="AA143" s="372"/>
      <c r="AB143" s="372"/>
      <c r="AC143" s="372"/>
      <c r="AD143" s="173"/>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row>
    <row r="144" spans="10:57" ht="18" thickBot="1">
      <c r="W144" s="120"/>
      <c r="X144" s="178" t="s">
        <v>233</v>
      </c>
      <c r="Y144" s="173"/>
      <c r="Z144" s="173"/>
      <c r="AA144" s="372"/>
      <c r="AB144" s="372"/>
      <c r="AC144" s="372"/>
      <c r="AD144" s="173"/>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row>
    <row r="145" spans="23:57" ht="18" thickBot="1">
      <c r="W145" s="120"/>
      <c r="X145" s="178" t="s">
        <v>234</v>
      </c>
      <c r="Y145" s="173"/>
      <c r="Z145" s="173"/>
      <c r="AA145" s="372"/>
      <c r="AB145" s="372"/>
      <c r="AC145" s="372"/>
      <c r="AD145" s="173"/>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row>
    <row r="146" spans="23:57" ht="15.6">
      <c r="W146" s="120"/>
      <c r="X146" s="179"/>
      <c r="Y146" s="120"/>
      <c r="Z146" s="120"/>
      <c r="AA146" s="130"/>
      <c r="AB146" s="130"/>
      <c r="AC146" s="13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row>
    <row r="147" spans="23:57" ht="18">
      <c r="W147" s="120"/>
      <c r="X147" s="368" t="s">
        <v>235</v>
      </c>
      <c r="Y147" s="369"/>
      <c r="Z147" s="369"/>
      <c r="AA147" s="369"/>
      <c r="AB147" s="369"/>
      <c r="AC147" s="369"/>
      <c r="AD147" s="369"/>
      <c r="AE147" s="369"/>
      <c r="AF147" s="369"/>
      <c r="AG147" s="369"/>
      <c r="AH147" s="369"/>
      <c r="AI147" s="369"/>
      <c r="AJ147" s="369"/>
      <c r="AK147" s="369"/>
      <c r="AL147" s="369"/>
      <c r="AM147" s="369"/>
      <c r="AN147" s="369"/>
      <c r="AO147" s="369"/>
      <c r="AP147" s="369"/>
      <c r="AQ147" s="369"/>
      <c r="AR147" s="369"/>
      <c r="AS147" s="369"/>
      <c r="AT147" s="369"/>
      <c r="AU147" s="369"/>
      <c r="AV147" s="369"/>
      <c r="AW147" s="369"/>
      <c r="AX147" s="369"/>
      <c r="AY147" s="369"/>
      <c r="AZ147" s="369"/>
      <c r="BA147" s="369"/>
      <c r="BB147" s="369"/>
      <c r="BC147" s="369"/>
      <c r="BD147" s="369"/>
      <c r="BE147" s="180"/>
    </row>
    <row r="148" spans="23:57" ht="15.6">
      <c r="W148" s="120"/>
      <c r="X148" s="181"/>
      <c r="Y148" s="182"/>
      <c r="Z148" s="182"/>
      <c r="AA148" s="182"/>
      <c r="AB148" s="182"/>
      <c r="AC148" s="182"/>
      <c r="AD148" s="182"/>
      <c r="AE148" s="182"/>
      <c r="AF148" s="182"/>
      <c r="AG148" s="182"/>
      <c r="AH148" s="182"/>
      <c r="AI148" s="182"/>
      <c r="AJ148" s="182"/>
      <c r="AK148" s="182"/>
      <c r="AL148" s="182"/>
      <c r="AM148" s="182"/>
      <c r="AN148" s="182"/>
      <c r="AO148" s="182"/>
      <c r="AP148" s="182"/>
      <c r="AQ148" s="182"/>
      <c r="AR148" s="182"/>
      <c r="AS148" s="182"/>
      <c r="AT148" s="182"/>
      <c r="AU148" s="182"/>
      <c r="AV148" s="182"/>
      <c r="AW148" s="182"/>
      <c r="AX148" s="182"/>
      <c r="AY148" s="182"/>
      <c r="AZ148" s="182"/>
      <c r="BA148" s="182"/>
      <c r="BB148" s="182"/>
      <c r="BC148" s="182"/>
      <c r="BD148" s="182"/>
      <c r="BE148" s="182"/>
    </row>
    <row r="149" spans="23:57" ht="17.399999999999999">
      <c r="W149" s="120"/>
      <c r="X149" s="173"/>
      <c r="Y149" s="173" t="s">
        <v>236</v>
      </c>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row>
    <row r="150" spans="23:57" ht="17.399999999999999">
      <c r="W150" s="120"/>
      <c r="X150" s="183" t="s">
        <v>237</v>
      </c>
      <c r="Y150" s="173"/>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row>
    <row r="151" spans="23:57" ht="18.600000000000001" thickBot="1">
      <c r="W151" s="120"/>
      <c r="X151" s="183" t="s">
        <v>238</v>
      </c>
      <c r="Y151" s="173"/>
      <c r="Z151" s="120"/>
      <c r="AA151" s="120"/>
      <c r="AB151" s="120"/>
      <c r="AC151" s="184"/>
      <c r="AD151" s="364">
        <f>AN102</f>
        <v>1499.9958369144247</v>
      </c>
      <c r="AE151" s="364"/>
      <c r="AF151" s="364"/>
      <c r="AG151" s="364"/>
      <c r="AH151" s="365" t="s">
        <v>239</v>
      </c>
      <c r="AI151" s="365"/>
      <c r="AJ151" s="365"/>
      <c r="AK151" s="365"/>
      <c r="AL151" s="185">
        <f>AB102</f>
        <v>36</v>
      </c>
      <c r="AM151" s="186" t="s">
        <v>240</v>
      </c>
      <c r="AQ151" s="120"/>
      <c r="AR151" s="120"/>
      <c r="AS151" s="120"/>
      <c r="AT151" s="120"/>
      <c r="AU151" s="366">
        <f>AY101</f>
        <v>53999.850128919286</v>
      </c>
      <c r="AV151" s="366"/>
      <c r="AW151" s="366"/>
      <c r="AX151" s="366"/>
      <c r="AY151" s="366"/>
      <c r="AZ151" s="186" t="s">
        <v>241</v>
      </c>
      <c r="BA151" s="187"/>
      <c r="BB151" s="187"/>
      <c r="BC151" s="187"/>
      <c r="BE151" s="120"/>
    </row>
    <row r="152" spans="23:57" ht="17.399999999999999">
      <c r="W152" s="120"/>
      <c r="X152" s="173"/>
      <c r="Y152" s="177" t="s">
        <v>242</v>
      </c>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row>
    <row r="153" spans="23:57" ht="17.399999999999999">
      <c r="W153" s="120"/>
      <c r="X153" s="177" t="s">
        <v>243</v>
      </c>
      <c r="Y153" s="173"/>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row>
    <row r="154" spans="23:57" ht="15.6">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row>
    <row r="155" spans="23:57" ht="18.600000000000001" thickBot="1">
      <c r="W155" s="120"/>
      <c r="X155" s="120"/>
      <c r="Y155" s="120"/>
      <c r="Z155" s="120"/>
      <c r="AA155" s="120"/>
      <c r="AB155" s="120"/>
      <c r="AC155" s="120"/>
      <c r="AD155" s="120"/>
      <c r="AE155" s="120"/>
      <c r="AF155" s="120"/>
      <c r="AG155" s="120"/>
      <c r="AH155" s="120"/>
      <c r="AI155" s="367" t="str">
        <f>Z123</f>
        <v>TABAQUERO, ARTHUR I.</v>
      </c>
      <c r="AJ155" s="367"/>
      <c r="AK155" s="367"/>
      <c r="AL155" s="367"/>
      <c r="AM155" s="367"/>
      <c r="AN155" s="367"/>
      <c r="AO155" s="367"/>
      <c r="AP155" s="367"/>
      <c r="AQ155" s="367"/>
      <c r="AR155" s="367"/>
      <c r="AS155" s="367"/>
      <c r="AT155" s="188"/>
      <c r="AU155" s="188"/>
      <c r="AV155" s="120"/>
      <c r="AW155" s="120"/>
      <c r="AX155" s="120"/>
      <c r="AY155" s="120"/>
      <c r="AZ155" s="120"/>
      <c r="BA155" s="120"/>
      <c r="BB155" s="120"/>
      <c r="BC155" s="120"/>
      <c r="BD155" s="120"/>
      <c r="BE155" s="120"/>
    </row>
    <row r="156" spans="23:57" ht="15.6">
      <c r="W156" s="120"/>
      <c r="X156" s="363" t="s">
        <v>244</v>
      </c>
      <c r="Y156" s="363"/>
      <c r="Z156" s="363"/>
      <c r="AA156" s="363"/>
      <c r="AB156" s="363"/>
      <c r="AC156" s="363"/>
      <c r="AD156" s="363"/>
      <c r="AE156" s="363"/>
      <c r="AF156" s="363"/>
      <c r="AG156" s="363"/>
      <c r="AH156" s="363"/>
      <c r="AI156" s="363"/>
      <c r="AJ156" s="363"/>
      <c r="AK156" s="363"/>
      <c r="AL156" s="363"/>
      <c r="AM156" s="363"/>
      <c r="AN156" s="363"/>
      <c r="AO156" s="363"/>
      <c r="AP156" s="363"/>
      <c r="AQ156" s="363"/>
      <c r="AR156" s="363"/>
      <c r="AS156" s="363"/>
      <c r="AT156" s="363"/>
      <c r="AU156" s="363"/>
      <c r="AV156" s="363"/>
      <c r="AW156" s="363"/>
      <c r="AX156" s="363"/>
      <c r="AY156" s="363"/>
      <c r="AZ156" s="363"/>
      <c r="BA156" s="363"/>
      <c r="BB156" s="363"/>
      <c r="BC156" s="363"/>
      <c r="BD156" s="363"/>
      <c r="BE156" s="123"/>
    </row>
    <row r="157" spans="23:57" ht="15.6">
      <c r="W157" s="120"/>
      <c r="X157" s="164"/>
      <c r="Y157" s="164"/>
      <c r="Z157" s="164"/>
      <c r="AA157" s="164"/>
      <c r="AB157" s="164"/>
      <c r="AC157" s="164"/>
      <c r="AD157" s="164"/>
      <c r="AE157" s="164"/>
      <c r="AF157" s="164"/>
      <c r="AG157" s="164"/>
      <c r="AH157" s="164"/>
      <c r="AI157" s="164"/>
      <c r="AJ157" s="164"/>
      <c r="AK157" s="164"/>
      <c r="AL157" s="164"/>
      <c r="AM157" s="164"/>
      <c r="AN157" s="164"/>
      <c r="AO157" s="164"/>
      <c r="AP157" s="164"/>
      <c r="AQ157" s="164"/>
      <c r="AR157" s="164"/>
      <c r="AS157" s="164"/>
      <c r="AT157" s="164"/>
      <c r="AU157" s="164"/>
      <c r="AV157" s="164"/>
      <c r="AW157" s="164"/>
      <c r="AX157" s="164"/>
      <c r="AY157" s="164"/>
      <c r="AZ157" s="164"/>
      <c r="BA157" s="164"/>
      <c r="BB157" s="164"/>
      <c r="BC157" s="164"/>
      <c r="BD157" s="164"/>
      <c r="BE157" s="157"/>
    </row>
    <row r="158" spans="23:57" ht="18">
      <c r="W158" s="120"/>
      <c r="X158" s="368" t="s">
        <v>178</v>
      </c>
      <c r="Y158" s="369"/>
      <c r="Z158" s="369"/>
      <c r="AA158" s="369"/>
      <c r="AB158" s="369"/>
      <c r="AC158" s="369"/>
      <c r="AD158" s="369"/>
      <c r="AE158" s="369"/>
      <c r="AF158" s="369"/>
      <c r="AG158" s="369"/>
      <c r="AH158" s="369"/>
      <c r="AI158" s="369"/>
      <c r="AJ158" s="369"/>
      <c r="AK158" s="369"/>
      <c r="AL158" s="369"/>
      <c r="AM158" s="369"/>
      <c r="AN158" s="369"/>
      <c r="AO158" s="369"/>
      <c r="AP158" s="369"/>
      <c r="AQ158" s="369"/>
      <c r="AR158" s="369"/>
      <c r="AS158" s="369"/>
      <c r="AT158" s="369"/>
      <c r="AU158" s="369"/>
      <c r="AV158" s="369"/>
      <c r="AW158" s="369"/>
      <c r="AX158" s="369"/>
      <c r="AY158" s="369"/>
      <c r="AZ158" s="369"/>
      <c r="BA158" s="369"/>
      <c r="BB158" s="369"/>
      <c r="BC158" s="369"/>
      <c r="BD158" s="369"/>
      <c r="BE158" s="180"/>
    </row>
    <row r="159" spans="23:57" ht="15.6">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row>
    <row r="160" spans="23:57" ht="17.399999999999999">
      <c r="W160" s="120"/>
      <c r="X160" s="173"/>
      <c r="Y160" s="177" t="s">
        <v>245</v>
      </c>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row>
    <row r="161" spans="23:57" ht="17.399999999999999">
      <c r="W161" s="120"/>
      <c r="X161" s="177" t="s">
        <v>246</v>
      </c>
      <c r="Y161" s="173"/>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row>
    <row r="162" spans="23:57" ht="17.399999999999999">
      <c r="W162" s="120"/>
      <c r="X162" s="177" t="s">
        <v>247</v>
      </c>
      <c r="Y162" s="173"/>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row>
    <row r="163" spans="23:57" ht="17.399999999999999">
      <c r="W163" s="120"/>
      <c r="X163" s="177"/>
      <c r="Y163" s="173"/>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row>
    <row r="164" spans="23:57" ht="17.399999999999999">
      <c r="W164" s="120"/>
      <c r="X164" s="177"/>
      <c r="Y164" s="173"/>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row>
    <row r="165" spans="23:57" ht="16.2" thickBot="1">
      <c r="W165" s="120"/>
      <c r="X165" s="120"/>
      <c r="Y165" s="120"/>
      <c r="Z165" s="120"/>
      <c r="AA165" s="120"/>
      <c r="AB165" s="120"/>
      <c r="AC165" s="120"/>
      <c r="AD165" s="120"/>
      <c r="AE165" s="120"/>
      <c r="AF165" s="123"/>
      <c r="AG165" s="123"/>
      <c r="AH165" s="123"/>
      <c r="AI165" s="235"/>
      <c r="AJ165" s="235"/>
      <c r="AK165" s="235"/>
      <c r="AL165" s="235"/>
      <c r="AM165" s="235"/>
      <c r="AN165" s="235"/>
      <c r="AO165" s="235"/>
      <c r="AP165" s="235"/>
      <c r="AQ165" s="235"/>
      <c r="AR165" s="235"/>
      <c r="AS165" s="235"/>
      <c r="AT165" s="235"/>
      <c r="AU165" s="235"/>
      <c r="AV165" s="123"/>
      <c r="AW165" s="123"/>
      <c r="AX165" s="123"/>
      <c r="AZ165" s="120"/>
      <c r="BA165" s="120"/>
      <c r="BB165" s="120"/>
      <c r="BC165" s="120"/>
      <c r="BD165" s="120"/>
      <c r="BE165" s="120"/>
    </row>
    <row r="166" spans="23:57" ht="15.6">
      <c r="W166" s="120"/>
      <c r="Z166" s="123"/>
      <c r="AA166" s="123"/>
      <c r="AB166" s="123"/>
      <c r="AC166" s="123"/>
      <c r="AD166" s="123"/>
      <c r="AE166" s="123"/>
      <c r="AF166" s="363" t="s">
        <v>248</v>
      </c>
      <c r="AG166" s="363"/>
      <c r="AH166" s="363"/>
      <c r="AI166" s="363"/>
      <c r="AJ166" s="363"/>
      <c r="AK166" s="363"/>
      <c r="AL166" s="363"/>
      <c r="AM166" s="363"/>
      <c r="AN166" s="363"/>
      <c r="AO166" s="363"/>
      <c r="AP166" s="363"/>
      <c r="AQ166" s="363"/>
      <c r="AR166" s="363"/>
      <c r="AS166" s="363"/>
      <c r="AT166" s="363"/>
      <c r="AU166" s="363"/>
      <c r="AV166" s="363"/>
      <c r="AW166" s="363"/>
      <c r="AX166" s="363"/>
      <c r="AY166" s="123"/>
      <c r="AZ166" s="123"/>
      <c r="BA166" s="123"/>
      <c r="BB166" s="123"/>
      <c r="BC166" s="123"/>
      <c r="BD166" s="123"/>
      <c r="BE166" s="123"/>
    </row>
    <row r="167" spans="23:57" ht="15.6">
      <c r="W167" s="120"/>
      <c r="X167" s="120"/>
      <c r="Y167" s="120"/>
      <c r="Z167" s="120"/>
      <c r="AA167" s="120"/>
      <c r="AB167" s="123"/>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row>
  </sheetData>
  <protectedRanges>
    <protectedRange sqref="C1" name="Range12_1"/>
    <protectedRange sqref="C3:C9" name="Range11_1"/>
    <protectedRange sqref="D4:AM4 C10 AN10:CT10" name="Range21_1"/>
    <protectedRange sqref="C12" name="Range22_1"/>
    <protectedRange sqref="B73:B87 B64:C72 B28:B63" name="Range23_1"/>
    <protectedRange sqref="E25" name="Range20_1_1"/>
    <protectedRange sqref="G24" name="Range19_1_1"/>
    <protectedRange sqref="E24" name="Range18_1_1"/>
    <protectedRange sqref="G24" name="Range15_1_1"/>
    <protectedRange sqref="C28:C63" name="Range23_1_1"/>
    <protectedRange sqref="D22" name="Range13_1"/>
    <protectedRange sqref="D23" name="Range17_1"/>
  </protectedRanges>
  <mergeCells count="224">
    <mergeCell ref="X25:BD25"/>
    <mergeCell ref="X26:BD26"/>
    <mergeCell ref="K27:T27"/>
    <mergeCell ref="X27:BD27"/>
    <mergeCell ref="S29:T29"/>
    <mergeCell ref="X29:BD29"/>
    <mergeCell ref="C20:H21"/>
    <mergeCell ref="D22:F22"/>
    <mergeCell ref="F23:H23"/>
    <mergeCell ref="C24:C27"/>
    <mergeCell ref="K24:T24"/>
    <mergeCell ref="K25:T25"/>
    <mergeCell ref="N33:S33"/>
    <mergeCell ref="Y33:AD33"/>
    <mergeCell ref="AF33:AL33"/>
    <mergeCell ref="AU33:BD33"/>
    <mergeCell ref="N34:S34"/>
    <mergeCell ref="Y34:AD34"/>
    <mergeCell ref="AF34:AL34"/>
    <mergeCell ref="AU34:BD34"/>
    <mergeCell ref="S30:T30"/>
    <mergeCell ref="AU30:AV30"/>
    <mergeCell ref="N32:S32"/>
    <mergeCell ref="X32:AD32"/>
    <mergeCell ref="AE32:AL32"/>
    <mergeCell ref="AM32:AS32"/>
    <mergeCell ref="AT32:BD32"/>
    <mergeCell ref="R37:T37"/>
    <mergeCell ref="Y37:AD37"/>
    <mergeCell ref="AF37:AL37"/>
    <mergeCell ref="R38:T38"/>
    <mergeCell ref="X38:AD38"/>
    <mergeCell ref="AH38:AL38"/>
    <mergeCell ref="Y35:AD35"/>
    <mergeCell ref="AF35:AL35"/>
    <mergeCell ref="AW35:BA35"/>
    <mergeCell ref="R36:T36"/>
    <mergeCell ref="Y36:AD36"/>
    <mergeCell ref="AF36:AL36"/>
    <mergeCell ref="AP38:AT38"/>
    <mergeCell ref="R39:T39"/>
    <mergeCell ref="AB39:AM40"/>
    <mergeCell ref="AT39:BD40"/>
    <mergeCell ref="R40:T40"/>
    <mergeCell ref="R41:T41"/>
    <mergeCell ref="X41:Y41"/>
    <mergeCell ref="Z41:AE41"/>
    <mergeCell ref="AJ41:AQ41"/>
    <mergeCell ref="AV41:BD41"/>
    <mergeCell ref="R44:T44"/>
    <mergeCell ref="X44:BD44"/>
    <mergeCell ref="X45:AC45"/>
    <mergeCell ref="AD45:AM45"/>
    <mergeCell ref="AN45:AY45"/>
    <mergeCell ref="AZ45:BA45"/>
    <mergeCell ref="R42:T42"/>
    <mergeCell ref="X42:Y43"/>
    <mergeCell ref="Z42:AE43"/>
    <mergeCell ref="AS42:AU42"/>
    <mergeCell ref="R43:T43"/>
    <mergeCell ref="AS43:AU43"/>
    <mergeCell ref="X47:AC47"/>
    <mergeCell ref="AD47:AH47"/>
    <mergeCell ref="AI47:AN47"/>
    <mergeCell ref="AO47:AV47"/>
    <mergeCell ref="AW47:BD47"/>
    <mergeCell ref="R48:S48"/>
    <mergeCell ref="X48:AC48"/>
    <mergeCell ref="AD48:AH48"/>
    <mergeCell ref="AI48:AN48"/>
    <mergeCell ref="AU51:AW51"/>
    <mergeCell ref="AX51:BD51"/>
    <mergeCell ref="R52:T52"/>
    <mergeCell ref="X52:AD52"/>
    <mergeCell ref="AE52:AL52"/>
    <mergeCell ref="AR52:AS52"/>
    <mergeCell ref="AU52:AW52"/>
    <mergeCell ref="AX52:BD52"/>
    <mergeCell ref="R49:T49"/>
    <mergeCell ref="R50:T50"/>
    <mergeCell ref="R51:T51"/>
    <mergeCell ref="AK51:AL51"/>
    <mergeCell ref="AM51:AP52"/>
    <mergeCell ref="AR51:AS51"/>
    <mergeCell ref="AT55:BD55"/>
    <mergeCell ref="X56:AF56"/>
    <mergeCell ref="AG56:AS56"/>
    <mergeCell ref="AB57:BD57"/>
    <mergeCell ref="X58:BD58"/>
    <mergeCell ref="K60:M60"/>
    <mergeCell ref="R60:T60"/>
    <mergeCell ref="R53:T53"/>
    <mergeCell ref="X53:AD53"/>
    <mergeCell ref="AE53:AT53"/>
    <mergeCell ref="X54:AD54"/>
    <mergeCell ref="AE54:AW54"/>
    <mergeCell ref="AX54:BD54"/>
    <mergeCell ref="X71:AE71"/>
    <mergeCell ref="AG71:AM71"/>
    <mergeCell ref="AP71:AV71"/>
    <mergeCell ref="AX71:BD71"/>
    <mergeCell ref="X72:AE72"/>
    <mergeCell ref="AG72:AM72"/>
    <mergeCell ref="AP72:AV72"/>
    <mergeCell ref="AX72:BD72"/>
    <mergeCell ref="K61:M61"/>
    <mergeCell ref="R61:T61"/>
    <mergeCell ref="AU64:BC64"/>
    <mergeCell ref="AU65:BC65"/>
    <mergeCell ref="X66:BD66"/>
    <mergeCell ref="P69:T69"/>
    <mergeCell ref="K69:M69"/>
    <mergeCell ref="X73:AE73"/>
    <mergeCell ref="X74:BD74"/>
    <mergeCell ref="X75:Z75"/>
    <mergeCell ref="AA75:AD75"/>
    <mergeCell ref="AE75:AI75"/>
    <mergeCell ref="AJ75:AL75"/>
    <mergeCell ref="AM75:AQ75"/>
    <mergeCell ref="AR75:AT75"/>
    <mergeCell ref="AU75:AY75"/>
    <mergeCell ref="AZ75:BD75"/>
    <mergeCell ref="AU76:AY76"/>
    <mergeCell ref="AZ76:BD76"/>
    <mergeCell ref="X77:Z77"/>
    <mergeCell ref="AA77:AD77"/>
    <mergeCell ref="AE77:AI77"/>
    <mergeCell ref="AJ77:AL77"/>
    <mergeCell ref="AM77:AQ77"/>
    <mergeCell ref="AR77:AT77"/>
    <mergeCell ref="AU77:AY77"/>
    <mergeCell ref="AZ77:BD77"/>
    <mergeCell ref="X76:Z76"/>
    <mergeCell ref="AA76:AD76"/>
    <mergeCell ref="AE76:AI76"/>
    <mergeCell ref="AJ76:AL76"/>
    <mergeCell ref="AM76:AQ76"/>
    <mergeCell ref="AR76:AT76"/>
    <mergeCell ref="AU78:AY78"/>
    <mergeCell ref="AZ78:BD78"/>
    <mergeCell ref="N79:Q79"/>
    <mergeCell ref="X79:Z79"/>
    <mergeCell ref="AA79:AD79"/>
    <mergeCell ref="AE79:AI79"/>
    <mergeCell ref="AJ79:AL79"/>
    <mergeCell ref="AM79:AQ79"/>
    <mergeCell ref="AR79:AT79"/>
    <mergeCell ref="AU79:AY79"/>
    <mergeCell ref="X78:Z78"/>
    <mergeCell ref="AA78:AD78"/>
    <mergeCell ref="AE78:AI78"/>
    <mergeCell ref="AJ78:AL78"/>
    <mergeCell ref="AM78:AQ78"/>
    <mergeCell ref="AR78:AT78"/>
    <mergeCell ref="AZ79:BD79"/>
    <mergeCell ref="M80:R80"/>
    <mergeCell ref="N81:Q81"/>
    <mergeCell ref="X81:BD81"/>
    <mergeCell ref="X82:AB82"/>
    <mergeCell ref="AC82:AF82"/>
    <mergeCell ref="AG82:AJ82"/>
    <mergeCell ref="AK82:AQ82"/>
    <mergeCell ref="AR82:AV82"/>
    <mergeCell ref="AW82:BD82"/>
    <mergeCell ref="K90:M90"/>
    <mergeCell ref="X90:AN90"/>
    <mergeCell ref="AO90:BD90"/>
    <mergeCell ref="O92:S92"/>
    <mergeCell ref="AB92:AJ92"/>
    <mergeCell ref="AW83:BD83"/>
    <mergeCell ref="X84:BD84"/>
    <mergeCell ref="R85:S85"/>
    <mergeCell ref="R86:S86"/>
    <mergeCell ref="AJ86:AS86"/>
    <mergeCell ref="W87:BE87"/>
    <mergeCell ref="M83:R83"/>
    <mergeCell ref="X83:AB83"/>
    <mergeCell ref="AC83:AF83"/>
    <mergeCell ref="AG83:AJ83"/>
    <mergeCell ref="AK83:AQ83"/>
    <mergeCell ref="AR83:AV83"/>
    <mergeCell ref="AR92:BA92"/>
    <mergeCell ref="X102:Z102"/>
    <mergeCell ref="AC102:AM102"/>
    <mergeCell ref="AN102:AQ102"/>
    <mergeCell ref="AR102:BD102"/>
    <mergeCell ref="X103:AA103"/>
    <mergeCell ref="AB103:BD103"/>
    <mergeCell ref="P93:S93"/>
    <mergeCell ref="X93:AN93"/>
    <mergeCell ref="AO93:BD93"/>
    <mergeCell ref="X100:AK100"/>
    <mergeCell ref="Y101:AX101"/>
    <mergeCell ref="AY101:BD101"/>
    <mergeCell ref="AL100:AN100"/>
    <mergeCell ref="Z126:AI126"/>
    <mergeCell ref="AB127:AI127"/>
    <mergeCell ref="AT127:AX127"/>
    <mergeCell ref="AZ127:BD127"/>
    <mergeCell ref="X130:BE130"/>
    <mergeCell ref="X135:BD135"/>
    <mergeCell ref="X104:BD104"/>
    <mergeCell ref="X105:BD107"/>
    <mergeCell ref="X108:BD110"/>
    <mergeCell ref="X111:BD115"/>
    <mergeCell ref="X116:BD119"/>
    <mergeCell ref="AT120:AX126"/>
    <mergeCell ref="AZ120:BD126"/>
    <mergeCell ref="Z123:AH123"/>
    <mergeCell ref="AO123:AQ123"/>
    <mergeCell ref="X124:AJ124"/>
    <mergeCell ref="AF166:AX166"/>
    <mergeCell ref="AD151:AG151"/>
    <mergeCell ref="AH151:AK151"/>
    <mergeCell ref="AU151:AY151"/>
    <mergeCell ref="AI155:AS155"/>
    <mergeCell ref="X156:BD156"/>
    <mergeCell ref="X158:BD158"/>
    <mergeCell ref="X136:BD139"/>
    <mergeCell ref="AA142:AC142"/>
    <mergeCell ref="AA143:AC143"/>
    <mergeCell ref="AA144:AC144"/>
    <mergeCell ref="AA145:AC145"/>
    <mergeCell ref="X147:BD147"/>
  </mergeCells>
  <hyperlinks>
    <hyperlink ref="AG56" r:id="rId1" xr:uid="{ABB2A3F4-F8C1-4B29-B42F-95F96F92E937}"/>
  </hyperlinks>
  <printOptions horizontalCentered="1" verticalCentered="1"/>
  <pageMargins left="0" right="0" top="0" bottom="0" header="0" footer="0"/>
  <pageSetup paperSize="9" scale="61"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04D71-3548-41D3-9C76-F07C715B99B6}">
  <dimension ref="A1:CT167"/>
  <sheetViews>
    <sheetView topLeftCell="A10" workbookViewId="0">
      <selection activeCell="B28" sqref="B28"/>
    </sheetView>
  </sheetViews>
  <sheetFormatPr defaultColWidth="8.88671875" defaultRowHeight="14.4"/>
  <cols>
    <col min="1" max="1" width="2.88671875" customWidth="1"/>
    <col min="2" max="2" width="27.33203125" customWidth="1"/>
    <col min="3" max="3" width="13.44140625" customWidth="1"/>
    <col min="4" max="5" width="15.6640625" customWidth="1"/>
    <col min="6" max="6" width="15.5546875" customWidth="1"/>
    <col min="7" max="9" width="15.6640625" customWidth="1"/>
    <col min="10" max="10" width="4.6640625" customWidth="1"/>
    <col min="11" max="20" width="10.6640625" customWidth="1"/>
    <col min="21" max="21" width="4.6640625" customWidth="1"/>
    <col min="22" max="22" width="15.6640625" customWidth="1"/>
    <col min="23" max="57" width="4.88671875" customWidth="1"/>
    <col min="58" max="98" width="15.6640625" customWidth="1"/>
  </cols>
  <sheetData>
    <row r="1" spans="1:98">
      <c r="B1" t="s">
        <v>34</v>
      </c>
      <c r="C1" s="1">
        <f>'DATA ENTRY'!F15</f>
        <v>2771.380860951364</v>
      </c>
      <c r="T1" t="s">
        <v>253</v>
      </c>
    </row>
    <row r="2" spans="1:98">
      <c r="B2" s="2" t="s">
        <v>35</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c r="AB2" s="3">
        <v>25</v>
      </c>
      <c r="AC2" s="3">
        <v>26</v>
      </c>
      <c r="AD2" s="3">
        <v>27</v>
      </c>
      <c r="AE2" s="3">
        <v>28</v>
      </c>
      <c r="AF2" s="3">
        <v>29</v>
      </c>
      <c r="AG2" s="3">
        <v>30</v>
      </c>
      <c r="AH2" s="3">
        <v>31</v>
      </c>
      <c r="AI2" s="3">
        <v>32</v>
      </c>
      <c r="AJ2" s="3">
        <v>33</v>
      </c>
      <c r="AK2" s="3">
        <v>34</v>
      </c>
      <c r="AL2" s="3">
        <v>35</v>
      </c>
      <c r="AM2" s="3">
        <v>36</v>
      </c>
      <c r="AN2" s="3">
        <v>37</v>
      </c>
      <c r="AO2" s="3">
        <v>38</v>
      </c>
      <c r="AP2" s="3">
        <v>39</v>
      </c>
      <c r="AQ2" s="3">
        <v>40</v>
      </c>
      <c r="AR2" s="3">
        <v>41</v>
      </c>
      <c r="AS2" s="3">
        <v>42</v>
      </c>
      <c r="AT2" s="3">
        <v>43</v>
      </c>
      <c r="AU2" s="3">
        <v>44</v>
      </c>
      <c r="AV2" s="3">
        <v>45</v>
      </c>
      <c r="AW2" s="3">
        <v>46</v>
      </c>
      <c r="AX2" s="3">
        <v>47</v>
      </c>
      <c r="AY2" s="3">
        <v>48</v>
      </c>
      <c r="AZ2" s="191"/>
      <c r="BA2" s="191"/>
      <c r="BB2" s="191"/>
      <c r="BC2" s="191"/>
      <c r="BD2" s="191"/>
      <c r="BE2" s="191"/>
      <c r="BF2" s="191"/>
      <c r="BG2" s="191"/>
      <c r="BH2" s="191"/>
      <c r="BI2" s="191"/>
      <c r="BJ2" s="191"/>
      <c r="BK2" s="191"/>
      <c r="BL2" s="191"/>
      <c r="BM2" s="191"/>
      <c r="BN2" s="191"/>
      <c r="BO2" s="191"/>
      <c r="BP2" s="191"/>
      <c r="BQ2" s="191"/>
      <c r="BR2" s="191"/>
      <c r="BS2" s="191"/>
      <c r="BT2" s="191"/>
      <c r="BU2" s="191"/>
      <c r="BV2" s="191"/>
      <c r="BW2" s="191"/>
      <c r="BX2" s="191"/>
      <c r="BY2" s="191"/>
      <c r="BZ2" s="191"/>
      <c r="CA2" s="191"/>
      <c r="CB2" s="191"/>
      <c r="CC2" s="191"/>
      <c r="CD2" s="191"/>
      <c r="CE2" s="191"/>
      <c r="CF2" s="191"/>
      <c r="CG2" s="191"/>
      <c r="CH2" s="191"/>
      <c r="CI2" s="191"/>
      <c r="CJ2" s="191"/>
      <c r="CK2" s="191"/>
      <c r="CL2" s="191"/>
      <c r="CM2" s="191"/>
      <c r="CN2" s="191"/>
      <c r="CO2" s="191"/>
      <c r="CP2" s="191"/>
      <c r="CQ2" s="191"/>
      <c r="CR2" s="191"/>
      <c r="CS2" s="191"/>
      <c r="CT2" s="191"/>
    </row>
    <row r="3" spans="1:98">
      <c r="B3" s="2" t="s">
        <v>6</v>
      </c>
      <c r="C3" s="4">
        <f>'DATA ENTRY'!F4</f>
        <v>133026.28132566548</v>
      </c>
      <c r="D3" s="4"/>
      <c r="E3" s="4"/>
      <c r="F3" s="4"/>
      <c r="G3" s="4"/>
      <c r="H3" s="4"/>
      <c r="I3" s="4"/>
      <c r="J3" s="4"/>
      <c r="K3" s="4"/>
      <c r="L3" s="4"/>
      <c r="M3" s="4"/>
      <c r="N3" s="4"/>
      <c r="O3" s="4"/>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row>
    <row r="4" spans="1:98">
      <c r="A4">
        <v>41</v>
      </c>
      <c r="B4" s="2" t="s">
        <v>14</v>
      </c>
      <c r="C4" s="4">
        <f>'DATA ENTRY'!F12</f>
        <v>111836.21666666666</v>
      </c>
      <c r="D4" s="4">
        <v>-9912.2840852194349</v>
      </c>
      <c r="E4" s="4">
        <v>-9912.2840852194349</v>
      </c>
      <c r="F4" s="4">
        <v>-9912.2840852194349</v>
      </c>
      <c r="G4" s="4">
        <v>-9912.2840852194349</v>
      </c>
      <c r="H4" s="4">
        <v>-9912.2840852194349</v>
      </c>
      <c r="I4" s="4">
        <v>-9912.2840852194349</v>
      </c>
      <c r="J4" s="4">
        <v>-9912.2840852194349</v>
      </c>
      <c r="K4" s="4">
        <v>-9912.2840852194349</v>
      </c>
      <c r="L4" s="4">
        <v>-9912.2840852194349</v>
      </c>
      <c r="M4" s="4">
        <v>-9912.2840852194349</v>
      </c>
      <c r="N4" s="4">
        <v>-9912.2840852194349</v>
      </c>
      <c r="O4" s="4">
        <v>-9912.2840852194349</v>
      </c>
      <c r="P4" s="67">
        <v>-9912.2840852194349</v>
      </c>
      <c r="Q4" s="67">
        <v>-9912.2840852194349</v>
      </c>
      <c r="R4" s="67">
        <v>-9912.2840852194349</v>
      </c>
      <c r="S4" s="67">
        <v>-9912.2840852194349</v>
      </c>
      <c r="T4" s="67">
        <v>-9912.2840852194349</v>
      </c>
      <c r="U4" s="67">
        <v>-9912.2840852194349</v>
      </c>
      <c r="V4" s="67">
        <v>-9912.2840852194349</v>
      </c>
      <c r="W4" s="67">
        <v>-9912.2840852194349</v>
      </c>
      <c r="X4" s="67">
        <v>-9912.2840852194349</v>
      </c>
      <c r="Y4" s="67">
        <v>-9912.2840852194349</v>
      </c>
      <c r="Z4" s="67">
        <v>-9912.2840852194349</v>
      </c>
      <c r="AA4" s="67">
        <v>-9912.2840852194349</v>
      </c>
      <c r="AB4" s="67">
        <v>-9912.2840852194349</v>
      </c>
      <c r="AC4" s="67">
        <v>-9912.2840852194349</v>
      </c>
      <c r="AD4" s="67">
        <v>-9912.2840852194349</v>
      </c>
      <c r="AE4" s="67">
        <v>-9912.2840852194349</v>
      </c>
      <c r="AF4" s="67">
        <v>-9912.2840852194349</v>
      </c>
      <c r="AG4" s="67">
        <v>-9912.2840852194349</v>
      </c>
      <c r="AH4" s="67">
        <v>-9912.2840852194349</v>
      </c>
      <c r="AI4" s="67">
        <v>-9912.2840852194349</v>
      </c>
      <c r="AJ4" s="67">
        <v>-9912.2840852194349</v>
      </c>
      <c r="AK4" s="67">
        <v>-9912.2840852194349</v>
      </c>
      <c r="AL4" s="67">
        <v>-9912.2840852194349</v>
      </c>
      <c r="AM4" s="67">
        <v>-9912.2840852194349</v>
      </c>
      <c r="AN4" s="67">
        <v>-9912.2840852194349</v>
      </c>
      <c r="AO4" s="67">
        <v>-9912.2840852194349</v>
      </c>
      <c r="AP4" s="67">
        <v>-9912.2840852194349</v>
      </c>
      <c r="AQ4" s="67">
        <v>-9912.2840852194349</v>
      </c>
      <c r="AR4" s="67">
        <v>-9912.2840852194349</v>
      </c>
      <c r="AS4" s="67">
        <v>-9912.2840852194349</v>
      </c>
      <c r="AT4" s="67">
        <v>-9912.2840852194349</v>
      </c>
      <c r="AU4" s="67">
        <v>-9912.2840852194349</v>
      </c>
      <c r="AV4" s="67">
        <v>-9912.2840852194349</v>
      </c>
      <c r="AW4" s="67">
        <v>-9912.2840852194349</v>
      </c>
      <c r="AX4" s="67">
        <v>-9912.2840852194349</v>
      </c>
      <c r="AY4" s="67">
        <v>-9912.2840852194349</v>
      </c>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row>
    <row r="5" spans="1:98">
      <c r="B5" s="2" t="s">
        <v>9</v>
      </c>
      <c r="C5" s="4">
        <f>'DATA ENTRY'!F7</f>
        <v>7480</v>
      </c>
      <c r="D5" s="4"/>
      <c r="E5" s="4"/>
      <c r="F5" s="4"/>
      <c r="G5" s="4"/>
      <c r="H5" s="4"/>
      <c r="I5" s="4"/>
      <c r="J5" s="4"/>
      <c r="K5" s="4"/>
      <c r="L5" s="4"/>
      <c r="M5" s="4"/>
      <c r="N5" s="4"/>
      <c r="O5" s="4"/>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row>
    <row r="6" spans="1:98">
      <c r="B6" s="2" t="s">
        <v>10</v>
      </c>
      <c r="C6" s="4">
        <f>'DATA ENTRY'!F8</f>
        <v>4488</v>
      </c>
      <c r="D6" s="4"/>
      <c r="E6" s="4"/>
      <c r="F6" s="4"/>
      <c r="G6" s="4"/>
      <c r="H6" s="4"/>
      <c r="I6" s="4"/>
      <c r="J6" s="4"/>
      <c r="K6" s="4"/>
      <c r="L6" s="4"/>
      <c r="M6" s="4"/>
      <c r="N6" s="4"/>
      <c r="O6" s="4"/>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row>
    <row r="7" spans="1:98">
      <c r="B7" s="2" t="s">
        <v>11</v>
      </c>
      <c r="C7" s="4">
        <f>'DATA ENTRY'!F9</f>
        <v>5000</v>
      </c>
      <c r="D7" s="4"/>
      <c r="E7" s="4"/>
      <c r="F7" s="4"/>
      <c r="G7" s="4"/>
      <c r="H7" s="4"/>
      <c r="I7" s="4"/>
      <c r="J7" s="4"/>
      <c r="K7" s="4"/>
      <c r="L7" s="4"/>
      <c r="M7" s="4"/>
      <c r="N7" s="4"/>
      <c r="O7" s="4"/>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row>
    <row r="8" spans="1:98">
      <c r="B8" s="2" t="s">
        <v>12</v>
      </c>
      <c r="C8" s="4">
        <f>'DATA ENTRY'!D10</f>
        <v>0</v>
      </c>
      <c r="D8" s="4"/>
      <c r="E8" s="4"/>
      <c r="F8" s="4"/>
      <c r="G8" s="4"/>
      <c r="H8" s="4"/>
      <c r="I8" s="4"/>
      <c r="J8" s="4"/>
      <c r="K8" s="4"/>
      <c r="L8" s="4"/>
      <c r="M8" s="4"/>
      <c r="N8" s="4"/>
      <c r="O8" s="4"/>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row>
    <row r="9" spans="1:98">
      <c r="B9" s="2" t="s">
        <v>13</v>
      </c>
      <c r="C9" s="4">
        <f>'DATA ENTRY'!F11</f>
        <v>1368.2166666666667</v>
      </c>
      <c r="D9" s="4"/>
      <c r="E9" s="4"/>
      <c r="F9" s="4"/>
      <c r="G9" s="4"/>
      <c r="H9" s="4"/>
      <c r="I9" s="4"/>
      <c r="J9" s="4"/>
      <c r="K9" s="4"/>
      <c r="L9" s="4"/>
      <c r="M9" s="4"/>
      <c r="N9" s="4"/>
      <c r="O9" s="4"/>
      <c r="P9" s="67"/>
      <c r="Q9" s="67"/>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7"/>
      <c r="BK9" s="67"/>
      <c r="BL9" s="67"/>
      <c r="BM9" s="67"/>
      <c r="BN9" s="67"/>
      <c r="BO9" s="67"/>
      <c r="BP9" s="67"/>
      <c r="BQ9" s="67"/>
      <c r="BR9" s="67"/>
      <c r="BS9" s="67"/>
      <c r="BT9" s="67"/>
      <c r="BU9" s="67"/>
      <c r="BV9" s="67"/>
      <c r="BW9" s="67"/>
      <c r="BX9" s="67"/>
      <c r="BY9" s="67"/>
      <c r="BZ9" s="67"/>
      <c r="CA9" s="67"/>
      <c r="CB9" s="67"/>
      <c r="CC9" s="67"/>
      <c r="CD9" s="67"/>
      <c r="CE9" s="67"/>
      <c r="CF9" s="67"/>
      <c r="CG9" s="67"/>
      <c r="CH9" s="67"/>
      <c r="CI9" s="67"/>
      <c r="CJ9" s="67"/>
      <c r="CK9" s="67"/>
      <c r="CL9" s="67"/>
      <c r="CM9" s="67"/>
      <c r="CN9" s="67"/>
      <c r="CO9" s="67"/>
      <c r="CP9" s="67"/>
      <c r="CQ9" s="67"/>
      <c r="CR9" s="67"/>
      <c r="CS9" s="67"/>
      <c r="CT9" s="67"/>
    </row>
    <row r="10" spans="1:98">
      <c r="B10" s="5" t="s">
        <v>36</v>
      </c>
      <c r="C10" s="6">
        <f>C4-C5-C6-C7-C8-C9</f>
        <v>93500</v>
      </c>
      <c r="D10" s="6">
        <f t="shared" ref="D10:AY10" si="0">-$C1</f>
        <v>-2771.380860951364</v>
      </c>
      <c r="E10" s="6">
        <f t="shared" si="0"/>
        <v>-2771.380860951364</v>
      </c>
      <c r="F10" s="6">
        <f t="shared" si="0"/>
        <v>-2771.380860951364</v>
      </c>
      <c r="G10" s="6">
        <f t="shared" si="0"/>
        <v>-2771.380860951364</v>
      </c>
      <c r="H10" s="6">
        <f t="shared" si="0"/>
        <v>-2771.380860951364</v>
      </c>
      <c r="I10" s="6">
        <f t="shared" si="0"/>
        <v>-2771.380860951364</v>
      </c>
      <c r="J10" s="6">
        <f t="shared" si="0"/>
        <v>-2771.380860951364</v>
      </c>
      <c r="K10" s="6">
        <f t="shared" si="0"/>
        <v>-2771.380860951364</v>
      </c>
      <c r="L10" s="6">
        <f t="shared" si="0"/>
        <v>-2771.380860951364</v>
      </c>
      <c r="M10" s="6">
        <f t="shared" si="0"/>
        <v>-2771.380860951364</v>
      </c>
      <c r="N10" s="6">
        <f t="shared" si="0"/>
        <v>-2771.380860951364</v>
      </c>
      <c r="O10" s="6">
        <f t="shared" si="0"/>
        <v>-2771.380860951364</v>
      </c>
      <c r="P10" s="6">
        <f t="shared" si="0"/>
        <v>-2771.380860951364</v>
      </c>
      <c r="Q10" s="6">
        <f t="shared" si="0"/>
        <v>-2771.380860951364</v>
      </c>
      <c r="R10" s="6">
        <f t="shared" si="0"/>
        <v>-2771.380860951364</v>
      </c>
      <c r="S10" s="6">
        <f t="shared" si="0"/>
        <v>-2771.380860951364</v>
      </c>
      <c r="T10" s="6">
        <f t="shared" si="0"/>
        <v>-2771.380860951364</v>
      </c>
      <c r="U10" s="6">
        <f t="shared" si="0"/>
        <v>-2771.380860951364</v>
      </c>
      <c r="V10" s="6">
        <f t="shared" si="0"/>
        <v>-2771.380860951364</v>
      </c>
      <c r="W10" s="6">
        <f t="shared" si="0"/>
        <v>-2771.380860951364</v>
      </c>
      <c r="X10" s="6">
        <f t="shared" si="0"/>
        <v>-2771.380860951364</v>
      </c>
      <c r="Y10" s="6">
        <f t="shared" si="0"/>
        <v>-2771.380860951364</v>
      </c>
      <c r="Z10" s="6">
        <f t="shared" si="0"/>
        <v>-2771.380860951364</v>
      </c>
      <c r="AA10" s="6">
        <f t="shared" si="0"/>
        <v>-2771.380860951364</v>
      </c>
      <c r="AB10" s="6">
        <f t="shared" si="0"/>
        <v>-2771.380860951364</v>
      </c>
      <c r="AC10" s="6">
        <f t="shared" si="0"/>
        <v>-2771.380860951364</v>
      </c>
      <c r="AD10" s="6">
        <f t="shared" si="0"/>
        <v>-2771.380860951364</v>
      </c>
      <c r="AE10" s="6">
        <f t="shared" si="0"/>
        <v>-2771.380860951364</v>
      </c>
      <c r="AF10" s="6">
        <f t="shared" si="0"/>
        <v>-2771.380860951364</v>
      </c>
      <c r="AG10" s="6">
        <f t="shared" si="0"/>
        <v>-2771.380860951364</v>
      </c>
      <c r="AH10" s="6">
        <f t="shared" si="0"/>
        <v>-2771.380860951364</v>
      </c>
      <c r="AI10" s="6">
        <f t="shared" si="0"/>
        <v>-2771.380860951364</v>
      </c>
      <c r="AJ10" s="6">
        <f t="shared" si="0"/>
        <v>-2771.380860951364</v>
      </c>
      <c r="AK10" s="6">
        <f t="shared" si="0"/>
        <v>-2771.380860951364</v>
      </c>
      <c r="AL10" s="6">
        <f t="shared" si="0"/>
        <v>-2771.380860951364</v>
      </c>
      <c r="AM10" s="6">
        <f t="shared" si="0"/>
        <v>-2771.380860951364</v>
      </c>
      <c r="AN10" s="6">
        <f t="shared" si="0"/>
        <v>-2771.380860951364</v>
      </c>
      <c r="AO10" s="6">
        <f t="shared" si="0"/>
        <v>-2771.380860951364</v>
      </c>
      <c r="AP10" s="6">
        <f t="shared" si="0"/>
        <v>-2771.380860951364</v>
      </c>
      <c r="AQ10" s="6">
        <f t="shared" si="0"/>
        <v>-2771.380860951364</v>
      </c>
      <c r="AR10" s="6">
        <f t="shared" si="0"/>
        <v>-2771.380860951364</v>
      </c>
      <c r="AS10" s="6">
        <f t="shared" si="0"/>
        <v>-2771.380860951364</v>
      </c>
      <c r="AT10" s="6">
        <f t="shared" si="0"/>
        <v>-2771.380860951364</v>
      </c>
      <c r="AU10" s="6">
        <f t="shared" si="0"/>
        <v>-2771.380860951364</v>
      </c>
      <c r="AV10" s="6">
        <f t="shared" si="0"/>
        <v>-2771.380860951364</v>
      </c>
      <c r="AW10" s="6">
        <f t="shared" si="0"/>
        <v>-2771.380860951364</v>
      </c>
      <c r="AX10" s="6">
        <f t="shared" si="0"/>
        <v>-2771.380860951364</v>
      </c>
      <c r="AY10" s="6">
        <f t="shared" si="0"/>
        <v>-2771.380860951364</v>
      </c>
      <c r="AZ10" s="67"/>
      <c r="BA10" s="67"/>
      <c r="BB10" s="67"/>
      <c r="BC10" s="67"/>
      <c r="BD10" s="67"/>
      <c r="BE10" s="67"/>
      <c r="BF10" s="67"/>
      <c r="BG10" s="67"/>
      <c r="BH10" s="67"/>
      <c r="BI10" s="67"/>
      <c r="BJ10" s="67"/>
      <c r="BK10" s="67"/>
      <c r="BL10" s="67"/>
      <c r="BM10" s="67"/>
      <c r="BN10" s="67"/>
      <c r="BO10" s="67"/>
      <c r="BP10" s="67"/>
      <c r="BQ10" s="67"/>
      <c r="BR10" s="67"/>
      <c r="BS10" s="67"/>
      <c r="BT10" s="67"/>
      <c r="BU10" s="67"/>
      <c r="BV10" s="67"/>
      <c r="BW10" s="67"/>
      <c r="BX10" s="67"/>
      <c r="BY10" s="67"/>
      <c r="BZ10" s="67"/>
      <c r="CA10" s="67"/>
      <c r="CB10" s="67"/>
      <c r="CC10" s="67"/>
      <c r="CD10" s="67"/>
      <c r="CE10" s="67"/>
      <c r="CF10" s="67"/>
      <c r="CG10" s="67"/>
      <c r="CH10" s="67"/>
      <c r="CI10" s="67"/>
      <c r="CJ10" s="67"/>
      <c r="CK10" s="67"/>
      <c r="CL10" s="67"/>
      <c r="CM10" s="67"/>
      <c r="CN10" s="67"/>
      <c r="CO10" s="67"/>
      <c r="CP10" s="67"/>
      <c r="CQ10" s="67"/>
      <c r="CR10" s="67"/>
      <c r="CS10" s="67"/>
      <c r="CT10" s="67"/>
    </row>
    <row r="12" spans="1:98">
      <c r="B12" t="s">
        <v>37</v>
      </c>
      <c r="C12" s="7">
        <f>IRR(C4:AY4)</f>
        <v>8.701686035711842E-2</v>
      </c>
      <c r="D12">
        <f>C12/5</f>
        <v>1.7403372071423683E-2</v>
      </c>
    </row>
    <row r="13" spans="1:98">
      <c r="C13" s="8"/>
    </row>
    <row r="14" spans="1:98">
      <c r="B14" t="s">
        <v>254</v>
      </c>
      <c r="C14" s="192">
        <v>122655.42</v>
      </c>
    </row>
    <row r="15" spans="1:98">
      <c r="B15" t="s">
        <v>29</v>
      </c>
      <c r="C15" s="9">
        <f>'[3]Data Entry'!D12/12</f>
        <v>7.0833333333333338E-3</v>
      </c>
    </row>
    <row r="16" spans="1:98">
      <c r="B16" t="s">
        <v>16</v>
      </c>
      <c r="C16" s="115">
        <f>'[3]Data Entry'!D13</f>
        <v>8.855359027416676E-2</v>
      </c>
    </row>
    <row r="17" spans="2:57">
      <c r="B17" t="s">
        <v>190</v>
      </c>
      <c r="C17">
        <v>48</v>
      </c>
    </row>
    <row r="19" spans="2:57" ht="15" thickBot="1">
      <c r="H19" s="10"/>
    </row>
    <row r="20" spans="2:57" ht="15.6">
      <c r="B20" s="1"/>
      <c r="C20" s="323" t="s">
        <v>38</v>
      </c>
      <c r="D20" s="324"/>
      <c r="E20" s="324"/>
      <c r="F20" s="324"/>
      <c r="G20" s="324"/>
      <c r="H20" s="325"/>
      <c r="I20" s="24"/>
      <c r="J20" s="26"/>
      <c r="K20" s="27"/>
      <c r="L20" s="27"/>
      <c r="M20" s="27"/>
      <c r="N20" s="27"/>
      <c r="O20" s="28"/>
      <c r="P20" s="27"/>
      <c r="Q20" s="27"/>
      <c r="R20" s="27"/>
      <c r="S20" s="27"/>
      <c r="T20" s="27"/>
      <c r="U20" s="45"/>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row>
    <row r="21" spans="2:57" ht="15.6">
      <c r="C21" s="326"/>
      <c r="D21" s="327"/>
      <c r="E21" s="327"/>
      <c r="F21" s="327"/>
      <c r="G21" s="327"/>
      <c r="H21" s="328"/>
      <c r="J21" s="29"/>
      <c r="K21" s="30"/>
      <c r="L21" s="30"/>
      <c r="M21" s="30"/>
      <c r="N21" s="30"/>
      <c r="O21" s="31"/>
      <c r="P21" s="30"/>
      <c r="Q21" s="30"/>
      <c r="R21" s="30"/>
      <c r="S21" s="30"/>
      <c r="T21" s="30"/>
      <c r="U21" s="46"/>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row>
    <row r="22" spans="2:57" ht="15.6">
      <c r="C22" s="11" t="s">
        <v>39</v>
      </c>
      <c r="D22" s="525" t="s">
        <v>255</v>
      </c>
      <c r="E22" s="287"/>
      <c r="F22" s="288"/>
      <c r="G22" s="2" t="s">
        <v>40</v>
      </c>
      <c r="H22" s="15" t="s">
        <v>256</v>
      </c>
      <c r="J22" s="29"/>
      <c r="K22" s="30"/>
      <c r="L22" s="30"/>
      <c r="M22" s="30"/>
      <c r="N22" s="30"/>
      <c r="O22" s="32"/>
      <c r="P22" s="30"/>
      <c r="Q22" s="30"/>
      <c r="R22" s="30"/>
      <c r="S22" s="30"/>
      <c r="T22" s="30"/>
      <c r="U22" s="46"/>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row>
    <row r="23" spans="2:57" ht="15.75" customHeight="1">
      <c r="C23" s="16" t="s">
        <v>257</v>
      </c>
      <c r="D23" s="193" t="s">
        <v>258</v>
      </c>
      <c r="E23" s="17" t="s">
        <v>42</v>
      </c>
      <c r="F23" s="519" t="s">
        <v>259</v>
      </c>
      <c r="G23" s="519"/>
      <c r="H23" s="520"/>
      <c r="I23" s="121"/>
      <c r="J23" s="194"/>
      <c r="K23" s="121"/>
      <c r="L23" s="121"/>
      <c r="M23" s="121"/>
      <c r="N23" s="121"/>
      <c r="O23" s="121"/>
      <c r="P23" s="121"/>
      <c r="Q23" s="121"/>
      <c r="R23" s="121"/>
      <c r="S23" s="121"/>
      <c r="T23" s="121"/>
      <c r="U23" s="195"/>
      <c r="V23" s="121"/>
      <c r="W23" s="121"/>
      <c r="X23" s="121"/>
      <c r="Y23" s="121"/>
      <c r="Z23" s="121"/>
      <c r="AA23" s="121"/>
      <c r="AB23" s="121"/>
      <c r="AC23" s="121"/>
      <c r="AD23" s="121"/>
      <c r="AE23" s="121"/>
      <c r="AF23" s="121"/>
      <c r="AG23" s="121"/>
      <c r="AH23" s="121"/>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row>
    <row r="24" spans="2:57" ht="21">
      <c r="C24" s="521" t="s">
        <v>44</v>
      </c>
      <c r="D24" s="11" t="s">
        <v>45</v>
      </c>
      <c r="E24" s="196">
        <v>45701</v>
      </c>
      <c r="F24" s="197" t="s">
        <v>46</v>
      </c>
      <c r="G24" s="198">
        <f>B51</f>
        <v>46431</v>
      </c>
      <c r="H24" s="199"/>
      <c r="J24" s="29"/>
      <c r="K24" s="334" t="s">
        <v>55</v>
      </c>
      <c r="L24" s="334"/>
      <c r="M24" s="334"/>
      <c r="N24" s="334"/>
      <c r="O24" s="334"/>
      <c r="P24" s="334"/>
      <c r="Q24" s="334"/>
      <c r="R24" s="334"/>
      <c r="S24" s="334"/>
      <c r="T24" s="334"/>
      <c r="U24" s="46"/>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row>
    <row r="25" spans="2:57" ht="15.6">
      <c r="C25" s="521"/>
      <c r="D25" s="2" t="s">
        <v>47</v>
      </c>
      <c r="E25" s="2">
        <v>36</v>
      </c>
      <c r="F25" s="2" t="s">
        <v>48</v>
      </c>
      <c r="G25" s="2"/>
      <c r="H25" s="15"/>
      <c r="J25" s="29"/>
      <c r="K25" s="335" t="s">
        <v>56</v>
      </c>
      <c r="L25" s="335"/>
      <c r="M25" s="335"/>
      <c r="N25" s="335"/>
      <c r="O25" s="335"/>
      <c r="P25" s="335"/>
      <c r="Q25" s="335"/>
      <c r="R25" s="335"/>
      <c r="S25" s="335"/>
      <c r="T25" s="335"/>
      <c r="U25" s="46"/>
      <c r="W25" s="120"/>
      <c r="X25" s="514" t="s">
        <v>108</v>
      </c>
      <c r="Y25" s="514"/>
      <c r="Z25" s="514"/>
      <c r="AA25" s="514"/>
      <c r="AB25" s="514"/>
      <c r="AC25" s="514"/>
      <c r="AD25" s="514"/>
      <c r="AE25" s="514"/>
      <c r="AF25" s="514"/>
      <c r="AG25" s="514"/>
      <c r="AH25" s="514"/>
      <c r="AI25" s="514"/>
      <c r="AJ25" s="514"/>
      <c r="AK25" s="514"/>
      <c r="AL25" s="514"/>
      <c r="AM25" s="514"/>
      <c r="AN25" s="514"/>
      <c r="AO25" s="514"/>
      <c r="AP25" s="514"/>
      <c r="AQ25" s="514"/>
      <c r="AR25" s="514"/>
      <c r="AS25" s="514"/>
      <c r="AT25" s="514"/>
      <c r="AU25" s="514"/>
      <c r="AV25" s="514"/>
      <c r="AW25" s="514"/>
      <c r="AX25" s="514"/>
      <c r="AY25" s="514"/>
      <c r="AZ25" s="514"/>
      <c r="BA25" s="514"/>
      <c r="BB25" s="514"/>
      <c r="BC25" s="514"/>
      <c r="BD25" s="514"/>
      <c r="BE25" s="120"/>
    </row>
    <row r="26" spans="2:57" ht="15.6">
      <c r="C26" s="521"/>
      <c r="D26" s="2" t="s">
        <v>49</v>
      </c>
      <c r="E26" s="200" t="s">
        <v>50</v>
      </c>
      <c r="F26" s="200" t="s">
        <v>51</v>
      </c>
      <c r="G26" s="200" t="s">
        <v>52</v>
      </c>
      <c r="H26" s="201" t="s">
        <v>53</v>
      </c>
      <c r="J26" s="29"/>
      <c r="K26" s="30"/>
      <c r="L26" s="30"/>
      <c r="M26" s="30"/>
      <c r="N26" s="30"/>
      <c r="O26" s="32"/>
      <c r="P26" s="30"/>
      <c r="Q26" s="30"/>
      <c r="R26" s="30"/>
      <c r="S26" s="30"/>
      <c r="T26" s="30"/>
      <c r="U26" s="46"/>
      <c r="W26" s="120"/>
      <c r="X26" s="514" t="s">
        <v>109</v>
      </c>
      <c r="Y26" s="514"/>
      <c r="Z26" s="514"/>
      <c r="AA26" s="514"/>
      <c r="AB26" s="514"/>
      <c r="AC26" s="514"/>
      <c r="AD26" s="514"/>
      <c r="AE26" s="514"/>
      <c r="AF26" s="514"/>
      <c r="AG26" s="514"/>
      <c r="AH26" s="514"/>
      <c r="AI26" s="514"/>
      <c r="AJ26" s="514"/>
      <c r="AK26" s="514"/>
      <c r="AL26" s="514"/>
      <c r="AM26" s="514"/>
      <c r="AN26" s="514"/>
      <c r="AO26" s="514"/>
      <c r="AP26" s="514"/>
      <c r="AQ26" s="514"/>
      <c r="AR26" s="514"/>
      <c r="AS26" s="514"/>
      <c r="AT26" s="514"/>
      <c r="AU26" s="514"/>
      <c r="AV26" s="514"/>
      <c r="AW26" s="514"/>
      <c r="AX26" s="514"/>
      <c r="AY26" s="514"/>
      <c r="AZ26" s="514"/>
      <c r="BA26" s="514"/>
      <c r="BB26" s="514"/>
      <c r="BC26" s="514"/>
      <c r="BD26" s="514"/>
      <c r="BE26" s="120"/>
    </row>
    <row r="27" spans="2:57" ht="18" thickBot="1">
      <c r="C27" s="526"/>
      <c r="D27" s="202" t="s">
        <v>54</v>
      </c>
      <c r="E27" s="202"/>
      <c r="F27" s="202"/>
      <c r="G27" s="202"/>
      <c r="H27" s="203">
        <f>C10</f>
        <v>93500</v>
      </c>
      <c r="J27" s="29"/>
      <c r="K27" s="336" t="s">
        <v>57</v>
      </c>
      <c r="L27" s="336"/>
      <c r="M27" s="336"/>
      <c r="N27" s="336"/>
      <c r="O27" s="336"/>
      <c r="P27" s="336"/>
      <c r="Q27" s="336"/>
      <c r="R27" s="336"/>
      <c r="S27" s="336"/>
      <c r="T27" s="336"/>
      <c r="U27" s="46"/>
      <c r="W27" s="120"/>
      <c r="X27" s="514" t="s">
        <v>110</v>
      </c>
      <c r="Y27" s="514"/>
      <c r="Z27" s="514"/>
      <c r="AA27" s="514"/>
      <c r="AB27" s="514"/>
      <c r="AC27" s="514"/>
      <c r="AD27" s="514"/>
      <c r="AE27" s="514"/>
      <c r="AF27" s="514"/>
      <c r="AG27" s="514"/>
      <c r="AH27" s="514"/>
      <c r="AI27" s="514"/>
      <c r="AJ27" s="514"/>
      <c r="AK27" s="514"/>
      <c r="AL27" s="514"/>
      <c r="AM27" s="514"/>
      <c r="AN27" s="514"/>
      <c r="AO27" s="514"/>
      <c r="AP27" s="514"/>
      <c r="AQ27" s="514"/>
      <c r="AR27" s="514"/>
      <c r="AS27" s="514"/>
      <c r="AT27" s="514"/>
      <c r="AU27" s="514"/>
      <c r="AV27" s="514"/>
      <c r="AW27" s="514"/>
      <c r="AX27" s="514"/>
      <c r="AY27" s="514"/>
      <c r="AZ27" s="514"/>
      <c r="BA27" s="514"/>
      <c r="BB27" s="514"/>
      <c r="BC27" s="514"/>
      <c r="BD27" s="514"/>
      <c r="BE27" s="120"/>
    </row>
    <row r="28" spans="2:57" ht="15.6">
      <c r="B28" s="22">
        <f>DATE(YEAR(E$24),MONTH(E$24)+D28+0,DAY(E$24))</f>
        <v>45729</v>
      </c>
      <c r="C28" s="204" t="str">
        <f t="shared" ref="C28:C63" si="1">TEXT(B28,"mmm-yyyy")</f>
        <v>Mar-2025</v>
      </c>
      <c r="D28" s="205">
        <v>1</v>
      </c>
      <c r="E28" s="206">
        <f t="shared" ref="E28:E63" si="2">C$1</f>
        <v>2771.380860951364</v>
      </c>
      <c r="F28" s="207">
        <f>E28-G28</f>
        <v>-5364.695582439208</v>
      </c>
      <c r="G28" s="208">
        <f t="shared" ref="G28:G63" si="3">H27*C$12</f>
        <v>8136.0764433905724</v>
      </c>
      <c r="H28" s="209">
        <f>H27-F28</f>
        <v>98864.695582439206</v>
      </c>
      <c r="J28" s="29"/>
      <c r="K28" s="33"/>
      <c r="L28" s="33"/>
      <c r="M28" s="33"/>
      <c r="N28" s="33"/>
      <c r="O28" s="31"/>
      <c r="P28" s="33"/>
      <c r="Q28" s="30"/>
      <c r="R28" s="30"/>
      <c r="S28" s="30"/>
      <c r="T28" s="30"/>
      <c r="U28" s="46"/>
      <c r="W28" s="120"/>
      <c r="X28" s="120"/>
      <c r="Y28" s="120"/>
      <c r="Z28" s="120"/>
      <c r="AA28" s="120"/>
      <c r="AB28" s="120"/>
      <c r="AC28" s="120"/>
      <c r="AD28" s="120"/>
      <c r="AE28" s="122"/>
      <c r="AF28" s="122"/>
      <c r="AG28" s="122"/>
      <c r="AH28" s="122"/>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row>
    <row r="29" spans="2:57" ht="15.6">
      <c r="B29" s="22">
        <f t="shared" ref="B29:B63" si="4">DATE(YEAR(E$24),MONTH(E$24)+D29+0,DAY(E$24))</f>
        <v>45760</v>
      </c>
      <c r="C29" s="23" t="str">
        <f t="shared" si="1"/>
        <v>Apr-2025</v>
      </c>
      <c r="D29" s="2">
        <v>2</v>
      </c>
      <c r="E29" s="93">
        <f t="shared" si="2"/>
        <v>2771.380860951364</v>
      </c>
      <c r="F29" s="104">
        <f t="shared" ref="F29:F63" si="5">E29-G29</f>
        <v>-5831.5145487947721</v>
      </c>
      <c r="G29" s="105">
        <f t="shared" si="3"/>
        <v>8602.8954097461356</v>
      </c>
      <c r="H29" s="21">
        <f t="shared" ref="H29:H63" si="6">H28-F29</f>
        <v>104696.21013123398</v>
      </c>
      <c r="J29" s="29"/>
      <c r="K29" s="33"/>
      <c r="L29" s="33"/>
      <c r="M29" s="33"/>
      <c r="N29" s="33"/>
      <c r="O29" s="31"/>
      <c r="P29" s="33"/>
      <c r="Q29" s="30"/>
      <c r="R29" s="35" t="s">
        <v>58</v>
      </c>
      <c r="S29" s="337">
        <f>E24</f>
        <v>45701</v>
      </c>
      <c r="T29" s="337"/>
      <c r="U29" s="46"/>
      <c r="W29" s="123"/>
      <c r="X29" s="486" t="s">
        <v>111</v>
      </c>
      <c r="Y29" s="487"/>
      <c r="Z29" s="487"/>
      <c r="AA29" s="487"/>
      <c r="AB29" s="487"/>
      <c r="AC29" s="487"/>
      <c r="AD29" s="487"/>
      <c r="AE29" s="487"/>
      <c r="AF29" s="487"/>
      <c r="AG29" s="487"/>
      <c r="AH29" s="487"/>
      <c r="AI29" s="487"/>
      <c r="AJ29" s="487"/>
      <c r="AK29" s="487"/>
      <c r="AL29" s="487"/>
      <c r="AM29" s="487"/>
      <c r="AN29" s="487"/>
      <c r="AO29" s="487"/>
      <c r="AP29" s="487"/>
      <c r="AQ29" s="487"/>
      <c r="AR29" s="487"/>
      <c r="AS29" s="487"/>
      <c r="AT29" s="487"/>
      <c r="AU29" s="487"/>
      <c r="AV29" s="487"/>
      <c r="AW29" s="487"/>
      <c r="AX29" s="487"/>
      <c r="AY29" s="487"/>
      <c r="AZ29" s="487"/>
      <c r="BA29" s="487"/>
      <c r="BB29" s="487"/>
      <c r="BC29" s="487"/>
      <c r="BD29" s="488"/>
      <c r="BE29" s="120"/>
    </row>
    <row r="30" spans="2:57" ht="15.6">
      <c r="B30" s="22">
        <f t="shared" si="4"/>
        <v>45790</v>
      </c>
      <c r="C30" s="23" t="str">
        <f t="shared" si="1"/>
        <v>May-2025</v>
      </c>
      <c r="D30" s="2">
        <v>3</v>
      </c>
      <c r="E30" s="93">
        <f t="shared" si="2"/>
        <v>2771.380860951364</v>
      </c>
      <c r="F30" s="104">
        <f t="shared" si="5"/>
        <v>-6338.9546359577507</v>
      </c>
      <c r="G30" s="105">
        <f t="shared" si="3"/>
        <v>9110.3354969091142</v>
      </c>
      <c r="H30" s="21">
        <f t="shared" si="6"/>
        <v>111035.16476719173</v>
      </c>
      <c r="J30" s="29"/>
      <c r="K30" s="33"/>
      <c r="L30" s="33"/>
      <c r="M30" s="33"/>
      <c r="N30" s="33"/>
      <c r="O30" s="31"/>
      <c r="P30" s="33"/>
      <c r="Q30" s="30"/>
      <c r="R30" s="35" t="s">
        <v>59</v>
      </c>
      <c r="S30" s="512" t="str">
        <f>D23</f>
        <v>2004-023</v>
      </c>
      <c r="T30" s="512"/>
      <c r="U30" s="46"/>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513" t="s">
        <v>58</v>
      </c>
      <c r="AV30" s="513"/>
      <c r="AW30" s="124">
        <v>0</v>
      </c>
      <c r="AX30" s="125">
        <v>2</v>
      </c>
      <c r="AY30" s="125">
        <v>1</v>
      </c>
      <c r="AZ30" s="125">
        <v>3</v>
      </c>
      <c r="BA30" s="125">
        <v>2</v>
      </c>
      <c r="BB30" s="125">
        <v>0</v>
      </c>
      <c r="BC30" s="125">
        <v>2</v>
      </c>
      <c r="BD30" s="126">
        <v>5</v>
      </c>
      <c r="BE30" s="120"/>
    </row>
    <row r="31" spans="2:57" ht="15.6">
      <c r="B31" s="22">
        <f t="shared" si="4"/>
        <v>45821</v>
      </c>
      <c r="C31" s="23" t="str">
        <f t="shared" si="1"/>
        <v>Jun-2025</v>
      </c>
      <c r="D31" s="108">
        <v>4</v>
      </c>
      <c r="E31" s="93">
        <f t="shared" si="2"/>
        <v>2771.380860951364</v>
      </c>
      <c r="F31" s="104">
        <f t="shared" si="5"/>
        <v>-6890.5505663249951</v>
      </c>
      <c r="G31" s="105">
        <f t="shared" si="3"/>
        <v>9661.9314272763586</v>
      </c>
      <c r="H31" s="21">
        <f t="shared" si="6"/>
        <v>117925.71533351672</v>
      </c>
      <c r="J31" s="29"/>
      <c r="K31" s="33"/>
      <c r="L31" s="33"/>
      <c r="M31" s="33"/>
      <c r="N31" s="33"/>
      <c r="O31" s="31"/>
      <c r="P31" s="33"/>
      <c r="Q31" s="30"/>
      <c r="R31" s="35"/>
      <c r="S31" s="47"/>
      <c r="T31" s="30"/>
      <c r="U31" s="46"/>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7" t="s">
        <v>112</v>
      </c>
      <c r="AX31" s="127" t="s">
        <v>112</v>
      </c>
      <c r="AY31" s="127" t="s">
        <v>113</v>
      </c>
      <c r="AZ31" s="127" t="s">
        <v>113</v>
      </c>
      <c r="BA31" s="127" t="s">
        <v>114</v>
      </c>
      <c r="BB31" s="127" t="s">
        <v>114</v>
      </c>
      <c r="BC31" s="127" t="s">
        <v>114</v>
      </c>
      <c r="BD31" s="127" t="s">
        <v>114</v>
      </c>
      <c r="BE31" s="120"/>
    </row>
    <row r="32" spans="2:57" ht="15.6">
      <c r="B32" s="22">
        <f t="shared" si="4"/>
        <v>45851</v>
      </c>
      <c r="C32" s="23" t="str">
        <f t="shared" si="1"/>
        <v>Jul-2025</v>
      </c>
      <c r="D32" s="2">
        <v>5</v>
      </c>
      <c r="E32" s="93">
        <f t="shared" si="2"/>
        <v>2771.380860951364</v>
      </c>
      <c r="F32" s="104">
        <f t="shared" si="5"/>
        <v>-7490.1446427385599</v>
      </c>
      <c r="G32" s="105">
        <f t="shared" si="3"/>
        <v>10261.525503689923</v>
      </c>
      <c r="H32" s="21">
        <f t="shared" si="6"/>
        <v>125415.85997625528</v>
      </c>
      <c r="J32" s="34"/>
      <c r="K32" s="35" t="s">
        <v>60</v>
      </c>
      <c r="L32" s="35"/>
      <c r="M32" s="35"/>
      <c r="N32" s="357" t="str">
        <f>D22</f>
        <v>MADONNA LYN ORTEGA MARQUEZ</v>
      </c>
      <c r="O32" s="357"/>
      <c r="P32" s="357"/>
      <c r="Q32" s="357"/>
      <c r="R32" s="357"/>
      <c r="S32" s="357"/>
      <c r="T32" s="38"/>
      <c r="U32" s="48"/>
      <c r="W32" s="120"/>
      <c r="X32" s="454" t="s">
        <v>115</v>
      </c>
      <c r="Y32" s="454"/>
      <c r="Z32" s="454"/>
      <c r="AA32" s="454"/>
      <c r="AB32" s="454"/>
      <c r="AC32" s="454"/>
      <c r="AD32" s="454"/>
      <c r="AE32" s="454" t="s">
        <v>116</v>
      </c>
      <c r="AF32" s="454"/>
      <c r="AG32" s="454"/>
      <c r="AH32" s="454"/>
      <c r="AI32" s="454"/>
      <c r="AJ32" s="454"/>
      <c r="AK32" s="454"/>
      <c r="AL32" s="454"/>
      <c r="AM32" s="454" t="s">
        <v>117</v>
      </c>
      <c r="AN32" s="454"/>
      <c r="AO32" s="454"/>
      <c r="AP32" s="454"/>
      <c r="AQ32" s="454"/>
      <c r="AR32" s="454"/>
      <c r="AS32" s="454"/>
      <c r="AT32" s="454" t="s">
        <v>118</v>
      </c>
      <c r="AU32" s="454"/>
      <c r="AV32" s="454"/>
      <c r="AW32" s="454"/>
      <c r="AX32" s="454"/>
      <c r="AY32" s="454"/>
      <c r="AZ32" s="454"/>
      <c r="BA32" s="454"/>
      <c r="BB32" s="454"/>
      <c r="BC32" s="454"/>
      <c r="BD32" s="454"/>
      <c r="BE32" s="123"/>
    </row>
    <row r="33" spans="2:57" ht="15.6">
      <c r="B33" s="22">
        <f t="shared" si="4"/>
        <v>45882</v>
      </c>
      <c r="C33" s="23" t="str">
        <f t="shared" si="1"/>
        <v>Aug-2025</v>
      </c>
      <c r="D33" s="2">
        <v>6</v>
      </c>
      <c r="E33" s="93">
        <f t="shared" si="2"/>
        <v>2771.380860951364</v>
      </c>
      <c r="F33" s="104">
        <f t="shared" si="5"/>
        <v>-8141.9135131703588</v>
      </c>
      <c r="G33" s="105">
        <f t="shared" si="3"/>
        <v>10913.294374121722</v>
      </c>
      <c r="H33" s="21">
        <f t="shared" si="6"/>
        <v>133557.77348942563</v>
      </c>
      <c r="J33" s="34"/>
      <c r="K33" s="35" t="s">
        <v>61</v>
      </c>
      <c r="L33" s="35"/>
      <c r="M33" s="35"/>
      <c r="N33" s="524" t="str">
        <f>D23</f>
        <v>2004-023</v>
      </c>
      <c r="O33" s="524"/>
      <c r="P33" s="524"/>
      <c r="Q33" s="524"/>
      <c r="R33" s="524"/>
      <c r="S33" s="524"/>
      <c r="T33" s="38"/>
      <c r="U33" s="48"/>
      <c r="W33" s="120"/>
      <c r="X33" s="129"/>
      <c r="Y33" s="454" t="s">
        <v>119</v>
      </c>
      <c r="Z33" s="454"/>
      <c r="AA33" s="454"/>
      <c r="AB33" s="454"/>
      <c r="AC33" s="454"/>
      <c r="AD33" s="454"/>
      <c r="AE33" s="129"/>
      <c r="AF33" s="454" t="s">
        <v>120</v>
      </c>
      <c r="AG33" s="454"/>
      <c r="AH33" s="454"/>
      <c r="AI33" s="454"/>
      <c r="AJ33" s="454"/>
      <c r="AK33" s="454"/>
      <c r="AL33" s="454"/>
      <c r="AM33" s="129"/>
      <c r="AN33" s="123" t="s">
        <v>83</v>
      </c>
      <c r="AO33" s="120"/>
      <c r="AP33" s="120"/>
      <c r="AQ33" s="120"/>
      <c r="AR33" s="120"/>
      <c r="AS33" s="120"/>
      <c r="AT33" s="129"/>
      <c r="AU33" s="454" t="s">
        <v>121</v>
      </c>
      <c r="AV33" s="454"/>
      <c r="AW33" s="454"/>
      <c r="AX33" s="454"/>
      <c r="AY33" s="454"/>
      <c r="AZ33" s="454"/>
      <c r="BA33" s="454"/>
      <c r="BB33" s="454"/>
      <c r="BC33" s="454"/>
      <c r="BD33" s="454"/>
      <c r="BE33" s="120"/>
    </row>
    <row r="34" spans="2:57" ht="15.6">
      <c r="B34" s="22">
        <f t="shared" si="4"/>
        <v>45913</v>
      </c>
      <c r="C34" s="23" t="str">
        <f t="shared" si="1"/>
        <v>Sep-2025</v>
      </c>
      <c r="D34" s="2">
        <v>7</v>
      </c>
      <c r="E34" s="93">
        <f t="shared" si="2"/>
        <v>2771.380860951364</v>
      </c>
      <c r="F34" s="104">
        <f t="shared" si="5"/>
        <v>-8850.3972643856396</v>
      </c>
      <c r="G34" s="105">
        <f t="shared" si="3"/>
        <v>11621.778125337003</v>
      </c>
      <c r="H34" s="21">
        <f t="shared" si="6"/>
        <v>142408.17075381125</v>
      </c>
      <c r="J34" s="34"/>
      <c r="K34" s="35" t="s">
        <v>42</v>
      </c>
      <c r="L34" s="35"/>
      <c r="M34" s="35"/>
      <c r="N34" s="510" t="str">
        <f>F23</f>
        <v>BLK 1 LOT 8 JOSHUA ST., BEYOND HOMES BRGY  SAN FRANCISCO, GENERAL TRIAS, CAVITE</v>
      </c>
      <c r="O34" s="511"/>
      <c r="P34" s="511"/>
      <c r="Q34" s="511"/>
      <c r="R34" s="511"/>
      <c r="S34" s="511"/>
      <c r="T34" s="38"/>
      <c r="U34" s="48"/>
      <c r="W34" s="120"/>
      <c r="X34" s="129"/>
      <c r="Y34" s="454" t="s">
        <v>122</v>
      </c>
      <c r="Z34" s="454"/>
      <c r="AA34" s="454"/>
      <c r="AB34" s="454"/>
      <c r="AC34" s="454"/>
      <c r="AD34" s="454"/>
      <c r="AE34" s="129"/>
      <c r="AF34" s="454" t="s">
        <v>123</v>
      </c>
      <c r="AG34" s="454"/>
      <c r="AH34" s="454"/>
      <c r="AI34" s="454"/>
      <c r="AJ34" s="454"/>
      <c r="AK34" s="454"/>
      <c r="AL34" s="454"/>
      <c r="AM34" s="129"/>
      <c r="AN34" s="123" t="s">
        <v>84</v>
      </c>
      <c r="AO34" s="120"/>
      <c r="AP34" s="120"/>
      <c r="AQ34" s="120"/>
      <c r="AR34" s="120"/>
      <c r="AS34" s="120"/>
      <c r="AT34" s="129"/>
      <c r="AU34" s="454" t="s">
        <v>124</v>
      </c>
      <c r="AV34" s="454"/>
      <c r="AW34" s="454"/>
      <c r="AX34" s="454"/>
      <c r="AY34" s="454"/>
      <c r="AZ34" s="454"/>
      <c r="BA34" s="454"/>
      <c r="BB34" s="454"/>
      <c r="BC34" s="454"/>
      <c r="BD34" s="454"/>
      <c r="BE34" s="120"/>
    </row>
    <row r="35" spans="2:57" ht="16.2" thickBot="1">
      <c r="B35" s="22">
        <f t="shared" si="4"/>
        <v>45943</v>
      </c>
      <c r="C35" s="23" t="str">
        <f t="shared" si="1"/>
        <v>Oct-2025</v>
      </c>
      <c r="D35" s="2">
        <v>8</v>
      </c>
      <c r="E35" s="93">
        <f t="shared" si="2"/>
        <v>2771.380860951364</v>
      </c>
      <c r="F35" s="104">
        <f t="shared" si="5"/>
        <v>-9620.5310472457058</v>
      </c>
      <c r="G35" s="105">
        <f t="shared" si="3"/>
        <v>12391.911908197069</v>
      </c>
      <c r="H35" s="21">
        <f t="shared" si="6"/>
        <v>152028.70180105697</v>
      </c>
      <c r="J35" s="29"/>
      <c r="K35" s="33"/>
      <c r="L35" s="33"/>
      <c r="M35" s="33"/>
      <c r="N35" s="36"/>
      <c r="O35" s="38"/>
      <c r="P35" s="38"/>
      <c r="Q35" s="30"/>
      <c r="R35" s="30"/>
      <c r="S35" s="30"/>
      <c r="T35" s="30"/>
      <c r="U35" s="46"/>
      <c r="W35" s="120"/>
      <c r="X35" s="129"/>
      <c r="Y35" s="454" t="s">
        <v>125</v>
      </c>
      <c r="Z35" s="454"/>
      <c r="AA35" s="454"/>
      <c r="AB35" s="454"/>
      <c r="AC35" s="454"/>
      <c r="AD35" s="454"/>
      <c r="AE35" s="129"/>
      <c r="AF35" s="454" t="s">
        <v>126</v>
      </c>
      <c r="AG35" s="454"/>
      <c r="AH35" s="454"/>
      <c r="AI35" s="454"/>
      <c r="AJ35" s="454"/>
      <c r="AK35" s="454"/>
      <c r="AL35" s="454"/>
      <c r="AM35" s="129"/>
      <c r="AN35" s="123" t="s">
        <v>85</v>
      </c>
      <c r="AO35" s="120"/>
      <c r="AP35" s="120"/>
      <c r="AQ35" s="120"/>
      <c r="AR35" s="120"/>
      <c r="AS35" s="120"/>
      <c r="AT35" s="129"/>
      <c r="AU35" s="123" t="s">
        <v>127</v>
      </c>
      <c r="AV35" s="123"/>
      <c r="AW35" s="507"/>
      <c r="AX35" s="507"/>
      <c r="AY35" s="507"/>
      <c r="AZ35" s="507"/>
      <c r="BA35" s="507"/>
      <c r="BB35" s="123"/>
      <c r="BC35" s="123"/>
      <c r="BD35" s="123"/>
      <c r="BE35" s="120"/>
    </row>
    <row r="36" spans="2:57" ht="15.6">
      <c r="B36" s="22">
        <f t="shared" si="4"/>
        <v>45974</v>
      </c>
      <c r="C36" s="23" t="str">
        <f t="shared" si="1"/>
        <v>Nov-2025</v>
      </c>
      <c r="D36" s="2">
        <v>9</v>
      </c>
      <c r="E36" s="93">
        <f t="shared" si="2"/>
        <v>2771.380860951364</v>
      </c>
      <c r="F36" s="104">
        <f t="shared" si="5"/>
        <v>-10457.679453945209</v>
      </c>
      <c r="G36" s="105">
        <f t="shared" si="3"/>
        <v>13229.060314896573</v>
      </c>
      <c r="H36" s="21">
        <f t="shared" si="6"/>
        <v>162486.38125500217</v>
      </c>
      <c r="J36" s="29"/>
      <c r="K36" s="33"/>
      <c r="L36" s="35" t="s">
        <v>62</v>
      </c>
      <c r="M36" s="33"/>
      <c r="N36" s="33"/>
      <c r="O36" s="31"/>
      <c r="P36" s="33"/>
      <c r="Q36" s="49"/>
      <c r="R36" s="331">
        <f>C4</f>
        <v>111836.21666666666</v>
      </c>
      <c r="S36" s="331"/>
      <c r="T36" s="331"/>
      <c r="U36" s="46"/>
      <c r="W36" s="120"/>
      <c r="X36" s="129"/>
      <c r="Y36" s="454" t="s">
        <v>128</v>
      </c>
      <c r="Z36" s="454"/>
      <c r="AA36" s="454"/>
      <c r="AB36" s="454"/>
      <c r="AC36" s="454"/>
      <c r="AD36" s="454"/>
      <c r="AE36" s="129"/>
      <c r="AF36" s="454" t="s">
        <v>129</v>
      </c>
      <c r="AG36" s="454"/>
      <c r="AH36" s="454"/>
      <c r="AI36" s="454"/>
      <c r="AJ36" s="454"/>
      <c r="AK36" s="454"/>
      <c r="AL36" s="454"/>
      <c r="AM36" s="129"/>
      <c r="AN36" s="123" t="s">
        <v>86</v>
      </c>
      <c r="AO36" s="120"/>
      <c r="AP36" s="120"/>
      <c r="AQ36" s="120"/>
      <c r="AR36" s="120"/>
      <c r="AS36" s="120"/>
      <c r="AT36" s="120"/>
      <c r="AU36" s="120"/>
      <c r="AV36" s="120"/>
      <c r="AW36" s="120"/>
      <c r="AX36" s="120"/>
      <c r="AY36" s="120"/>
      <c r="AZ36" s="120"/>
      <c r="BA36" s="120"/>
      <c r="BB36" s="120"/>
      <c r="BC36" s="120"/>
      <c r="BD36" s="120"/>
      <c r="BE36" s="120"/>
    </row>
    <row r="37" spans="2:57" ht="15.6">
      <c r="B37" s="22">
        <f t="shared" si="4"/>
        <v>46004</v>
      </c>
      <c r="C37" s="23" t="str">
        <f t="shared" si="1"/>
        <v>Dec-2025</v>
      </c>
      <c r="D37" s="2">
        <v>10</v>
      </c>
      <c r="E37" s="93">
        <f t="shared" si="2"/>
        <v>2771.380860951364</v>
      </c>
      <c r="F37" s="104">
        <f t="shared" si="5"/>
        <v>-11367.673886648665</v>
      </c>
      <c r="G37" s="105">
        <f t="shared" si="3"/>
        <v>14139.054747600028</v>
      </c>
      <c r="H37" s="21">
        <f t="shared" si="6"/>
        <v>173854.05514165084</v>
      </c>
      <c r="J37" s="29"/>
      <c r="K37" s="33"/>
      <c r="L37" s="35"/>
      <c r="M37" s="33"/>
      <c r="N37" s="33"/>
      <c r="O37" s="31"/>
      <c r="P37" s="33"/>
      <c r="Q37" s="49"/>
      <c r="R37" s="333"/>
      <c r="S37" s="333"/>
      <c r="T37" s="333"/>
      <c r="U37" s="46"/>
      <c r="W37" s="120"/>
      <c r="X37" s="129"/>
      <c r="Y37" s="454" t="s">
        <v>130</v>
      </c>
      <c r="Z37" s="454"/>
      <c r="AA37" s="454"/>
      <c r="AB37" s="454"/>
      <c r="AC37" s="454"/>
      <c r="AD37" s="454"/>
      <c r="AE37" s="129"/>
      <c r="AF37" s="454" t="s">
        <v>131</v>
      </c>
      <c r="AG37" s="454"/>
      <c r="AH37" s="454"/>
      <c r="AI37" s="454"/>
      <c r="AJ37" s="454"/>
      <c r="AK37" s="454"/>
      <c r="AL37" s="454"/>
      <c r="AM37" s="129"/>
      <c r="AN37" s="123" t="s">
        <v>87</v>
      </c>
      <c r="AO37" s="120"/>
      <c r="AP37" s="120"/>
      <c r="AQ37" s="120"/>
      <c r="AR37" s="120"/>
      <c r="AS37" s="120"/>
      <c r="AT37" s="120"/>
      <c r="AU37" s="120"/>
      <c r="AV37" s="120"/>
      <c r="AW37" s="120"/>
      <c r="AX37" s="120"/>
      <c r="AY37" s="120"/>
      <c r="AZ37" s="120"/>
      <c r="BA37" s="120"/>
      <c r="BB37" s="120"/>
      <c r="BC37" s="120"/>
      <c r="BD37" s="120"/>
      <c r="BE37" s="120"/>
    </row>
    <row r="38" spans="2:57" ht="16.2" thickBot="1">
      <c r="B38" s="22">
        <f t="shared" si="4"/>
        <v>46035</v>
      </c>
      <c r="C38" s="23" t="str">
        <f t="shared" si="1"/>
        <v>Jan-2026</v>
      </c>
      <c r="D38" s="2">
        <v>11</v>
      </c>
      <c r="E38" s="93">
        <f t="shared" si="2"/>
        <v>2771.380860951364</v>
      </c>
      <c r="F38" s="104">
        <f t="shared" si="5"/>
        <v>-12356.853177828432</v>
      </c>
      <c r="G38" s="105">
        <f t="shared" si="3"/>
        <v>15128.234038779796</v>
      </c>
      <c r="H38" s="21">
        <f t="shared" si="6"/>
        <v>186210.90831947926</v>
      </c>
      <c r="J38" s="39"/>
      <c r="K38" s="40"/>
      <c r="L38" s="41" t="s">
        <v>63</v>
      </c>
      <c r="M38" s="40" t="s">
        <v>64</v>
      </c>
      <c r="N38" s="40"/>
      <c r="O38" s="42"/>
      <c r="P38" s="40"/>
      <c r="Q38" s="36"/>
      <c r="R38" s="331">
        <f>-C14</f>
        <v>-122655.42</v>
      </c>
      <c r="S38" s="331"/>
      <c r="T38" s="331"/>
      <c r="U38" s="37"/>
      <c r="W38" s="120"/>
      <c r="X38" s="410"/>
      <c r="Y38" s="410"/>
      <c r="Z38" s="410"/>
      <c r="AA38" s="410"/>
      <c r="AB38" s="410"/>
      <c r="AC38" s="410"/>
      <c r="AD38" s="410"/>
      <c r="AE38" s="131"/>
      <c r="AF38" s="123" t="s">
        <v>132</v>
      </c>
      <c r="AG38" s="123"/>
      <c r="AH38" s="425"/>
      <c r="AI38" s="425"/>
      <c r="AJ38" s="425"/>
      <c r="AK38" s="425"/>
      <c r="AL38" s="506"/>
      <c r="AM38" s="131"/>
      <c r="AN38" s="123" t="s">
        <v>127</v>
      </c>
      <c r="AO38" s="120"/>
      <c r="AP38" s="508"/>
      <c r="AQ38" s="508"/>
      <c r="AR38" s="508"/>
      <c r="AS38" s="508"/>
      <c r="AT38" s="508"/>
      <c r="AU38" s="120"/>
      <c r="AV38" s="120"/>
      <c r="AW38" s="120"/>
      <c r="AX38" s="120"/>
      <c r="AY38" s="120"/>
      <c r="AZ38" s="120"/>
      <c r="BA38" s="120"/>
      <c r="BB38" s="120"/>
      <c r="BC38" s="120"/>
      <c r="BD38" s="120"/>
      <c r="BE38" s="120"/>
    </row>
    <row r="39" spans="2:57" ht="16.2" thickBot="1">
      <c r="B39" s="22">
        <f t="shared" si="4"/>
        <v>46066</v>
      </c>
      <c r="C39" s="210" t="str">
        <f t="shared" si="1"/>
        <v>Feb-2026</v>
      </c>
      <c r="D39" s="211">
        <v>12</v>
      </c>
      <c r="E39" s="212">
        <f t="shared" si="2"/>
        <v>2771.380860951364</v>
      </c>
      <c r="F39" s="213">
        <f t="shared" si="5"/>
        <v>-13432.107745256944</v>
      </c>
      <c r="G39" s="214">
        <f t="shared" si="3"/>
        <v>16203.488606208308</v>
      </c>
      <c r="H39" s="215">
        <f t="shared" si="6"/>
        <v>199643.01606473621</v>
      </c>
      <c r="J39" s="39"/>
      <c r="K39" s="40"/>
      <c r="L39" s="41" t="s">
        <v>63</v>
      </c>
      <c r="M39" s="40" t="s">
        <v>65</v>
      </c>
      <c r="N39" s="40"/>
      <c r="O39" s="42"/>
      <c r="P39" s="40"/>
      <c r="Q39" s="36"/>
      <c r="R39" s="331">
        <f>-C8</f>
        <v>0</v>
      </c>
      <c r="S39" s="331"/>
      <c r="T39" s="331"/>
      <c r="U39" s="37"/>
      <c r="W39" s="120"/>
      <c r="X39" s="132" t="s">
        <v>133</v>
      </c>
      <c r="Y39" s="133"/>
      <c r="Z39" s="133"/>
      <c r="AA39" s="133"/>
      <c r="AB39" s="503">
        <f>'[3]Data Entry'!E4</f>
        <v>150000</v>
      </c>
      <c r="AC39" s="503"/>
      <c r="AD39" s="503"/>
      <c r="AE39" s="503"/>
      <c r="AF39" s="503"/>
      <c r="AG39" s="503"/>
      <c r="AH39" s="504"/>
      <c r="AI39" s="504"/>
      <c r="AJ39" s="504"/>
      <c r="AK39" s="504"/>
      <c r="AL39" s="504"/>
      <c r="AM39" s="505"/>
      <c r="AN39" s="132" t="s">
        <v>134</v>
      </c>
      <c r="AO39" s="133"/>
      <c r="AP39" s="134"/>
      <c r="AQ39" s="134"/>
      <c r="AR39" s="134"/>
      <c r="AS39" s="134"/>
      <c r="AT39" s="504">
        <f>R49</f>
        <v>2771.380860951364</v>
      </c>
      <c r="AU39" s="503"/>
      <c r="AV39" s="503"/>
      <c r="AW39" s="503"/>
      <c r="AX39" s="503"/>
      <c r="AY39" s="503"/>
      <c r="AZ39" s="503"/>
      <c r="BA39" s="503"/>
      <c r="BB39" s="503"/>
      <c r="BC39" s="503"/>
      <c r="BD39" s="505"/>
      <c r="BE39" s="120"/>
    </row>
    <row r="40" spans="2:57" ht="16.2" thickBot="1">
      <c r="B40" s="22">
        <f t="shared" si="4"/>
        <v>46094</v>
      </c>
      <c r="C40" s="210" t="str">
        <f t="shared" si="1"/>
        <v>Mar-2026</v>
      </c>
      <c r="D40" s="211">
        <v>13</v>
      </c>
      <c r="E40" s="212">
        <f t="shared" si="2"/>
        <v>2771.380860951364</v>
      </c>
      <c r="F40" s="213">
        <f t="shared" si="5"/>
        <v>-14600.927589227735</v>
      </c>
      <c r="G40" s="214">
        <f t="shared" si="3"/>
        <v>17372.308450179098</v>
      </c>
      <c r="H40" s="215">
        <f t="shared" si="6"/>
        <v>214243.94365396394</v>
      </c>
      <c r="J40" s="39"/>
      <c r="K40" s="40"/>
      <c r="L40" s="41" t="s">
        <v>63</v>
      </c>
      <c r="M40" s="40" t="s">
        <v>66</v>
      </c>
      <c r="N40" s="40"/>
      <c r="O40" s="42"/>
      <c r="P40" s="40"/>
      <c r="Q40" s="36"/>
      <c r="R40" s="332">
        <f>-C7</f>
        <v>-5000</v>
      </c>
      <c r="S40" s="332"/>
      <c r="T40" s="332"/>
      <c r="U40" s="37"/>
      <c r="W40" s="120"/>
      <c r="X40" s="135"/>
      <c r="Y40" s="136"/>
      <c r="Z40" s="136"/>
      <c r="AA40" s="136"/>
      <c r="AB40" s="419"/>
      <c r="AC40" s="419"/>
      <c r="AD40" s="419"/>
      <c r="AE40" s="419"/>
      <c r="AF40" s="419"/>
      <c r="AG40" s="419"/>
      <c r="AH40" s="419"/>
      <c r="AI40" s="419"/>
      <c r="AJ40" s="419"/>
      <c r="AK40" s="419"/>
      <c r="AL40" s="419"/>
      <c r="AM40" s="420"/>
      <c r="AN40" s="135"/>
      <c r="AO40" s="136"/>
      <c r="AP40" s="136"/>
      <c r="AQ40" s="136"/>
      <c r="AR40" s="136"/>
      <c r="AS40" s="136"/>
      <c r="AT40" s="419"/>
      <c r="AU40" s="419"/>
      <c r="AV40" s="419"/>
      <c r="AW40" s="419"/>
      <c r="AX40" s="419"/>
      <c r="AY40" s="419"/>
      <c r="AZ40" s="419"/>
      <c r="BA40" s="419"/>
      <c r="BB40" s="419"/>
      <c r="BC40" s="419"/>
      <c r="BD40" s="420"/>
      <c r="BE40" s="120"/>
    </row>
    <row r="41" spans="2:57" ht="16.2" thickBot="1">
      <c r="B41" s="22">
        <f t="shared" si="4"/>
        <v>46125</v>
      </c>
      <c r="C41" s="210" t="str">
        <f t="shared" si="1"/>
        <v>Apr-2026</v>
      </c>
      <c r="D41" s="211">
        <v>14</v>
      </c>
      <c r="E41" s="212">
        <f t="shared" si="2"/>
        <v>2771.380860951364</v>
      </c>
      <c r="F41" s="213">
        <f t="shared" si="5"/>
        <v>-15871.454466343965</v>
      </c>
      <c r="G41" s="214">
        <f t="shared" si="3"/>
        <v>18642.835327295328</v>
      </c>
      <c r="H41" s="215">
        <f t="shared" si="6"/>
        <v>230115.39812030792</v>
      </c>
      <c r="J41" s="39"/>
      <c r="K41" s="40"/>
      <c r="L41" s="41" t="s">
        <v>63</v>
      </c>
      <c r="M41" s="40" t="s">
        <v>9</v>
      </c>
      <c r="N41" s="40"/>
      <c r="O41" s="42"/>
      <c r="P41" s="40"/>
      <c r="Q41" s="36"/>
      <c r="R41" s="332">
        <f>-C5</f>
        <v>-7480</v>
      </c>
      <c r="S41" s="332"/>
      <c r="T41" s="332"/>
      <c r="U41" s="37"/>
      <c r="W41" s="120"/>
      <c r="X41" s="493" t="s">
        <v>135</v>
      </c>
      <c r="Y41" s="494"/>
      <c r="Z41" s="498"/>
      <c r="AA41" s="499"/>
      <c r="AB41" s="499"/>
      <c r="AC41" s="499"/>
      <c r="AD41" s="499"/>
      <c r="AE41" s="500"/>
      <c r="AF41" s="138" t="s">
        <v>136</v>
      </c>
      <c r="AG41" s="136"/>
      <c r="AH41" s="136"/>
      <c r="AI41" s="136"/>
      <c r="AJ41" s="470"/>
      <c r="AK41" s="470"/>
      <c r="AL41" s="470"/>
      <c r="AM41" s="470"/>
      <c r="AN41" s="470"/>
      <c r="AO41" s="470"/>
      <c r="AP41" s="470"/>
      <c r="AQ41" s="471"/>
      <c r="AR41" s="139" t="s">
        <v>137</v>
      </c>
      <c r="AS41" s="140"/>
      <c r="AT41" s="140"/>
      <c r="AU41" s="140"/>
      <c r="AV41" s="470"/>
      <c r="AW41" s="470"/>
      <c r="AX41" s="470"/>
      <c r="AY41" s="470"/>
      <c r="AZ41" s="470"/>
      <c r="BA41" s="470"/>
      <c r="BB41" s="470"/>
      <c r="BC41" s="470"/>
      <c r="BD41" s="471"/>
      <c r="BE41" s="120"/>
    </row>
    <row r="42" spans="2:57" ht="16.2" thickBot="1">
      <c r="B42" s="22">
        <f t="shared" si="4"/>
        <v>46155</v>
      </c>
      <c r="C42" s="210" t="str">
        <f t="shared" si="1"/>
        <v>May-2026</v>
      </c>
      <c r="D42" s="211">
        <v>15</v>
      </c>
      <c r="E42" s="212">
        <f t="shared" si="2"/>
        <v>2771.380860951364</v>
      </c>
      <c r="F42" s="213">
        <f t="shared" si="5"/>
        <v>-17252.53860330618</v>
      </c>
      <c r="G42" s="214">
        <f t="shared" si="3"/>
        <v>20023.919464257546</v>
      </c>
      <c r="H42" s="215">
        <f t="shared" si="6"/>
        <v>247367.93672361411</v>
      </c>
      <c r="J42" s="39"/>
      <c r="K42" s="40"/>
      <c r="L42" s="41" t="s">
        <v>63</v>
      </c>
      <c r="M42" s="40" t="s">
        <v>67</v>
      </c>
      <c r="N42" s="40"/>
      <c r="O42" s="42"/>
      <c r="P42" s="40"/>
      <c r="Q42" s="36"/>
      <c r="R42" s="332">
        <f>-C6</f>
        <v>-4488</v>
      </c>
      <c r="S42" s="332"/>
      <c r="T42" s="332"/>
      <c r="U42" s="37"/>
      <c r="W42" s="120"/>
      <c r="X42" s="491" t="s">
        <v>138</v>
      </c>
      <c r="Y42" s="492"/>
      <c r="Z42" s="495"/>
      <c r="AA42" s="496"/>
      <c r="AB42" s="496"/>
      <c r="AC42" s="496"/>
      <c r="AD42" s="496"/>
      <c r="AE42" s="497"/>
      <c r="AF42" s="142"/>
      <c r="AG42" s="141" t="s">
        <v>139</v>
      </c>
      <c r="AH42" s="143"/>
      <c r="AI42" s="143"/>
      <c r="AJ42" s="143"/>
      <c r="AK42" s="143"/>
      <c r="AL42" s="143"/>
      <c r="AM42" s="143"/>
      <c r="AN42" s="143"/>
      <c r="AO42" s="143"/>
      <c r="AP42" s="143"/>
      <c r="AQ42" s="144"/>
      <c r="AR42" s="145"/>
      <c r="AS42" s="491" t="s">
        <v>140</v>
      </c>
      <c r="AT42" s="501"/>
      <c r="AU42" s="501"/>
      <c r="AV42" s="143"/>
      <c r="AW42" s="143"/>
      <c r="AX42" s="143"/>
      <c r="AY42" s="143"/>
      <c r="AZ42" s="143"/>
      <c r="BA42" s="143"/>
      <c r="BB42" s="143"/>
      <c r="BC42" s="143"/>
      <c r="BD42" s="144"/>
      <c r="BE42" s="120"/>
    </row>
    <row r="43" spans="2:57" ht="16.2" thickBot="1">
      <c r="B43" s="22">
        <f t="shared" si="4"/>
        <v>46186</v>
      </c>
      <c r="C43" s="210" t="str">
        <f t="shared" si="1"/>
        <v>Jun-2026</v>
      </c>
      <c r="D43" s="211">
        <v>16</v>
      </c>
      <c r="E43" s="212">
        <f t="shared" si="2"/>
        <v>2771.380860951364</v>
      </c>
      <c r="F43" s="213">
        <f t="shared" si="5"/>
        <v>-18753.80034575587</v>
      </c>
      <c r="G43" s="214">
        <f t="shared" si="3"/>
        <v>21525.181206707235</v>
      </c>
      <c r="H43" s="215">
        <f t="shared" si="6"/>
        <v>266121.73706936999</v>
      </c>
      <c r="J43" s="16"/>
      <c r="L43" s="41" t="s">
        <v>63</v>
      </c>
      <c r="M43" s="40" t="s">
        <v>13</v>
      </c>
      <c r="R43" s="332">
        <f>-C9</f>
        <v>-1368.2166666666667</v>
      </c>
      <c r="S43" s="332"/>
      <c r="T43" s="332"/>
      <c r="U43" s="216"/>
      <c r="W43" s="120"/>
      <c r="X43" s="493"/>
      <c r="Y43" s="494"/>
      <c r="Z43" s="498"/>
      <c r="AA43" s="499"/>
      <c r="AB43" s="499"/>
      <c r="AC43" s="499"/>
      <c r="AD43" s="499"/>
      <c r="AE43" s="500"/>
      <c r="AF43" s="129"/>
      <c r="AG43" s="137" t="s">
        <v>141</v>
      </c>
      <c r="AH43" s="146"/>
      <c r="AI43" s="146"/>
      <c r="AJ43" s="146"/>
      <c r="AK43" s="146"/>
      <c r="AL43" s="146"/>
      <c r="AM43" s="146"/>
      <c r="AN43" s="146"/>
      <c r="AO43" s="146"/>
      <c r="AP43" s="146"/>
      <c r="AQ43" s="147"/>
      <c r="AR43" s="129"/>
      <c r="AS43" s="493" t="s">
        <v>142</v>
      </c>
      <c r="AT43" s="502"/>
      <c r="AU43" s="502"/>
      <c r="AV43" s="146"/>
      <c r="AW43" s="146"/>
      <c r="AX43" s="146"/>
      <c r="AY43" s="146"/>
      <c r="AZ43" s="146"/>
      <c r="BA43" s="146"/>
      <c r="BB43" s="146"/>
      <c r="BC43" s="146"/>
      <c r="BD43" s="147"/>
      <c r="BE43" s="120"/>
    </row>
    <row r="44" spans="2:57" ht="16.2" thickBot="1">
      <c r="B44" s="22">
        <f t="shared" si="4"/>
        <v>46216</v>
      </c>
      <c r="C44" s="210" t="str">
        <f t="shared" si="1"/>
        <v>Jul-2026</v>
      </c>
      <c r="D44" s="211">
        <v>17</v>
      </c>
      <c r="E44" s="212">
        <f t="shared" si="2"/>
        <v>2771.380860951364</v>
      </c>
      <c r="F44" s="213">
        <f t="shared" si="5"/>
        <v>-20385.697171607786</v>
      </c>
      <c r="G44" s="214">
        <f t="shared" si="3"/>
        <v>23157.078032559151</v>
      </c>
      <c r="H44" s="215">
        <f t="shared" si="6"/>
        <v>286507.4342409778</v>
      </c>
      <c r="J44" s="29"/>
      <c r="K44" s="33"/>
      <c r="L44" s="35" t="s">
        <v>68</v>
      </c>
      <c r="M44" s="33"/>
      <c r="N44" s="33"/>
      <c r="O44" s="31"/>
      <c r="P44" s="33"/>
      <c r="Q44" s="30"/>
      <c r="R44" s="331">
        <f>SUM(R36:T43)</f>
        <v>-29155.420000000006</v>
      </c>
      <c r="S44" s="331"/>
      <c r="T44" s="331"/>
      <c r="U44" s="46"/>
      <c r="W44" s="120"/>
      <c r="X44" s="486" t="s">
        <v>143</v>
      </c>
      <c r="Y44" s="487"/>
      <c r="Z44" s="487"/>
      <c r="AA44" s="487"/>
      <c r="AB44" s="487"/>
      <c r="AC44" s="487"/>
      <c r="AD44" s="487"/>
      <c r="AE44" s="487"/>
      <c r="AF44" s="487"/>
      <c r="AG44" s="487"/>
      <c r="AH44" s="487"/>
      <c r="AI44" s="487"/>
      <c r="AJ44" s="487"/>
      <c r="AK44" s="487"/>
      <c r="AL44" s="487"/>
      <c r="AM44" s="487"/>
      <c r="AN44" s="487"/>
      <c r="AO44" s="487"/>
      <c r="AP44" s="487"/>
      <c r="AQ44" s="487"/>
      <c r="AR44" s="487"/>
      <c r="AS44" s="487"/>
      <c r="AT44" s="487"/>
      <c r="AU44" s="487"/>
      <c r="AV44" s="487"/>
      <c r="AW44" s="487"/>
      <c r="AX44" s="487"/>
      <c r="AY44" s="487"/>
      <c r="AZ44" s="487"/>
      <c r="BA44" s="487"/>
      <c r="BB44" s="487"/>
      <c r="BC44" s="487"/>
      <c r="BD44" s="488"/>
      <c r="BE44" s="120"/>
    </row>
    <row r="45" spans="2:57" ht="16.2" thickBot="1">
      <c r="B45" s="22">
        <f t="shared" si="4"/>
        <v>46247</v>
      </c>
      <c r="C45" s="210" t="str">
        <f t="shared" si="1"/>
        <v>Aug-2026</v>
      </c>
      <c r="D45" s="211">
        <v>18</v>
      </c>
      <c r="E45" s="212">
        <f t="shared" si="2"/>
        <v>2771.380860951364</v>
      </c>
      <c r="F45" s="213">
        <f t="shared" si="5"/>
        <v>-22159.596535672088</v>
      </c>
      <c r="G45" s="214">
        <f t="shared" si="3"/>
        <v>24930.977396623453</v>
      </c>
      <c r="H45" s="215">
        <f t="shared" si="6"/>
        <v>308667.03077664989</v>
      </c>
      <c r="J45" s="29"/>
      <c r="K45" s="30"/>
      <c r="L45" s="30"/>
      <c r="M45" s="30"/>
      <c r="N45" s="30"/>
      <c r="O45" s="32"/>
      <c r="P45" s="30"/>
      <c r="Q45" s="30"/>
      <c r="R45" s="30"/>
      <c r="S45" s="30"/>
      <c r="T45" s="30"/>
      <c r="U45" s="46"/>
      <c r="W45" s="120"/>
      <c r="X45" s="489" t="s">
        <v>260</v>
      </c>
      <c r="Y45" s="489"/>
      <c r="Z45" s="489"/>
      <c r="AA45" s="489"/>
      <c r="AB45" s="489"/>
      <c r="AC45" s="489"/>
      <c r="AD45" s="489" t="s">
        <v>261</v>
      </c>
      <c r="AE45" s="489"/>
      <c r="AF45" s="489"/>
      <c r="AG45" s="489"/>
      <c r="AH45" s="489"/>
      <c r="AI45" s="489"/>
      <c r="AJ45" s="489"/>
      <c r="AK45" s="489"/>
      <c r="AL45" s="489"/>
      <c r="AM45" s="489"/>
      <c r="AN45" s="489" t="s">
        <v>262</v>
      </c>
      <c r="AO45" s="489"/>
      <c r="AP45" s="489"/>
      <c r="AQ45" s="489"/>
      <c r="AR45" s="489"/>
      <c r="AS45" s="489"/>
      <c r="AT45" s="489"/>
      <c r="AU45" s="489"/>
      <c r="AV45" s="489"/>
      <c r="AW45" s="489"/>
      <c r="AX45" s="489"/>
      <c r="AY45" s="489"/>
      <c r="AZ45" s="490"/>
      <c r="BA45" s="490"/>
      <c r="BB45" s="134"/>
      <c r="BC45" s="134"/>
      <c r="BD45" s="134"/>
      <c r="BE45" s="120"/>
    </row>
    <row r="46" spans="2:57" ht="16.2" thickBot="1">
      <c r="B46" s="22">
        <f t="shared" si="4"/>
        <v>46278</v>
      </c>
      <c r="C46" s="210" t="str">
        <f t="shared" si="1"/>
        <v>Sep-2026</v>
      </c>
      <c r="D46" s="211">
        <v>19</v>
      </c>
      <c r="E46" s="212">
        <f t="shared" si="2"/>
        <v>2771.380860951364</v>
      </c>
      <c r="F46" s="213">
        <f t="shared" si="5"/>
        <v>-24087.85505298675</v>
      </c>
      <c r="G46" s="214">
        <f t="shared" si="3"/>
        <v>26859.235913938115</v>
      </c>
      <c r="H46" s="215">
        <f t="shared" si="6"/>
        <v>332754.88582963665</v>
      </c>
      <c r="J46" s="29"/>
      <c r="K46" s="190" t="s">
        <v>69</v>
      </c>
      <c r="L46" s="190"/>
      <c r="M46" s="190"/>
      <c r="N46" s="190"/>
      <c r="O46" s="190"/>
      <c r="P46" s="190"/>
      <c r="Q46" s="190"/>
      <c r="R46" s="190"/>
      <c r="S46" s="190"/>
      <c r="T46" s="190"/>
      <c r="U46" s="46"/>
      <c r="W46" s="120"/>
      <c r="X46" s="123" t="s">
        <v>144</v>
      </c>
      <c r="Y46" s="128"/>
      <c r="Z46" s="128"/>
      <c r="AA46" s="123"/>
      <c r="AB46" s="123"/>
      <c r="AC46" s="123"/>
      <c r="AD46" s="123" t="s">
        <v>145</v>
      </c>
      <c r="AE46" s="123"/>
      <c r="AF46" s="123"/>
      <c r="AG46" s="123"/>
      <c r="AH46" s="123"/>
      <c r="AI46" s="123"/>
      <c r="AJ46" s="123"/>
      <c r="AK46" s="123"/>
      <c r="AL46" s="120"/>
      <c r="AM46" s="123"/>
      <c r="AN46" s="123" t="s">
        <v>146</v>
      </c>
      <c r="AO46" s="123"/>
      <c r="AP46" s="123"/>
      <c r="AQ46" s="123"/>
      <c r="AR46" s="123"/>
      <c r="AS46" s="120"/>
      <c r="AT46" s="123"/>
      <c r="AU46" s="123"/>
      <c r="AV46" s="123"/>
      <c r="AW46" s="123"/>
      <c r="AX46" s="120"/>
      <c r="AY46" s="123"/>
      <c r="AZ46" s="123" t="s">
        <v>147</v>
      </c>
      <c r="BA46" s="123"/>
      <c r="BB46" s="148"/>
      <c r="BC46" s="149"/>
      <c r="BD46" s="149"/>
      <c r="BE46" s="120"/>
    </row>
    <row r="47" spans="2:57" ht="16.2" thickBot="1">
      <c r="B47" s="22">
        <f t="shared" si="4"/>
        <v>46308</v>
      </c>
      <c r="C47" s="210" t="str">
        <f t="shared" si="1"/>
        <v>Oct-2026</v>
      </c>
      <c r="D47" s="211">
        <v>20</v>
      </c>
      <c r="E47" s="212">
        <f t="shared" si="2"/>
        <v>2771.380860951364</v>
      </c>
      <c r="F47" s="213">
        <f t="shared" si="5"/>
        <v>-26183.904572435011</v>
      </c>
      <c r="G47" s="214">
        <f t="shared" si="3"/>
        <v>28955.285433386376</v>
      </c>
      <c r="H47" s="215">
        <f t="shared" si="6"/>
        <v>358938.79040207167</v>
      </c>
      <c r="J47" s="29"/>
      <c r="K47" s="30"/>
      <c r="L47" s="30"/>
      <c r="M47" s="30"/>
      <c r="N47" s="30"/>
      <c r="O47" s="32"/>
      <c r="P47" s="30"/>
      <c r="Q47" s="30"/>
      <c r="R47" s="30"/>
      <c r="S47" s="30"/>
      <c r="T47" s="30"/>
      <c r="U47" s="46"/>
      <c r="W47" s="120"/>
      <c r="X47" s="473" t="s">
        <v>148</v>
      </c>
      <c r="Y47" s="474"/>
      <c r="Z47" s="474"/>
      <c r="AA47" s="474"/>
      <c r="AB47" s="474"/>
      <c r="AC47" s="475"/>
      <c r="AD47" s="473" t="s">
        <v>61</v>
      </c>
      <c r="AE47" s="474"/>
      <c r="AF47" s="474"/>
      <c r="AG47" s="474"/>
      <c r="AH47" s="475"/>
      <c r="AI47" s="473" t="s">
        <v>149</v>
      </c>
      <c r="AJ47" s="474"/>
      <c r="AK47" s="474"/>
      <c r="AL47" s="474"/>
      <c r="AM47" s="474"/>
      <c r="AN47" s="475"/>
      <c r="AO47" s="476" t="s">
        <v>150</v>
      </c>
      <c r="AP47" s="477"/>
      <c r="AQ47" s="477"/>
      <c r="AR47" s="477"/>
      <c r="AS47" s="477"/>
      <c r="AT47" s="477"/>
      <c r="AU47" s="477"/>
      <c r="AV47" s="477"/>
      <c r="AW47" s="476" t="s">
        <v>151</v>
      </c>
      <c r="AX47" s="477"/>
      <c r="AY47" s="477"/>
      <c r="AZ47" s="477"/>
      <c r="BA47" s="477"/>
      <c r="BB47" s="477"/>
      <c r="BC47" s="477"/>
      <c r="BD47" s="478"/>
      <c r="BE47" s="120"/>
    </row>
    <row r="48" spans="2:57" ht="16.2" thickBot="1">
      <c r="B48" s="22">
        <f t="shared" si="4"/>
        <v>46339</v>
      </c>
      <c r="C48" s="210" t="str">
        <f t="shared" si="1"/>
        <v>Nov-2026</v>
      </c>
      <c r="D48" s="211">
        <v>21</v>
      </c>
      <c r="E48" s="212">
        <f t="shared" si="2"/>
        <v>2771.380860951364</v>
      </c>
      <c r="F48" s="213">
        <f t="shared" si="5"/>
        <v>-28462.345740218701</v>
      </c>
      <c r="G48" s="214">
        <f t="shared" si="3"/>
        <v>31233.726601170067</v>
      </c>
      <c r="H48" s="215">
        <f t="shared" si="6"/>
        <v>387401.13614229037</v>
      </c>
      <c r="J48" s="29"/>
      <c r="K48" s="30"/>
      <c r="L48" s="40" t="s">
        <v>263</v>
      </c>
      <c r="M48" s="40"/>
      <c r="N48" s="40"/>
      <c r="O48" s="40"/>
      <c r="P48" s="40"/>
      <c r="Q48" s="40"/>
      <c r="R48" s="479">
        <f>E25</f>
        <v>36</v>
      </c>
      <c r="S48" s="479"/>
      <c r="T48" s="217" t="s">
        <v>264</v>
      </c>
      <c r="U48" s="46"/>
      <c r="W48" s="120"/>
      <c r="X48" s="480" t="s">
        <v>265</v>
      </c>
      <c r="Y48" s="481"/>
      <c r="Z48" s="481"/>
      <c r="AA48" s="481"/>
      <c r="AB48" s="481"/>
      <c r="AC48" s="482"/>
      <c r="AD48" s="523" t="s">
        <v>152</v>
      </c>
      <c r="AE48" s="484"/>
      <c r="AF48" s="484"/>
      <c r="AG48" s="484"/>
      <c r="AH48" s="485"/>
      <c r="AI48" s="480" t="s">
        <v>266</v>
      </c>
      <c r="AJ48" s="481"/>
      <c r="AK48" s="481"/>
      <c r="AL48" s="481"/>
      <c r="AM48" s="481"/>
      <c r="AN48" s="482"/>
      <c r="AO48" s="124">
        <v>0</v>
      </c>
      <c r="AP48" s="125">
        <v>7</v>
      </c>
      <c r="AQ48" s="125">
        <v>1</v>
      </c>
      <c r="AR48" s="125">
        <v>9</v>
      </c>
      <c r="AS48" s="125">
        <v>2</v>
      </c>
      <c r="AT48" s="125">
        <v>0</v>
      </c>
      <c r="AU48" s="125">
        <v>0</v>
      </c>
      <c r="AV48" s="126">
        <v>4</v>
      </c>
      <c r="AW48" s="124">
        <v>1</v>
      </c>
      <c r="AX48" s="125">
        <v>0</v>
      </c>
      <c r="AY48" s="125">
        <v>0</v>
      </c>
      <c r="AZ48" s="125">
        <v>1</v>
      </c>
      <c r="BA48" s="125">
        <v>2</v>
      </c>
      <c r="BB48" s="125">
        <v>0</v>
      </c>
      <c r="BC48" s="125">
        <v>4</v>
      </c>
      <c r="BD48" s="126">
        <v>6</v>
      </c>
      <c r="BE48" s="120"/>
    </row>
    <row r="49" spans="2:57" ht="16.2" thickBot="1">
      <c r="B49" s="22">
        <f t="shared" si="4"/>
        <v>46369</v>
      </c>
      <c r="C49" s="210" t="str">
        <f t="shared" si="1"/>
        <v>Dec-2026</v>
      </c>
      <c r="D49" s="211">
        <v>22</v>
      </c>
      <c r="E49" s="212">
        <f t="shared" si="2"/>
        <v>2771.380860951364</v>
      </c>
      <c r="F49" s="213">
        <f t="shared" si="5"/>
        <v>-30939.049704931334</v>
      </c>
      <c r="G49" s="214">
        <f t="shared" si="3"/>
        <v>33710.4305658827</v>
      </c>
      <c r="H49" s="215">
        <f t="shared" si="6"/>
        <v>418340.1858472217</v>
      </c>
      <c r="J49" s="29"/>
      <c r="K49" s="30"/>
      <c r="L49" s="40" t="s">
        <v>267</v>
      </c>
      <c r="M49" s="40"/>
      <c r="N49" s="40"/>
      <c r="O49" s="40"/>
      <c r="P49" s="40"/>
      <c r="Q49" s="40"/>
      <c r="R49" s="330">
        <f>C1</f>
        <v>2771.380860951364</v>
      </c>
      <c r="S49" s="330"/>
      <c r="T49" s="330"/>
      <c r="U49" s="46"/>
      <c r="W49" s="120"/>
      <c r="X49" s="120"/>
      <c r="Y49" s="120"/>
      <c r="Z49" s="120"/>
      <c r="AA49" s="120"/>
      <c r="AB49" s="120"/>
      <c r="AC49" s="120"/>
      <c r="AD49" s="120"/>
      <c r="AE49" s="120"/>
      <c r="AF49" s="120"/>
      <c r="AG49" s="120"/>
      <c r="AH49" s="120"/>
      <c r="AI49" s="120"/>
      <c r="AJ49" s="120"/>
      <c r="AK49" s="120"/>
      <c r="AL49" s="120"/>
      <c r="AM49" s="120"/>
      <c r="AN49" s="120"/>
      <c r="AO49" s="150" t="s">
        <v>112</v>
      </c>
      <c r="AP49" s="150" t="s">
        <v>112</v>
      </c>
      <c r="AQ49" s="150" t="s">
        <v>113</v>
      </c>
      <c r="AR49" s="150" t="s">
        <v>113</v>
      </c>
      <c r="AS49" s="150" t="s">
        <v>114</v>
      </c>
      <c r="AT49" s="150" t="s">
        <v>114</v>
      </c>
      <c r="AU49" s="150" t="s">
        <v>114</v>
      </c>
      <c r="AV49" s="150" t="s">
        <v>114</v>
      </c>
      <c r="AW49" s="150" t="s">
        <v>112</v>
      </c>
      <c r="AX49" s="150" t="s">
        <v>112</v>
      </c>
      <c r="AY49" s="150" t="s">
        <v>113</v>
      </c>
      <c r="AZ49" s="150" t="s">
        <v>113</v>
      </c>
      <c r="BA49" s="150" t="s">
        <v>114</v>
      </c>
      <c r="BB49" s="150" t="s">
        <v>114</v>
      </c>
      <c r="BC49" s="150" t="s">
        <v>114</v>
      </c>
      <c r="BD49" s="150" t="s">
        <v>114</v>
      </c>
      <c r="BE49" s="120"/>
    </row>
    <row r="50" spans="2:57" ht="16.2" thickBot="1">
      <c r="B50" s="22">
        <f t="shared" si="4"/>
        <v>46400</v>
      </c>
      <c r="C50" s="210" t="str">
        <f t="shared" si="1"/>
        <v>Jan-2027</v>
      </c>
      <c r="D50" s="211">
        <v>23</v>
      </c>
      <c r="E50" s="212">
        <f t="shared" si="2"/>
        <v>2771.380860951364</v>
      </c>
      <c r="F50" s="213">
        <f t="shared" si="5"/>
        <v>-33631.268672687293</v>
      </c>
      <c r="G50" s="214">
        <f t="shared" si="3"/>
        <v>36402.649533638658</v>
      </c>
      <c r="H50" s="215">
        <f t="shared" si="6"/>
        <v>451971.45451990899</v>
      </c>
      <c r="J50" s="29"/>
      <c r="K50" s="30"/>
      <c r="L50" s="40" t="s">
        <v>71</v>
      </c>
      <c r="M50" s="40"/>
      <c r="N50" s="40"/>
      <c r="O50" s="40"/>
      <c r="P50" s="40"/>
      <c r="Q50" s="40"/>
      <c r="R50" s="522">
        <f>B28</f>
        <v>45729</v>
      </c>
      <c r="S50" s="522"/>
      <c r="T50" s="522"/>
      <c r="U50" s="46"/>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row>
    <row r="51" spans="2:57" ht="16.2" thickBot="1">
      <c r="B51" s="22">
        <f t="shared" si="4"/>
        <v>46431</v>
      </c>
      <c r="C51" s="210" t="str">
        <f t="shared" si="1"/>
        <v>Feb-2027</v>
      </c>
      <c r="D51" s="211">
        <v>24</v>
      </c>
      <c r="E51" s="218">
        <f t="shared" si="2"/>
        <v>2771.380860951364</v>
      </c>
      <c r="F51" s="219">
        <f t="shared" si="5"/>
        <v>-36557.756082411252</v>
      </c>
      <c r="G51" s="220">
        <f t="shared" si="3"/>
        <v>39329.136943362617</v>
      </c>
      <c r="H51" s="203">
        <f t="shared" si="6"/>
        <v>488529.21060232027</v>
      </c>
      <c r="J51" s="29"/>
      <c r="K51" s="30"/>
      <c r="L51" s="40" t="s">
        <v>72</v>
      </c>
      <c r="M51" s="40"/>
      <c r="N51" s="40"/>
      <c r="O51" s="40"/>
      <c r="P51" s="40"/>
      <c r="Q51" s="40"/>
      <c r="R51" s="344">
        <f>B63</f>
        <v>46796</v>
      </c>
      <c r="S51" s="344"/>
      <c r="T51" s="344"/>
      <c r="U51" s="46"/>
      <c r="W51" s="120"/>
      <c r="X51" s="123" t="s">
        <v>153</v>
      </c>
      <c r="Y51" s="123"/>
      <c r="Z51" s="123"/>
      <c r="AA51" s="123"/>
      <c r="AB51" s="123"/>
      <c r="AC51" s="123"/>
      <c r="AD51" s="123"/>
      <c r="AE51" s="123" t="s">
        <v>154</v>
      </c>
      <c r="AF51" s="123"/>
      <c r="AG51" s="123"/>
      <c r="AH51" s="123"/>
      <c r="AI51" s="120"/>
      <c r="AJ51" s="151" t="s">
        <v>155</v>
      </c>
      <c r="AK51" s="469">
        <v>43</v>
      </c>
      <c r="AL51" s="471"/>
      <c r="AM51" s="472" t="s">
        <v>156</v>
      </c>
      <c r="AN51" s="472"/>
      <c r="AO51" s="472"/>
      <c r="AP51" s="472"/>
      <c r="AQ51" s="152"/>
      <c r="AR51" s="454" t="s">
        <v>157</v>
      </c>
      <c r="AS51" s="454"/>
      <c r="AT51" s="152"/>
      <c r="AU51" s="454" t="s">
        <v>158</v>
      </c>
      <c r="AV51" s="454"/>
      <c r="AW51" s="454"/>
      <c r="AX51" s="454" t="s">
        <v>159</v>
      </c>
      <c r="AY51" s="454"/>
      <c r="AZ51" s="454"/>
      <c r="BA51" s="454"/>
      <c r="BB51" s="454"/>
      <c r="BC51" s="454"/>
      <c r="BD51" s="454"/>
      <c r="BE51" s="120"/>
    </row>
    <row r="52" spans="2:57" ht="16.2" thickBot="1">
      <c r="B52" s="22">
        <f t="shared" si="4"/>
        <v>46459</v>
      </c>
      <c r="C52" s="210" t="str">
        <f t="shared" si="1"/>
        <v>Mar-2027</v>
      </c>
      <c r="D52" s="211">
        <v>25</v>
      </c>
      <c r="E52" s="218">
        <f t="shared" si="2"/>
        <v>2771.380860951364</v>
      </c>
      <c r="F52" s="219">
        <f t="shared" si="5"/>
        <v>-39738.897238404032</v>
      </c>
      <c r="G52" s="220">
        <f t="shared" si="3"/>
        <v>42510.278099355397</v>
      </c>
      <c r="H52" s="203">
        <f t="shared" si="6"/>
        <v>528268.10784072429</v>
      </c>
      <c r="J52" s="29"/>
      <c r="K52" s="30"/>
      <c r="L52" s="40" t="s">
        <v>73</v>
      </c>
      <c r="M52" s="40"/>
      <c r="N52" s="40"/>
      <c r="O52" s="40"/>
      <c r="P52" s="40"/>
      <c r="Q52" s="40"/>
      <c r="R52" s="329">
        <f>C16</f>
        <v>8.855359027416676E-2</v>
      </c>
      <c r="S52" s="329"/>
      <c r="T52" s="329"/>
      <c r="U52" s="46"/>
      <c r="W52" s="120"/>
      <c r="X52" s="466" t="s">
        <v>268</v>
      </c>
      <c r="Y52" s="467"/>
      <c r="Z52" s="467"/>
      <c r="AA52" s="467"/>
      <c r="AB52" s="467"/>
      <c r="AC52" s="467"/>
      <c r="AD52" s="468"/>
      <c r="AE52" s="469" t="s">
        <v>269</v>
      </c>
      <c r="AF52" s="470"/>
      <c r="AG52" s="470"/>
      <c r="AH52" s="470"/>
      <c r="AI52" s="470"/>
      <c r="AJ52" s="470"/>
      <c r="AK52" s="470"/>
      <c r="AL52" s="471"/>
      <c r="AM52" s="472"/>
      <c r="AN52" s="472"/>
      <c r="AO52" s="472"/>
      <c r="AP52" s="472"/>
      <c r="AQ52" s="152"/>
      <c r="AR52" s="454" t="s">
        <v>160</v>
      </c>
      <c r="AS52" s="454"/>
      <c r="AT52" s="152"/>
      <c r="AU52" s="454" t="s">
        <v>161</v>
      </c>
      <c r="AV52" s="454"/>
      <c r="AW52" s="454"/>
      <c r="AX52" s="465"/>
      <c r="AY52" s="459"/>
      <c r="AZ52" s="459"/>
      <c r="BA52" s="459"/>
      <c r="BB52" s="459"/>
      <c r="BC52" s="459"/>
      <c r="BD52" s="460"/>
      <c r="BE52" s="120"/>
    </row>
    <row r="53" spans="2:57" ht="16.2" thickBot="1">
      <c r="B53" s="22">
        <f t="shared" si="4"/>
        <v>46490</v>
      </c>
      <c r="C53" s="210" t="str">
        <f t="shared" si="1"/>
        <v>Apr-2027</v>
      </c>
      <c r="D53" s="211">
        <v>26</v>
      </c>
      <c r="E53" s="218">
        <f t="shared" si="2"/>
        <v>2771.380860951364</v>
      </c>
      <c r="F53" s="219">
        <f t="shared" si="5"/>
        <v>-43196.851310144113</v>
      </c>
      <c r="G53" s="220">
        <f t="shared" si="3"/>
        <v>45968.232171095478</v>
      </c>
      <c r="H53" s="203">
        <f t="shared" si="6"/>
        <v>571464.95915086835</v>
      </c>
      <c r="J53" s="29"/>
      <c r="K53" s="30"/>
      <c r="L53" s="40" t="s">
        <v>74</v>
      </c>
      <c r="M53" s="40"/>
      <c r="N53" s="40"/>
      <c r="O53" s="40"/>
      <c r="P53" s="40"/>
      <c r="Q53" s="40"/>
      <c r="R53" s="329">
        <f>'[3]Data Entry'!E12/12</f>
        <v>6.9166666666666673E-3</v>
      </c>
      <c r="S53" s="329"/>
      <c r="T53" s="329"/>
      <c r="U53" s="46"/>
      <c r="W53" s="120"/>
      <c r="X53" s="464" t="s">
        <v>162</v>
      </c>
      <c r="Y53" s="464"/>
      <c r="Z53" s="464"/>
      <c r="AA53" s="464"/>
      <c r="AB53" s="464"/>
      <c r="AC53" s="464"/>
      <c r="AD53" s="464"/>
      <c r="AE53" s="464" t="s">
        <v>163</v>
      </c>
      <c r="AF53" s="464"/>
      <c r="AG53" s="464"/>
      <c r="AH53" s="464"/>
      <c r="AI53" s="464"/>
      <c r="AJ53" s="464"/>
      <c r="AK53" s="464"/>
      <c r="AL53" s="464"/>
      <c r="AM53" s="464"/>
      <c r="AN53" s="464"/>
      <c r="AO53" s="464"/>
      <c r="AP53" s="464"/>
      <c r="AQ53" s="464"/>
      <c r="AR53" s="464"/>
      <c r="AS53" s="464"/>
      <c r="AT53" s="464"/>
      <c r="AU53" s="120"/>
      <c r="AV53" s="134"/>
      <c r="AW53" s="134"/>
      <c r="AX53" s="134" t="s">
        <v>164</v>
      </c>
      <c r="AY53" s="134"/>
      <c r="AZ53" s="134"/>
      <c r="BA53" s="134"/>
      <c r="BB53" s="134"/>
      <c r="BC53" s="134"/>
      <c r="BD53" s="134"/>
      <c r="BE53" s="120"/>
    </row>
    <row r="54" spans="2:57" ht="16.2" thickBot="1">
      <c r="B54" s="22">
        <f t="shared" si="4"/>
        <v>46520</v>
      </c>
      <c r="C54" s="210" t="str">
        <f t="shared" si="1"/>
        <v>May-2027</v>
      </c>
      <c r="D54" s="211">
        <v>27</v>
      </c>
      <c r="E54" s="218">
        <f t="shared" si="2"/>
        <v>2771.380860951364</v>
      </c>
      <c r="F54" s="219">
        <f t="shared" si="5"/>
        <v>-46955.705688466129</v>
      </c>
      <c r="G54" s="220">
        <f t="shared" si="3"/>
        <v>49727.086549417494</v>
      </c>
      <c r="H54" s="203">
        <f t="shared" si="6"/>
        <v>618420.66483933444</v>
      </c>
      <c r="J54" s="29"/>
      <c r="K54" s="43"/>
      <c r="L54" s="43"/>
      <c r="M54" s="43"/>
      <c r="N54" s="43"/>
      <c r="O54" s="44"/>
      <c r="P54" s="43"/>
      <c r="Q54" s="43"/>
      <c r="R54" s="43"/>
      <c r="S54" s="43"/>
      <c r="T54" s="43"/>
      <c r="U54" s="46"/>
      <c r="W54" s="120"/>
      <c r="X54" s="465" t="s">
        <v>270</v>
      </c>
      <c r="Y54" s="459"/>
      <c r="Z54" s="459"/>
      <c r="AA54" s="459"/>
      <c r="AB54" s="459"/>
      <c r="AC54" s="459"/>
      <c r="AD54" s="460"/>
      <c r="AE54" s="455" t="s">
        <v>271</v>
      </c>
      <c r="AF54" s="456"/>
      <c r="AG54" s="456"/>
      <c r="AH54" s="456"/>
      <c r="AI54" s="456"/>
      <c r="AJ54" s="456"/>
      <c r="AK54" s="456"/>
      <c r="AL54" s="456"/>
      <c r="AM54" s="456"/>
      <c r="AN54" s="456"/>
      <c r="AO54" s="456"/>
      <c r="AP54" s="456"/>
      <c r="AQ54" s="456"/>
      <c r="AR54" s="456"/>
      <c r="AS54" s="456"/>
      <c r="AT54" s="456"/>
      <c r="AU54" s="456"/>
      <c r="AV54" s="456"/>
      <c r="AW54" s="457"/>
      <c r="AX54" s="455">
        <v>2912596</v>
      </c>
      <c r="AY54" s="456"/>
      <c r="AZ54" s="456"/>
      <c r="BA54" s="456"/>
      <c r="BB54" s="456"/>
      <c r="BC54" s="456"/>
      <c r="BD54" s="457"/>
      <c r="BE54" s="120"/>
    </row>
    <row r="55" spans="2:57" ht="16.2" thickBot="1">
      <c r="B55" s="22">
        <f t="shared" si="4"/>
        <v>46551</v>
      </c>
      <c r="C55" s="210" t="str">
        <f t="shared" si="1"/>
        <v>Jun-2027</v>
      </c>
      <c r="D55" s="211">
        <v>28</v>
      </c>
      <c r="E55" s="218">
        <f t="shared" si="2"/>
        <v>2771.380860951364</v>
      </c>
      <c r="F55" s="219">
        <f t="shared" si="5"/>
        <v>-51041.643773329335</v>
      </c>
      <c r="G55" s="220">
        <f t="shared" si="3"/>
        <v>53813.0246342807</v>
      </c>
      <c r="H55" s="203">
        <f t="shared" si="6"/>
        <v>669462.30861266376</v>
      </c>
      <c r="J55" s="29"/>
      <c r="K55" s="30"/>
      <c r="L55" s="30"/>
      <c r="M55" s="30"/>
      <c r="N55" s="30"/>
      <c r="O55" s="32"/>
      <c r="P55" s="30"/>
      <c r="Q55" s="30"/>
      <c r="R55" s="30"/>
      <c r="S55" s="30"/>
      <c r="T55" s="30"/>
      <c r="U55" s="46"/>
      <c r="W55" s="120"/>
      <c r="X55" s="123" t="s">
        <v>165</v>
      </c>
      <c r="Y55" s="123"/>
      <c r="Z55" s="123"/>
      <c r="AA55" s="123"/>
      <c r="AB55" s="123"/>
      <c r="AC55" s="123"/>
      <c r="AD55" s="123"/>
      <c r="AE55" s="120"/>
      <c r="AF55" s="123"/>
      <c r="AG55" s="134" t="s">
        <v>166</v>
      </c>
      <c r="AH55" s="120"/>
      <c r="AI55" s="120"/>
      <c r="AJ55" s="120"/>
      <c r="AK55" s="134"/>
      <c r="AL55" s="134"/>
      <c r="AM55" s="134"/>
      <c r="AN55" s="134"/>
      <c r="AO55" s="134"/>
      <c r="AP55" s="134"/>
      <c r="AQ55" s="134"/>
      <c r="AR55" s="134"/>
      <c r="AS55" s="134"/>
      <c r="AT55" s="454" t="s">
        <v>167</v>
      </c>
      <c r="AU55" s="454"/>
      <c r="AV55" s="454"/>
      <c r="AW55" s="454"/>
      <c r="AX55" s="454"/>
      <c r="AY55" s="454"/>
      <c r="AZ55" s="454"/>
      <c r="BA55" s="454"/>
      <c r="BB55" s="454"/>
      <c r="BC55" s="454"/>
      <c r="BD55" s="454"/>
      <c r="BE55" s="120"/>
    </row>
    <row r="56" spans="2:57" ht="16.2" thickBot="1">
      <c r="B56" s="22">
        <f t="shared" si="4"/>
        <v>46581</v>
      </c>
      <c r="C56" s="210" t="str">
        <f t="shared" si="1"/>
        <v>Jul-2027</v>
      </c>
      <c r="D56" s="211">
        <v>29</v>
      </c>
      <c r="E56" s="218">
        <f t="shared" si="2"/>
        <v>2771.380860951364</v>
      </c>
      <c r="F56" s="219">
        <f t="shared" si="5"/>
        <v>-55483.127361950916</v>
      </c>
      <c r="G56" s="220">
        <f t="shared" si="3"/>
        <v>58254.508222902281</v>
      </c>
      <c r="H56" s="203">
        <f t="shared" si="6"/>
        <v>724945.43597461469</v>
      </c>
      <c r="J56" s="29"/>
      <c r="K56" s="30" t="s">
        <v>75</v>
      </c>
      <c r="L56" s="30"/>
      <c r="M56" s="30"/>
      <c r="O56" s="30"/>
      <c r="P56" s="30"/>
      <c r="R56" s="30" t="s">
        <v>272</v>
      </c>
      <c r="S56" s="30"/>
      <c r="T56" s="30"/>
      <c r="U56" s="46"/>
      <c r="W56" s="120"/>
      <c r="X56" s="455" t="s">
        <v>152</v>
      </c>
      <c r="Y56" s="456"/>
      <c r="Z56" s="456"/>
      <c r="AA56" s="456"/>
      <c r="AB56" s="456"/>
      <c r="AC56" s="456"/>
      <c r="AD56" s="456"/>
      <c r="AE56" s="456"/>
      <c r="AF56" s="457"/>
      <c r="AG56" s="458" t="s">
        <v>273</v>
      </c>
      <c r="AH56" s="459"/>
      <c r="AI56" s="459"/>
      <c r="AJ56" s="459"/>
      <c r="AK56" s="459"/>
      <c r="AL56" s="459"/>
      <c r="AM56" s="459"/>
      <c r="AN56" s="459"/>
      <c r="AO56" s="459"/>
      <c r="AP56" s="459"/>
      <c r="AQ56" s="459"/>
      <c r="AR56" s="459"/>
      <c r="AS56" s="460"/>
      <c r="AT56" s="153">
        <v>3</v>
      </c>
      <c r="AU56" s="154">
        <v>0</v>
      </c>
      <c r="AV56" s="154">
        <v>0</v>
      </c>
      <c r="AW56" s="155" t="s">
        <v>168</v>
      </c>
      <c r="AX56" s="154" t="s">
        <v>169</v>
      </c>
      <c r="AY56" s="154" t="s">
        <v>170</v>
      </c>
      <c r="AZ56" s="154" t="s">
        <v>170</v>
      </c>
      <c r="BA56" s="155" t="s">
        <v>168</v>
      </c>
      <c r="BB56" s="154" t="s">
        <v>274</v>
      </c>
      <c r="BC56" s="154" t="s">
        <v>169</v>
      </c>
      <c r="BD56" s="154" t="s">
        <v>169</v>
      </c>
      <c r="BE56" s="120"/>
    </row>
    <row r="57" spans="2:57" ht="16.2" thickBot="1">
      <c r="B57" s="22">
        <f t="shared" si="4"/>
        <v>46612</v>
      </c>
      <c r="C57" s="210" t="str">
        <f t="shared" si="1"/>
        <v>Aug-2027</v>
      </c>
      <c r="D57" s="211">
        <v>30</v>
      </c>
      <c r="E57" s="218">
        <f t="shared" si="2"/>
        <v>2771.380860951364</v>
      </c>
      <c r="F57" s="219">
        <f t="shared" si="5"/>
        <v>-60311.094907782011</v>
      </c>
      <c r="G57" s="220">
        <f t="shared" si="3"/>
        <v>63082.475768733377</v>
      </c>
      <c r="H57" s="203">
        <f t="shared" si="6"/>
        <v>785256.53088239674</v>
      </c>
      <c r="J57" s="29"/>
      <c r="K57" s="30"/>
      <c r="L57" s="30"/>
      <c r="M57" s="30"/>
      <c r="N57" s="30"/>
      <c r="O57" s="30"/>
      <c r="P57" s="30"/>
      <c r="Q57" s="30"/>
      <c r="R57" s="30"/>
      <c r="S57" s="30"/>
      <c r="T57" s="30"/>
      <c r="U57" s="46"/>
      <c r="W57" s="120"/>
      <c r="X57" s="156" t="s">
        <v>171</v>
      </c>
      <c r="Y57" s="134"/>
      <c r="Z57" s="134"/>
      <c r="AA57" s="134"/>
      <c r="AB57" s="461" t="s">
        <v>259</v>
      </c>
      <c r="AC57" s="462"/>
      <c r="AD57" s="462"/>
      <c r="AE57" s="462"/>
      <c r="AF57" s="462"/>
      <c r="AG57" s="462"/>
      <c r="AH57" s="462"/>
      <c r="AI57" s="462"/>
      <c r="AJ57" s="462"/>
      <c r="AK57" s="462"/>
      <c r="AL57" s="462"/>
      <c r="AM57" s="462"/>
      <c r="AN57" s="462"/>
      <c r="AO57" s="462"/>
      <c r="AP57" s="462"/>
      <c r="AQ57" s="462"/>
      <c r="AR57" s="462"/>
      <c r="AS57" s="462"/>
      <c r="AT57" s="462"/>
      <c r="AU57" s="462"/>
      <c r="AV57" s="462"/>
      <c r="AW57" s="462"/>
      <c r="AX57" s="462"/>
      <c r="AY57" s="462"/>
      <c r="AZ57" s="462"/>
      <c r="BA57" s="462"/>
      <c r="BB57" s="462"/>
      <c r="BC57" s="462"/>
      <c r="BD57" s="463"/>
      <c r="BE57" s="120"/>
    </row>
    <row r="58" spans="2:57" ht="15.6" customHeight="1" thickBot="1">
      <c r="B58" s="22">
        <f t="shared" si="4"/>
        <v>46643</v>
      </c>
      <c r="C58" s="210" t="str">
        <f t="shared" si="1"/>
        <v>Sep-2027</v>
      </c>
      <c r="D58" s="211">
        <v>31</v>
      </c>
      <c r="E58" s="218">
        <f t="shared" si="2"/>
        <v>2771.380860951364</v>
      </c>
      <c r="F58" s="219">
        <f t="shared" si="5"/>
        <v>-65559.177031357394</v>
      </c>
      <c r="G58" s="220">
        <f t="shared" si="3"/>
        <v>68330.55789230876</v>
      </c>
      <c r="H58" s="203">
        <f t="shared" si="6"/>
        <v>850815.70791375416</v>
      </c>
      <c r="J58" s="16"/>
      <c r="U58" s="216"/>
      <c r="W58" s="120"/>
      <c r="X58" s="431" t="s">
        <v>172</v>
      </c>
      <c r="Y58" s="432"/>
      <c r="Z58" s="432"/>
      <c r="AA58" s="432"/>
      <c r="AB58" s="432"/>
      <c r="AC58" s="432"/>
      <c r="AD58" s="432"/>
      <c r="AE58" s="432"/>
      <c r="AF58" s="432"/>
      <c r="AG58" s="432"/>
      <c r="AH58" s="432"/>
      <c r="AI58" s="432"/>
      <c r="AJ58" s="432"/>
      <c r="AK58" s="432"/>
      <c r="AL58" s="432"/>
      <c r="AM58" s="432"/>
      <c r="AN58" s="432"/>
      <c r="AO58" s="432"/>
      <c r="AP58" s="432"/>
      <c r="AQ58" s="432"/>
      <c r="AR58" s="432"/>
      <c r="AS58" s="432"/>
      <c r="AT58" s="432"/>
      <c r="AU58" s="432"/>
      <c r="AV58" s="432"/>
      <c r="AW58" s="432"/>
      <c r="AX58" s="432"/>
      <c r="AY58" s="432"/>
      <c r="AZ58" s="432"/>
      <c r="BA58" s="432"/>
      <c r="BB58" s="432"/>
      <c r="BC58" s="432"/>
      <c r="BD58" s="433"/>
      <c r="BE58" s="120"/>
    </row>
    <row r="59" spans="2:57" ht="16.2" thickBot="1">
      <c r="B59" s="22">
        <f t="shared" si="4"/>
        <v>46673</v>
      </c>
      <c r="C59" s="210" t="str">
        <f t="shared" si="1"/>
        <v>Oct-2027</v>
      </c>
      <c r="D59" s="211">
        <v>32</v>
      </c>
      <c r="E59" s="218">
        <f t="shared" si="2"/>
        <v>2771.380860951364</v>
      </c>
      <c r="F59" s="219">
        <f t="shared" si="5"/>
        <v>-71263.930784222626</v>
      </c>
      <c r="G59" s="220">
        <f t="shared" si="3"/>
        <v>74035.311645173992</v>
      </c>
      <c r="H59" s="203">
        <f t="shared" si="6"/>
        <v>922079.63869797683</v>
      </c>
      <c r="J59" s="16"/>
      <c r="U59" s="216"/>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row>
    <row r="60" spans="2:57" ht="16.2" thickBot="1">
      <c r="B60" s="22">
        <f t="shared" si="4"/>
        <v>46704</v>
      </c>
      <c r="C60" s="210" t="str">
        <f t="shared" si="1"/>
        <v>Nov-2027</v>
      </c>
      <c r="D60" s="211">
        <v>33</v>
      </c>
      <c r="E60" s="218">
        <f t="shared" si="2"/>
        <v>2771.380860951364</v>
      </c>
      <c r="F60" s="219">
        <f t="shared" si="5"/>
        <v>-77465.094297772695</v>
      </c>
      <c r="G60" s="220">
        <f t="shared" si="3"/>
        <v>80236.475158724061</v>
      </c>
      <c r="H60" s="203">
        <f t="shared" si="6"/>
        <v>999544.73299574957</v>
      </c>
      <c r="J60" s="29"/>
      <c r="K60" s="453" t="s">
        <v>90</v>
      </c>
      <c r="L60" s="453"/>
      <c r="M60" s="453"/>
      <c r="N60" s="33"/>
      <c r="O60" s="33"/>
      <c r="P60" s="33"/>
      <c r="R60" s="452" t="s">
        <v>275</v>
      </c>
      <c r="S60" s="452"/>
      <c r="T60" s="452"/>
      <c r="U60" s="46"/>
      <c r="W60" s="120"/>
      <c r="X60" s="120"/>
      <c r="Y60" s="120" t="s">
        <v>173</v>
      </c>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row>
    <row r="61" spans="2:57" ht="16.2" thickBot="1">
      <c r="B61" s="22">
        <f t="shared" si="4"/>
        <v>46734</v>
      </c>
      <c r="C61" s="210" t="str">
        <f t="shared" si="1"/>
        <v>Dec-2027</v>
      </c>
      <c r="D61" s="211">
        <v>34</v>
      </c>
      <c r="E61" s="218">
        <f t="shared" si="2"/>
        <v>2771.380860951364</v>
      </c>
      <c r="F61" s="219">
        <f t="shared" si="5"/>
        <v>-84205.863590832989</v>
      </c>
      <c r="G61" s="220">
        <f t="shared" si="3"/>
        <v>86977.244451784354</v>
      </c>
      <c r="H61" s="203">
        <f t="shared" si="6"/>
        <v>1083750.5965865825</v>
      </c>
      <c r="J61" s="29"/>
      <c r="K61" s="451" t="s">
        <v>77</v>
      </c>
      <c r="L61" s="451"/>
      <c r="M61" s="451"/>
      <c r="N61" s="30"/>
      <c r="O61" s="32"/>
      <c r="P61" s="30"/>
      <c r="R61" s="451" t="s">
        <v>276</v>
      </c>
      <c r="S61" s="451"/>
      <c r="T61" s="451"/>
      <c r="U61" s="46"/>
      <c r="W61" s="120"/>
      <c r="X61" s="120" t="s">
        <v>174</v>
      </c>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row>
    <row r="62" spans="2:57" ht="16.2" thickBot="1">
      <c r="B62" s="22">
        <f t="shared" si="4"/>
        <v>46765</v>
      </c>
      <c r="C62" s="210" t="str">
        <f t="shared" si="1"/>
        <v>Jan-2028</v>
      </c>
      <c r="D62" s="211">
        <v>35</v>
      </c>
      <c r="E62" s="218">
        <f t="shared" si="2"/>
        <v>2771.380860951364</v>
      </c>
      <c r="F62" s="219">
        <f t="shared" si="5"/>
        <v>-91533.193464167067</v>
      </c>
      <c r="G62" s="220">
        <f>H61*C$12</f>
        <v>94304.574325118432</v>
      </c>
      <c r="H62" s="203">
        <f t="shared" si="6"/>
        <v>1175283.7900507497</v>
      </c>
      <c r="J62" s="16"/>
      <c r="U62" s="216"/>
      <c r="W62" s="120"/>
      <c r="X62" s="120" t="s">
        <v>175</v>
      </c>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row>
    <row r="63" spans="2:57" ht="16.2" thickBot="1">
      <c r="B63" s="22">
        <f t="shared" si="4"/>
        <v>46796</v>
      </c>
      <c r="C63" s="210" t="str">
        <f t="shared" si="1"/>
        <v>Feb-2028</v>
      </c>
      <c r="D63" s="211">
        <v>36</v>
      </c>
      <c r="E63" s="212">
        <f t="shared" si="2"/>
        <v>2771.380860951364</v>
      </c>
      <c r="F63" s="213">
        <f t="shared" si="5"/>
        <v>-99498.1245778796</v>
      </c>
      <c r="G63" s="214">
        <f t="shared" si="3"/>
        <v>102269.50543883097</v>
      </c>
      <c r="H63" s="215">
        <f t="shared" si="6"/>
        <v>1274781.9146286293</v>
      </c>
      <c r="J63" s="16"/>
      <c r="U63" s="216"/>
      <c r="W63" s="120"/>
      <c r="X63" s="120" t="s">
        <v>176</v>
      </c>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row>
    <row r="64" spans="2:57" ht="16.2" thickBot="1">
      <c r="B64" s="22"/>
      <c r="C64" s="221"/>
      <c r="E64" s="1"/>
      <c r="F64" s="222"/>
      <c r="G64" s="223"/>
      <c r="H64" s="222"/>
      <c r="J64" s="16"/>
      <c r="U64" s="216"/>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373" t="s">
        <v>277</v>
      </c>
      <c r="AV64" s="373"/>
      <c r="AW64" s="373"/>
      <c r="AX64" s="373"/>
      <c r="AY64" s="373"/>
      <c r="AZ64" s="373"/>
      <c r="BA64" s="373"/>
      <c r="BB64" s="373"/>
      <c r="BC64" s="373"/>
      <c r="BD64" s="120"/>
      <c r="BE64" s="120"/>
    </row>
    <row r="65" spans="2:57" ht="15.6">
      <c r="B65" s="22"/>
      <c r="C65" s="221"/>
      <c r="E65" s="1"/>
      <c r="F65" s="222"/>
      <c r="G65" s="223"/>
      <c r="H65" s="222"/>
      <c r="J65" s="29"/>
      <c r="K65" s="30"/>
      <c r="L65" s="30"/>
      <c r="M65" s="30"/>
      <c r="N65" s="30"/>
      <c r="O65" s="32"/>
      <c r="P65" s="30"/>
      <c r="Q65" s="30"/>
      <c r="R65" s="30"/>
      <c r="S65" s="30"/>
      <c r="T65" s="30"/>
      <c r="U65" s="46"/>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363" t="s">
        <v>177</v>
      </c>
      <c r="AV65" s="410"/>
      <c r="AW65" s="410"/>
      <c r="AX65" s="410"/>
      <c r="AY65" s="410"/>
      <c r="AZ65" s="410"/>
      <c r="BA65" s="410"/>
      <c r="BB65" s="410"/>
      <c r="BC65" s="410"/>
      <c r="BD65" s="120"/>
      <c r="BE65" s="120"/>
    </row>
    <row r="66" spans="2:57" ht="15.6">
      <c r="B66" s="22"/>
      <c r="C66" s="221"/>
      <c r="E66" s="1"/>
      <c r="F66" s="222"/>
      <c r="G66" s="223"/>
      <c r="H66" s="222"/>
      <c r="J66" s="29"/>
      <c r="K66" s="30" t="s">
        <v>79</v>
      </c>
      <c r="L66" s="30"/>
      <c r="M66" s="30"/>
      <c r="N66" s="30"/>
      <c r="O66" s="32"/>
      <c r="P66" s="30"/>
      <c r="Q66" s="30"/>
      <c r="R66" s="30" t="s">
        <v>76</v>
      </c>
      <c r="S66" s="30"/>
      <c r="T66" s="30"/>
      <c r="U66" s="46"/>
      <c r="W66" s="120"/>
      <c r="X66" s="431" t="s">
        <v>178</v>
      </c>
      <c r="Y66" s="432"/>
      <c r="Z66" s="432"/>
      <c r="AA66" s="432"/>
      <c r="AB66" s="432"/>
      <c r="AC66" s="432"/>
      <c r="AD66" s="432"/>
      <c r="AE66" s="432"/>
      <c r="AF66" s="432"/>
      <c r="AG66" s="432"/>
      <c r="AH66" s="432"/>
      <c r="AI66" s="432"/>
      <c r="AJ66" s="432"/>
      <c r="AK66" s="432"/>
      <c r="AL66" s="432"/>
      <c r="AM66" s="432"/>
      <c r="AN66" s="432"/>
      <c r="AO66" s="432"/>
      <c r="AP66" s="432"/>
      <c r="AQ66" s="432"/>
      <c r="AR66" s="432"/>
      <c r="AS66" s="432"/>
      <c r="AT66" s="432"/>
      <c r="AU66" s="432"/>
      <c r="AV66" s="432"/>
      <c r="AW66" s="432"/>
      <c r="AX66" s="432"/>
      <c r="AY66" s="432"/>
      <c r="AZ66" s="432"/>
      <c r="BA66" s="432"/>
      <c r="BB66" s="432"/>
      <c r="BC66" s="432"/>
      <c r="BD66" s="433"/>
      <c r="BE66" s="120"/>
    </row>
    <row r="67" spans="2:57" ht="15.6">
      <c r="B67" s="22"/>
      <c r="C67" s="221"/>
      <c r="E67" s="1"/>
      <c r="F67" s="222"/>
      <c r="G67" s="223"/>
      <c r="H67" s="222"/>
      <c r="J67" s="29"/>
      <c r="K67" s="30"/>
      <c r="L67" s="30"/>
      <c r="M67" s="30"/>
      <c r="N67" s="30"/>
      <c r="O67" s="32"/>
      <c r="P67" s="30"/>
      <c r="Q67" s="30"/>
      <c r="R67" s="30"/>
      <c r="S67" s="30"/>
      <c r="T67" s="30"/>
      <c r="U67" s="46"/>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row>
    <row r="68" spans="2:57" ht="15.6">
      <c r="B68" s="22"/>
      <c r="C68" s="221"/>
      <c r="E68" s="224">
        <f>SUM(E28:E51)</f>
        <v>66513.140662832753</v>
      </c>
      <c r="F68" s="224">
        <f>SUM(F28:F51)</f>
        <v>-395029.21060232021</v>
      </c>
      <c r="G68" s="224">
        <f>SUM(G28:G51)</f>
        <v>461542.35126515292</v>
      </c>
      <c r="H68" s="222"/>
      <c r="J68" s="16"/>
      <c r="U68" s="216"/>
      <c r="W68" s="120"/>
      <c r="X68" s="120"/>
      <c r="Y68" s="120" t="s">
        <v>179</v>
      </c>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row>
    <row r="69" spans="2:57" ht="16.2" thickBot="1">
      <c r="B69" s="22"/>
      <c r="C69" s="221"/>
      <c r="E69" s="1"/>
      <c r="F69" s="222"/>
      <c r="G69" s="223"/>
      <c r="H69" s="222"/>
      <c r="J69" s="16"/>
      <c r="P69" s="452" t="s">
        <v>278</v>
      </c>
      <c r="Q69" s="452"/>
      <c r="R69" s="452"/>
      <c r="S69" s="452"/>
      <c r="T69" s="452"/>
      <c r="U69" s="225"/>
      <c r="W69" s="120"/>
      <c r="X69" s="120" t="s">
        <v>180</v>
      </c>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row>
    <row r="70" spans="2:57" ht="15.6">
      <c r="B70" s="22"/>
      <c r="C70" s="221"/>
      <c r="E70" s="1"/>
      <c r="F70" s="222"/>
      <c r="G70" s="223"/>
      <c r="H70" s="222"/>
      <c r="J70" s="29"/>
      <c r="K70" s="226" t="s">
        <v>80</v>
      </c>
      <c r="L70" s="226"/>
      <c r="M70" s="226"/>
      <c r="N70" s="30"/>
      <c r="O70" s="32"/>
      <c r="P70" s="30"/>
      <c r="Q70" s="30"/>
      <c r="R70" s="33" t="s">
        <v>78</v>
      </c>
      <c r="S70" s="33"/>
      <c r="T70" s="30"/>
      <c r="U70" s="46"/>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row>
    <row r="71" spans="2:57" ht="16.2" thickBot="1">
      <c r="B71" s="22"/>
      <c r="C71" s="221"/>
      <c r="E71" s="1"/>
      <c r="F71" s="222"/>
      <c r="G71" s="223"/>
      <c r="H71" s="222"/>
      <c r="J71" s="50"/>
      <c r="K71" s="51"/>
      <c r="L71" s="51"/>
      <c r="M71" s="51"/>
      <c r="N71" s="51"/>
      <c r="O71" s="52"/>
      <c r="P71" s="51"/>
      <c r="Q71" s="51"/>
      <c r="R71" s="51"/>
      <c r="S71" s="51"/>
      <c r="T71" s="51"/>
      <c r="U71" s="53"/>
      <c r="W71" s="120"/>
      <c r="X71" s="373" t="s">
        <v>279</v>
      </c>
      <c r="Y71" s="373"/>
      <c r="Z71" s="373"/>
      <c r="AA71" s="373"/>
      <c r="AB71" s="373"/>
      <c r="AC71" s="373"/>
      <c r="AD71" s="373"/>
      <c r="AE71" s="373"/>
      <c r="AF71" s="120"/>
      <c r="AG71" s="373" t="s">
        <v>280</v>
      </c>
      <c r="AH71" s="373"/>
      <c r="AI71" s="373"/>
      <c r="AJ71" s="373"/>
      <c r="AK71" s="373"/>
      <c r="AL71" s="373"/>
      <c r="AM71" s="373"/>
      <c r="AN71" s="120"/>
      <c r="AO71" s="120"/>
      <c r="AP71" s="373" t="s">
        <v>281</v>
      </c>
      <c r="AQ71" s="373"/>
      <c r="AR71" s="373"/>
      <c r="AS71" s="373"/>
      <c r="AT71" s="373"/>
      <c r="AU71" s="373"/>
      <c r="AV71" s="373"/>
      <c r="AW71" s="120"/>
      <c r="AX71" s="450" t="s">
        <v>282</v>
      </c>
      <c r="AY71" s="450"/>
      <c r="AZ71" s="450"/>
      <c r="BA71" s="450"/>
      <c r="BB71" s="450"/>
      <c r="BC71" s="450"/>
      <c r="BD71" s="450"/>
      <c r="BE71" s="120"/>
    </row>
    <row r="72" spans="2:57" ht="15.6">
      <c r="B72" s="22"/>
      <c r="C72" s="221"/>
      <c r="E72" s="1"/>
      <c r="F72" s="222"/>
      <c r="G72" s="223"/>
      <c r="H72" s="222"/>
      <c r="W72" s="120"/>
      <c r="X72" s="363" t="s">
        <v>181</v>
      </c>
      <c r="Y72" s="363"/>
      <c r="Z72" s="363"/>
      <c r="AA72" s="363"/>
      <c r="AB72" s="363"/>
      <c r="AC72" s="363"/>
      <c r="AD72" s="363"/>
      <c r="AE72" s="363"/>
      <c r="AF72" s="120"/>
      <c r="AG72" s="363" t="s">
        <v>182</v>
      </c>
      <c r="AH72" s="363"/>
      <c r="AI72" s="363"/>
      <c r="AJ72" s="363"/>
      <c r="AK72" s="363"/>
      <c r="AL72" s="363"/>
      <c r="AM72" s="363"/>
      <c r="AN72" s="120"/>
      <c r="AO72" s="120"/>
      <c r="AP72" s="363" t="s">
        <v>183</v>
      </c>
      <c r="AQ72" s="363"/>
      <c r="AR72" s="363"/>
      <c r="AS72" s="363"/>
      <c r="AT72" s="363"/>
      <c r="AU72" s="363"/>
      <c r="AV72" s="363"/>
      <c r="AW72" s="120"/>
      <c r="AX72" s="363" t="s">
        <v>184</v>
      </c>
      <c r="AY72" s="363"/>
      <c r="AZ72" s="363"/>
      <c r="BA72" s="363"/>
      <c r="BB72" s="363"/>
      <c r="BC72" s="363"/>
      <c r="BD72" s="363"/>
      <c r="BE72" s="120"/>
    </row>
    <row r="73" spans="2:57" ht="15.6">
      <c r="B73" s="22"/>
      <c r="W73" s="120"/>
      <c r="X73" s="363" t="s">
        <v>185</v>
      </c>
      <c r="Y73" s="363"/>
      <c r="Z73" s="363"/>
      <c r="AA73" s="363"/>
      <c r="AB73" s="363"/>
      <c r="AC73" s="363"/>
      <c r="AD73" s="363"/>
      <c r="AE73" s="363"/>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row>
    <row r="74" spans="2:57" ht="16.2" thickBot="1">
      <c r="B74" s="22"/>
      <c r="W74" s="120"/>
      <c r="X74" s="431" t="s">
        <v>186</v>
      </c>
      <c r="Y74" s="447"/>
      <c r="Z74" s="447"/>
      <c r="AA74" s="447"/>
      <c r="AB74" s="447"/>
      <c r="AC74" s="447"/>
      <c r="AD74" s="447"/>
      <c r="AE74" s="447"/>
      <c r="AF74" s="447"/>
      <c r="AG74" s="447"/>
      <c r="AH74" s="447"/>
      <c r="AI74" s="447"/>
      <c r="AJ74" s="447"/>
      <c r="AK74" s="447"/>
      <c r="AL74" s="447"/>
      <c r="AM74" s="447"/>
      <c r="AN74" s="447"/>
      <c r="AO74" s="447"/>
      <c r="AP74" s="447"/>
      <c r="AQ74" s="447"/>
      <c r="AR74" s="447"/>
      <c r="AS74" s="447"/>
      <c r="AT74" s="447"/>
      <c r="AU74" s="447"/>
      <c r="AV74" s="447"/>
      <c r="AW74" s="447"/>
      <c r="AX74" s="447"/>
      <c r="AY74" s="447"/>
      <c r="AZ74" s="447"/>
      <c r="BA74" s="447"/>
      <c r="BB74" s="447"/>
      <c r="BC74" s="447"/>
      <c r="BD74" s="448"/>
      <c r="BE74" s="120"/>
    </row>
    <row r="75" spans="2:57" ht="15.6">
      <c r="B75" s="22"/>
      <c r="J75" s="227"/>
      <c r="K75" s="228"/>
      <c r="L75" s="228"/>
      <c r="M75" s="228"/>
      <c r="N75" s="228"/>
      <c r="O75" s="228"/>
      <c r="P75" s="228"/>
      <c r="Q75" s="228"/>
      <c r="R75" s="228"/>
      <c r="S75" s="228"/>
      <c r="T75" s="228"/>
      <c r="U75" s="229"/>
      <c r="W75" s="120"/>
      <c r="X75" s="449" t="s">
        <v>187</v>
      </c>
      <c r="Y75" s="449"/>
      <c r="Z75" s="449"/>
      <c r="AA75" s="449" t="s">
        <v>188</v>
      </c>
      <c r="AB75" s="449"/>
      <c r="AC75" s="449"/>
      <c r="AD75" s="449"/>
      <c r="AE75" s="449" t="s">
        <v>189</v>
      </c>
      <c r="AF75" s="449"/>
      <c r="AG75" s="449"/>
      <c r="AH75" s="449"/>
      <c r="AI75" s="449"/>
      <c r="AJ75" s="449" t="s">
        <v>190</v>
      </c>
      <c r="AK75" s="449"/>
      <c r="AL75" s="449"/>
      <c r="AM75" s="449" t="s">
        <v>46</v>
      </c>
      <c r="AN75" s="449"/>
      <c r="AO75" s="449"/>
      <c r="AP75" s="449"/>
      <c r="AQ75" s="449"/>
      <c r="AR75" s="449" t="s">
        <v>191</v>
      </c>
      <c r="AS75" s="449"/>
      <c r="AT75" s="449"/>
      <c r="AU75" s="449" t="s">
        <v>192</v>
      </c>
      <c r="AV75" s="449"/>
      <c r="AW75" s="449"/>
      <c r="AX75" s="449"/>
      <c r="AY75" s="449"/>
      <c r="AZ75" s="449" t="s">
        <v>193</v>
      </c>
      <c r="BA75" s="449"/>
      <c r="BB75" s="449"/>
      <c r="BC75" s="449"/>
      <c r="BD75" s="449"/>
      <c r="BE75" s="120"/>
    </row>
    <row r="76" spans="2:57" ht="15.6">
      <c r="B76" s="22"/>
      <c r="J76" s="16"/>
      <c r="U76" s="216"/>
      <c r="W76" s="120"/>
      <c r="X76" s="440"/>
      <c r="Y76" s="438"/>
      <c r="Z76" s="438"/>
      <c r="AA76" s="441"/>
      <c r="AB76" s="438"/>
      <c r="AC76" s="438"/>
      <c r="AD76" s="438"/>
      <c r="AE76" s="439"/>
      <c r="AF76" s="439"/>
      <c r="AG76" s="439"/>
      <c r="AH76" s="439"/>
      <c r="AI76" s="439"/>
      <c r="AJ76" s="442"/>
      <c r="AK76" s="438"/>
      <c r="AL76" s="438"/>
      <c r="AM76" s="443"/>
      <c r="AN76" s="444"/>
      <c r="AO76" s="444"/>
      <c r="AP76" s="444"/>
      <c r="AQ76" s="445"/>
      <c r="AR76" s="446"/>
      <c r="AS76" s="446"/>
      <c r="AT76" s="446"/>
      <c r="AU76" s="438"/>
      <c r="AV76" s="438"/>
      <c r="AW76" s="438"/>
      <c r="AX76" s="438"/>
      <c r="AY76" s="438"/>
      <c r="AZ76" s="439"/>
      <c r="BA76" s="439"/>
      <c r="BB76" s="439"/>
      <c r="BC76" s="439"/>
      <c r="BD76" s="439"/>
      <c r="BE76" s="120"/>
    </row>
    <row r="77" spans="2:57" ht="15.6">
      <c r="B77" s="22"/>
      <c r="J77" s="16"/>
      <c r="U77" s="216"/>
      <c r="W77" s="120"/>
      <c r="X77" s="437"/>
      <c r="Y77" s="437"/>
      <c r="Z77" s="437"/>
      <c r="AA77" s="437"/>
      <c r="AB77" s="437"/>
      <c r="AC77" s="437"/>
      <c r="AD77" s="437"/>
      <c r="AE77" s="437"/>
      <c r="AF77" s="437"/>
      <c r="AG77" s="437"/>
      <c r="AH77" s="437"/>
      <c r="AI77" s="437"/>
      <c r="AJ77" s="437"/>
      <c r="AK77" s="437"/>
      <c r="AL77" s="437"/>
      <c r="AM77" s="437"/>
      <c r="AN77" s="437"/>
      <c r="AO77" s="437"/>
      <c r="AP77" s="437"/>
      <c r="AQ77" s="437"/>
      <c r="AR77" s="437"/>
      <c r="AS77" s="437"/>
      <c r="AT77" s="437"/>
      <c r="AU77" s="437"/>
      <c r="AV77" s="437"/>
      <c r="AW77" s="437"/>
      <c r="AX77" s="437"/>
      <c r="AY77" s="437"/>
      <c r="AZ77" s="437"/>
      <c r="BA77" s="437"/>
      <c r="BB77" s="437"/>
      <c r="BC77" s="437"/>
      <c r="BD77" s="437"/>
      <c r="BE77" s="120"/>
    </row>
    <row r="78" spans="2:57" ht="15.6">
      <c r="B78" s="22"/>
      <c r="J78" s="16"/>
      <c r="N78" s="230"/>
      <c r="U78" s="216"/>
      <c r="W78" s="120"/>
      <c r="X78" s="437"/>
      <c r="Y78" s="437"/>
      <c r="Z78" s="437"/>
      <c r="AA78" s="437"/>
      <c r="AB78" s="437"/>
      <c r="AC78" s="437"/>
      <c r="AD78" s="437"/>
      <c r="AE78" s="437"/>
      <c r="AF78" s="437"/>
      <c r="AG78" s="437"/>
      <c r="AH78" s="437"/>
      <c r="AI78" s="437"/>
      <c r="AJ78" s="437"/>
      <c r="AK78" s="437"/>
      <c r="AL78" s="437"/>
      <c r="AM78" s="437"/>
      <c r="AN78" s="437"/>
      <c r="AO78" s="437"/>
      <c r="AP78" s="437"/>
      <c r="AQ78" s="437"/>
      <c r="AR78" s="437"/>
      <c r="AS78" s="437"/>
      <c r="AT78" s="437"/>
      <c r="AU78" s="437"/>
      <c r="AV78" s="437"/>
      <c r="AW78" s="437"/>
      <c r="AX78" s="437"/>
      <c r="AY78" s="437"/>
      <c r="AZ78" s="437"/>
      <c r="BA78" s="437"/>
      <c r="BB78" s="437"/>
      <c r="BC78" s="437"/>
      <c r="BD78" s="437"/>
      <c r="BE78" s="120"/>
    </row>
    <row r="79" spans="2:57" ht="15.6">
      <c r="B79" s="22"/>
      <c r="J79" s="16"/>
      <c r="N79" s="423" t="s">
        <v>283</v>
      </c>
      <c r="O79" s="424"/>
      <c r="P79" s="424"/>
      <c r="Q79" s="424"/>
      <c r="U79" s="216"/>
      <c r="W79" s="120"/>
      <c r="X79" s="437"/>
      <c r="Y79" s="437"/>
      <c r="Z79" s="437"/>
      <c r="AA79" s="437"/>
      <c r="AB79" s="437"/>
      <c r="AC79" s="437"/>
      <c r="AD79" s="437"/>
      <c r="AE79" s="437"/>
      <c r="AF79" s="437"/>
      <c r="AG79" s="437"/>
      <c r="AH79" s="437"/>
      <c r="AI79" s="437"/>
      <c r="AJ79" s="437"/>
      <c r="AK79" s="437"/>
      <c r="AL79" s="437"/>
      <c r="AM79" s="437"/>
      <c r="AN79" s="437"/>
      <c r="AO79" s="437"/>
      <c r="AP79" s="437"/>
      <c r="AQ79" s="437"/>
      <c r="AR79" s="437"/>
      <c r="AS79" s="437"/>
      <c r="AT79" s="437"/>
      <c r="AU79" s="437"/>
      <c r="AV79" s="437"/>
      <c r="AW79" s="437"/>
      <c r="AX79" s="437"/>
      <c r="AY79" s="437"/>
      <c r="AZ79" s="437"/>
      <c r="BA79" s="437"/>
      <c r="BB79" s="437"/>
      <c r="BC79" s="437"/>
      <c r="BD79" s="437"/>
      <c r="BE79" s="120"/>
    </row>
    <row r="80" spans="2:57" ht="15.6">
      <c r="B80" s="22"/>
      <c r="J80" s="16"/>
      <c r="M80" s="423" t="s">
        <v>284</v>
      </c>
      <c r="N80" s="424"/>
      <c r="O80" s="424"/>
      <c r="P80" s="424"/>
      <c r="Q80" s="424"/>
      <c r="R80" s="424"/>
      <c r="U80" s="216"/>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row>
    <row r="81" spans="2:57" ht="15.6">
      <c r="B81" s="22"/>
      <c r="J81" s="16"/>
      <c r="N81" s="423" t="s">
        <v>285</v>
      </c>
      <c r="O81" s="424"/>
      <c r="P81" s="424"/>
      <c r="Q81" s="424"/>
      <c r="U81" s="216"/>
      <c r="W81" s="120"/>
      <c r="X81" s="431" t="s">
        <v>194</v>
      </c>
      <c r="Y81" s="432"/>
      <c r="Z81" s="432"/>
      <c r="AA81" s="432"/>
      <c r="AB81" s="432"/>
      <c r="AC81" s="432"/>
      <c r="AD81" s="432"/>
      <c r="AE81" s="432"/>
      <c r="AF81" s="432"/>
      <c r="AG81" s="432"/>
      <c r="AH81" s="432"/>
      <c r="AI81" s="432"/>
      <c r="AJ81" s="432"/>
      <c r="AK81" s="432"/>
      <c r="AL81" s="432"/>
      <c r="AM81" s="432"/>
      <c r="AN81" s="432"/>
      <c r="AO81" s="432"/>
      <c r="AP81" s="432"/>
      <c r="AQ81" s="432"/>
      <c r="AR81" s="432"/>
      <c r="AS81" s="432"/>
      <c r="AT81" s="432"/>
      <c r="AU81" s="432"/>
      <c r="AV81" s="432"/>
      <c r="AW81" s="432"/>
      <c r="AX81" s="432"/>
      <c r="AY81" s="432"/>
      <c r="AZ81" s="432"/>
      <c r="BA81" s="432"/>
      <c r="BB81" s="432"/>
      <c r="BC81" s="432"/>
      <c r="BD81" s="433"/>
      <c r="BE81" s="120"/>
    </row>
    <row r="82" spans="2:57" ht="15.6">
      <c r="B82" s="22"/>
      <c r="J82" s="16"/>
      <c r="U82" s="216"/>
      <c r="W82" s="120"/>
      <c r="X82" s="434" t="s">
        <v>195</v>
      </c>
      <c r="Y82" s="435"/>
      <c r="Z82" s="435"/>
      <c r="AA82" s="435"/>
      <c r="AB82" s="436"/>
      <c r="AC82" s="434" t="s">
        <v>196</v>
      </c>
      <c r="AD82" s="435"/>
      <c r="AE82" s="435"/>
      <c r="AF82" s="436"/>
      <c r="AG82" s="434" t="s">
        <v>47</v>
      </c>
      <c r="AH82" s="435"/>
      <c r="AI82" s="435"/>
      <c r="AJ82" s="436"/>
      <c r="AK82" s="434" t="s">
        <v>197</v>
      </c>
      <c r="AL82" s="435"/>
      <c r="AM82" s="435"/>
      <c r="AN82" s="435"/>
      <c r="AO82" s="435"/>
      <c r="AP82" s="435"/>
      <c r="AQ82" s="436"/>
      <c r="AR82" s="434" t="s">
        <v>198</v>
      </c>
      <c r="AS82" s="435"/>
      <c r="AT82" s="435"/>
      <c r="AU82" s="435"/>
      <c r="AV82" s="436"/>
      <c r="AW82" s="434" t="s">
        <v>199</v>
      </c>
      <c r="AX82" s="435"/>
      <c r="AY82" s="435"/>
      <c r="AZ82" s="435"/>
      <c r="BA82" s="435"/>
      <c r="BB82" s="435"/>
      <c r="BC82" s="435"/>
      <c r="BD82" s="436"/>
      <c r="BE82" s="120"/>
    </row>
    <row r="83" spans="2:57" ht="15.6">
      <c r="B83" s="22"/>
      <c r="J83" s="16"/>
      <c r="M83" s="426" t="s">
        <v>286</v>
      </c>
      <c r="N83" s="426"/>
      <c r="O83" s="426"/>
      <c r="P83" s="426"/>
      <c r="Q83" s="426"/>
      <c r="R83" s="426"/>
      <c r="U83" s="216"/>
      <c r="W83" s="120"/>
      <c r="X83" s="418">
        <f>'[3]Data Entry'!E11</f>
        <v>178237.5</v>
      </c>
      <c r="Y83" s="419"/>
      <c r="Z83" s="419"/>
      <c r="AA83" s="419"/>
      <c r="AB83" s="420"/>
      <c r="AC83" s="418">
        <f>AT39</f>
        <v>2771.380860951364</v>
      </c>
      <c r="AD83" s="419"/>
      <c r="AE83" s="419"/>
      <c r="AF83" s="420"/>
      <c r="AG83" s="427" t="str">
        <f>AN35</f>
        <v>36 Months</v>
      </c>
      <c r="AH83" s="428"/>
      <c r="AI83" s="428"/>
      <c r="AJ83" s="429"/>
      <c r="AK83" s="418">
        <v>5000</v>
      </c>
      <c r="AL83" s="419"/>
      <c r="AM83" s="419"/>
      <c r="AN83" s="419"/>
      <c r="AO83" s="419"/>
      <c r="AP83" s="419"/>
      <c r="AQ83" s="420"/>
      <c r="AR83" s="430">
        <f>11617.19-(AC83+AK83)</f>
        <v>3845.809139048637</v>
      </c>
      <c r="AS83" s="428"/>
      <c r="AT83" s="428"/>
      <c r="AU83" s="428"/>
      <c r="AV83" s="429"/>
      <c r="AW83" s="418">
        <f>'[3]Data Entry'!E3</f>
        <v>201960.56326226707</v>
      </c>
      <c r="AX83" s="419"/>
      <c r="AY83" s="419"/>
      <c r="AZ83" s="419"/>
      <c r="BA83" s="419"/>
      <c r="BB83" s="419"/>
      <c r="BC83" s="419"/>
      <c r="BD83" s="420"/>
      <c r="BE83" s="120"/>
    </row>
    <row r="84" spans="2:57" ht="15.6">
      <c r="B84" s="22"/>
      <c r="J84" s="16"/>
      <c r="U84" s="216"/>
      <c r="W84" s="120"/>
      <c r="X84" s="414" t="s">
        <v>200</v>
      </c>
      <c r="Y84" s="414"/>
      <c r="Z84" s="414"/>
      <c r="AA84" s="414"/>
      <c r="AB84" s="414"/>
      <c r="AC84" s="414"/>
      <c r="AD84" s="414"/>
      <c r="AE84" s="414"/>
      <c r="AF84" s="414"/>
      <c r="AG84" s="414"/>
      <c r="AH84" s="414"/>
      <c r="AI84" s="414"/>
      <c r="AJ84" s="414"/>
      <c r="AK84" s="414"/>
      <c r="AL84" s="414"/>
      <c r="AM84" s="414"/>
      <c r="AN84" s="414"/>
      <c r="AO84" s="414"/>
      <c r="AP84" s="414"/>
      <c r="AQ84" s="414"/>
      <c r="AR84" s="414"/>
      <c r="AS84" s="414"/>
      <c r="AT84" s="414"/>
      <c r="AU84" s="414"/>
      <c r="AV84" s="414"/>
      <c r="AW84" s="414"/>
      <c r="AX84" s="414"/>
      <c r="AY84" s="414"/>
      <c r="AZ84" s="414"/>
      <c r="BA84" s="414"/>
      <c r="BB84" s="414"/>
      <c r="BC84" s="414"/>
      <c r="BD84" s="414"/>
      <c r="BE84" s="120"/>
    </row>
    <row r="85" spans="2:57" ht="16.2" thickBot="1">
      <c r="B85" s="22"/>
      <c r="J85" s="16"/>
      <c r="R85" s="421">
        <f>S29</f>
        <v>45701</v>
      </c>
      <c r="S85" s="422"/>
      <c r="U85" s="216"/>
      <c r="W85" s="120"/>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0"/>
    </row>
    <row r="86" spans="2:57" ht="16.2" thickBot="1">
      <c r="B86" s="22"/>
      <c r="J86" s="16"/>
      <c r="R86" s="423" t="s">
        <v>287</v>
      </c>
      <c r="S86" s="424"/>
      <c r="U86" s="216"/>
      <c r="W86" s="120"/>
      <c r="X86" s="123"/>
      <c r="Y86" s="123"/>
      <c r="Z86" s="123"/>
      <c r="AA86" s="123"/>
      <c r="AB86" s="123"/>
      <c r="AC86" s="123"/>
      <c r="AD86" s="123"/>
      <c r="AE86" s="123"/>
      <c r="AF86" s="123"/>
      <c r="AG86" s="123"/>
      <c r="AH86" s="123"/>
      <c r="AI86" s="123"/>
      <c r="AJ86" s="425" t="s">
        <v>90</v>
      </c>
      <c r="AK86" s="425"/>
      <c r="AL86" s="425"/>
      <c r="AM86" s="425"/>
      <c r="AN86" s="425"/>
      <c r="AO86" s="425"/>
      <c r="AP86" s="425"/>
      <c r="AQ86" s="425"/>
      <c r="AR86" s="425"/>
      <c r="AS86" s="425"/>
      <c r="AT86" s="123"/>
      <c r="AU86" s="123"/>
      <c r="AV86" s="123"/>
      <c r="AW86" s="123"/>
      <c r="AX86" s="123"/>
      <c r="AY86" s="123"/>
      <c r="AZ86" s="123"/>
      <c r="BA86" s="123"/>
      <c r="BB86" s="123"/>
      <c r="BC86" s="123"/>
      <c r="BD86" s="123"/>
      <c r="BE86" s="120"/>
    </row>
    <row r="87" spans="2:57" ht="15.6">
      <c r="B87" s="22"/>
      <c r="J87" s="16"/>
      <c r="U87" s="216"/>
      <c r="W87" s="363" t="s">
        <v>201</v>
      </c>
      <c r="X87" s="363"/>
      <c r="Y87" s="363"/>
      <c r="Z87" s="363"/>
      <c r="AA87" s="363"/>
      <c r="AB87" s="363"/>
      <c r="AC87" s="363"/>
      <c r="AD87" s="363"/>
      <c r="AE87" s="363"/>
      <c r="AF87" s="363"/>
      <c r="AG87" s="363"/>
      <c r="AH87" s="363"/>
      <c r="AI87" s="363"/>
      <c r="AJ87" s="363"/>
      <c r="AK87" s="363"/>
      <c r="AL87" s="363"/>
      <c r="AM87" s="363"/>
      <c r="AN87" s="363"/>
      <c r="AO87" s="363"/>
      <c r="AP87" s="363"/>
      <c r="AQ87" s="363"/>
      <c r="AR87" s="363"/>
      <c r="AS87" s="363"/>
      <c r="AT87" s="363"/>
      <c r="AU87" s="363"/>
      <c r="AV87" s="363"/>
      <c r="AW87" s="363"/>
      <c r="AX87" s="363"/>
      <c r="AY87" s="363"/>
      <c r="AZ87" s="363"/>
      <c r="BA87" s="363"/>
      <c r="BB87" s="363"/>
      <c r="BC87" s="363"/>
      <c r="BD87" s="363"/>
      <c r="BE87" s="363"/>
    </row>
    <row r="88" spans="2:57" ht="15.6">
      <c r="J88" s="16"/>
      <c r="U88" s="216"/>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row>
    <row r="89" spans="2:57" ht="15.6">
      <c r="J89" s="16"/>
      <c r="U89" s="216"/>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row>
    <row r="90" spans="2:57" ht="15.6">
      <c r="J90" s="16"/>
      <c r="K90" s="411" t="s">
        <v>288</v>
      </c>
      <c r="L90" s="412"/>
      <c r="M90" s="412"/>
      <c r="U90" s="216"/>
      <c r="W90" s="120"/>
      <c r="X90" s="413" t="s">
        <v>202</v>
      </c>
      <c r="Y90" s="414"/>
      <c r="Z90" s="414"/>
      <c r="AA90" s="414"/>
      <c r="AB90" s="414"/>
      <c r="AC90" s="414"/>
      <c r="AD90" s="414"/>
      <c r="AE90" s="414"/>
      <c r="AF90" s="414"/>
      <c r="AG90" s="414"/>
      <c r="AH90" s="414"/>
      <c r="AI90" s="414"/>
      <c r="AJ90" s="414"/>
      <c r="AK90" s="414"/>
      <c r="AL90" s="414"/>
      <c r="AM90" s="414"/>
      <c r="AN90" s="415"/>
      <c r="AO90" s="413" t="s">
        <v>203</v>
      </c>
      <c r="AP90" s="414"/>
      <c r="AQ90" s="414"/>
      <c r="AR90" s="414"/>
      <c r="AS90" s="414"/>
      <c r="AT90" s="414"/>
      <c r="AU90" s="414"/>
      <c r="AV90" s="414"/>
      <c r="AW90" s="414"/>
      <c r="AX90" s="414"/>
      <c r="AY90" s="414"/>
      <c r="AZ90" s="414"/>
      <c r="BA90" s="414"/>
      <c r="BB90" s="414"/>
      <c r="BC90" s="414"/>
      <c r="BD90" s="415"/>
      <c r="BE90" s="120"/>
    </row>
    <row r="91" spans="2:57" ht="15.6">
      <c r="J91" s="16"/>
      <c r="U91" s="216"/>
      <c r="V91" s="30"/>
      <c r="W91" s="120"/>
      <c r="X91" s="158"/>
      <c r="Y91" s="157"/>
      <c r="Z91" s="157"/>
      <c r="AA91" s="157"/>
      <c r="AB91" s="157"/>
      <c r="AC91" s="157"/>
      <c r="AD91" s="157"/>
      <c r="AE91" s="157"/>
      <c r="AF91" s="157"/>
      <c r="AG91" s="157"/>
      <c r="AH91" s="157"/>
      <c r="AI91" s="157"/>
      <c r="AJ91" s="157"/>
      <c r="AK91" s="157"/>
      <c r="AL91" s="157"/>
      <c r="AM91" s="157"/>
      <c r="AN91" s="159"/>
      <c r="AO91" s="158"/>
      <c r="AP91" s="157"/>
      <c r="AQ91" s="157"/>
      <c r="AR91" s="157"/>
      <c r="AS91" s="157"/>
      <c r="AT91" s="157"/>
      <c r="AU91" s="157"/>
      <c r="AV91" s="157"/>
      <c r="AW91" s="157"/>
      <c r="AX91" s="157"/>
      <c r="AY91" s="157"/>
      <c r="AZ91" s="157"/>
      <c r="BA91" s="157"/>
      <c r="BB91" s="157"/>
      <c r="BC91" s="157"/>
      <c r="BD91" s="159"/>
      <c r="BE91" s="120"/>
    </row>
    <row r="92" spans="2:57" ht="16.2" thickBot="1">
      <c r="J92" s="16"/>
      <c r="K92" s="230" t="s">
        <v>289</v>
      </c>
      <c r="L92" s="230"/>
      <c r="O92" s="416" t="s">
        <v>290</v>
      </c>
      <c r="P92" s="416"/>
      <c r="Q92" s="416"/>
      <c r="R92" s="416"/>
      <c r="S92" s="416"/>
      <c r="U92" s="216"/>
      <c r="V92" s="30"/>
      <c r="W92" s="120"/>
      <c r="X92" s="160"/>
      <c r="Y92" s="130"/>
      <c r="Z92" s="130"/>
      <c r="AA92" s="161"/>
      <c r="AB92" s="417" t="s">
        <v>204</v>
      </c>
      <c r="AC92" s="417"/>
      <c r="AD92" s="417"/>
      <c r="AE92" s="417"/>
      <c r="AF92" s="417"/>
      <c r="AG92" s="417"/>
      <c r="AH92" s="417"/>
      <c r="AI92" s="417"/>
      <c r="AJ92" s="417"/>
      <c r="AK92" s="161"/>
      <c r="AL92" s="161"/>
      <c r="AM92" s="161"/>
      <c r="AN92" s="162"/>
      <c r="AO92" s="160"/>
      <c r="AP92" s="120"/>
      <c r="AQ92" s="120"/>
      <c r="AR92" s="120"/>
      <c r="AS92" s="373" t="s">
        <v>205</v>
      </c>
      <c r="AT92" s="373"/>
      <c r="AU92" s="373"/>
      <c r="AV92" s="373"/>
      <c r="AW92" s="373"/>
      <c r="AX92" s="373"/>
      <c r="AY92" s="373"/>
      <c r="AZ92" s="373"/>
      <c r="BA92" s="120"/>
      <c r="BB92" s="120"/>
      <c r="BC92" s="120"/>
      <c r="BD92" s="163"/>
      <c r="BE92" s="120"/>
    </row>
    <row r="93" spans="2:57" ht="16.2" customHeight="1" thickBot="1">
      <c r="J93" s="16"/>
      <c r="K93" s="230" t="s">
        <v>291</v>
      </c>
      <c r="L93" s="231"/>
      <c r="M93" s="230" t="s">
        <v>292</v>
      </c>
      <c r="P93" s="402" t="s">
        <v>293</v>
      </c>
      <c r="Q93" s="403"/>
      <c r="R93" s="403"/>
      <c r="S93" s="403"/>
      <c r="U93" s="216"/>
      <c r="V93" s="30"/>
      <c r="W93" s="120"/>
      <c r="X93" s="404" t="s">
        <v>201</v>
      </c>
      <c r="Y93" s="405"/>
      <c r="Z93" s="405"/>
      <c r="AA93" s="405"/>
      <c r="AB93" s="405"/>
      <c r="AC93" s="405"/>
      <c r="AD93" s="405"/>
      <c r="AE93" s="405"/>
      <c r="AF93" s="405"/>
      <c r="AG93" s="405"/>
      <c r="AH93" s="405"/>
      <c r="AI93" s="405"/>
      <c r="AJ93" s="405"/>
      <c r="AK93" s="405"/>
      <c r="AL93" s="405"/>
      <c r="AM93" s="405"/>
      <c r="AN93" s="406"/>
      <c r="AO93" s="404" t="s">
        <v>201</v>
      </c>
      <c r="AP93" s="405"/>
      <c r="AQ93" s="405"/>
      <c r="AR93" s="405"/>
      <c r="AS93" s="405"/>
      <c r="AT93" s="405"/>
      <c r="AU93" s="405"/>
      <c r="AV93" s="405"/>
      <c r="AW93" s="405"/>
      <c r="AX93" s="405"/>
      <c r="AY93" s="405"/>
      <c r="AZ93" s="405"/>
      <c r="BA93" s="405"/>
      <c r="BB93" s="405"/>
      <c r="BC93" s="405"/>
      <c r="BD93" s="406"/>
      <c r="BE93" s="120"/>
    </row>
    <row r="94" spans="2:57" ht="16.2" thickBot="1">
      <c r="J94" s="16"/>
      <c r="K94" s="232" t="s">
        <v>294</v>
      </c>
      <c r="L94" s="231"/>
      <c r="U94" s="216"/>
      <c r="V94" s="3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row>
    <row r="95" spans="2:57" ht="15.6">
      <c r="J95" s="16"/>
      <c r="U95" s="216"/>
      <c r="V95" s="3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row>
    <row r="96" spans="2:57">
      <c r="J96" s="16"/>
      <c r="U96" s="216"/>
      <c r="V96" s="30"/>
    </row>
    <row r="97" spans="10:57">
      <c r="J97" s="16"/>
      <c r="U97" s="216"/>
      <c r="V97" s="30"/>
    </row>
    <row r="98" spans="10:57">
      <c r="J98" s="16"/>
      <c r="U98" s="216"/>
      <c r="V98" s="30"/>
    </row>
    <row r="99" spans="10:57" ht="18">
      <c r="J99" s="16"/>
      <c r="U99" s="216"/>
      <c r="V99" s="3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65"/>
      <c r="AS99" s="120"/>
      <c r="AT99" s="120"/>
      <c r="AU99" s="120"/>
      <c r="AV99" s="120"/>
      <c r="AW99" s="120"/>
      <c r="AX99" s="120"/>
      <c r="AY99" s="120"/>
      <c r="AZ99" s="120"/>
      <c r="BA99" s="120"/>
      <c r="BB99" s="120"/>
      <c r="BC99" s="120"/>
      <c r="BD99" s="120"/>
      <c r="BE99" s="120"/>
    </row>
    <row r="100" spans="10:57" ht="18">
      <c r="J100" s="16"/>
      <c r="U100" s="216"/>
      <c r="V100" s="30"/>
      <c r="W100" s="120"/>
      <c r="X100" s="368" t="s">
        <v>206</v>
      </c>
      <c r="Y100" s="369"/>
      <c r="Z100" s="369"/>
      <c r="AA100" s="369"/>
      <c r="AB100" s="369"/>
      <c r="AC100" s="369"/>
      <c r="AD100" s="369"/>
      <c r="AE100" s="369"/>
      <c r="AF100" s="369"/>
      <c r="AG100" s="369"/>
      <c r="AH100" s="369"/>
      <c r="AI100" s="369"/>
      <c r="AJ100" s="369"/>
      <c r="AK100" s="369"/>
      <c r="AL100" s="120"/>
      <c r="AM100" s="120"/>
      <c r="AN100" s="120"/>
      <c r="AO100" s="120"/>
      <c r="AP100" s="120"/>
      <c r="AQ100" s="120"/>
      <c r="AR100" s="120"/>
      <c r="AS100" s="120"/>
      <c r="AT100" s="120"/>
      <c r="AU100" s="120"/>
      <c r="AV100" s="120"/>
      <c r="AW100" s="120"/>
      <c r="AX100" s="120"/>
      <c r="AY100" s="120"/>
    </row>
    <row r="101" spans="10:57" ht="18">
      <c r="J101" s="16"/>
      <c r="U101" s="216"/>
      <c r="V101" s="30"/>
      <c r="W101" s="120"/>
      <c r="X101" s="120"/>
      <c r="Y101" s="400" t="s">
        <v>207</v>
      </c>
      <c r="Z101" s="400"/>
      <c r="AA101" s="400"/>
      <c r="AB101" s="400"/>
      <c r="AC101" s="400"/>
      <c r="AD101" s="400"/>
      <c r="AE101" s="400"/>
      <c r="AF101" s="400"/>
      <c r="AG101" s="400"/>
      <c r="AH101" s="400"/>
      <c r="AI101" s="400"/>
      <c r="AJ101" s="400"/>
      <c r="AK101" s="400"/>
      <c r="AL101" s="400"/>
      <c r="AM101" s="400"/>
      <c r="AN101" s="400"/>
      <c r="AO101" s="400"/>
      <c r="AP101" s="400"/>
      <c r="AQ101" s="400"/>
      <c r="AR101" s="400"/>
      <c r="AS101" s="400"/>
      <c r="AT101" s="400"/>
      <c r="AU101" s="400"/>
      <c r="AV101" s="400"/>
      <c r="AW101" s="400"/>
      <c r="AX101" s="400"/>
      <c r="AY101" s="407">
        <f>AW83</f>
        <v>201960.56326226707</v>
      </c>
      <c r="AZ101" s="408"/>
      <c r="BA101" s="408"/>
      <c r="BB101" s="408"/>
      <c r="BC101" s="408"/>
      <c r="BD101" s="408"/>
      <c r="BE101" s="165"/>
    </row>
    <row r="102" spans="10:57" ht="18" customHeight="1">
      <c r="J102" s="16"/>
      <c r="U102" s="216"/>
      <c r="V102" s="30"/>
      <c r="W102" s="120"/>
      <c r="X102" s="398"/>
      <c r="Y102" s="399"/>
      <c r="Z102" s="399"/>
      <c r="AA102" s="166" t="s">
        <v>208</v>
      </c>
      <c r="AB102" s="167">
        <v>36</v>
      </c>
      <c r="AC102" s="400" t="s">
        <v>209</v>
      </c>
      <c r="AD102" s="400"/>
      <c r="AE102" s="400"/>
      <c r="AF102" s="400"/>
      <c r="AG102" s="400"/>
      <c r="AH102" s="400"/>
      <c r="AI102" s="400"/>
      <c r="AJ102" s="400"/>
      <c r="AK102" s="400"/>
      <c r="AL102" s="400"/>
      <c r="AM102" s="400"/>
      <c r="AN102" s="399">
        <f>AC83</f>
        <v>2771.380860951364</v>
      </c>
      <c r="AO102" s="399"/>
      <c r="AP102" s="399"/>
      <c r="AQ102" s="399"/>
      <c r="AR102" s="400" t="s">
        <v>210</v>
      </c>
      <c r="AS102" s="400"/>
      <c r="AT102" s="400"/>
      <c r="AU102" s="400"/>
      <c r="AV102" s="400"/>
      <c r="AW102" s="400"/>
      <c r="AX102" s="400"/>
      <c r="AY102" s="400"/>
      <c r="AZ102" s="400"/>
      <c r="BA102" s="400"/>
      <c r="BB102" s="400"/>
      <c r="BC102" s="400"/>
      <c r="BD102" s="400"/>
      <c r="BE102" s="165"/>
    </row>
    <row r="103" spans="10:57" ht="18" customHeight="1">
      <c r="J103" s="16"/>
      <c r="U103" s="216"/>
      <c r="V103" s="38"/>
      <c r="W103" s="120"/>
      <c r="X103" s="401">
        <f>B28</f>
        <v>45729</v>
      </c>
      <c r="Y103" s="401"/>
      <c r="Z103" s="401"/>
      <c r="AA103" s="401"/>
      <c r="AB103" s="377" t="s">
        <v>211</v>
      </c>
      <c r="AC103" s="377"/>
      <c r="AD103" s="377"/>
      <c r="AE103" s="377"/>
      <c r="AF103" s="377"/>
      <c r="AG103" s="377"/>
      <c r="AH103" s="377"/>
      <c r="AI103" s="377"/>
      <c r="AJ103" s="377"/>
      <c r="AK103" s="377"/>
      <c r="AL103" s="377"/>
      <c r="AM103" s="377"/>
      <c r="AN103" s="377"/>
      <c r="AO103" s="377"/>
      <c r="AP103" s="377"/>
      <c r="AQ103" s="377"/>
      <c r="AR103" s="377"/>
      <c r="AS103" s="377"/>
      <c r="AT103" s="377"/>
      <c r="AU103" s="377"/>
      <c r="AV103" s="377"/>
      <c r="AW103" s="377"/>
      <c r="AX103" s="377"/>
      <c r="AY103" s="377"/>
      <c r="AZ103" s="377"/>
      <c r="BA103" s="377"/>
      <c r="BB103" s="377"/>
      <c r="BC103" s="377"/>
      <c r="BD103" s="377"/>
      <c r="BE103" s="165"/>
    </row>
    <row r="104" spans="10:57" ht="18" customHeight="1">
      <c r="J104" s="16"/>
      <c r="U104" s="216"/>
      <c r="V104" s="38"/>
      <c r="W104" s="120"/>
      <c r="X104" s="377" t="s">
        <v>212</v>
      </c>
      <c r="Y104" s="377"/>
      <c r="Z104" s="377"/>
      <c r="AA104" s="377"/>
      <c r="AB104" s="377"/>
      <c r="AC104" s="377"/>
      <c r="AD104" s="377"/>
      <c r="AE104" s="377"/>
      <c r="AF104" s="377"/>
      <c r="AG104" s="377"/>
      <c r="AH104" s="377"/>
      <c r="AI104" s="377"/>
      <c r="AJ104" s="377"/>
      <c r="AK104" s="377"/>
      <c r="AL104" s="377"/>
      <c r="AM104" s="377"/>
      <c r="AN104" s="377"/>
      <c r="AO104" s="377"/>
      <c r="AP104" s="377"/>
      <c r="AQ104" s="377"/>
      <c r="AR104" s="377"/>
      <c r="AS104" s="377"/>
      <c r="AT104" s="377"/>
      <c r="AU104" s="377"/>
      <c r="AV104" s="377"/>
      <c r="AW104" s="377"/>
      <c r="AX104" s="377"/>
      <c r="AY104" s="377"/>
      <c r="AZ104" s="377"/>
      <c r="BA104" s="377"/>
      <c r="BB104" s="377"/>
      <c r="BC104" s="377"/>
      <c r="BD104" s="377"/>
      <c r="BE104" s="165"/>
    </row>
    <row r="105" spans="10:57" ht="18" customHeight="1">
      <c r="J105" s="16"/>
      <c r="U105" s="216"/>
      <c r="V105" s="38"/>
      <c r="W105" s="120"/>
      <c r="X105" s="377" t="s">
        <v>213</v>
      </c>
      <c r="Y105" s="377"/>
      <c r="Z105" s="377"/>
      <c r="AA105" s="377"/>
      <c r="AB105" s="377"/>
      <c r="AC105" s="377"/>
      <c r="AD105" s="377"/>
      <c r="AE105" s="377"/>
      <c r="AF105" s="377"/>
      <c r="AG105" s="377"/>
      <c r="AH105" s="377"/>
      <c r="AI105" s="377"/>
      <c r="AJ105" s="377"/>
      <c r="AK105" s="377"/>
      <c r="AL105" s="377"/>
      <c r="AM105" s="377"/>
      <c r="AN105" s="377"/>
      <c r="AO105" s="377"/>
      <c r="AP105" s="377"/>
      <c r="AQ105" s="377"/>
      <c r="AR105" s="377"/>
      <c r="AS105" s="377"/>
      <c r="AT105" s="377"/>
      <c r="AU105" s="377"/>
      <c r="AV105" s="377"/>
      <c r="AW105" s="377"/>
      <c r="AX105" s="377"/>
      <c r="AY105" s="377"/>
      <c r="AZ105" s="377"/>
      <c r="BA105" s="377"/>
      <c r="BB105" s="377"/>
      <c r="BC105" s="377"/>
      <c r="BD105" s="377"/>
      <c r="BE105" s="165"/>
    </row>
    <row r="106" spans="10:57" ht="18" customHeight="1">
      <c r="J106" s="16"/>
      <c r="U106" s="216"/>
      <c r="V106" s="30"/>
      <c r="W106" s="120"/>
      <c r="X106" s="377"/>
      <c r="Y106" s="377"/>
      <c r="Z106" s="377"/>
      <c r="AA106" s="377"/>
      <c r="AB106" s="377"/>
      <c r="AC106" s="377"/>
      <c r="AD106" s="377"/>
      <c r="AE106" s="377"/>
      <c r="AF106" s="377"/>
      <c r="AG106" s="377"/>
      <c r="AH106" s="377"/>
      <c r="AI106" s="377"/>
      <c r="AJ106" s="377"/>
      <c r="AK106" s="377"/>
      <c r="AL106" s="377"/>
      <c r="AM106" s="377"/>
      <c r="AN106" s="377"/>
      <c r="AO106" s="377"/>
      <c r="AP106" s="377"/>
      <c r="AQ106" s="377"/>
      <c r="AR106" s="377"/>
      <c r="AS106" s="377"/>
      <c r="AT106" s="377"/>
      <c r="AU106" s="377"/>
      <c r="AV106" s="377"/>
      <c r="AW106" s="377"/>
      <c r="AX106" s="377"/>
      <c r="AY106" s="377"/>
      <c r="AZ106" s="377"/>
      <c r="BA106" s="377"/>
      <c r="BB106" s="377"/>
      <c r="BC106" s="377"/>
      <c r="BD106" s="377"/>
      <c r="BE106" s="165"/>
    </row>
    <row r="107" spans="10:57" ht="18">
      <c r="J107" s="16"/>
      <c r="U107" s="216"/>
      <c r="V107" s="30"/>
      <c r="W107" s="120"/>
      <c r="X107" s="377"/>
      <c r="Y107" s="377"/>
      <c r="Z107" s="377"/>
      <c r="AA107" s="377"/>
      <c r="AB107" s="377"/>
      <c r="AC107" s="377"/>
      <c r="AD107" s="377"/>
      <c r="AE107" s="377"/>
      <c r="AF107" s="377"/>
      <c r="AG107" s="377"/>
      <c r="AH107" s="377"/>
      <c r="AI107" s="377"/>
      <c r="AJ107" s="377"/>
      <c r="AK107" s="377"/>
      <c r="AL107" s="377"/>
      <c r="AM107" s="377"/>
      <c r="AN107" s="377"/>
      <c r="AO107" s="377"/>
      <c r="AP107" s="377"/>
      <c r="AQ107" s="377"/>
      <c r="AR107" s="377"/>
      <c r="AS107" s="377"/>
      <c r="AT107" s="377"/>
      <c r="AU107" s="377"/>
      <c r="AV107" s="377"/>
      <c r="AW107" s="377"/>
      <c r="AX107" s="377"/>
      <c r="AY107" s="377"/>
      <c r="AZ107" s="377"/>
      <c r="BA107" s="377"/>
      <c r="BB107" s="377"/>
      <c r="BC107" s="377"/>
      <c r="BD107" s="377"/>
      <c r="BE107" s="165"/>
    </row>
    <row r="108" spans="10:57" ht="18">
      <c r="J108" s="16"/>
      <c r="U108" s="216"/>
      <c r="V108" s="30"/>
      <c r="W108" s="120"/>
      <c r="X108" s="377" t="s">
        <v>214</v>
      </c>
      <c r="Y108" s="377"/>
      <c r="Z108" s="377"/>
      <c r="AA108" s="377"/>
      <c r="AB108" s="377"/>
      <c r="AC108" s="377"/>
      <c r="AD108" s="377"/>
      <c r="AE108" s="377"/>
      <c r="AF108" s="377"/>
      <c r="AG108" s="377"/>
      <c r="AH108" s="377"/>
      <c r="AI108" s="377"/>
      <c r="AJ108" s="377"/>
      <c r="AK108" s="377"/>
      <c r="AL108" s="377"/>
      <c r="AM108" s="377"/>
      <c r="AN108" s="377"/>
      <c r="AO108" s="377"/>
      <c r="AP108" s="377"/>
      <c r="AQ108" s="377"/>
      <c r="AR108" s="377"/>
      <c r="AS108" s="377"/>
      <c r="AT108" s="377"/>
      <c r="AU108" s="377"/>
      <c r="AV108" s="377"/>
      <c r="AW108" s="377"/>
      <c r="AX108" s="377"/>
      <c r="AY108" s="377"/>
      <c r="AZ108" s="377"/>
      <c r="BA108" s="377"/>
      <c r="BB108" s="377"/>
      <c r="BC108" s="377"/>
      <c r="BD108" s="377"/>
      <c r="BE108" s="165"/>
    </row>
    <row r="109" spans="10:57" ht="18" customHeight="1">
      <c r="J109" s="16"/>
      <c r="U109" s="216"/>
      <c r="V109" s="36"/>
      <c r="W109" s="120"/>
      <c r="X109" s="377"/>
      <c r="Y109" s="377"/>
      <c r="Z109" s="377"/>
      <c r="AA109" s="377"/>
      <c r="AB109" s="377"/>
      <c r="AC109" s="377"/>
      <c r="AD109" s="377"/>
      <c r="AE109" s="377"/>
      <c r="AF109" s="377"/>
      <c r="AG109" s="377"/>
      <c r="AH109" s="377"/>
      <c r="AI109" s="377"/>
      <c r="AJ109" s="377"/>
      <c r="AK109" s="377"/>
      <c r="AL109" s="377"/>
      <c r="AM109" s="377"/>
      <c r="AN109" s="377"/>
      <c r="AO109" s="377"/>
      <c r="AP109" s="377"/>
      <c r="AQ109" s="377"/>
      <c r="AR109" s="377"/>
      <c r="AS109" s="377"/>
      <c r="AT109" s="377"/>
      <c r="AU109" s="377"/>
      <c r="AV109" s="377"/>
      <c r="AW109" s="377"/>
      <c r="AX109" s="377"/>
      <c r="AY109" s="377"/>
      <c r="AZ109" s="377"/>
      <c r="BA109" s="377"/>
      <c r="BB109" s="377"/>
      <c r="BC109" s="377"/>
      <c r="BD109" s="377"/>
      <c r="BE109" s="165"/>
    </row>
    <row r="110" spans="10:57" ht="18.600000000000001" thickBot="1">
      <c r="J110" s="233"/>
      <c r="K110" s="231"/>
      <c r="L110" s="231"/>
      <c r="M110" s="231"/>
      <c r="N110" s="231"/>
      <c r="O110" s="231"/>
      <c r="P110" s="231"/>
      <c r="Q110" s="231"/>
      <c r="R110" s="231"/>
      <c r="S110" s="231"/>
      <c r="T110" s="231"/>
      <c r="U110" s="234"/>
      <c r="V110" s="36"/>
      <c r="W110" s="120"/>
      <c r="X110" s="377"/>
      <c r="Y110" s="377"/>
      <c r="Z110" s="377"/>
      <c r="AA110" s="377"/>
      <c r="AB110" s="377"/>
      <c r="AC110" s="377"/>
      <c r="AD110" s="377"/>
      <c r="AE110" s="377"/>
      <c r="AF110" s="377"/>
      <c r="AG110" s="377"/>
      <c r="AH110" s="377"/>
      <c r="AI110" s="377"/>
      <c r="AJ110" s="377"/>
      <c r="AK110" s="377"/>
      <c r="AL110" s="377"/>
      <c r="AM110" s="377"/>
      <c r="AN110" s="377"/>
      <c r="AO110" s="377"/>
      <c r="AP110" s="377"/>
      <c r="AQ110" s="377"/>
      <c r="AR110" s="377"/>
      <c r="AS110" s="377"/>
      <c r="AT110" s="377"/>
      <c r="AU110" s="377"/>
      <c r="AV110" s="377"/>
      <c r="AW110" s="377"/>
      <c r="AX110" s="377"/>
      <c r="AY110" s="377"/>
      <c r="AZ110" s="377"/>
      <c r="BA110" s="377"/>
      <c r="BB110" s="377"/>
      <c r="BC110" s="377"/>
      <c r="BD110" s="377"/>
      <c r="BE110" s="165"/>
    </row>
    <row r="111" spans="10:57" ht="18">
      <c r="V111" s="36"/>
      <c r="W111" s="120"/>
      <c r="X111" s="377" t="s">
        <v>215</v>
      </c>
      <c r="Y111" s="377"/>
      <c r="Z111" s="377"/>
      <c r="AA111" s="377"/>
      <c r="AB111" s="377"/>
      <c r="AC111" s="377"/>
      <c r="AD111" s="377"/>
      <c r="AE111" s="377"/>
      <c r="AF111" s="377"/>
      <c r="AG111" s="377"/>
      <c r="AH111" s="377"/>
      <c r="AI111" s="377"/>
      <c r="AJ111" s="377"/>
      <c r="AK111" s="377"/>
      <c r="AL111" s="377"/>
      <c r="AM111" s="377"/>
      <c r="AN111" s="377"/>
      <c r="AO111" s="377"/>
      <c r="AP111" s="377"/>
      <c r="AQ111" s="377"/>
      <c r="AR111" s="377"/>
      <c r="AS111" s="377"/>
      <c r="AT111" s="377"/>
      <c r="AU111" s="377"/>
      <c r="AV111" s="377"/>
      <c r="AW111" s="377"/>
      <c r="AX111" s="377"/>
      <c r="AY111" s="377"/>
      <c r="AZ111" s="377"/>
      <c r="BA111" s="377"/>
      <c r="BB111" s="377"/>
      <c r="BC111" s="377"/>
      <c r="BD111" s="377"/>
      <c r="BE111" s="165"/>
    </row>
    <row r="112" spans="10:57" ht="18" customHeight="1">
      <c r="V112" s="36"/>
      <c r="W112" s="120"/>
      <c r="X112" s="377"/>
      <c r="Y112" s="377"/>
      <c r="Z112" s="377"/>
      <c r="AA112" s="377"/>
      <c r="AB112" s="377"/>
      <c r="AC112" s="377"/>
      <c r="AD112" s="377"/>
      <c r="AE112" s="377"/>
      <c r="AF112" s="377"/>
      <c r="AG112" s="377"/>
      <c r="AH112" s="377"/>
      <c r="AI112" s="377"/>
      <c r="AJ112" s="377"/>
      <c r="AK112" s="377"/>
      <c r="AL112" s="377"/>
      <c r="AM112" s="377"/>
      <c r="AN112" s="377"/>
      <c r="AO112" s="377"/>
      <c r="AP112" s="377"/>
      <c r="AQ112" s="377"/>
      <c r="AR112" s="377"/>
      <c r="AS112" s="377"/>
      <c r="AT112" s="377"/>
      <c r="AU112" s="377"/>
      <c r="AV112" s="377"/>
      <c r="AW112" s="377"/>
      <c r="AX112" s="377"/>
      <c r="AY112" s="377"/>
      <c r="AZ112" s="377"/>
      <c r="BA112" s="377"/>
      <c r="BB112" s="377"/>
      <c r="BC112" s="377"/>
      <c r="BD112" s="377"/>
      <c r="BE112" s="165"/>
    </row>
    <row r="113" spans="22:57" ht="18">
      <c r="V113" s="36"/>
      <c r="W113" s="120"/>
      <c r="X113" s="377"/>
      <c r="Y113" s="377"/>
      <c r="Z113" s="377"/>
      <c r="AA113" s="377"/>
      <c r="AB113" s="377"/>
      <c r="AC113" s="377"/>
      <c r="AD113" s="377"/>
      <c r="AE113" s="377"/>
      <c r="AF113" s="377"/>
      <c r="AG113" s="377"/>
      <c r="AH113" s="377"/>
      <c r="AI113" s="377"/>
      <c r="AJ113" s="377"/>
      <c r="AK113" s="377"/>
      <c r="AL113" s="377"/>
      <c r="AM113" s="377"/>
      <c r="AN113" s="377"/>
      <c r="AO113" s="377"/>
      <c r="AP113" s="377"/>
      <c r="AQ113" s="377"/>
      <c r="AR113" s="377"/>
      <c r="AS113" s="377"/>
      <c r="AT113" s="377"/>
      <c r="AU113" s="377"/>
      <c r="AV113" s="377"/>
      <c r="AW113" s="377"/>
      <c r="AX113" s="377"/>
      <c r="AY113" s="377"/>
      <c r="AZ113" s="377"/>
      <c r="BA113" s="377"/>
      <c r="BB113" s="377"/>
      <c r="BC113" s="377"/>
      <c r="BD113" s="377"/>
      <c r="BE113" s="165"/>
    </row>
    <row r="114" spans="22:57" ht="18">
      <c r="V114" s="30"/>
      <c r="W114" s="120"/>
      <c r="X114" s="377"/>
      <c r="Y114" s="377"/>
      <c r="Z114" s="377"/>
      <c r="AA114" s="377"/>
      <c r="AB114" s="377"/>
      <c r="AC114" s="377"/>
      <c r="AD114" s="377"/>
      <c r="AE114" s="377"/>
      <c r="AF114" s="377"/>
      <c r="AG114" s="377"/>
      <c r="AH114" s="377"/>
      <c r="AI114" s="377"/>
      <c r="AJ114" s="377"/>
      <c r="AK114" s="377"/>
      <c r="AL114" s="377"/>
      <c r="AM114" s="377"/>
      <c r="AN114" s="377"/>
      <c r="AO114" s="377"/>
      <c r="AP114" s="377"/>
      <c r="AQ114" s="377"/>
      <c r="AR114" s="377"/>
      <c r="AS114" s="377"/>
      <c r="AT114" s="377"/>
      <c r="AU114" s="377"/>
      <c r="AV114" s="377"/>
      <c r="AW114" s="377"/>
      <c r="AX114" s="377"/>
      <c r="AY114" s="377"/>
      <c r="AZ114" s="377"/>
      <c r="BA114" s="377"/>
      <c r="BB114" s="377"/>
      <c r="BC114" s="377"/>
      <c r="BD114" s="377"/>
      <c r="BE114" s="165"/>
    </row>
    <row r="115" spans="22:57" ht="18">
      <c r="V115" s="30"/>
      <c r="W115" s="120"/>
      <c r="X115" s="377"/>
      <c r="Y115" s="377"/>
      <c r="Z115" s="377"/>
      <c r="AA115" s="377"/>
      <c r="AB115" s="377"/>
      <c r="AC115" s="377"/>
      <c r="AD115" s="377"/>
      <c r="AE115" s="377"/>
      <c r="AF115" s="377"/>
      <c r="AG115" s="377"/>
      <c r="AH115" s="377"/>
      <c r="AI115" s="377"/>
      <c r="AJ115" s="377"/>
      <c r="AK115" s="377"/>
      <c r="AL115" s="377"/>
      <c r="AM115" s="377"/>
      <c r="AN115" s="377"/>
      <c r="AO115" s="377"/>
      <c r="AP115" s="377"/>
      <c r="AQ115" s="377"/>
      <c r="AR115" s="377"/>
      <c r="AS115" s="377"/>
      <c r="AT115" s="377"/>
      <c r="AU115" s="377"/>
      <c r="AV115" s="377"/>
      <c r="AW115" s="377"/>
      <c r="AX115" s="377"/>
      <c r="AY115" s="377"/>
      <c r="AZ115" s="377"/>
      <c r="BA115" s="377"/>
      <c r="BB115" s="377"/>
      <c r="BC115" s="377"/>
      <c r="BD115" s="377"/>
      <c r="BE115" s="165"/>
    </row>
    <row r="116" spans="22:57" ht="18">
      <c r="V116" s="30"/>
      <c r="W116" s="120"/>
      <c r="X116" s="377" t="s">
        <v>216</v>
      </c>
      <c r="Y116" s="377"/>
      <c r="Z116" s="377"/>
      <c r="AA116" s="377"/>
      <c r="AB116" s="377"/>
      <c r="AC116" s="377"/>
      <c r="AD116" s="377"/>
      <c r="AE116" s="377"/>
      <c r="AF116" s="377"/>
      <c r="AG116" s="377"/>
      <c r="AH116" s="377"/>
      <c r="AI116" s="377"/>
      <c r="AJ116" s="377"/>
      <c r="AK116" s="377"/>
      <c r="AL116" s="377"/>
      <c r="AM116" s="377"/>
      <c r="AN116" s="377"/>
      <c r="AO116" s="377"/>
      <c r="AP116" s="377"/>
      <c r="AQ116" s="377"/>
      <c r="AR116" s="377"/>
      <c r="AS116" s="377"/>
      <c r="AT116" s="377"/>
      <c r="AU116" s="377"/>
      <c r="AV116" s="377"/>
      <c r="AW116" s="377"/>
      <c r="AX116" s="377"/>
      <c r="AY116" s="377"/>
      <c r="AZ116" s="377"/>
      <c r="BA116" s="377"/>
      <c r="BB116" s="377"/>
      <c r="BC116" s="377"/>
      <c r="BD116" s="377"/>
      <c r="BE116" s="165"/>
    </row>
    <row r="117" spans="22:57" ht="18" customHeight="1">
      <c r="V117" s="30"/>
      <c r="W117" s="120"/>
      <c r="X117" s="377"/>
      <c r="Y117" s="377"/>
      <c r="Z117" s="377"/>
      <c r="AA117" s="377"/>
      <c r="AB117" s="377"/>
      <c r="AC117" s="377"/>
      <c r="AD117" s="377"/>
      <c r="AE117" s="377"/>
      <c r="AF117" s="377"/>
      <c r="AG117" s="377"/>
      <c r="AH117" s="377"/>
      <c r="AI117" s="377"/>
      <c r="AJ117" s="377"/>
      <c r="AK117" s="377"/>
      <c r="AL117" s="377"/>
      <c r="AM117" s="377"/>
      <c r="AN117" s="377"/>
      <c r="AO117" s="377"/>
      <c r="AP117" s="377"/>
      <c r="AQ117" s="377"/>
      <c r="AR117" s="377"/>
      <c r="AS117" s="377"/>
      <c r="AT117" s="377"/>
      <c r="AU117" s="377"/>
      <c r="AV117" s="377"/>
      <c r="AW117" s="377"/>
      <c r="AX117" s="377"/>
      <c r="AY117" s="377"/>
      <c r="AZ117" s="377"/>
      <c r="BA117" s="377"/>
      <c r="BB117" s="377"/>
      <c r="BC117" s="377"/>
      <c r="BD117" s="377"/>
      <c r="BE117" s="165"/>
    </row>
    <row r="118" spans="22:57" ht="18">
      <c r="V118" s="30"/>
      <c r="W118" s="120"/>
      <c r="X118" s="377"/>
      <c r="Y118" s="377"/>
      <c r="Z118" s="377"/>
      <c r="AA118" s="377"/>
      <c r="AB118" s="377"/>
      <c r="AC118" s="377"/>
      <c r="AD118" s="377"/>
      <c r="AE118" s="377"/>
      <c r="AF118" s="377"/>
      <c r="AG118" s="377"/>
      <c r="AH118" s="377"/>
      <c r="AI118" s="377"/>
      <c r="AJ118" s="377"/>
      <c r="AK118" s="377"/>
      <c r="AL118" s="377"/>
      <c r="AM118" s="377"/>
      <c r="AN118" s="377"/>
      <c r="AO118" s="377"/>
      <c r="AP118" s="377"/>
      <c r="AQ118" s="377"/>
      <c r="AR118" s="377"/>
      <c r="AS118" s="377"/>
      <c r="AT118" s="377"/>
      <c r="AU118" s="377"/>
      <c r="AV118" s="377"/>
      <c r="AW118" s="377"/>
      <c r="AX118" s="377"/>
      <c r="AY118" s="377"/>
      <c r="AZ118" s="377"/>
      <c r="BA118" s="377"/>
      <c r="BB118" s="377"/>
      <c r="BC118" s="377"/>
      <c r="BD118" s="377"/>
      <c r="BE118" s="165"/>
    </row>
    <row r="119" spans="22:57" ht="18.600000000000001" thickBot="1">
      <c r="V119" s="30"/>
      <c r="W119" s="120"/>
      <c r="X119" s="377"/>
      <c r="Y119" s="377"/>
      <c r="Z119" s="377"/>
      <c r="AA119" s="377"/>
      <c r="AB119" s="377"/>
      <c r="AC119" s="377"/>
      <c r="AD119" s="377"/>
      <c r="AE119" s="377"/>
      <c r="AF119" s="377"/>
      <c r="AG119" s="377"/>
      <c r="AH119" s="377"/>
      <c r="AI119" s="377"/>
      <c r="AJ119" s="377"/>
      <c r="AK119" s="377"/>
      <c r="AL119" s="377"/>
      <c r="AM119" s="377"/>
      <c r="AN119" s="377"/>
      <c r="AO119" s="377"/>
      <c r="AP119" s="377"/>
      <c r="AQ119" s="377"/>
      <c r="AR119" s="377"/>
      <c r="AS119" s="377"/>
      <c r="AT119" s="377"/>
      <c r="AU119" s="377"/>
      <c r="AV119" s="377"/>
      <c r="AW119" s="377"/>
      <c r="AX119" s="377"/>
      <c r="AY119" s="377"/>
      <c r="AZ119" s="377"/>
      <c r="BA119" s="377"/>
      <c r="BB119" s="377"/>
      <c r="BC119" s="377"/>
      <c r="BD119" s="377"/>
      <c r="BE119" s="165"/>
    </row>
    <row r="120" spans="22:57" ht="15.6">
      <c r="V120" s="30"/>
      <c r="W120" s="120"/>
      <c r="X120" s="168"/>
      <c r="Y120" s="168"/>
      <c r="Z120" s="168"/>
      <c r="AA120" s="168"/>
      <c r="AB120" s="168"/>
      <c r="AC120" s="168"/>
      <c r="AD120" s="168"/>
      <c r="AE120" s="168"/>
      <c r="AF120" s="168"/>
      <c r="AG120" s="168"/>
      <c r="AH120" s="168"/>
      <c r="AI120" s="168"/>
      <c r="AJ120" s="168"/>
      <c r="AK120" s="168"/>
      <c r="AL120" s="129"/>
      <c r="AM120" s="120" t="s">
        <v>217</v>
      </c>
      <c r="AN120" s="120"/>
      <c r="AO120" s="169"/>
      <c r="AP120" s="120"/>
      <c r="AQ120" s="120"/>
      <c r="AR120" s="168"/>
      <c r="AS120" s="168"/>
      <c r="AT120" s="378"/>
      <c r="AU120" s="379"/>
      <c r="AV120" s="379"/>
      <c r="AW120" s="379"/>
      <c r="AX120" s="380"/>
      <c r="AY120" s="170"/>
      <c r="AZ120" s="387"/>
      <c r="BA120" s="388"/>
      <c r="BB120" s="388"/>
      <c r="BC120" s="388"/>
      <c r="BD120" s="389"/>
      <c r="BE120" s="168"/>
    </row>
    <row r="121" spans="22:57" ht="15.6">
      <c r="V121" s="30"/>
      <c r="W121" s="120"/>
      <c r="X121" s="120"/>
      <c r="Y121" s="120"/>
      <c r="Z121" s="120"/>
      <c r="AA121" s="120"/>
      <c r="AB121" s="120"/>
      <c r="AC121" s="120"/>
      <c r="AD121" s="120"/>
      <c r="AE121" s="120"/>
      <c r="AF121" s="120"/>
      <c r="AG121" s="120"/>
      <c r="AH121" s="120"/>
      <c r="AI121" s="120"/>
      <c r="AJ121" s="120"/>
      <c r="AK121" s="120"/>
      <c r="AL121" s="129"/>
      <c r="AM121" s="120" t="s">
        <v>218</v>
      </c>
      <c r="AN121" s="120"/>
      <c r="AO121" s="120"/>
      <c r="AP121" s="120"/>
      <c r="AQ121" s="120"/>
      <c r="AR121" s="120"/>
      <c r="AS121" s="120"/>
      <c r="AT121" s="381"/>
      <c r="AU121" s="382"/>
      <c r="AV121" s="382"/>
      <c r="AW121" s="382"/>
      <c r="AX121" s="383"/>
      <c r="AY121" s="168"/>
      <c r="AZ121" s="390"/>
      <c r="BA121" s="391"/>
      <c r="BB121" s="391"/>
      <c r="BC121" s="391"/>
      <c r="BD121" s="392"/>
      <c r="BE121" s="168"/>
    </row>
    <row r="122" spans="22:57" ht="15.6">
      <c r="V122" s="30"/>
      <c r="W122" s="120"/>
      <c r="X122" s="120"/>
      <c r="Y122" s="120"/>
      <c r="Z122" s="120"/>
      <c r="AA122" s="120"/>
      <c r="AB122" s="120"/>
      <c r="AC122" s="120"/>
      <c r="AD122" s="120"/>
      <c r="AE122" s="120"/>
      <c r="AF122" s="120"/>
      <c r="AG122" s="120"/>
      <c r="AH122" s="120"/>
      <c r="AI122" s="120"/>
      <c r="AJ122" s="120"/>
      <c r="AK122" s="120"/>
      <c r="AL122" s="129"/>
      <c r="AM122" s="120" t="s">
        <v>219</v>
      </c>
      <c r="AN122" s="120"/>
      <c r="AO122" s="120"/>
      <c r="AP122" s="120"/>
      <c r="AQ122" s="120"/>
      <c r="AR122" s="120"/>
      <c r="AS122" s="120"/>
      <c r="AT122" s="381"/>
      <c r="AU122" s="382"/>
      <c r="AV122" s="382"/>
      <c r="AW122" s="382"/>
      <c r="AX122" s="383"/>
      <c r="AY122" s="168"/>
      <c r="AZ122" s="390"/>
      <c r="BA122" s="391"/>
      <c r="BB122" s="391"/>
      <c r="BC122" s="391"/>
      <c r="BD122" s="392"/>
      <c r="BE122" s="168"/>
    </row>
    <row r="123" spans="22:57" ht="16.2" thickBot="1">
      <c r="V123" s="30"/>
      <c r="W123" s="120"/>
      <c r="X123" s="120"/>
      <c r="Y123" s="120"/>
      <c r="Z123" s="396" t="str">
        <f>AU64</f>
        <v>MADONNA LYN O MARQUEZ</v>
      </c>
      <c r="AA123" s="396"/>
      <c r="AB123" s="396"/>
      <c r="AC123" s="396"/>
      <c r="AD123" s="396"/>
      <c r="AE123" s="396"/>
      <c r="AF123" s="396"/>
      <c r="AG123" s="396"/>
      <c r="AH123" s="396"/>
      <c r="AI123" s="120"/>
      <c r="AJ123" s="120"/>
      <c r="AK123" s="120"/>
      <c r="AL123" s="129"/>
      <c r="AM123" s="120" t="s">
        <v>127</v>
      </c>
      <c r="AN123" s="120"/>
      <c r="AO123" s="373" t="s">
        <v>295</v>
      </c>
      <c r="AP123" s="373"/>
      <c r="AQ123" s="373"/>
      <c r="AR123" s="120"/>
      <c r="AS123" s="120"/>
      <c r="AT123" s="381"/>
      <c r="AU123" s="382"/>
      <c r="AV123" s="382"/>
      <c r="AW123" s="382"/>
      <c r="AX123" s="383"/>
      <c r="AY123" s="168"/>
      <c r="AZ123" s="390"/>
      <c r="BA123" s="391"/>
      <c r="BB123" s="391"/>
      <c r="BC123" s="391"/>
      <c r="BD123" s="392"/>
      <c r="BE123" s="168"/>
    </row>
    <row r="124" spans="22:57" ht="15.6">
      <c r="V124" s="30"/>
      <c r="W124" s="120"/>
      <c r="X124" s="397" t="s">
        <v>220</v>
      </c>
      <c r="Y124" s="397"/>
      <c r="Z124" s="397"/>
      <c r="AA124" s="397"/>
      <c r="AB124" s="397"/>
      <c r="AC124" s="397"/>
      <c r="AD124" s="397"/>
      <c r="AE124" s="397"/>
      <c r="AF124" s="397"/>
      <c r="AG124" s="397"/>
      <c r="AH124" s="397"/>
      <c r="AI124" s="397"/>
      <c r="AJ124" s="397"/>
      <c r="AK124" s="120"/>
      <c r="AL124" s="120"/>
      <c r="AM124" s="120"/>
      <c r="AN124" s="120"/>
      <c r="AO124" s="120"/>
      <c r="AP124" s="120"/>
      <c r="AQ124" s="120"/>
      <c r="AR124" s="120"/>
      <c r="AS124" s="120"/>
      <c r="AT124" s="381"/>
      <c r="AU124" s="382"/>
      <c r="AV124" s="382"/>
      <c r="AW124" s="382"/>
      <c r="AX124" s="383"/>
      <c r="AY124" s="168"/>
      <c r="AZ124" s="390"/>
      <c r="BA124" s="391"/>
      <c r="BB124" s="391"/>
      <c r="BC124" s="391"/>
      <c r="BD124" s="392"/>
      <c r="BE124" s="168"/>
    </row>
    <row r="125" spans="22:57" ht="15.6">
      <c r="V125" s="30"/>
      <c r="W125" s="120"/>
      <c r="X125" s="123"/>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381"/>
      <c r="AU125" s="382"/>
      <c r="AV125" s="382"/>
      <c r="AW125" s="382"/>
      <c r="AX125" s="383"/>
      <c r="AY125" s="168"/>
      <c r="AZ125" s="390"/>
      <c r="BA125" s="391"/>
      <c r="BB125" s="391"/>
      <c r="BC125" s="391"/>
      <c r="BD125" s="392"/>
      <c r="BE125" s="168"/>
    </row>
    <row r="126" spans="22:57" ht="16.2" thickBot="1">
      <c r="V126" s="30"/>
      <c r="W126" s="120"/>
      <c r="X126" s="120" t="s">
        <v>221</v>
      </c>
      <c r="Y126" s="120"/>
      <c r="Z126" s="373" t="s">
        <v>296</v>
      </c>
      <c r="AA126" s="373"/>
      <c r="AB126" s="373"/>
      <c r="AC126" s="373"/>
      <c r="AD126" s="373"/>
      <c r="AE126" s="373"/>
      <c r="AF126" s="373"/>
      <c r="AG126" s="373"/>
      <c r="AH126" s="373"/>
      <c r="AI126" s="373"/>
      <c r="AJ126" s="120"/>
      <c r="AK126" s="120"/>
      <c r="AL126" s="120"/>
      <c r="AM126" s="120"/>
      <c r="AN126" s="120"/>
      <c r="AO126" s="120"/>
      <c r="AP126" s="120"/>
      <c r="AQ126" s="120"/>
      <c r="AR126" s="120"/>
      <c r="AS126" s="120"/>
      <c r="AT126" s="384"/>
      <c r="AU126" s="385"/>
      <c r="AV126" s="385"/>
      <c r="AW126" s="385"/>
      <c r="AX126" s="386"/>
      <c r="AY126" s="171"/>
      <c r="AZ126" s="393"/>
      <c r="BA126" s="394"/>
      <c r="BB126" s="394"/>
      <c r="BC126" s="394"/>
      <c r="BD126" s="395"/>
      <c r="BE126" s="168"/>
    </row>
    <row r="127" spans="22:57" ht="16.2" thickBot="1">
      <c r="V127" s="30"/>
      <c r="W127" s="120"/>
      <c r="X127" s="120" t="s">
        <v>222</v>
      </c>
      <c r="Y127" s="120"/>
      <c r="Z127" s="120"/>
      <c r="AA127" s="120"/>
      <c r="AB127" s="374"/>
      <c r="AC127" s="374"/>
      <c r="AD127" s="374"/>
      <c r="AE127" s="374"/>
      <c r="AF127" s="374"/>
      <c r="AG127" s="374"/>
      <c r="AH127" s="374"/>
      <c r="AI127" s="374"/>
      <c r="AJ127" s="120"/>
      <c r="AK127" s="120"/>
      <c r="AL127" s="120"/>
      <c r="AM127" s="120"/>
      <c r="AN127" s="120"/>
      <c r="AO127" s="120"/>
      <c r="AP127" s="120"/>
      <c r="AQ127" s="120"/>
      <c r="AR127" s="120"/>
      <c r="AS127" s="120"/>
      <c r="AT127" s="375" t="s">
        <v>223</v>
      </c>
      <c r="AU127" s="375"/>
      <c r="AV127" s="375"/>
      <c r="AW127" s="375"/>
      <c r="AX127" s="375"/>
      <c r="AY127" s="133"/>
      <c r="AZ127" s="375" t="s">
        <v>224</v>
      </c>
      <c r="BA127" s="375"/>
      <c r="BB127" s="375"/>
      <c r="BC127" s="375"/>
      <c r="BD127" s="375"/>
      <c r="BE127" s="134"/>
    </row>
    <row r="128" spans="22:57" ht="15.6">
      <c r="V128" s="3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row>
    <row r="129" spans="10:57" ht="15.6">
      <c r="V129" s="3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row>
    <row r="130" spans="10:57" ht="18">
      <c r="V130" s="30"/>
      <c r="W130" s="120"/>
      <c r="X130" s="368" t="s">
        <v>225</v>
      </c>
      <c r="Y130" s="369"/>
      <c r="Z130" s="369"/>
      <c r="AA130" s="369"/>
      <c r="AB130" s="369"/>
      <c r="AC130" s="369"/>
      <c r="AD130" s="369"/>
      <c r="AE130" s="369"/>
      <c r="AF130" s="369"/>
      <c r="AG130" s="369"/>
      <c r="AH130" s="369"/>
      <c r="AI130" s="369"/>
      <c r="AJ130" s="369"/>
      <c r="AK130" s="369"/>
      <c r="AL130" s="369"/>
      <c r="AM130" s="369"/>
      <c r="AN130" s="369"/>
      <c r="AO130" s="369"/>
      <c r="AP130" s="369"/>
      <c r="AQ130" s="369"/>
      <c r="AR130" s="369"/>
      <c r="AS130" s="369"/>
      <c r="AT130" s="369"/>
      <c r="AU130" s="369"/>
      <c r="AV130" s="369"/>
      <c r="AW130" s="369"/>
      <c r="AX130" s="369"/>
      <c r="AY130" s="369"/>
      <c r="AZ130" s="369"/>
      <c r="BA130" s="369"/>
      <c r="BB130" s="369"/>
      <c r="BC130" s="369"/>
      <c r="BD130" s="369"/>
      <c r="BE130" s="369"/>
    </row>
    <row r="131" spans="10:57" ht="15.6">
      <c r="V131" s="3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row>
    <row r="132" spans="10:57" ht="17.399999999999999">
      <c r="V132" s="30"/>
      <c r="W132" s="120"/>
      <c r="X132" s="172" t="s">
        <v>226</v>
      </c>
      <c r="Y132" s="173"/>
      <c r="Z132" s="173"/>
      <c r="AA132" s="173"/>
      <c r="AB132" s="173"/>
      <c r="AC132" s="173"/>
      <c r="AD132" s="173"/>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row>
    <row r="133" spans="10:57" ht="17.399999999999999">
      <c r="V133" s="30"/>
      <c r="W133" s="120"/>
      <c r="X133" s="174" t="s">
        <v>227</v>
      </c>
      <c r="Y133" s="173"/>
      <c r="Z133" s="173"/>
      <c r="AA133" s="173"/>
      <c r="AB133" s="173"/>
      <c r="AC133" s="173"/>
      <c r="AD133" s="173"/>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row>
    <row r="134" spans="10:57" ht="17.399999999999999">
      <c r="V134" s="30"/>
      <c r="W134" s="120"/>
      <c r="X134" s="173"/>
      <c r="Y134" s="173"/>
      <c r="Z134" s="173"/>
      <c r="AA134" s="173"/>
      <c r="AB134" s="173"/>
      <c r="AC134" s="173"/>
      <c r="AD134" s="173"/>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row>
    <row r="135" spans="10:57" ht="17.399999999999999">
      <c r="J135" s="30"/>
      <c r="K135" s="30"/>
      <c r="L135" s="30"/>
      <c r="M135" s="30"/>
      <c r="N135" s="30"/>
      <c r="O135" s="32"/>
      <c r="P135" s="30"/>
      <c r="Q135" s="30"/>
      <c r="R135" s="30"/>
      <c r="S135" s="30"/>
      <c r="T135" s="30"/>
      <c r="U135" s="30"/>
      <c r="V135" s="30"/>
      <c r="W135" s="120"/>
      <c r="X135" s="376" t="s">
        <v>228</v>
      </c>
      <c r="Y135" s="376"/>
      <c r="Z135" s="376"/>
      <c r="AA135" s="376"/>
      <c r="AB135" s="376"/>
      <c r="AC135" s="376"/>
      <c r="AD135" s="376"/>
      <c r="AE135" s="376"/>
      <c r="AF135" s="376"/>
      <c r="AG135" s="376"/>
      <c r="AH135" s="376"/>
      <c r="AI135" s="376"/>
      <c r="AJ135" s="376"/>
      <c r="AK135" s="376"/>
      <c r="AL135" s="376"/>
      <c r="AM135" s="376"/>
      <c r="AN135" s="376"/>
      <c r="AO135" s="376"/>
      <c r="AP135" s="376"/>
      <c r="AQ135" s="376"/>
      <c r="AR135" s="376"/>
      <c r="AS135" s="376"/>
      <c r="AT135" s="376"/>
      <c r="AU135" s="376"/>
      <c r="AV135" s="376"/>
      <c r="AW135" s="376"/>
      <c r="AX135" s="376"/>
      <c r="AY135" s="376"/>
      <c r="AZ135" s="376"/>
      <c r="BA135" s="376"/>
      <c r="BB135" s="376"/>
      <c r="BC135" s="376"/>
      <c r="BD135" s="376"/>
      <c r="BE135" s="175"/>
    </row>
    <row r="136" spans="10:57" ht="17.399999999999999">
      <c r="W136" s="120"/>
      <c r="X136" s="370" t="s">
        <v>229</v>
      </c>
      <c r="Y136" s="370"/>
      <c r="Z136" s="370"/>
      <c r="AA136" s="370"/>
      <c r="AB136" s="370"/>
      <c r="AC136" s="370"/>
      <c r="AD136" s="370"/>
      <c r="AE136" s="370"/>
      <c r="AF136" s="370"/>
      <c r="AG136" s="370"/>
      <c r="AH136" s="370"/>
      <c r="AI136" s="370"/>
      <c r="AJ136" s="370"/>
      <c r="AK136" s="370"/>
      <c r="AL136" s="370"/>
      <c r="AM136" s="370"/>
      <c r="AN136" s="370"/>
      <c r="AO136" s="370"/>
      <c r="AP136" s="370"/>
      <c r="AQ136" s="370"/>
      <c r="AR136" s="370"/>
      <c r="AS136" s="370"/>
      <c r="AT136" s="370"/>
      <c r="AU136" s="370"/>
      <c r="AV136" s="370"/>
      <c r="AW136" s="370"/>
      <c r="AX136" s="370"/>
      <c r="AY136" s="370"/>
      <c r="AZ136" s="370"/>
      <c r="BA136" s="370"/>
      <c r="BB136" s="370"/>
      <c r="BC136" s="370"/>
      <c r="BD136" s="370"/>
      <c r="BE136" s="175"/>
    </row>
    <row r="137" spans="10:57" ht="17.399999999999999">
      <c r="W137" s="120"/>
      <c r="X137" s="370"/>
      <c r="Y137" s="370"/>
      <c r="Z137" s="370"/>
      <c r="AA137" s="370"/>
      <c r="AB137" s="370"/>
      <c r="AC137" s="370"/>
      <c r="AD137" s="370"/>
      <c r="AE137" s="370"/>
      <c r="AF137" s="370"/>
      <c r="AG137" s="370"/>
      <c r="AH137" s="370"/>
      <c r="AI137" s="370"/>
      <c r="AJ137" s="370"/>
      <c r="AK137" s="370"/>
      <c r="AL137" s="370"/>
      <c r="AM137" s="370"/>
      <c r="AN137" s="370"/>
      <c r="AO137" s="370"/>
      <c r="AP137" s="370"/>
      <c r="AQ137" s="370"/>
      <c r="AR137" s="370"/>
      <c r="AS137" s="370"/>
      <c r="AT137" s="370"/>
      <c r="AU137" s="370"/>
      <c r="AV137" s="370"/>
      <c r="AW137" s="370"/>
      <c r="AX137" s="370"/>
      <c r="AY137" s="370"/>
      <c r="AZ137" s="370"/>
      <c r="BA137" s="370"/>
      <c r="BB137" s="370"/>
      <c r="BC137" s="370"/>
      <c r="BD137" s="370"/>
      <c r="BE137" s="175"/>
    </row>
    <row r="138" spans="10:57" ht="17.399999999999999">
      <c r="W138" s="120"/>
      <c r="X138" s="370"/>
      <c r="Y138" s="370"/>
      <c r="Z138" s="370"/>
      <c r="AA138" s="370"/>
      <c r="AB138" s="370"/>
      <c r="AC138" s="370"/>
      <c r="AD138" s="370"/>
      <c r="AE138" s="370"/>
      <c r="AF138" s="370"/>
      <c r="AG138" s="370"/>
      <c r="AH138" s="370"/>
      <c r="AI138" s="370"/>
      <c r="AJ138" s="370"/>
      <c r="AK138" s="370"/>
      <c r="AL138" s="370"/>
      <c r="AM138" s="370"/>
      <c r="AN138" s="370"/>
      <c r="AO138" s="370"/>
      <c r="AP138" s="370"/>
      <c r="AQ138" s="370"/>
      <c r="AR138" s="370"/>
      <c r="AS138" s="370"/>
      <c r="AT138" s="370"/>
      <c r="AU138" s="370"/>
      <c r="AV138" s="370"/>
      <c r="AW138" s="370"/>
      <c r="AX138" s="370"/>
      <c r="AY138" s="370"/>
      <c r="AZ138" s="370"/>
      <c r="BA138" s="370"/>
      <c r="BB138" s="370"/>
      <c r="BC138" s="370"/>
      <c r="BD138" s="370"/>
      <c r="BE138" s="175"/>
    </row>
    <row r="139" spans="10:57" ht="17.399999999999999">
      <c r="W139" s="120"/>
      <c r="X139" s="370"/>
      <c r="Y139" s="370"/>
      <c r="Z139" s="370"/>
      <c r="AA139" s="370"/>
      <c r="AB139" s="370"/>
      <c r="AC139" s="370"/>
      <c r="AD139" s="370"/>
      <c r="AE139" s="370"/>
      <c r="AF139" s="370"/>
      <c r="AG139" s="370"/>
      <c r="AH139" s="370"/>
      <c r="AI139" s="370"/>
      <c r="AJ139" s="370"/>
      <c r="AK139" s="370"/>
      <c r="AL139" s="370"/>
      <c r="AM139" s="370"/>
      <c r="AN139" s="370"/>
      <c r="AO139" s="370"/>
      <c r="AP139" s="370"/>
      <c r="AQ139" s="370"/>
      <c r="AR139" s="370"/>
      <c r="AS139" s="370"/>
      <c r="AT139" s="370"/>
      <c r="AU139" s="370"/>
      <c r="AV139" s="370"/>
      <c r="AW139" s="370"/>
      <c r="AX139" s="370"/>
      <c r="AY139" s="370"/>
      <c r="AZ139" s="370"/>
      <c r="BA139" s="370"/>
      <c r="BB139" s="370"/>
      <c r="BC139" s="370"/>
      <c r="BD139" s="370"/>
      <c r="BE139" s="176"/>
    </row>
    <row r="140" spans="10:57" ht="17.399999999999999">
      <c r="W140" s="120"/>
      <c r="X140" s="173"/>
      <c r="Y140" s="177" t="s">
        <v>230</v>
      </c>
      <c r="Z140" s="173"/>
      <c r="AA140" s="173"/>
      <c r="AB140" s="173"/>
      <c r="AC140" s="173"/>
      <c r="AD140" s="173"/>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row>
    <row r="141" spans="10:57" ht="17.399999999999999">
      <c r="W141" s="120"/>
      <c r="X141" s="173"/>
      <c r="Y141" s="173"/>
      <c r="Z141" s="173"/>
      <c r="AA141" s="173"/>
      <c r="AB141" s="173"/>
      <c r="AC141" s="173"/>
      <c r="AD141" s="173"/>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row>
    <row r="142" spans="10:57" ht="18" thickBot="1">
      <c r="W142" s="120"/>
      <c r="X142" s="178" t="s">
        <v>231</v>
      </c>
      <c r="Y142" s="173"/>
      <c r="Z142" s="173"/>
      <c r="AA142" s="371"/>
      <c r="AB142" s="371"/>
      <c r="AC142" s="371"/>
      <c r="AD142" s="173"/>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row>
    <row r="143" spans="10:57" ht="18" thickBot="1">
      <c r="W143" s="120"/>
      <c r="X143" s="178" t="s">
        <v>232</v>
      </c>
      <c r="Y143" s="173"/>
      <c r="Z143" s="173"/>
      <c r="AA143" s="372"/>
      <c r="AB143" s="372"/>
      <c r="AC143" s="372"/>
      <c r="AD143" s="173"/>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row>
    <row r="144" spans="10:57" ht="18" thickBot="1">
      <c r="W144" s="120"/>
      <c r="X144" s="178" t="s">
        <v>233</v>
      </c>
      <c r="Y144" s="173"/>
      <c r="Z144" s="173"/>
      <c r="AA144" s="372"/>
      <c r="AB144" s="372"/>
      <c r="AC144" s="372"/>
      <c r="AD144" s="173"/>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row>
    <row r="145" spans="23:57" ht="18" thickBot="1">
      <c r="W145" s="120"/>
      <c r="X145" s="178" t="s">
        <v>234</v>
      </c>
      <c r="Y145" s="173"/>
      <c r="Z145" s="173"/>
      <c r="AA145" s="372"/>
      <c r="AB145" s="372"/>
      <c r="AC145" s="372"/>
      <c r="AD145" s="173"/>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row>
    <row r="146" spans="23:57" ht="15.6">
      <c r="W146" s="120"/>
      <c r="X146" s="179"/>
      <c r="Y146" s="120"/>
      <c r="Z146" s="120"/>
      <c r="AA146" s="130"/>
      <c r="AB146" s="130"/>
      <c r="AC146" s="13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row>
    <row r="147" spans="23:57" ht="18">
      <c r="W147" s="120"/>
      <c r="X147" s="368" t="s">
        <v>235</v>
      </c>
      <c r="Y147" s="369"/>
      <c r="Z147" s="369"/>
      <c r="AA147" s="369"/>
      <c r="AB147" s="369"/>
      <c r="AC147" s="369"/>
      <c r="AD147" s="369"/>
      <c r="AE147" s="369"/>
      <c r="AF147" s="369"/>
      <c r="AG147" s="369"/>
      <c r="AH147" s="369"/>
      <c r="AI147" s="369"/>
      <c r="AJ147" s="369"/>
      <c r="AK147" s="369"/>
      <c r="AL147" s="369"/>
      <c r="AM147" s="369"/>
      <c r="AN147" s="369"/>
      <c r="AO147" s="369"/>
      <c r="AP147" s="369"/>
      <c r="AQ147" s="369"/>
      <c r="AR147" s="369"/>
      <c r="AS147" s="369"/>
      <c r="AT147" s="369"/>
      <c r="AU147" s="369"/>
      <c r="AV147" s="369"/>
      <c r="AW147" s="369"/>
      <c r="AX147" s="369"/>
      <c r="AY147" s="369"/>
      <c r="AZ147" s="369"/>
      <c r="BA147" s="369"/>
      <c r="BB147" s="369"/>
      <c r="BC147" s="369"/>
      <c r="BD147" s="369"/>
      <c r="BE147" s="180"/>
    </row>
    <row r="148" spans="23:57" ht="15.6">
      <c r="W148" s="120"/>
      <c r="X148" s="181"/>
      <c r="Y148" s="182"/>
      <c r="Z148" s="182"/>
      <c r="AA148" s="182"/>
      <c r="AB148" s="182"/>
      <c r="AC148" s="182"/>
      <c r="AD148" s="182"/>
      <c r="AE148" s="182"/>
      <c r="AF148" s="182"/>
      <c r="AG148" s="182"/>
      <c r="AH148" s="182"/>
      <c r="AI148" s="182"/>
      <c r="AJ148" s="182"/>
      <c r="AK148" s="182"/>
      <c r="AL148" s="182"/>
      <c r="AM148" s="182"/>
      <c r="AN148" s="182"/>
      <c r="AO148" s="182"/>
      <c r="AP148" s="182"/>
      <c r="AQ148" s="182"/>
      <c r="AR148" s="182"/>
      <c r="AS148" s="182"/>
      <c r="AT148" s="182"/>
      <c r="AU148" s="182"/>
      <c r="AV148" s="182"/>
      <c r="AW148" s="182"/>
      <c r="AX148" s="182"/>
      <c r="AY148" s="182"/>
      <c r="AZ148" s="182"/>
      <c r="BA148" s="182"/>
      <c r="BB148" s="182"/>
      <c r="BC148" s="182"/>
      <c r="BD148" s="182"/>
      <c r="BE148" s="182"/>
    </row>
    <row r="149" spans="23:57" ht="17.399999999999999">
      <c r="W149" s="120"/>
      <c r="X149" s="173"/>
      <c r="Y149" s="173" t="s">
        <v>236</v>
      </c>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row>
    <row r="150" spans="23:57" ht="17.399999999999999">
      <c r="W150" s="120"/>
      <c r="X150" s="183" t="s">
        <v>237</v>
      </c>
      <c r="Y150" s="173"/>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row>
    <row r="151" spans="23:57" ht="18.600000000000001" thickBot="1">
      <c r="W151" s="120"/>
      <c r="X151" s="183" t="s">
        <v>238</v>
      </c>
      <c r="Y151" s="173"/>
      <c r="Z151" s="120"/>
      <c r="AA151" s="120"/>
      <c r="AB151" s="120"/>
      <c r="AC151" s="184"/>
      <c r="AD151" s="364">
        <f>AN102</f>
        <v>2771.380860951364</v>
      </c>
      <c r="AE151" s="364"/>
      <c r="AF151" s="364"/>
      <c r="AG151" s="364"/>
      <c r="AH151" s="365" t="s">
        <v>239</v>
      </c>
      <c r="AI151" s="365"/>
      <c r="AJ151" s="365"/>
      <c r="AK151" s="365"/>
      <c r="AL151" s="185">
        <f>AB102</f>
        <v>36</v>
      </c>
      <c r="AM151" s="186" t="s">
        <v>240</v>
      </c>
      <c r="AQ151" s="120"/>
      <c r="AR151" s="120"/>
      <c r="AS151" s="120"/>
      <c r="AT151" s="120"/>
      <c r="AU151" s="366">
        <f>AB39</f>
        <v>150000</v>
      </c>
      <c r="AV151" s="366"/>
      <c r="AW151" s="366"/>
      <c r="AX151" s="366"/>
      <c r="AY151" s="366"/>
      <c r="AZ151" s="186" t="s">
        <v>241</v>
      </c>
      <c r="BA151" s="187"/>
      <c r="BB151" s="187"/>
      <c r="BC151" s="187"/>
      <c r="BE151" s="120"/>
    </row>
    <row r="152" spans="23:57" ht="17.399999999999999">
      <c r="W152" s="120"/>
      <c r="X152" s="173"/>
      <c r="Y152" s="177" t="s">
        <v>242</v>
      </c>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row>
    <row r="153" spans="23:57" ht="17.399999999999999">
      <c r="W153" s="120"/>
      <c r="X153" s="177" t="s">
        <v>243</v>
      </c>
      <c r="Y153" s="173"/>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row>
    <row r="154" spans="23:57" ht="15.6">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row>
    <row r="155" spans="23:57" ht="18.600000000000001" thickBot="1">
      <c r="W155" s="120"/>
      <c r="X155" s="120"/>
      <c r="Y155" s="120"/>
      <c r="Z155" s="120"/>
      <c r="AA155" s="120"/>
      <c r="AB155" s="120"/>
      <c r="AC155" s="120"/>
      <c r="AD155" s="120"/>
      <c r="AE155" s="120"/>
      <c r="AF155" s="120"/>
      <c r="AG155" s="120"/>
      <c r="AH155" s="120"/>
      <c r="AI155" s="367" t="str">
        <f>Z123</f>
        <v>MADONNA LYN O MARQUEZ</v>
      </c>
      <c r="AJ155" s="367"/>
      <c r="AK155" s="367"/>
      <c r="AL155" s="367"/>
      <c r="AM155" s="367"/>
      <c r="AN155" s="367"/>
      <c r="AO155" s="367"/>
      <c r="AP155" s="367"/>
      <c r="AQ155" s="367"/>
      <c r="AR155" s="367"/>
      <c r="AS155" s="367"/>
      <c r="AT155" s="188"/>
      <c r="AU155" s="188"/>
      <c r="AV155" s="120"/>
      <c r="AW155" s="120"/>
      <c r="AX155" s="120"/>
      <c r="AY155" s="120"/>
      <c r="AZ155" s="120"/>
      <c r="BA155" s="120"/>
      <c r="BB155" s="120"/>
      <c r="BC155" s="120"/>
      <c r="BD155" s="120"/>
      <c r="BE155" s="120"/>
    </row>
    <row r="156" spans="23:57" ht="15.6">
      <c r="W156" s="120"/>
      <c r="X156" s="363" t="s">
        <v>244</v>
      </c>
      <c r="Y156" s="363"/>
      <c r="Z156" s="363"/>
      <c r="AA156" s="363"/>
      <c r="AB156" s="363"/>
      <c r="AC156" s="363"/>
      <c r="AD156" s="363"/>
      <c r="AE156" s="363"/>
      <c r="AF156" s="363"/>
      <c r="AG156" s="363"/>
      <c r="AH156" s="363"/>
      <c r="AI156" s="363"/>
      <c r="AJ156" s="363"/>
      <c r="AK156" s="363"/>
      <c r="AL156" s="363"/>
      <c r="AM156" s="363"/>
      <c r="AN156" s="363"/>
      <c r="AO156" s="363"/>
      <c r="AP156" s="363"/>
      <c r="AQ156" s="363"/>
      <c r="AR156" s="363"/>
      <c r="AS156" s="363"/>
      <c r="AT156" s="363"/>
      <c r="AU156" s="363"/>
      <c r="AV156" s="363"/>
      <c r="AW156" s="363"/>
      <c r="AX156" s="363"/>
      <c r="AY156" s="363"/>
      <c r="AZ156" s="363"/>
      <c r="BA156" s="363"/>
      <c r="BB156" s="363"/>
      <c r="BC156" s="363"/>
      <c r="BD156" s="363"/>
      <c r="BE156" s="123"/>
    </row>
    <row r="157" spans="23:57" ht="15.6">
      <c r="W157" s="120"/>
      <c r="X157" s="164"/>
      <c r="Y157" s="164"/>
      <c r="Z157" s="164"/>
      <c r="AA157" s="164"/>
      <c r="AB157" s="164"/>
      <c r="AC157" s="164"/>
      <c r="AD157" s="164"/>
      <c r="AE157" s="164"/>
      <c r="AF157" s="164"/>
      <c r="AG157" s="164"/>
      <c r="AH157" s="164"/>
      <c r="AI157" s="164"/>
      <c r="AJ157" s="164"/>
      <c r="AK157" s="164"/>
      <c r="AL157" s="164"/>
      <c r="AM157" s="164"/>
      <c r="AN157" s="164"/>
      <c r="AO157" s="164"/>
      <c r="AP157" s="164"/>
      <c r="AQ157" s="164"/>
      <c r="AR157" s="164"/>
      <c r="AS157" s="164"/>
      <c r="AT157" s="164"/>
      <c r="AU157" s="164"/>
      <c r="AV157" s="164"/>
      <c r="AW157" s="164"/>
      <c r="AX157" s="164"/>
      <c r="AY157" s="164"/>
      <c r="AZ157" s="164"/>
      <c r="BA157" s="164"/>
      <c r="BB157" s="164"/>
      <c r="BC157" s="164"/>
      <c r="BD157" s="164"/>
      <c r="BE157" s="157"/>
    </row>
    <row r="158" spans="23:57" ht="18">
      <c r="W158" s="120"/>
      <c r="X158" s="368" t="s">
        <v>178</v>
      </c>
      <c r="Y158" s="369"/>
      <c r="Z158" s="369"/>
      <c r="AA158" s="369"/>
      <c r="AB158" s="369"/>
      <c r="AC158" s="369"/>
      <c r="AD158" s="369"/>
      <c r="AE158" s="369"/>
      <c r="AF158" s="369"/>
      <c r="AG158" s="369"/>
      <c r="AH158" s="369"/>
      <c r="AI158" s="369"/>
      <c r="AJ158" s="369"/>
      <c r="AK158" s="369"/>
      <c r="AL158" s="369"/>
      <c r="AM158" s="369"/>
      <c r="AN158" s="369"/>
      <c r="AO158" s="369"/>
      <c r="AP158" s="369"/>
      <c r="AQ158" s="369"/>
      <c r="AR158" s="369"/>
      <c r="AS158" s="369"/>
      <c r="AT158" s="369"/>
      <c r="AU158" s="369"/>
      <c r="AV158" s="369"/>
      <c r="AW158" s="369"/>
      <c r="AX158" s="369"/>
      <c r="AY158" s="369"/>
      <c r="AZ158" s="369"/>
      <c r="BA158" s="369"/>
      <c r="BB158" s="369"/>
      <c r="BC158" s="369"/>
      <c r="BD158" s="369"/>
      <c r="BE158" s="180"/>
    </row>
    <row r="159" spans="23:57" ht="15.6">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row>
    <row r="160" spans="23:57" ht="17.399999999999999">
      <c r="W160" s="120"/>
      <c r="X160" s="173"/>
      <c r="Y160" s="177" t="s">
        <v>245</v>
      </c>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row>
    <row r="161" spans="23:57" ht="17.399999999999999">
      <c r="W161" s="120"/>
      <c r="X161" s="177" t="s">
        <v>246</v>
      </c>
      <c r="Y161" s="173"/>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row>
    <row r="162" spans="23:57" ht="17.399999999999999">
      <c r="W162" s="120"/>
      <c r="X162" s="177" t="s">
        <v>247</v>
      </c>
      <c r="Y162" s="173"/>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row>
    <row r="163" spans="23:57" ht="17.399999999999999">
      <c r="W163" s="120"/>
      <c r="X163" s="177"/>
      <c r="Y163" s="173"/>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row>
    <row r="164" spans="23:57" ht="17.399999999999999">
      <c r="W164" s="120"/>
      <c r="X164" s="177"/>
      <c r="Y164" s="173"/>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row>
    <row r="165" spans="23:57" ht="16.2" thickBot="1">
      <c r="W165" s="120"/>
      <c r="X165" s="120"/>
      <c r="Y165" s="120"/>
      <c r="Z165" s="120"/>
      <c r="AA165" s="120"/>
      <c r="AB165" s="120"/>
      <c r="AC165" s="120"/>
      <c r="AD165" s="120"/>
      <c r="AE165" s="120"/>
      <c r="AF165" s="123"/>
      <c r="AG165" s="123"/>
      <c r="AH165" s="123"/>
      <c r="AI165" s="235"/>
      <c r="AJ165" s="235"/>
      <c r="AK165" s="235"/>
      <c r="AL165" s="235"/>
      <c r="AM165" s="235" t="s">
        <v>297</v>
      </c>
      <c r="AN165" s="235"/>
      <c r="AO165" s="235"/>
      <c r="AP165" s="235"/>
      <c r="AQ165" s="235"/>
      <c r="AR165" s="235"/>
      <c r="AS165" s="235"/>
      <c r="AT165" s="235"/>
      <c r="AU165" s="235"/>
      <c r="AV165" s="123"/>
      <c r="AW165" s="123"/>
      <c r="AX165" s="123"/>
      <c r="AZ165" s="120"/>
      <c r="BA165" s="120"/>
      <c r="BB165" s="120"/>
      <c r="BC165" s="120"/>
      <c r="BD165" s="120"/>
      <c r="BE165" s="120"/>
    </row>
    <row r="166" spans="23:57" ht="15.6">
      <c r="W166" s="120"/>
      <c r="Z166" s="123"/>
      <c r="AA166" s="123"/>
      <c r="AB166" s="123"/>
      <c r="AC166" s="123"/>
      <c r="AD166" s="123"/>
      <c r="AE166" s="123"/>
      <c r="AF166" s="363" t="s">
        <v>248</v>
      </c>
      <c r="AG166" s="363"/>
      <c r="AH166" s="363"/>
      <c r="AI166" s="363"/>
      <c r="AJ166" s="363"/>
      <c r="AK166" s="363"/>
      <c r="AL166" s="363"/>
      <c r="AM166" s="363"/>
      <c r="AN166" s="363"/>
      <c r="AO166" s="363"/>
      <c r="AP166" s="363"/>
      <c r="AQ166" s="363"/>
      <c r="AR166" s="363"/>
      <c r="AS166" s="363"/>
      <c r="AT166" s="363"/>
      <c r="AU166" s="363"/>
      <c r="AV166" s="363"/>
      <c r="AW166" s="363"/>
      <c r="AX166" s="363"/>
      <c r="AY166" s="123"/>
      <c r="AZ166" s="123"/>
      <c r="BA166" s="123"/>
      <c r="BB166" s="123"/>
      <c r="BC166" s="123"/>
      <c r="BD166" s="123"/>
      <c r="BE166" s="123"/>
    </row>
    <row r="167" spans="23:57" ht="15.6">
      <c r="W167" s="120"/>
      <c r="X167" s="120"/>
      <c r="Y167" s="120"/>
      <c r="Z167" s="120"/>
      <c r="AA167" s="120"/>
      <c r="AB167" s="123"/>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row>
  </sheetData>
  <protectedRanges>
    <protectedRange sqref="E25" name="Range20_1"/>
    <protectedRange sqref="G24" name="Range19_1"/>
    <protectedRange sqref="E24" name="Range18_1"/>
    <protectedRange sqref="D23" name="Range17_1"/>
    <protectedRange sqref="G24" name="Range15_1"/>
    <protectedRange sqref="D22" name="Range13_1"/>
    <protectedRange sqref="C1" name="Range12_1"/>
    <protectedRange sqref="C3:C9" name="Range11_1"/>
    <protectedRange sqref="C10:CT10" name="Range21_1"/>
    <protectedRange sqref="C12" name="Range22_1"/>
    <protectedRange sqref="B28:C72 B73:B87" name="Range23_1"/>
  </protectedRanges>
  <mergeCells count="222">
    <mergeCell ref="X25:BD25"/>
    <mergeCell ref="X26:BD26"/>
    <mergeCell ref="K27:T27"/>
    <mergeCell ref="X27:BD27"/>
    <mergeCell ref="S29:T29"/>
    <mergeCell ref="X29:BD29"/>
    <mergeCell ref="C20:H21"/>
    <mergeCell ref="D22:F22"/>
    <mergeCell ref="F23:H23"/>
    <mergeCell ref="C24:C27"/>
    <mergeCell ref="K24:T24"/>
    <mergeCell ref="K25:T25"/>
    <mergeCell ref="N33:S33"/>
    <mergeCell ref="Y33:AD33"/>
    <mergeCell ref="AF33:AL33"/>
    <mergeCell ref="AU33:BD33"/>
    <mergeCell ref="N34:S34"/>
    <mergeCell ref="Y34:AD34"/>
    <mergeCell ref="AF34:AL34"/>
    <mergeCell ref="AU34:BD34"/>
    <mergeCell ref="S30:T30"/>
    <mergeCell ref="AU30:AV30"/>
    <mergeCell ref="N32:S32"/>
    <mergeCell ref="X32:AD32"/>
    <mergeCell ref="AE32:AL32"/>
    <mergeCell ref="AM32:AS32"/>
    <mergeCell ref="AT32:BD32"/>
    <mergeCell ref="R37:T37"/>
    <mergeCell ref="Y37:AD37"/>
    <mergeCell ref="AF37:AL37"/>
    <mergeCell ref="R38:T38"/>
    <mergeCell ref="X38:AD38"/>
    <mergeCell ref="AH38:AL38"/>
    <mergeCell ref="Y35:AD35"/>
    <mergeCell ref="AF35:AL35"/>
    <mergeCell ref="AW35:BA35"/>
    <mergeCell ref="R36:T36"/>
    <mergeCell ref="Y36:AD36"/>
    <mergeCell ref="AF36:AL36"/>
    <mergeCell ref="AP38:AT38"/>
    <mergeCell ref="R39:T39"/>
    <mergeCell ref="AB39:AM40"/>
    <mergeCell ref="AT39:BD40"/>
    <mergeCell ref="R40:T40"/>
    <mergeCell ref="R41:T41"/>
    <mergeCell ref="X41:Y41"/>
    <mergeCell ref="Z41:AE41"/>
    <mergeCell ref="AJ41:AQ41"/>
    <mergeCell ref="AV41:BD41"/>
    <mergeCell ref="R44:T44"/>
    <mergeCell ref="X44:BD44"/>
    <mergeCell ref="X45:AC45"/>
    <mergeCell ref="AD45:AM45"/>
    <mergeCell ref="AN45:AY45"/>
    <mergeCell ref="AZ45:BA45"/>
    <mergeCell ref="R42:T42"/>
    <mergeCell ref="X42:Y43"/>
    <mergeCell ref="Z42:AE43"/>
    <mergeCell ref="AS42:AU42"/>
    <mergeCell ref="R43:T43"/>
    <mergeCell ref="AS43:AU43"/>
    <mergeCell ref="X47:AC47"/>
    <mergeCell ref="AD47:AH47"/>
    <mergeCell ref="AI47:AN47"/>
    <mergeCell ref="AO47:AV47"/>
    <mergeCell ref="AW47:BD47"/>
    <mergeCell ref="R48:S48"/>
    <mergeCell ref="X48:AC48"/>
    <mergeCell ref="AD48:AH48"/>
    <mergeCell ref="AI48:AN48"/>
    <mergeCell ref="AU51:AW51"/>
    <mergeCell ref="AX51:BD51"/>
    <mergeCell ref="R52:T52"/>
    <mergeCell ref="X52:AD52"/>
    <mergeCell ref="AE52:AL52"/>
    <mergeCell ref="AR52:AS52"/>
    <mergeCell ref="AU52:AW52"/>
    <mergeCell ref="AX52:BD52"/>
    <mergeCell ref="R49:T49"/>
    <mergeCell ref="R50:T50"/>
    <mergeCell ref="R51:T51"/>
    <mergeCell ref="AK51:AL51"/>
    <mergeCell ref="AM51:AP52"/>
    <mergeCell ref="AR51:AS51"/>
    <mergeCell ref="AT55:BD55"/>
    <mergeCell ref="X56:AF56"/>
    <mergeCell ref="AG56:AS56"/>
    <mergeCell ref="AB57:BD57"/>
    <mergeCell ref="X58:BD58"/>
    <mergeCell ref="K60:M60"/>
    <mergeCell ref="R60:T60"/>
    <mergeCell ref="R53:T53"/>
    <mergeCell ref="X53:AD53"/>
    <mergeCell ref="AE53:AT53"/>
    <mergeCell ref="X54:AD54"/>
    <mergeCell ref="AE54:AW54"/>
    <mergeCell ref="AX54:BD54"/>
    <mergeCell ref="X71:AE71"/>
    <mergeCell ref="AG71:AM71"/>
    <mergeCell ref="AP71:AV71"/>
    <mergeCell ref="AX71:BD71"/>
    <mergeCell ref="X72:AE72"/>
    <mergeCell ref="AG72:AM72"/>
    <mergeCell ref="AP72:AV72"/>
    <mergeCell ref="AX72:BD72"/>
    <mergeCell ref="K61:M61"/>
    <mergeCell ref="R61:T61"/>
    <mergeCell ref="AU64:BC64"/>
    <mergeCell ref="AU65:BC65"/>
    <mergeCell ref="X66:BD66"/>
    <mergeCell ref="P69:T69"/>
    <mergeCell ref="X73:AE73"/>
    <mergeCell ref="X74:BD74"/>
    <mergeCell ref="X75:Z75"/>
    <mergeCell ref="AA75:AD75"/>
    <mergeCell ref="AE75:AI75"/>
    <mergeCell ref="AJ75:AL75"/>
    <mergeCell ref="AM75:AQ75"/>
    <mergeCell ref="AR75:AT75"/>
    <mergeCell ref="AU75:AY75"/>
    <mergeCell ref="AZ75:BD75"/>
    <mergeCell ref="AU76:AY76"/>
    <mergeCell ref="AZ76:BD76"/>
    <mergeCell ref="X77:Z77"/>
    <mergeCell ref="AA77:AD77"/>
    <mergeCell ref="AE77:AI77"/>
    <mergeCell ref="AJ77:AL77"/>
    <mergeCell ref="AM77:AQ77"/>
    <mergeCell ref="AR77:AT77"/>
    <mergeCell ref="AU77:AY77"/>
    <mergeCell ref="AZ77:BD77"/>
    <mergeCell ref="X76:Z76"/>
    <mergeCell ref="AA76:AD76"/>
    <mergeCell ref="AE76:AI76"/>
    <mergeCell ref="AJ76:AL76"/>
    <mergeCell ref="AM76:AQ76"/>
    <mergeCell ref="AR76:AT76"/>
    <mergeCell ref="AU78:AY78"/>
    <mergeCell ref="AZ78:BD78"/>
    <mergeCell ref="N79:Q79"/>
    <mergeCell ref="X79:Z79"/>
    <mergeCell ref="AA79:AD79"/>
    <mergeCell ref="AE79:AI79"/>
    <mergeCell ref="AJ79:AL79"/>
    <mergeCell ref="AM79:AQ79"/>
    <mergeCell ref="AR79:AT79"/>
    <mergeCell ref="AU79:AY79"/>
    <mergeCell ref="X78:Z78"/>
    <mergeCell ref="AA78:AD78"/>
    <mergeCell ref="AE78:AI78"/>
    <mergeCell ref="AJ78:AL78"/>
    <mergeCell ref="AM78:AQ78"/>
    <mergeCell ref="AR78:AT78"/>
    <mergeCell ref="AZ79:BD79"/>
    <mergeCell ref="M80:R80"/>
    <mergeCell ref="N81:Q81"/>
    <mergeCell ref="X81:BD81"/>
    <mergeCell ref="X82:AB82"/>
    <mergeCell ref="AC82:AF82"/>
    <mergeCell ref="AG82:AJ82"/>
    <mergeCell ref="AK82:AQ82"/>
    <mergeCell ref="AR82:AV82"/>
    <mergeCell ref="AW82:BD82"/>
    <mergeCell ref="K90:M90"/>
    <mergeCell ref="X90:AN90"/>
    <mergeCell ref="AO90:BD90"/>
    <mergeCell ref="O92:S92"/>
    <mergeCell ref="AB92:AJ92"/>
    <mergeCell ref="AS92:AZ92"/>
    <mergeCell ref="AW83:BD83"/>
    <mergeCell ref="X84:BD84"/>
    <mergeCell ref="R85:S85"/>
    <mergeCell ref="R86:S86"/>
    <mergeCell ref="AJ86:AS86"/>
    <mergeCell ref="W87:BE87"/>
    <mergeCell ref="M83:R83"/>
    <mergeCell ref="X83:AB83"/>
    <mergeCell ref="AC83:AF83"/>
    <mergeCell ref="AG83:AJ83"/>
    <mergeCell ref="AK83:AQ83"/>
    <mergeCell ref="AR83:AV83"/>
    <mergeCell ref="X102:Z102"/>
    <mergeCell ref="AC102:AM102"/>
    <mergeCell ref="AN102:AQ102"/>
    <mergeCell ref="AR102:BD102"/>
    <mergeCell ref="X103:AA103"/>
    <mergeCell ref="AB103:BD103"/>
    <mergeCell ref="P93:S93"/>
    <mergeCell ref="X93:AN93"/>
    <mergeCell ref="AO93:BD93"/>
    <mergeCell ref="X100:AK100"/>
    <mergeCell ref="Y101:AX101"/>
    <mergeCell ref="AY101:BD101"/>
    <mergeCell ref="Z126:AI126"/>
    <mergeCell ref="AB127:AI127"/>
    <mergeCell ref="AT127:AX127"/>
    <mergeCell ref="AZ127:BD127"/>
    <mergeCell ref="X130:BE130"/>
    <mergeCell ref="X135:BD135"/>
    <mergeCell ref="X104:BD104"/>
    <mergeCell ref="X105:BD107"/>
    <mergeCell ref="X108:BD110"/>
    <mergeCell ref="X111:BD115"/>
    <mergeCell ref="X116:BD119"/>
    <mergeCell ref="AT120:AX126"/>
    <mergeCell ref="AZ120:BD126"/>
    <mergeCell ref="Z123:AH123"/>
    <mergeCell ref="AO123:AQ123"/>
    <mergeCell ref="X124:AJ124"/>
    <mergeCell ref="AF166:AX166"/>
    <mergeCell ref="AD151:AG151"/>
    <mergeCell ref="AH151:AK151"/>
    <mergeCell ref="AU151:AY151"/>
    <mergeCell ref="AI155:AS155"/>
    <mergeCell ref="X156:BD156"/>
    <mergeCell ref="X158:BD158"/>
    <mergeCell ref="X136:BD139"/>
    <mergeCell ref="AA142:AC142"/>
    <mergeCell ref="AA143:AC143"/>
    <mergeCell ref="AA144:AC144"/>
    <mergeCell ref="AA145:AC145"/>
    <mergeCell ref="X147:BD147"/>
  </mergeCells>
  <hyperlinks>
    <hyperlink ref="AG56" r:id="rId1" xr:uid="{582E46D4-5B6D-4BC0-B768-42F916C253E8}"/>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B9D59-23D6-4544-AB66-39E73F75466E}">
  <sheetPr>
    <pageSetUpPr fitToPage="1"/>
  </sheetPr>
  <dimension ref="A1:CT167"/>
  <sheetViews>
    <sheetView topLeftCell="G22" zoomScaleNormal="100" workbookViewId="0">
      <selection activeCell="O37" sqref="O37"/>
    </sheetView>
  </sheetViews>
  <sheetFormatPr defaultColWidth="8.88671875" defaultRowHeight="14.4"/>
  <cols>
    <col min="1" max="1" width="2.88671875" customWidth="1"/>
    <col min="2" max="2" width="27.33203125" customWidth="1"/>
    <col min="3" max="3" width="13.44140625" customWidth="1"/>
    <col min="4" max="5" width="15.6640625" customWidth="1"/>
    <col min="6" max="6" width="15.5546875" customWidth="1"/>
    <col min="7" max="9" width="15.6640625" customWidth="1"/>
    <col min="10" max="10" width="4.6640625" customWidth="1"/>
    <col min="11" max="11" width="11.44140625" customWidth="1"/>
    <col min="12" max="13" width="10.6640625" customWidth="1"/>
    <col min="14" max="14" width="11.88671875" customWidth="1"/>
    <col min="15" max="20" width="10.6640625" customWidth="1"/>
    <col min="21" max="21" width="4.6640625" customWidth="1"/>
    <col min="22" max="22" width="15.6640625" customWidth="1"/>
    <col min="23" max="57" width="4.88671875" customWidth="1"/>
    <col min="58" max="98" width="15.6640625" customWidth="1"/>
  </cols>
  <sheetData>
    <row r="1" spans="1:98">
      <c r="B1" t="s">
        <v>34</v>
      </c>
      <c r="C1" s="1">
        <f>'DATA ENTRY'!G15</f>
        <v>15000.248169988199</v>
      </c>
      <c r="T1" t="s">
        <v>253</v>
      </c>
    </row>
    <row r="2" spans="1:98">
      <c r="B2" s="2" t="s">
        <v>35</v>
      </c>
      <c r="C2" s="3">
        <v>0</v>
      </c>
      <c r="D2" s="3">
        <v>1</v>
      </c>
      <c r="E2" s="3">
        <v>2</v>
      </c>
      <c r="F2" s="3">
        <v>3</v>
      </c>
      <c r="G2" s="3">
        <v>4</v>
      </c>
      <c r="H2" s="3">
        <v>5</v>
      </c>
      <c r="I2" s="3">
        <v>6</v>
      </c>
      <c r="J2" s="3">
        <v>7</v>
      </c>
      <c r="K2" s="3">
        <v>8</v>
      </c>
      <c r="L2" s="3">
        <v>9</v>
      </c>
      <c r="M2" s="3">
        <v>10</v>
      </c>
      <c r="N2" s="3">
        <v>11</v>
      </c>
      <c r="O2" s="3">
        <v>12</v>
      </c>
      <c r="P2" s="3">
        <v>13</v>
      </c>
      <c r="Q2" s="3">
        <v>14</v>
      </c>
      <c r="R2" s="3">
        <v>15</v>
      </c>
      <c r="S2" s="3">
        <v>16</v>
      </c>
      <c r="T2" s="3">
        <v>17</v>
      </c>
      <c r="U2" s="3">
        <v>18</v>
      </c>
      <c r="V2" s="3">
        <v>19</v>
      </c>
      <c r="W2" s="3">
        <v>20</v>
      </c>
      <c r="X2" s="3">
        <v>21</v>
      </c>
      <c r="Y2" s="3">
        <v>22</v>
      </c>
      <c r="Z2" s="3">
        <v>23</v>
      </c>
      <c r="AA2" s="3">
        <v>24</v>
      </c>
      <c r="AB2" s="3">
        <v>25</v>
      </c>
      <c r="AC2" s="3">
        <v>26</v>
      </c>
      <c r="AD2" s="3">
        <v>27</v>
      </c>
      <c r="AE2" s="3">
        <v>28</v>
      </c>
      <c r="AF2" s="3">
        <v>29</v>
      </c>
      <c r="AG2" s="3">
        <v>30</v>
      </c>
      <c r="AH2" s="3">
        <v>31</v>
      </c>
      <c r="AI2" s="3">
        <v>32</v>
      </c>
      <c r="AJ2" s="3">
        <v>33</v>
      </c>
      <c r="AK2" s="3">
        <v>34</v>
      </c>
      <c r="AL2" s="3">
        <v>35</v>
      </c>
      <c r="AM2" s="3">
        <v>36</v>
      </c>
      <c r="AN2" s="3">
        <v>37</v>
      </c>
      <c r="AO2" s="3">
        <v>38</v>
      </c>
      <c r="AP2" s="3">
        <v>39</v>
      </c>
      <c r="AQ2" s="3">
        <v>40</v>
      </c>
      <c r="AR2" s="3">
        <v>41</v>
      </c>
      <c r="AS2" s="3">
        <v>42</v>
      </c>
      <c r="AT2" s="3">
        <v>43</v>
      </c>
      <c r="AU2" s="3">
        <v>44</v>
      </c>
      <c r="AV2" s="3">
        <v>45</v>
      </c>
      <c r="AW2" s="3">
        <v>46</v>
      </c>
      <c r="AX2" s="3">
        <v>47</v>
      </c>
      <c r="AY2" s="3">
        <v>48</v>
      </c>
      <c r="AZ2" s="3">
        <v>49</v>
      </c>
      <c r="BA2" s="3">
        <v>50</v>
      </c>
      <c r="BB2" s="3">
        <v>51</v>
      </c>
      <c r="BC2" s="3">
        <v>52</v>
      </c>
      <c r="BD2" s="3">
        <v>53</v>
      </c>
      <c r="BE2" s="3">
        <v>54</v>
      </c>
      <c r="BF2" s="3">
        <v>55</v>
      </c>
      <c r="BG2" s="3">
        <v>56</v>
      </c>
      <c r="BH2" s="3">
        <v>57</v>
      </c>
      <c r="BI2" s="3">
        <v>58</v>
      </c>
      <c r="BJ2" s="3">
        <v>59</v>
      </c>
      <c r="BK2" s="3">
        <v>60</v>
      </c>
      <c r="BL2" s="191"/>
      <c r="BM2" s="191"/>
      <c r="BN2" s="191"/>
      <c r="BO2" s="191"/>
      <c r="BP2" s="191"/>
      <c r="BQ2" s="191"/>
      <c r="BR2" s="191"/>
      <c r="BS2" s="191"/>
      <c r="BT2" s="191"/>
      <c r="BU2" s="191"/>
      <c r="BV2" s="191"/>
      <c r="BW2" s="191"/>
      <c r="BX2" s="191"/>
      <c r="BY2" s="191"/>
      <c r="BZ2" s="191"/>
      <c r="CA2" s="191"/>
      <c r="CB2" s="191"/>
      <c r="CC2" s="191"/>
      <c r="CD2" s="191"/>
      <c r="CE2" s="191"/>
      <c r="CF2" s="191"/>
      <c r="CG2" s="191"/>
      <c r="CH2" s="191"/>
      <c r="CI2" s="191"/>
      <c r="CJ2" s="191"/>
      <c r="CK2" s="191"/>
      <c r="CL2" s="191"/>
      <c r="CM2" s="191"/>
      <c r="CN2" s="191"/>
      <c r="CO2" s="191"/>
      <c r="CP2" s="191"/>
      <c r="CQ2" s="191"/>
      <c r="CR2" s="191"/>
      <c r="CS2" s="191"/>
      <c r="CT2" s="191"/>
    </row>
    <row r="3" spans="1:98">
      <c r="B3" s="2" t="s">
        <v>6</v>
      </c>
      <c r="C3" s="4">
        <f>'DATA ENTRY'!G4</f>
        <v>900014.89019929199</v>
      </c>
      <c r="D3" s="4"/>
      <c r="E3" s="4"/>
      <c r="F3" s="4"/>
      <c r="G3" s="4"/>
      <c r="H3" s="4"/>
      <c r="I3" s="4"/>
      <c r="J3" s="4"/>
      <c r="K3" s="4"/>
      <c r="L3" s="4"/>
      <c r="M3" s="4"/>
      <c r="N3" s="4"/>
      <c r="O3" s="4"/>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row>
    <row r="4" spans="1:98">
      <c r="A4">
        <v>41</v>
      </c>
      <c r="B4" s="2" t="s">
        <v>14</v>
      </c>
      <c r="C4" s="4">
        <f>'DATA ENTRY'!G12</f>
        <v>722612.55799999996</v>
      </c>
      <c r="D4" s="6">
        <f t="shared" ref="D4:AI4" si="0">-$C1</f>
        <v>-15000.248169988199</v>
      </c>
      <c r="E4" s="6">
        <f t="shared" si="0"/>
        <v>-15000.248169988199</v>
      </c>
      <c r="F4" s="6">
        <f t="shared" si="0"/>
        <v>-15000.248169988199</v>
      </c>
      <c r="G4" s="6">
        <f t="shared" si="0"/>
        <v>-15000.248169988199</v>
      </c>
      <c r="H4" s="6">
        <f t="shared" si="0"/>
        <v>-15000.248169988199</v>
      </c>
      <c r="I4" s="6">
        <f t="shared" si="0"/>
        <v>-15000.248169988199</v>
      </c>
      <c r="J4" s="6">
        <f t="shared" si="0"/>
        <v>-15000.248169988199</v>
      </c>
      <c r="K4" s="6">
        <f t="shared" si="0"/>
        <v>-15000.248169988199</v>
      </c>
      <c r="L4" s="6">
        <f t="shared" si="0"/>
        <v>-15000.248169988199</v>
      </c>
      <c r="M4" s="6">
        <f t="shared" si="0"/>
        <v>-15000.248169988199</v>
      </c>
      <c r="N4" s="6">
        <f t="shared" si="0"/>
        <v>-15000.248169988199</v>
      </c>
      <c r="O4" s="6">
        <f t="shared" si="0"/>
        <v>-15000.248169988199</v>
      </c>
      <c r="P4" s="6">
        <f t="shared" si="0"/>
        <v>-15000.248169988199</v>
      </c>
      <c r="Q4" s="6">
        <f t="shared" si="0"/>
        <v>-15000.248169988199</v>
      </c>
      <c r="R4" s="6">
        <f t="shared" si="0"/>
        <v>-15000.248169988199</v>
      </c>
      <c r="S4" s="6">
        <f t="shared" si="0"/>
        <v>-15000.248169988199</v>
      </c>
      <c r="T4" s="6">
        <f t="shared" si="0"/>
        <v>-15000.248169988199</v>
      </c>
      <c r="U4" s="6">
        <f t="shared" si="0"/>
        <v>-15000.248169988199</v>
      </c>
      <c r="V4" s="6">
        <f t="shared" si="0"/>
        <v>-15000.248169988199</v>
      </c>
      <c r="W4" s="6">
        <f t="shared" si="0"/>
        <v>-15000.248169988199</v>
      </c>
      <c r="X4" s="6">
        <f t="shared" si="0"/>
        <v>-15000.248169988199</v>
      </c>
      <c r="Y4" s="6">
        <f t="shared" si="0"/>
        <v>-15000.248169988199</v>
      </c>
      <c r="Z4" s="6">
        <f t="shared" si="0"/>
        <v>-15000.248169988199</v>
      </c>
      <c r="AA4" s="6">
        <f t="shared" si="0"/>
        <v>-15000.248169988199</v>
      </c>
      <c r="AB4" s="6">
        <f t="shared" si="0"/>
        <v>-15000.248169988199</v>
      </c>
      <c r="AC4" s="6">
        <f t="shared" si="0"/>
        <v>-15000.248169988199</v>
      </c>
      <c r="AD4" s="6">
        <f t="shared" si="0"/>
        <v>-15000.248169988199</v>
      </c>
      <c r="AE4" s="6">
        <f t="shared" si="0"/>
        <v>-15000.248169988199</v>
      </c>
      <c r="AF4" s="6">
        <f t="shared" si="0"/>
        <v>-15000.248169988199</v>
      </c>
      <c r="AG4" s="6">
        <f t="shared" si="0"/>
        <v>-15000.248169988199</v>
      </c>
      <c r="AH4" s="6">
        <f t="shared" si="0"/>
        <v>-15000.248169988199</v>
      </c>
      <c r="AI4" s="6">
        <f t="shared" si="0"/>
        <v>-15000.248169988199</v>
      </c>
      <c r="AJ4" s="6">
        <f t="shared" ref="AJ4:BK4" si="1">-$C1</f>
        <v>-15000.248169988199</v>
      </c>
      <c r="AK4" s="6">
        <f t="shared" si="1"/>
        <v>-15000.248169988199</v>
      </c>
      <c r="AL4" s="6">
        <f t="shared" si="1"/>
        <v>-15000.248169988199</v>
      </c>
      <c r="AM4" s="6">
        <f t="shared" si="1"/>
        <v>-15000.248169988199</v>
      </c>
      <c r="AN4" s="6">
        <f t="shared" si="1"/>
        <v>-15000.248169988199</v>
      </c>
      <c r="AO4" s="6">
        <f t="shared" si="1"/>
        <v>-15000.248169988199</v>
      </c>
      <c r="AP4" s="6">
        <f t="shared" si="1"/>
        <v>-15000.248169988199</v>
      </c>
      <c r="AQ4" s="6">
        <f t="shared" si="1"/>
        <v>-15000.248169988199</v>
      </c>
      <c r="AR4" s="6">
        <f t="shared" si="1"/>
        <v>-15000.248169988199</v>
      </c>
      <c r="AS4" s="6">
        <f t="shared" si="1"/>
        <v>-15000.248169988199</v>
      </c>
      <c r="AT4" s="6">
        <f t="shared" si="1"/>
        <v>-15000.248169988199</v>
      </c>
      <c r="AU4" s="6">
        <f t="shared" si="1"/>
        <v>-15000.248169988199</v>
      </c>
      <c r="AV4" s="6">
        <f t="shared" si="1"/>
        <v>-15000.248169988199</v>
      </c>
      <c r="AW4" s="6">
        <f t="shared" si="1"/>
        <v>-15000.248169988199</v>
      </c>
      <c r="AX4" s="6">
        <f t="shared" si="1"/>
        <v>-15000.248169988199</v>
      </c>
      <c r="AY4" s="6">
        <f t="shared" si="1"/>
        <v>-15000.248169988199</v>
      </c>
      <c r="AZ4" s="6">
        <f t="shared" si="1"/>
        <v>-15000.248169988199</v>
      </c>
      <c r="BA4" s="6">
        <f t="shared" si="1"/>
        <v>-15000.248169988199</v>
      </c>
      <c r="BB4" s="6">
        <f t="shared" si="1"/>
        <v>-15000.248169988199</v>
      </c>
      <c r="BC4" s="6">
        <f t="shared" si="1"/>
        <v>-15000.248169988199</v>
      </c>
      <c r="BD4" s="6">
        <f t="shared" si="1"/>
        <v>-15000.248169988199</v>
      </c>
      <c r="BE4" s="6">
        <f t="shared" si="1"/>
        <v>-15000.248169988199</v>
      </c>
      <c r="BF4" s="6">
        <f t="shared" si="1"/>
        <v>-15000.248169988199</v>
      </c>
      <c r="BG4" s="6">
        <f t="shared" si="1"/>
        <v>-15000.248169988199</v>
      </c>
      <c r="BH4" s="6">
        <f t="shared" si="1"/>
        <v>-15000.248169988199</v>
      </c>
      <c r="BI4" s="6">
        <f t="shared" si="1"/>
        <v>-15000.248169988199</v>
      </c>
      <c r="BJ4" s="6">
        <f t="shared" si="1"/>
        <v>-15000.248169988199</v>
      </c>
      <c r="BK4" s="6">
        <f t="shared" si="1"/>
        <v>-15000.248169988199</v>
      </c>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row>
    <row r="5" spans="1:98">
      <c r="B5" s="2" t="s">
        <v>9</v>
      </c>
      <c r="C5" s="4">
        <f>'DATA ENTRY'!G7</f>
        <v>72601.270499999999</v>
      </c>
      <c r="D5" s="4"/>
      <c r="E5" s="4"/>
      <c r="F5" s="4"/>
      <c r="G5" s="4"/>
      <c r="H5" s="4"/>
      <c r="I5" s="4"/>
      <c r="J5" s="4"/>
      <c r="K5" s="4"/>
      <c r="L5" s="4"/>
      <c r="M5" s="4"/>
      <c r="N5" s="4"/>
      <c r="O5" s="4"/>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row>
    <row r="6" spans="1:98">
      <c r="B6" s="2" t="s">
        <v>10</v>
      </c>
      <c r="C6" s="4">
        <f>'DATA ENTRY'!G8</f>
        <v>36000.629999999997</v>
      </c>
      <c r="D6" s="4"/>
      <c r="E6" s="4"/>
      <c r="F6" s="4"/>
      <c r="G6" s="4"/>
      <c r="H6" s="4"/>
      <c r="I6" s="4"/>
      <c r="J6" s="4"/>
      <c r="K6" s="4"/>
      <c r="L6" s="4"/>
      <c r="M6" s="4"/>
      <c r="N6" s="4"/>
      <c r="O6" s="4"/>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row>
    <row r="7" spans="1:98">
      <c r="B7" s="2" t="s">
        <v>11</v>
      </c>
      <c r="C7" s="4">
        <f>'DATA ENTRY'!G9</f>
        <v>5000</v>
      </c>
      <c r="D7" s="4"/>
      <c r="E7" s="4"/>
      <c r="F7" s="4"/>
      <c r="G7" s="4"/>
      <c r="H7" s="4"/>
      <c r="I7" s="4"/>
      <c r="J7" s="4"/>
      <c r="K7" s="4"/>
      <c r="L7" s="4"/>
      <c r="M7" s="4"/>
      <c r="N7" s="4"/>
      <c r="O7" s="4"/>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row>
    <row r="8" spans="1:98">
      <c r="B8" s="2" t="s">
        <v>12</v>
      </c>
      <c r="C8" s="4">
        <f>'DATA ENTRY'!G10</f>
        <v>0</v>
      </c>
      <c r="D8" s="4"/>
      <c r="E8" s="4"/>
      <c r="F8" s="4"/>
      <c r="G8" s="4"/>
      <c r="H8" s="4"/>
      <c r="I8" s="4"/>
      <c r="J8" s="4"/>
      <c r="K8" s="4"/>
      <c r="L8" s="4"/>
      <c r="M8" s="4"/>
      <c r="N8" s="4"/>
      <c r="O8" s="4"/>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row>
    <row r="9" spans="1:98">
      <c r="B9" s="2" t="s">
        <v>13</v>
      </c>
      <c r="C9" s="4">
        <f>'DATA ENTRY'!G11</f>
        <v>9000.1574999999993</v>
      </c>
      <c r="D9" s="4"/>
      <c r="E9" s="4"/>
      <c r="F9" s="4"/>
      <c r="G9" s="4"/>
      <c r="H9" s="4"/>
      <c r="I9" s="4"/>
      <c r="J9" s="4"/>
      <c r="K9" s="4"/>
      <c r="L9" s="4"/>
      <c r="M9" s="4"/>
      <c r="N9" s="4"/>
      <c r="O9" s="4"/>
      <c r="P9" s="67"/>
      <c r="Q9" s="67"/>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7"/>
      <c r="BK9" s="67"/>
      <c r="BL9" s="67"/>
      <c r="BM9" s="67"/>
      <c r="BN9" s="67"/>
      <c r="BO9" s="67"/>
      <c r="BP9" s="67"/>
      <c r="BQ9" s="67"/>
      <c r="BR9" s="67"/>
      <c r="BS9" s="67"/>
      <c r="BT9" s="67"/>
      <c r="BU9" s="67"/>
      <c r="BV9" s="67"/>
      <c r="BW9" s="67"/>
      <c r="BX9" s="67"/>
      <c r="BY9" s="67"/>
      <c r="BZ9" s="67"/>
      <c r="CA9" s="67"/>
      <c r="CB9" s="67"/>
      <c r="CC9" s="67"/>
      <c r="CD9" s="67"/>
      <c r="CE9" s="67"/>
      <c r="CF9" s="67"/>
      <c r="CG9" s="67"/>
      <c r="CH9" s="67"/>
      <c r="CI9" s="67"/>
      <c r="CJ9" s="67"/>
      <c r="CK9" s="67"/>
      <c r="CL9" s="67"/>
      <c r="CM9" s="67"/>
      <c r="CN9" s="67"/>
      <c r="CO9" s="67"/>
      <c r="CP9" s="67"/>
      <c r="CQ9" s="67"/>
      <c r="CR9" s="67"/>
      <c r="CS9" s="67"/>
      <c r="CT9" s="67"/>
    </row>
    <row r="10" spans="1:98">
      <c r="B10" s="5" t="s">
        <v>36</v>
      </c>
      <c r="C10" s="6">
        <f>C4-C5-C6-C7-C8-C9</f>
        <v>600010.5</v>
      </c>
      <c r="BL10" s="67"/>
      <c r="BM10" s="67"/>
      <c r="BN10" s="67"/>
      <c r="BO10" s="67"/>
      <c r="BP10" s="67"/>
      <c r="BQ10" s="67"/>
      <c r="BR10" s="67"/>
      <c r="BS10" s="67"/>
      <c r="BT10" s="67"/>
      <c r="BU10" s="67"/>
      <c r="BV10" s="67"/>
      <c r="BW10" s="67"/>
      <c r="BX10" s="67"/>
      <c r="BY10" s="67"/>
      <c r="BZ10" s="67"/>
      <c r="CA10" s="67"/>
      <c r="CB10" s="67"/>
      <c r="CC10" s="67"/>
      <c r="CD10" s="67"/>
      <c r="CE10" s="67"/>
      <c r="CF10" s="67"/>
      <c r="CG10" s="67"/>
      <c r="CH10" s="67"/>
      <c r="CI10" s="67"/>
      <c r="CJ10" s="67"/>
      <c r="CK10" s="67"/>
      <c r="CL10" s="67"/>
      <c r="CM10" s="67"/>
      <c r="CN10" s="67"/>
      <c r="CO10" s="67"/>
      <c r="CP10" s="67"/>
      <c r="CQ10" s="67"/>
      <c r="CR10" s="67"/>
      <c r="CS10" s="67"/>
      <c r="CT10" s="67"/>
    </row>
    <row r="11" spans="1:98">
      <c r="I11" s="255"/>
    </row>
    <row r="12" spans="1:98">
      <c r="B12" t="s">
        <v>37</v>
      </c>
      <c r="C12" s="7">
        <f>IRR(C4:BK4)</f>
        <v>7.4999999999996181E-3</v>
      </c>
      <c r="D12">
        <f>C12/5</f>
        <v>1.4999999999999237E-3</v>
      </c>
    </row>
    <row r="13" spans="1:98">
      <c r="C13" s="8"/>
    </row>
    <row r="14" spans="1:98">
      <c r="B14" t="s">
        <v>254</v>
      </c>
      <c r="C14" s="285">
        <v>315350.25</v>
      </c>
    </row>
    <row r="15" spans="1:98">
      <c r="B15" t="s">
        <v>29</v>
      </c>
      <c r="C15" s="9">
        <f>'DATA ENTRY'!G13/12</f>
        <v>7.4999999999999997E-3</v>
      </c>
    </row>
    <row r="16" spans="1:98">
      <c r="B16" t="s">
        <v>16</v>
      </c>
      <c r="C16" s="115">
        <f>'DATA ENTRY'!G14</f>
        <v>9.4100503202476204E-2</v>
      </c>
    </row>
    <row r="17" spans="2:57">
      <c r="B17" t="s">
        <v>190</v>
      </c>
      <c r="C17">
        <v>60</v>
      </c>
    </row>
    <row r="19" spans="2:57" ht="15" thickBot="1">
      <c r="H19" s="10"/>
    </row>
    <row r="20" spans="2:57" ht="15.6">
      <c r="B20" s="1"/>
      <c r="C20" s="323" t="s">
        <v>38</v>
      </c>
      <c r="D20" s="324"/>
      <c r="E20" s="324"/>
      <c r="F20" s="324"/>
      <c r="G20" s="324"/>
      <c r="H20" s="325"/>
      <c r="I20" s="24"/>
      <c r="J20" s="26"/>
      <c r="K20" s="27"/>
      <c r="L20" s="27"/>
      <c r="M20" s="27"/>
      <c r="N20" s="27"/>
      <c r="O20" s="28"/>
      <c r="P20" s="27"/>
      <c r="Q20" s="27"/>
      <c r="R20" s="27"/>
      <c r="S20" s="27"/>
      <c r="T20" s="27"/>
      <c r="U20" s="45"/>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row>
    <row r="21" spans="2:57" ht="15.6">
      <c r="C21" s="326"/>
      <c r="D21" s="327"/>
      <c r="E21" s="327"/>
      <c r="F21" s="327"/>
      <c r="G21" s="327"/>
      <c r="H21" s="328"/>
      <c r="J21" s="29"/>
      <c r="K21" s="30"/>
      <c r="L21" s="30"/>
      <c r="M21" s="30"/>
      <c r="N21" s="30"/>
      <c r="O21" s="31"/>
      <c r="P21" s="30"/>
      <c r="Q21" s="30"/>
      <c r="R21" s="30"/>
      <c r="S21" s="30"/>
      <c r="T21" s="30"/>
      <c r="U21" s="46"/>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row>
    <row r="22" spans="2:57" ht="15.6">
      <c r="C22" s="11" t="s">
        <v>39</v>
      </c>
      <c r="D22" s="535" t="s">
        <v>345</v>
      </c>
      <c r="E22" s="287"/>
      <c r="F22" s="288"/>
      <c r="G22" s="2" t="s">
        <v>40</v>
      </c>
      <c r="H22" s="282" t="s">
        <v>342</v>
      </c>
      <c r="J22" s="29"/>
      <c r="K22" s="30"/>
      <c r="L22" s="30"/>
      <c r="M22" s="30"/>
      <c r="N22" s="30"/>
      <c r="O22" s="32"/>
      <c r="P22" s="30"/>
      <c r="Q22" s="30"/>
      <c r="R22" s="30"/>
      <c r="S22" s="30"/>
      <c r="T22" s="30"/>
      <c r="U22" s="46"/>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row>
    <row r="23" spans="2:57" ht="15.75" customHeight="1">
      <c r="C23" s="16" t="s">
        <v>257</v>
      </c>
      <c r="D23" s="283" t="s">
        <v>344</v>
      </c>
      <c r="E23" s="17" t="s">
        <v>42</v>
      </c>
      <c r="F23" s="519" t="s">
        <v>346</v>
      </c>
      <c r="G23" s="519"/>
      <c r="H23" s="520"/>
      <c r="I23" s="121"/>
      <c r="J23" s="194"/>
      <c r="K23" s="121"/>
      <c r="L23" s="121"/>
      <c r="M23" s="121"/>
      <c r="N23" s="121"/>
      <c r="O23" s="121"/>
      <c r="P23" s="121"/>
      <c r="Q23" s="121"/>
      <c r="R23" s="121"/>
      <c r="S23" s="121"/>
      <c r="T23" s="121"/>
      <c r="U23" s="195"/>
      <c r="V23" s="121"/>
      <c r="W23" s="121"/>
      <c r="X23" s="121"/>
      <c r="Y23" s="121"/>
      <c r="Z23" s="121"/>
      <c r="AA23" s="121"/>
      <c r="AB23" s="121"/>
      <c r="AC23" s="121"/>
      <c r="AD23" s="121"/>
      <c r="AE23" s="121"/>
      <c r="AF23" s="121"/>
      <c r="AG23" s="121"/>
      <c r="AH23" s="121"/>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row>
    <row r="24" spans="2:57" ht="21">
      <c r="C24" s="521" t="s">
        <v>44</v>
      </c>
      <c r="D24" s="11" t="s">
        <v>45</v>
      </c>
      <c r="E24" s="256">
        <v>46031</v>
      </c>
      <c r="F24" s="197" t="s">
        <v>46</v>
      </c>
      <c r="G24" s="257">
        <f>B87</f>
        <v>47916</v>
      </c>
      <c r="H24" s="199"/>
      <c r="J24" s="29"/>
      <c r="K24" s="334" t="s">
        <v>55</v>
      </c>
      <c r="L24" s="334"/>
      <c r="M24" s="334"/>
      <c r="N24" s="334"/>
      <c r="O24" s="334"/>
      <c r="P24" s="334"/>
      <c r="Q24" s="334"/>
      <c r="R24" s="334"/>
      <c r="S24" s="334"/>
      <c r="T24" s="334"/>
      <c r="U24" s="46"/>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row>
    <row r="25" spans="2:57" ht="15.6">
      <c r="C25" s="521"/>
      <c r="D25" s="2" t="s">
        <v>47</v>
      </c>
      <c r="E25" s="2">
        <f>C17</f>
        <v>60</v>
      </c>
      <c r="F25" s="2" t="s">
        <v>48</v>
      </c>
      <c r="G25" s="2"/>
      <c r="H25" s="15"/>
      <c r="J25" s="29"/>
      <c r="K25" s="335" t="s">
        <v>56</v>
      </c>
      <c r="L25" s="335"/>
      <c r="M25" s="335"/>
      <c r="N25" s="335"/>
      <c r="O25" s="335"/>
      <c r="P25" s="335"/>
      <c r="Q25" s="335"/>
      <c r="R25" s="335"/>
      <c r="S25" s="335"/>
      <c r="T25" s="335"/>
      <c r="U25" s="46"/>
      <c r="W25" s="120"/>
      <c r="X25" s="514" t="s">
        <v>108</v>
      </c>
      <c r="Y25" s="514"/>
      <c r="Z25" s="514"/>
      <c r="AA25" s="514"/>
      <c r="AB25" s="514"/>
      <c r="AC25" s="514"/>
      <c r="AD25" s="514"/>
      <c r="AE25" s="514"/>
      <c r="AF25" s="514"/>
      <c r="AG25" s="514"/>
      <c r="AH25" s="514"/>
      <c r="AI25" s="514"/>
      <c r="AJ25" s="514"/>
      <c r="AK25" s="514"/>
      <c r="AL25" s="514"/>
      <c r="AM25" s="514"/>
      <c r="AN25" s="514"/>
      <c r="AO25" s="514"/>
      <c r="AP25" s="514"/>
      <c r="AQ25" s="514"/>
      <c r="AR25" s="514"/>
      <c r="AS25" s="514"/>
      <c r="AT25" s="514"/>
      <c r="AU25" s="514"/>
      <c r="AV25" s="514"/>
      <c r="AW25" s="514"/>
      <c r="AX25" s="514"/>
      <c r="AY25" s="514"/>
      <c r="AZ25" s="514"/>
      <c r="BA25" s="514"/>
      <c r="BB25" s="514"/>
      <c r="BC25" s="514"/>
      <c r="BD25" s="514"/>
      <c r="BE25" s="120"/>
    </row>
    <row r="26" spans="2:57" ht="15.6">
      <c r="C26" s="521"/>
      <c r="D26" s="2" t="s">
        <v>49</v>
      </c>
      <c r="E26" s="200" t="s">
        <v>50</v>
      </c>
      <c r="F26" s="200" t="s">
        <v>51</v>
      </c>
      <c r="G26" s="200" t="s">
        <v>52</v>
      </c>
      <c r="H26" s="201" t="s">
        <v>53</v>
      </c>
      <c r="J26" s="29"/>
      <c r="K26" s="30"/>
      <c r="L26" s="30"/>
      <c r="M26" s="30"/>
      <c r="N26" s="30"/>
      <c r="O26" s="32"/>
      <c r="P26" s="30"/>
      <c r="Q26" s="30"/>
      <c r="R26" s="30"/>
      <c r="S26" s="30"/>
      <c r="T26" s="30"/>
      <c r="U26" s="46"/>
      <c r="W26" s="120"/>
      <c r="X26" s="514" t="s">
        <v>109</v>
      </c>
      <c r="Y26" s="514"/>
      <c r="Z26" s="514"/>
      <c r="AA26" s="514"/>
      <c r="AB26" s="514"/>
      <c r="AC26" s="514"/>
      <c r="AD26" s="514"/>
      <c r="AE26" s="514"/>
      <c r="AF26" s="514"/>
      <c r="AG26" s="514"/>
      <c r="AH26" s="514"/>
      <c r="AI26" s="514"/>
      <c r="AJ26" s="514"/>
      <c r="AK26" s="514"/>
      <c r="AL26" s="514"/>
      <c r="AM26" s="514"/>
      <c r="AN26" s="514"/>
      <c r="AO26" s="514"/>
      <c r="AP26" s="514"/>
      <c r="AQ26" s="514"/>
      <c r="AR26" s="514"/>
      <c r="AS26" s="514"/>
      <c r="AT26" s="514"/>
      <c r="AU26" s="514"/>
      <c r="AV26" s="514"/>
      <c r="AW26" s="514"/>
      <c r="AX26" s="514"/>
      <c r="AY26" s="514"/>
      <c r="AZ26" s="514"/>
      <c r="BA26" s="514"/>
      <c r="BB26" s="514"/>
      <c r="BC26" s="514"/>
      <c r="BD26" s="514"/>
      <c r="BE26" s="120"/>
    </row>
    <row r="27" spans="2:57" ht="18" thickBot="1">
      <c r="C27" s="526"/>
      <c r="D27" s="202" t="s">
        <v>54</v>
      </c>
      <c r="E27" s="202"/>
      <c r="F27" s="202"/>
      <c r="G27" s="202"/>
      <c r="H27" s="203">
        <f>C4</f>
        <v>722612.55799999996</v>
      </c>
      <c r="J27" s="29"/>
      <c r="K27" s="336" t="s">
        <v>57</v>
      </c>
      <c r="L27" s="336"/>
      <c r="M27" s="336"/>
      <c r="N27" s="336"/>
      <c r="O27" s="336"/>
      <c r="P27" s="336"/>
      <c r="Q27" s="336"/>
      <c r="R27" s="336"/>
      <c r="S27" s="336"/>
      <c r="T27" s="336"/>
      <c r="U27" s="46"/>
      <c r="W27" s="120"/>
      <c r="X27" s="514" t="s">
        <v>110</v>
      </c>
      <c r="Y27" s="514"/>
      <c r="Z27" s="514"/>
      <c r="AA27" s="514"/>
      <c r="AB27" s="514"/>
      <c r="AC27" s="514"/>
      <c r="AD27" s="514"/>
      <c r="AE27" s="514"/>
      <c r="AF27" s="514"/>
      <c r="AG27" s="514"/>
      <c r="AH27" s="514"/>
      <c r="AI27" s="514"/>
      <c r="AJ27" s="514"/>
      <c r="AK27" s="514"/>
      <c r="AL27" s="514"/>
      <c r="AM27" s="514"/>
      <c r="AN27" s="514"/>
      <c r="AO27" s="514"/>
      <c r="AP27" s="514"/>
      <c r="AQ27" s="514"/>
      <c r="AR27" s="514"/>
      <c r="AS27" s="514"/>
      <c r="AT27" s="514"/>
      <c r="AU27" s="514"/>
      <c r="AV27" s="514"/>
      <c r="AW27" s="514"/>
      <c r="AX27" s="514"/>
      <c r="AY27" s="514"/>
      <c r="AZ27" s="514"/>
      <c r="BA27" s="514"/>
      <c r="BB27" s="514"/>
      <c r="BC27" s="514"/>
      <c r="BD27" s="514"/>
      <c r="BE27" s="120"/>
    </row>
    <row r="28" spans="2:57" ht="15.6">
      <c r="B28" s="22">
        <f>DATE(YEAR(E$24),MONTH(E$24)+D28+2,DAY(E$24))</f>
        <v>46121</v>
      </c>
      <c r="C28" s="204" t="str">
        <f t="shared" ref="C28:C87" si="2">TEXT(B28,"mmm-yyyy")</f>
        <v>Apr-2026</v>
      </c>
      <c r="D28" s="205">
        <v>1</v>
      </c>
      <c r="E28" s="206">
        <f t="shared" ref="E28:E63" si="3">C$1</f>
        <v>15000.248169988199</v>
      </c>
      <c r="F28" s="207">
        <f>E28-G28</f>
        <v>9580.6539849884757</v>
      </c>
      <c r="G28" s="208">
        <f t="shared" ref="G28:G63" si="4">H27*C$12</f>
        <v>5419.5941849997234</v>
      </c>
      <c r="H28" s="209">
        <f>H27-F28</f>
        <v>713031.9040150115</v>
      </c>
      <c r="J28" s="29"/>
      <c r="K28" s="33"/>
      <c r="L28" s="33"/>
      <c r="M28" s="33"/>
      <c r="N28" s="33"/>
      <c r="O28" s="31"/>
      <c r="P28" s="33"/>
      <c r="Q28" s="30"/>
      <c r="R28" s="30"/>
      <c r="S28" s="30"/>
      <c r="T28" s="30"/>
      <c r="U28" s="46"/>
      <c r="W28" s="120"/>
      <c r="X28" s="120"/>
      <c r="Y28" s="120"/>
      <c r="Z28" s="120"/>
      <c r="AA28" s="120"/>
      <c r="AB28" s="120"/>
      <c r="AC28" s="120"/>
      <c r="AD28" s="120"/>
      <c r="AE28" s="122"/>
      <c r="AF28" s="122"/>
      <c r="AG28" s="122"/>
      <c r="AH28" s="122"/>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row>
    <row r="29" spans="2:57" ht="15.6">
      <c r="B29" s="22">
        <f t="shared" ref="B29:B87" si="5">DATE(YEAR(E$24),MONTH(E$24)+D29+2,DAY(E$24))</f>
        <v>46151</v>
      </c>
      <c r="C29" s="23" t="str">
        <f t="shared" si="2"/>
        <v>May-2026</v>
      </c>
      <c r="D29" s="2">
        <v>2</v>
      </c>
      <c r="E29" s="93">
        <f t="shared" si="3"/>
        <v>15000.248169988199</v>
      </c>
      <c r="F29" s="104">
        <f t="shared" ref="F29:F63" si="6">E29-G29</f>
        <v>9652.5088898758841</v>
      </c>
      <c r="G29" s="105">
        <f t="shared" si="4"/>
        <v>5347.7392801123142</v>
      </c>
      <c r="H29" s="21">
        <f t="shared" ref="H29:H63" si="7">H28-F29</f>
        <v>703379.39512513566</v>
      </c>
      <c r="J29" s="29"/>
      <c r="K29" s="33"/>
      <c r="L29" s="33"/>
      <c r="M29" s="33"/>
      <c r="N29" s="33"/>
      <c r="O29" s="31"/>
      <c r="P29" s="33"/>
      <c r="Q29" s="30"/>
      <c r="R29" s="35" t="s">
        <v>58</v>
      </c>
      <c r="S29" s="337">
        <f>E24</f>
        <v>46031</v>
      </c>
      <c r="T29" s="337"/>
      <c r="U29" s="46"/>
      <c r="W29" s="123"/>
      <c r="X29" s="486" t="s">
        <v>111</v>
      </c>
      <c r="Y29" s="487"/>
      <c r="Z29" s="487"/>
      <c r="AA29" s="487"/>
      <c r="AB29" s="487"/>
      <c r="AC29" s="487"/>
      <c r="AD29" s="487"/>
      <c r="AE29" s="487"/>
      <c r="AF29" s="487"/>
      <c r="AG29" s="487"/>
      <c r="AH29" s="487"/>
      <c r="AI29" s="487"/>
      <c r="AJ29" s="487"/>
      <c r="AK29" s="487"/>
      <c r="AL29" s="487"/>
      <c r="AM29" s="487"/>
      <c r="AN29" s="487"/>
      <c r="AO29" s="487"/>
      <c r="AP29" s="487"/>
      <c r="AQ29" s="487"/>
      <c r="AR29" s="487"/>
      <c r="AS29" s="487"/>
      <c r="AT29" s="487"/>
      <c r="AU29" s="487"/>
      <c r="AV29" s="487"/>
      <c r="AW29" s="487"/>
      <c r="AX29" s="487"/>
      <c r="AY29" s="487"/>
      <c r="AZ29" s="487"/>
      <c r="BA29" s="487"/>
      <c r="BB29" s="487"/>
      <c r="BC29" s="487"/>
      <c r="BD29" s="488"/>
      <c r="BE29" s="120"/>
    </row>
    <row r="30" spans="2:57" ht="15.6">
      <c r="B30" s="22">
        <f t="shared" si="5"/>
        <v>46182</v>
      </c>
      <c r="C30" s="23" t="str">
        <f t="shared" si="2"/>
        <v>Jun-2026</v>
      </c>
      <c r="D30" s="2">
        <v>3</v>
      </c>
      <c r="E30" s="93">
        <f t="shared" si="3"/>
        <v>15000.248169988199</v>
      </c>
      <c r="F30" s="104">
        <f t="shared" si="6"/>
        <v>9724.9027065499504</v>
      </c>
      <c r="G30" s="105">
        <f t="shared" si="4"/>
        <v>5275.3454634382488</v>
      </c>
      <c r="H30" s="21">
        <f t="shared" si="7"/>
        <v>693654.49241858569</v>
      </c>
      <c r="J30" s="29"/>
      <c r="K30" s="33"/>
      <c r="L30" s="33"/>
      <c r="M30" s="33"/>
      <c r="N30" s="33"/>
      <c r="O30" s="31"/>
      <c r="P30" s="33"/>
      <c r="Q30" s="30"/>
      <c r="R30" s="35" t="s">
        <v>59</v>
      </c>
      <c r="S30" s="512" t="str">
        <f>H22</f>
        <v>LRV-059</v>
      </c>
      <c r="T30" s="512"/>
      <c r="U30" s="46"/>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513" t="s">
        <v>58</v>
      </c>
      <c r="AV30" s="513"/>
      <c r="AW30" s="124">
        <v>0</v>
      </c>
      <c r="AX30" s="125">
        <v>1</v>
      </c>
      <c r="AY30" s="125">
        <v>0</v>
      </c>
      <c r="AZ30" s="125">
        <v>9</v>
      </c>
      <c r="BA30" s="125">
        <v>2</v>
      </c>
      <c r="BB30" s="125">
        <v>0</v>
      </c>
      <c r="BC30" s="125">
        <v>2</v>
      </c>
      <c r="BD30" s="126">
        <v>6</v>
      </c>
      <c r="BE30" s="120"/>
    </row>
    <row r="31" spans="2:57" ht="15.6">
      <c r="B31" s="22">
        <f t="shared" si="5"/>
        <v>46212</v>
      </c>
      <c r="C31" s="23" t="str">
        <f t="shared" si="2"/>
        <v>Jul-2026</v>
      </c>
      <c r="D31" s="116">
        <v>4</v>
      </c>
      <c r="E31" s="93">
        <f t="shared" si="3"/>
        <v>15000.248169988199</v>
      </c>
      <c r="F31" s="104">
        <f t="shared" si="6"/>
        <v>9797.8394768490725</v>
      </c>
      <c r="G31" s="105">
        <f t="shared" si="4"/>
        <v>5202.4086931391275</v>
      </c>
      <c r="H31" s="21">
        <f t="shared" si="7"/>
        <v>683856.65294173663</v>
      </c>
      <c r="J31" s="29"/>
      <c r="K31" s="33"/>
      <c r="L31" s="33"/>
      <c r="M31" s="33"/>
      <c r="N31" s="33"/>
      <c r="O31" s="31"/>
      <c r="P31" s="33"/>
      <c r="Q31" s="30"/>
      <c r="R31" s="35"/>
      <c r="S31" s="47"/>
      <c r="T31" s="30"/>
      <c r="U31" s="46"/>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7" t="s">
        <v>112</v>
      </c>
      <c r="AX31" s="127" t="s">
        <v>112</v>
      </c>
      <c r="AY31" s="127" t="s">
        <v>113</v>
      </c>
      <c r="AZ31" s="127" t="s">
        <v>113</v>
      </c>
      <c r="BA31" s="127" t="s">
        <v>114</v>
      </c>
      <c r="BB31" s="127" t="s">
        <v>114</v>
      </c>
      <c r="BC31" s="127" t="s">
        <v>114</v>
      </c>
      <c r="BD31" s="127" t="s">
        <v>114</v>
      </c>
      <c r="BE31" s="120"/>
    </row>
    <row r="32" spans="2:57" ht="15.6">
      <c r="B32" s="22">
        <f t="shared" si="5"/>
        <v>46243</v>
      </c>
      <c r="C32" s="23" t="str">
        <f t="shared" si="2"/>
        <v>Aug-2026</v>
      </c>
      <c r="D32" s="2">
        <v>5</v>
      </c>
      <c r="E32" s="93">
        <f t="shared" si="3"/>
        <v>15000.248169988199</v>
      </c>
      <c r="F32" s="104">
        <f t="shared" si="6"/>
        <v>9871.323272925436</v>
      </c>
      <c r="G32" s="105">
        <f t="shared" si="4"/>
        <v>5128.9248970627632</v>
      </c>
      <c r="H32" s="21">
        <f t="shared" si="7"/>
        <v>673985.32966881117</v>
      </c>
      <c r="J32" s="34"/>
      <c r="K32" s="35" t="s">
        <v>60</v>
      </c>
      <c r="L32" s="35"/>
      <c r="M32" s="35"/>
      <c r="N32" s="357" t="str">
        <f>D22</f>
        <v>TABAQUERO, ARTHUR I.</v>
      </c>
      <c r="O32" s="357"/>
      <c r="P32" s="357"/>
      <c r="Q32" s="357"/>
      <c r="R32" s="357"/>
      <c r="S32" s="357"/>
      <c r="T32" s="38"/>
      <c r="U32" s="48"/>
      <c r="W32" s="120"/>
      <c r="X32" s="454" t="s">
        <v>115</v>
      </c>
      <c r="Y32" s="454"/>
      <c r="Z32" s="454"/>
      <c r="AA32" s="454"/>
      <c r="AB32" s="454"/>
      <c r="AC32" s="454"/>
      <c r="AD32" s="454"/>
      <c r="AE32" s="454" t="s">
        <v>116</v>
      </c>
      <c r="AF32" s="454"/>
      <c r="AG32" s="454"/>
      <c r="AH32" s="454"/>
      <c r="AI32" s="454"/>
      <c r="AJ32" s="454"/>
      <c r="AK32" s="454"/>
      <c r="AL32" s="454"/>
      <c r="AM32" s="454" t="s">
        <v>117</v>
      </c>
      <c r="AN32" s="454"/>
      <c r="AO32" s="454"/>
      <c r="AP32" s="454"/>
      <c r="AQ32" s="454"/>
      <c r="AR32" s="454"/>
      <c r="AS32" s="454"/>
      <c r="AT32" s="454" t="s">
        <v>118</v>
      </c>
      <c r="AU32" s="454"/>
      <c r="AV32" s="454"/>
      <c r="AW32" s="454"/>
      <c r="AX32" s="454"/>
      <c r="AY32" s="454"/>
      <c r="AZ32" s="454"/>
      <c r="BA32" s="454"/>
      <c r="BB32" s="454"/>
      <c r="BC32" s="454"/>
      <c r="BD32" s="454"/>
      <c r="BE32" s="123"/>
    </row>
    <row r="33" spans="2:57" ht="15.6">
      <c r="B33" s="22">
        <f t="shared" si="5"/>
        <v>46274</v>
      </c>
      <c r="C33" s="23" t="str">
        <f t="shared" si="2"/>
        <v>Sep-2026</v>
      </c>
      <c r="D33" s="2">
        <v>6</v>
      </c>
      <c r="E33" s="93">
        <f t="shared" si="3"/>
        <v>15000.248169988199</v>
      </c>
      <c r="F33" s="104">
        <f t="shared" si="6"/>
        <v>9945.3581974723729</v>
      </c>
      <c r="G33" s="105">
        <f t="shared" si="4"/>
        <v>5054.8899725158262</v>
      </c>
      <c r="H33" s="21">
        <f t="shared" si="7"/>
        <v>664039.97147133877</v>
      </c>
      <c r="J33" s="34"/>
      <c r="K33" s="35" t="s">
        <v>61</v>
      </c>
      <c r="L33" s="35"/>
      <c r="M33" s="35"/>
      <c r="N33" s="509" t="str">
        <f>D23</f>
        <v>O-7704</v>
      </c>
      <c r="O33" s="509"/>
      <c r="P33" s="509"/>
      <c r="Q33" s="509"/>
      <c r="R33" s="509"/>
      <c r="S33" s="509"/>
      <c r="T33" s="38"/>
      <c r="U33" s="48"/>
      <c r="W33" s="120"/>
      <c r="X33" s="129"/>
      <c r="Y33" s="454" t="s">
        <v>119</v>
      </c>
      <c r="Z33" s="454"/>
      <c r="AA33" s="454"/>
      <c r="AB33" s="454"/>
      <c r="AC33" s="454"/>
      <c r="AD33" s="454"/>
      <c r="AE33" s="129"/>
      <c r="AF33" s="454" t="s">
        <v>120</v>
      </c>
      <c r="AG33" s="454"/>
      <c r="AH33" s="454"/>
      <c r="AI33" s="454"/>
      <c r="AJ33" s="454"/>
      <c r="AK33" s="454"/>
      <c r="AL33" s="454"/>
      <c r="AM33" s="129"/>
      <c r="AN33" s="123" t="s">
        <v>83</v>
      </c>
      <c r="AO33" s="120"/>
      <c r="AP33" s="120"/>
      <c r="AQ33" s="120"/>
      <c r="AR33" s="120"/>
      <c r="AS33" s="120"/>
      <c r="AT33" s="129"/>
      <c r="AU33" s="454" t="s">
        <v>320</v>
      </c>
      <c r="AV33" s="454"/>
      <c r="AW33" s="454"/>
      <c r="AX33" s="454"/>
      <c r="AY33" s="454"/>
      <c r="AZ33" s="454"/>
      <c r="BA33" s="454"/>
      <c r="BB33" s="454"/>
      <c r="BC33" s="454"/>
      <c r="BD33" s="454"/>
      <c r="BE33" s="120"/>
    </row>
    <row r="34" spans="2:57" ht="15.6">
      <c r="B34" s="22">
        <f t="shared" si="5"/>
        <v>46304</v>
      </c>
      <c r="C34" s="23" t="str">
        <f t="shared" si="2"/>
        <v>Oct-2026</v>
      </c>
      <c r="D34" s="2">
        <v>7</v>
      </c>
      <c r="E34" s="93">
        <f t="shared" si="3"/>
        <v>15000.248169988199</v>
      </c>
      <c r="F34" s="104">
        <f t="shared" si="6"/>
        <v>10019.948383953411</v>
      </c>
      <c r="G34" s="105">
        <f t="shared" si="4"/>
        <v>4980.2997860347868</v>
      </c>
      <c r="H34" s="21">
        <f t="shared" si="7"/>
        <v>654020.02308738534</v>
      </c>
      <c r="J34" s="34"/>
      <c r="K34" s="35" t="s">
        <v>42</v>
      </c>
      <c r="L34" s="35"/>
      <c r="M34" s="35"/>
      <c r="N34" s="510" t="str">
        <f>F23</f>
        <v>#49 RICARTE ST. AFPOVAI WESTERN BICUTAN TAGUIG CITY METRO MANILA</v>
      </c>
      <c r="O34" s="511"/>
      <c r="P34" s="511"/>
      <c r="Q34" s="511"/>
      <c r="R34" s="511"/>
      <c r="S34" s="511"/>
      <c r="T34" s="38"/>
      <c r="U34" s="48"/>
      <c r="W34" s="120"/>
      <c r="X34" s="129"/>
      <c r="Y34" s="454" t="s">
        <v>122</v>
      </c>
      <c r="Z34" s="454"/>
      <c r="AA34" s="454"/>
      <c r="AB34" s="454"/>
      <c r="AC34" s="454"/>
      <c r="AD34" s="454"/>
      <c r="AE34" s="129"/>
      <c r="AF34" s="454" t="s">
        <v>123</v>
      </c>
      <c r="AG34" s="454"/>
      <c r="AH34" s="454"/>
      <c r="AI34" s="454"/>
      <c r="AJ34" s="454"/>
      <c r="AK34" s="454"/>
      <c r="AL34" s="454"/>
      <c r="AM34" s="129"/>
      <c r="AN34" s="123" t="s">
        <v>84</v>
      </c>
      <c r="AO34" s="120"/>
      <c r="AP34" s="120"/>
      <c r="AQ34" s="120"/>
      <c r="AR34" s="120"/>
      <c r="AS34" s="120"/>
      <c r="AT34" s="129"/>
      <c r="AU34" s="454" t="s">
        <v>124</v>
      </c>
      <c r="AV34" s="454"/>
      <c r="AW34" s="454"/>
      <c r="AX34" s="454"/>
      <c r="AY34" s="454"/>
      <c r="AZ34" s="454"/>
      <c r="BA34" s="454"/>
      <c r="BB34" s="454"/>
      <c r="BC34" s="454"/>
      <c r="BD34" s="454"/>
      <c r="BE34" s="120"/>
    </row>
    <row r="35" spans="2:57" ht="16.2" thickBot="1">
      <c r="B35" s="22">
        <f t="shared" si="5"/>
        <v>46335</v>
      </c>
      <c r="C35" s="23" t="str">
        <f t="shared" si="2"/>
        <v>Nov-2026</v>
      </c>
      <c r="D35" s="2">
        <v>8</v>
      </c>
      <c r="E35" s="93">
        <f t="shared" si="3"/>
        <v>15000.248169988199</v>
      </c>
      <c r="F35" s="104">
        <f t="shared" si="6"/>
        <v>10095.097996833058</v>
      </c>
      <c r="G35" s="105">
        <f t="shared" si="4"/>
        <v>4905.1501731551407</v>
      </c>
      <c r="H35" s="21">
        <f t="shared" si="7"/>
        <v>643924.92509055231</v>
      </c>
      <c r="J35" s="29"/>
      <c r="K35" s="33"/>
      <c r="L35" s="33"/>
      <c r="M35" s="33"/>
      <c r="N35" s="36"/>
      <c r="O35" s="38"/>
      <c r="P35" s="38"/>
      <c r="Q35" s="30"/>
      <c r="R35" s="30"/>
      <c r="S35" s="30"/>
      <c r="T35" s="30"/>
      <c r="U35" s="46"/>
      <c r="W35" s="120"/>
      <c r="X35" s="129"/>
      <c r="Y35" s="454" t="s">
        <v>125</v>
      </c>
      <c r="Z35" s="454"/>
      <c r="AA35" s="454"/>
      <c r="AB35" s="454"/>
      <c r="AC35" s="454"/>
      <c r="AD35" s="454"/>
      <c r="AE35" s="129"/>
      <c r="AF35" s="454" t="s">
        <v>126</v>
      </c>
      <c r="AG35" s="454"/>
      <c r="AH35" s="454"/>
      <c r="AI35" s="454"/>
      <c r="AJ35" s="454"/>
      <c r="AK35" s="454"/>
      <c r="AL35" s="454"/>
      <c r="AM35" s="129"/>
      <c r="AN35" s="123" t="s">
        <v>85</v>
      </c>
      <c r="AO35" s="120"/>
      <c r="AP35" s="120"/>
      <c r="AQ35" s="120"/>
      <c r="AR35" s="120"/>
      <c r="AS35" s="120"/>
      <c r="AT35" s="129"/>
      <c r="AU35" s="123" t="s">
        <v>127</v>
      </c>
      <c r="AV35" s="123"/>
      <c r="AW35" s="507"/>
      <c r="AX35" s="507"/>
      <c r="AY35" s="507"/>
      <c r="AZ35" s="507"/>
      <c r="BA35" s="507"/>
      <c r="BB35" s="123"/>
      <c r="BC35" s="123"/>
      <c r="BD35" s="123"/>
      <c r="BE35" s="120"/>
    </row>
    <row r="36" spans="2:57" ht="15.6">
      <c r="B36" s="22">
        <f t="shared" si="5"/>
        <v>46365</v>
      </c>
      <c r="C36" s="23" t="str">
        <f t="shared" si="2"/>
        <v>Dec-2026</v>
      </c>
      <c r="D36" s="2">
        <v>9</v>
      </c>
      <c r="E36" s="93">
        <f t="shared" si="3"/>
        <v>15000.248169988199</v>
      </c>
      <c r="F36" s="104">
        <f t="shared" si="6"/>
        <v>10170.811231809303</v>
      </c>
      <c r="G36" s="105">
        <f t="shared" si="4"/>
        <v>4829.4369381788965</v>
      </c>
      <c r="H36" s="21">
        <f t="shared" si="7"/>
        <v>633754.11385874299</v>
      </c>
      <c r="J36" s="29"/>
      <c r="K36" s="33"/>
      <c r="L36" s="35" t="s">
        <v>62</v>
      </c>
      <c r="M36" s="33"/>
      <c r="N36" s="33"/>
      <c r="O36" s="31"/>
      <c r="P36" s="33"/>
      <c r="Q36" s="49"/>
      <c r="R36" s="331">
        <f>C4</f>
        <v>722612.55799999996</v>
      </c>
      <c r="S36" s="331"/>
      <c r="T36" s="331"/>
      <c r="U36" s="46"/>
      <c r="W36" s="120"/>
      <c r="X36" s="129"/>
      <c r="Y36" s="454" t="s">
        <v>128</v>
      </c>
      <c r="Z36" s="454"/>
      <c r="AA36" s="454"/>
      <c r="AB36" s="454"/>
      <c r="AC36" s="454"/>
      <c r="AD36" s="454"/>
      <c r="AE36" s="129"/>
      <c r="AF36" s="454" t="s">
        <v>129</v>
      </c>
      <c r="AG36" s="454"/>
      <c r="AH36" s="454"/>
      <c r="AI36" s="454"/>
      <c r="AJ36" s="454"/>
      <c r="AK36" s="454"/>
      <c r="AL36" s="454"/>
      <c r="AM36" s="129"/>
      <c r="AN36" s="123" t="s">
        <v>86</v>
      </c>
      <c r="AO36" s="120"/>
      <c r="AP36" s="120"/>
      <c r="AQ36" s="120"/>
      <c r="AR36" s="120"/>
      <c r="AS36" s="120"/>
      <c r="AT36" s="120"/>
      <c r="AU36" s="120"/>
      <c r="AV36" s="120"/>
      <c r="AW36" s="120"/>
      <c r="AX36" s="120"/>
      <c r="AY36" s="120"/>
      <c r="AZ36" s="120"/>
      <c r="BA36" s="120"/>
      <c r="BB36" s="120"/>
      <c r="BC36" s="120"/>
      <c r="BD36" s="120"/>
      <c r="BE36" s="120"/>
    </row>
    <row r="37" spans="2:57" ht="15.6">
      <c r="B37" s="22">
        <f t="shared" si="5"/>
        <v>46396</v>
      </c>
      <c r="C37" s="23" t="str">
        <f t="shared" si="2"/>
        <v>Jan-2027</v>
      </c>
      <c r="D37" s="2">
        <v>10</v>
      </c>
      <c r="E37" s="93">
        <f t="shared" si="3"/>
        <v>15000.248169988199</v>
      </c>
      <c r="F37" s="104">
        <f t="shared" si="6"/>
        <v>10247.092316047869</v>
      </c>
      <c r="G37" s="105">
        <f t="shared" si="4"/>
        <v>4753.1558539403304</v>
      </c>
      <c r="H37" s="21">
        <f t="shared" si="7"/>
        <v>623507.02154269512</v>
      </c>
      <c r="J37" s="29"/>
      <c r="K37" s="33"/>
      <c r="L37" s="35"/>
      <c r="M37" s="33"/>
      <c r="N37" s="33"/>
      <c r="O37" s="31"/>
      <c r="P37" s="33"/>
      <c r="Q37" s="49"/>
      <c r="R37" s="333"/>
      <c r="S37" s="333"/>
      <c r="T37" s="333"/>
      <c r="U37" s="46"/>
      <c r="W37" s="120"/>
      <c r="X37" s="129"/>
      <c r="Y37" s="454" t="s">
        <v>130</v>
      </c>
      <c r="Z37" s="454"/>
      <c r="AA37" s="454"/>
      <c r="AB37" s="454"/>
      <c r="AC37" s="454"/>
      <c r="AD37" s="454"/>
      <c r="AE37" s="129"/>
      <c r="AF37" s="454" t="s">
        <v>131</v>
      </c>
      <c r="AG37" s="454"/>
      <c r="AH37" s="454"/>
      <c r="AI37" s="454"/>
      <c r="AJ37" s="454"/>
      <c r="AK37" s="454"/>
      <c r="AL37" s="454"/>
      <c r="AM37" s="129"/>
      <c r="AN37" s="123" t="s">
        <v>87</v>
      </c>
      <c r="AO37" s="120"/>
      <c r="AP37" s="120"/>
      <c r="AQ37" s="120"/>
      <c r="AR37" s="120"/>
      <c r="AS37" s="120"/>
      <c r="AT37" s="120"/>
      <c r="AU37" s="120"/>
      <c r="AV37" s="120"/>
      <c r="AW37" s="120"/>
      <c r="AX37" s="120"/>
      <c r="AY37" s="120"/>
      <c r="AZ37" s="120"/>
      <c r="BA37" s="120"/>
      <c r="BB37" s="120"/>
      <c r="BC37" s="120"/>
      <c r="BD37" s="120"/>
      <c r="BE37" s="120"/>
    </row>
    <row r="38" spans="2:57" ht="16.2" thickBot="1">
      <c r="B38" s="22">
        <f t="shared" si="5"/>
        <v>46427</v>
      </c>
      <c r="C38" s="23" t="str">
        <f t="shared" si="2"/>
        <v>Feb-2027</v>
      </c>
      <c r="D38" s="2">
        <v>11</v>
      </c>
      <c r="E38" s="93">
        <f t="shared" si="3"/>
        <v>15000.248169988199</v>
      </c>
      <c r="F38" s="104">
        <f t="shared" si="6"/>
        <v>10323.945508418223</v>
      </c>
      <c r="G38" s="105">
        <f t="shared" si="4"/>
        <v>4676.3026615699755</v>
      </c>
      <c r="H38" s="21">
        <f t="shared" si="7"/>
        <v>613183.07603427686</v>
      </c>
      <c r="J38" s="39"/>
      <c r="K38" s="40"/>
      <c r="L38" s="41" t="s">
        <v>63</v>
      </c>
      <c r="M38" s="40" t="s">
        <v>64</v>
      </c>
      <c r="N38" s="40"/>
      <c r="O38" s="42"/>
      <c r="P38" s="40"/>
      <c r="Q38" s="36"/>
      <c r="R38" s="331">
        <f>-C14</f>
        <v>-315350.25</v>
      </c>
      <c r="S38" s="331"/>
      <c r="T38" s="331"/>
      <c r="U38" s="37"/>
      <c r="W38" s="120"/>
      <c r="X38" s="410"/>
      <c r="Y38" s="410"/>
      <c r="Z38" s="410"/>
      <c r="AA38" s="410"/>
      <c r="AB38" s="410"/>
      <c r="AC38" s="410"/>
      <c r="AD38" s="410"/>
      <c r="AE38" s="131"/>
      <c r="AF38" s="123" t="s">
        <v>132</v>
      </c>
      <c r="AG38" s="123"/>
      <c r="AH38" s="425"/>
      <c r="AI38" s="425"/>
      <c r="AJ38" s="425"/>
      <c r="AK38" s="425"/>
      <c r="AL38" s="506"/>
      <c r="AM38" s="131"/>
      <c r="AN38" s="123" t="s">
        <v>127</v>
      </c>
      <c r="AO38" s="120"/>
      <c r="AP38" s="508"/>
      <c r="AQ38" s="508"/>
      <c r="AR38" s="508"/>
      <c r="AS38" s="508"/>
      <c r="AT38" s="508"/>
      <c r="AU38" s="120"/>
      <c r="AV38" s="120"/>
      <c r="AW38" s="120"/>
      <c r="AX38" s="120"/>
      <c r="AY38" s="120"/>
      <c r="AZ38" s="120"/>
      <c r="BA38" s="120"/>
      <c r="BB38" s="120"/>
      <c r="BC38" s="120"/>
      <c r="BD38" s="120"/>
      <c r="BE38" s="120"/>
    </row>
    <row r="39" spans="2:57" ht="16.2" thickBot="1">
      <c r="B39" s="22">
        <f t="shared" si="5"/>
        <v>46455</v>
      </c>
      <c r="C39" s="210" t="str">
        <f t="shared" si="2"/>
        <v>Mar-2027</v>
      </c>
      <c r="D39" s="211">
        <v>12</v>
      </c>
      <c r="E39" s="212">
        <f t="shared" si="3"/>
        <v>15000.248169988199</v>
      </c>
      <c r="F39" s="213">
        <f t="shared" si="6"/>
        <v>10401.375099731358</v>
      </c>
      <c r="G39" s="214">
        <f t="shared" si="4"/>
        <v>4598.8730702568419</v>
      </c>
      <c r="H39" s="215">
        <f t="shared" si="7"/>
        <v>602781.70093454549</v>
      </c>
      <c r="J39" s="39"/>
      <c r="K39" s="40"/>
      <c r="L39" s="41" t="s">
        <v>63</v>
      </c>
      <c r="M39" s="40" t="s">
        <v>65</v>
      </c>
      <c r="N39" s="40"/>
      <c r="O39" s="42"/>
      <c r="P39" s="40"/>
      <c r="Q39" s="36"/>
      <c r="R39" s="331">
        <f>-C8</f>
        <v>0</v>
      </c>
      <c r="S39" s="331"/>
      <c r="T39" s="331"/>
      <c r="U39" s="37"/>
      <c r="W39" s="120"/>
      <c r="X39" s="132" t="s">
        <v>133</v>
      </c>
      <c r="Y39" s="133"/>
      <c r="Z39" s="133"/>
      <c r="AA39" s="133"/>
      <c r="AB39" s="503">
        <f>R44</f>
        <v>284660.25</v>
      </c>
      <c r="AC39" s="503"/>
      <c r="AD39" s="503"/>
      <c r="AE39" s="503"/>
      <c r="AF39" s="503"/>
      <c r="AG39" s="503"/>
      <c r="AH39" s="504"/>
      <c r="AI39" s="504"/>
      <c r="AJ39" s="504"/>
      <c r="AK39" s="504"/>
      <c r="AL39" s="504"/>
      <c r="AM39" s="505"/>
      <c r="AN39" s="132" t="s">
        <v>134</v>
      </c>
      <c r="AO39" s="133"/>
      <c r="AP39" s="134"/>
      <c r="AQ39" s="134"/>
      <c r="AR39" s="134"/>
      <c r="AS39" s="134"/>
      <c r="AT39" s="504">
        <f>C1</f>
        <v>15000.248169988199</v>
      </c>
      <c r="AU39" s="503"/>
      <c r="AV39" s="503"/>
      <c r="AW39" s="503"/>
      <c r="AX39" s="503"/>
      <c r="AY39" s="503"/>
      <c r="AZ39" s="503"/>
      <c r="BA39" s="503"/>
      <c r="BB39" s="503"/>
      <c r="BC39" s="503"/>
      <c r="BD39" s="505"/>
      <c r="BE39" s="120"/>
    </row>
    <row r="40" spans="2:57" ht="16.2" thickBot="1">
      <c r="B40" s="22">
        <f t="shared" si="5"/>
        <v>46486</v>
      </c>
      <c r="C40" s="210" t="str">
        <f t="shared" si="2"/>
        <v>Apr-2027</v>
      </c>
      <c r="D40" s="211">
        <v>13</v>
      </c>
      <c r="E40" s="212">
        <f t="shared" si="3"/>
        <v>15000.248169988199</v>
      </c>
      <c r="F40" s="213">
        <f t="shared" si="6"/>
        <v>10479.385412979338</v>
      </c>
      <c r="G40" s="214">
        <f t="shared" si="4"/>
        <v>4520.8627570088611</v>
      </c>
      <c r="H40" s="215">
        <f t="shared" si="7"/>
        <v>592302.3155215662</v>
      </c>
      <c r="J40" s="39"/>
      <c r="K40" s="40"/>
      <c r="L40" s="41" t="s">
        <v>63</v>
      </c>
      <c r="M40" s="40" t="s">
        <v>66</v>
      </c>
      <c r="N40" s="40"/>
      <c r="O40" s="42"/>
      <c r="P40" s="40"/>
      <c r="Q40" s="36"/>
      <c r="R40" s="332">
        <f>-C7</f>
        <v>-5000</v>
      </c>
      <c r="S40" s="332"/>
      <c r="T40" s="332"/>
      <c r="U40" s="37"/>
      <c r="W40" s="120"/>
      <c r="X40" s="135"/>
      <c r="Y40" s="136"/>
      <c r="Z40" s="136"/>
      <c r="AA40" s="136"/>
      <c r="AB40" s="419"/>
      <c r="AC40" s="419"/>
      <c r="AD40" s="419"/>
      <c r="AE40" s="419"/>
      <c r="AF40" s="419"/>
      <c r="AG40" s="419"/>
      <c r="AH40" s="419"/>
      <c r="AI40" s="419"/>
      <c r="AJ40" s="419"/>
      <c r="AK40" s="419"/>
      <c r="AL40" s="419"/>
      <c r="AM40" s="420"/>
      <c r="AN40" s="135"/>
      <c r="AO40" s="136"/>
      <c r="AP40" s="136"/>
      <c r="AQ40" s="136"/>
      <c r="AR40" s="136"/>
      <c r="AS40" s="136"/>
      <c r="AT40" s="419"/>
      <c r="AU40" s="419"/>
      <c r="AV40" s="419"/>
      <c r="AW40" s="419"/>
      <c r="AX40" s="419"/>
      <c r="AY40" s="419"/>
      <c r="AZ40" s="419"/>
      <c r="BA40" s="419"/>
      <c r="BB40" s="419"/>
      <c r="BC40" s="419"/>
      <c r="BD40" s="420"/>
      <c r="BE40" s="120"/>
    </row>
    <row r="41" spans="2:57" ht="16.2" thickBot="1">
      <c r="B41" s="22">
        <f t="shared" si="5"/>
        <v>46516</v>
      </c>
      <c r="C41" s="210" t="str">
        <f t="shared" si="2"/>
        <v>May-2027</v>
      </c>
      <c r="D41" s="211">
        <v>14</v>
      </c>
      <c r="E41" s="212">
        <f t="shared" si="3"/>
        <v>15000.248169988199</v>
      </c>
      <c r="F41" s="213">
        <f t="shared" si="6"/>
        <v>10557.98080357668</v>
      </c>
      <c r="G41" s="214">
        <f t="shared" si="4"/>
        <v>4442.26736641152</v>
      </c>
      <c r="H41" s="215">
        <f t="shared" si="7"/>
        <v>581744.33471798955</v>
      </c>
      <c r="J41" s="39"/>
      <c r="K41" s="40"/>
      <c r="L41" s="41" t="s">
        <v>63</v>
      </c>
      <c r="M41" s="40" t="s">
        <v>9</v>
      </c>
      <c r="N41" s="40"/>
      <c r="O41" s="42"/>
      <c r="P41" s="40"/>
      <c r="Q41" s="36"/>
      <c r="R41" s="332">
        <f>-C5</f>
        <v>-72601.270499999999</v>
      </c>
      <c r="S41" s="332"/>
      <c r="T41" s="332"/>
      <c r="U41" s="37"/>
      <c r="W41" s="120"/>
      <c r="X41" s="493" t="s">
        <v>135</v>
      </c>
      <c r="Y41" s="494"/>
      <c r="Z41" s="498"/>
      <c r="AA41" s="499"/>
      <c r="AB41" s="499"/>
      <c r="AC41" s="499"/>
      <c r="AD41" s="499"/>
      <c r="AE41" s="500"/>
      <c r="AF41" s="138" t="s">
        <v>136</v>
      </c>
      <c r="AG41" s="136"/>
      <c r="AH41" s="136"/>
      <c r="AI41" s="136"/>
      <c r="AJ41" s="470"/>
      <c r="AK41" s="470"/>
      <c r="AL41" s="470"/>
      <c r="AM41" s="470"/>
      <c r="AN41" s="470"/>
      <c r="AO41" s="470"/>
      <c r="AP41" s="470"/>
      <c r="AQ41" s="471"/>
      <c r="AR41" s="139" t="s">
        <v>137</v>
      </c>
      <c r="AS41" s="140"/>
      <c r="AT41" s="140"/>
      <c r="AU41" s="140"/>
      <c r="AV41" s="470"/>
      <c r="AW41" s="470"/>
      <c r="AX41" s="470"/>
      <c r="AY41" s="470"/>
      <c r="AZ41" s="470"/>
      <c r="BA41" s="470"/>
      <c r="BB41" s="470"/>
      <c r="BC41" s="470"/>
      <c r="BD41" s="471"/>
      <c r="BE41" s="120"/>
    </row>
    <row r="42" spans="2:57" ht="16.2" thickBot="1">
      <c r="B42" s="22">
        <f t="shared" si="5"/>
        <v>46547</v>
      </c>
      <c r="C42" s="210" t="str">
        <f t="shared" si="2"/>
        <v>Jun-2027</v>
      </c>
      <c r="D42" s="211">
        <v>15</v>
      </c>
      <c r="E42" s="212">
        <f t="shared" si="3"/>
        <v>15000.248169988199</v>
      </c>
      <c r="F42" s="213">
        <f t="shared" si="6"/>
        <v>10637.165659603499</v>
      </c>
      <c r="G42" s="214">
        <f t="shared" si="4"/>
        <v>4363.0825103846992</v>
      </c>
      <c r="H42" s="215">
        <f t="shared" si="7"/>
        <v>571107.169058386</v>
      </c>
      <c r="J42" s="39"/>
      <c r="K42" s="40"/>
      <c r="L42" s="41" t="s">
        <v>63</v>
      </c>
      <c r="M42" s="40" t="s">
        <v>67</v>
      </c>
      <c r="N42" s="40"/>
      <c r="O42" s="42"/>
      <c r="P42" s="40"/>
      <c r="Q42" s="36"/>
      <c r="R42" s="332">
        <f>-C6</f>
        <v>-36000.629999999997</v>
      </c>
      <c r="S42" s="332"/>
      <c r="T42" s="332"/>
      <c r="U42" s="37"/>
      <c r="W42" s="120"/>
      <c r="X42" s="491" t="s">
        <v>138</v>
      </c>
      <c r="Y42" s="492"/>
      <c r="Z42" s="495"/>
      <c r="AA42" s="496"/>
      <c r="AB42" s="496"/>
      <c r="AC42" s="496"/>
      <c r="AD42" s="496"/>
      <c r="AE42" s="497"/>
      <c r="AF42" s="142"/>
      <c r="AG42" s="141" t="s">
        <v>139</v>
      </c>
      <c r="AH42" s="143"/>
      <c r="AI42" s="143"/>
      <c r="AJ42" s="143"/>
      <c r="AK42" s="143"/>
      <c r="AL42" s="143"/>
      <c r="AM42" s="143"/>
      <c r="AN42" s="143"/>
      <c r="AO42" s="143"/>
      <c r="AP42" s="143"/>
      <c r="AQ42" s="144"/>
      <c r="AR42" s="145"/>
      <c r="AS42" s="491" t="s">
        <v>140</v>
      </c>
      <c r="AT42" s="501"/>
      <c r="AU42" s="501"/>
      <c r="AV42" s="143"/>
      <c r="AW42" s="143"/>
      <c r="AX42" s="143"/>
      <c r="AY42" s="143"/>
      <c r="AZ42" s="143"/>
      <c r="BA42" s="143"/>
      <c r="BB42" s="143"/>
      <c r="BC42" s="143"/>
      <c r="BD42" s="144"/>
      <c r="BE42" s="120"/>
    </row>
    <row r="43" spans="2:57" ht="16.2" thickBot="1">
      <c r="B43" s="22">
        <f t="shared" si="5"/>
        <v>46577</v>
      </c>
      <c r="C43" s="210" t="str">
        <f t="shared" si="2"/>
        <v>Jul-2027</v>
      </c>
      <c r="D43" s="211">
        <v>16</v>
      </c>
      <c r="E43" s="212">
        <f t="shared" si="3"/>
        <v>15000.248169988199</v>
      </c>
      <c r="F43" s="213">
        <f t="shared" si="6"/>
        <v>10716.944402050522</v>
      </c>
      <c r="G43" s="214">
        <f t="shared" si="4"/>
        <v>4283.3037679376766</v>
      </c>
      <c r="H43" s="215">
        <f t="shared" si="7"/>
        <v>560390.22465633543</v>
      </c>
      <c r="J43" s="16"/>
      <c r="L43" s="41" t="s">
        <v>63</v>
      </c>
      <c r="M43" s="40" t="s">
        <v>13</v>
      </c>
      <c r="R43" s="332">
        <f>-C9</f>
        <v>-9000.1574999999993</v>
      </c>
      <c r="S43" s="332"/>
      <c r="T43" s="332"/>
      <c r="U43" s="216"/>
      <c r="W43" s="120"/>
      <c r="X43" s="493"/>
      <c r="Y43" s="494"/>
      <c r="Z43" s="498"/>
      <c r="AA43" s="499"/>
      <c r="AB43" s="499"/>
      <c r="AC43" s="499"/>
      <c r="AD43" s="499"/>
      <c r="AE43" s="500"/>
      <c r="AF43" s="129"/>
      <c r="AG43" s="137" t="s">
        <v>141</v>
      </c>
      <c r="AH43" s="146"/>
      <c r="AI43" s="146"/>
      <c r="AJ43" s="146"/>
      <c r="AK43" s="146"/>
      <c r="AL43" s="146"/>
      <c r="AM43" s="146"/>
      <c r="AN43" s="146"/>
      <c r="AO43" s="146"/>
      <c r="AP43" s="146"/>
      <c r="AQ43" s="147"/>
      <c r="AR43" s="129"/>
      <c r="AS43" s="493" t="s">
        <v>142</v>
      </c>
      <c r="AT43" s="502"/>
      <c r="AU43" s="502"/>
      <c r="AV43" s="146"/>
      <c r="AW43" s="146"/>
      <c r="AX43" s="146"/>
      <c r="AY43" s="146"/>
      <c r="AZ43" s="146"/>
      <c r="BA43" s="146"/>
      <c r="BB43" s="146"/>
      <c r="BC43" s="146"/>
      <c r="BD43" s="147"/>
      <c r="BE43" s="120"/>
    </row>
    <row r="44" spans="2:57" ht="16.2" thickBot="1">
      <c r="B44" s="22">
        <f t="shared" si="5"/>
        <v>46608</v>
      </c>
      <c r="C44" s="210" t="str">
        <f t="shared" si="2"/>
        <v>Aug-2027</v>
      </c>
      <c r="D44" s="211">
        <v>17</v>
      </c>
      <c r="E44" s="212">
        <f t="shared" si="3"/>
        <v>15000.248169988199</v>
      </c>
      <c r="F44" s="213">
        <f t="shared" si="6"/>
        <v>10797.321485065899</v>
      </c>
      <c r="G44" s="214">
        <f t="shared" si="4"/>
        <v>4202.9266849223013</v>
      </c>
      <c r="H44" s="215">
        <f t="shared" si="7"/>
        <v>549592.90317126957</v>
      </c>
      <c r="J44" s="29"/>
      <c r="K44" s="33"/>
      <c r="L44" s="35" t="s">
        <v>68</v>
      </c>
      <c r="M44" s="33"/>
      <c r="N44" s="33"/>
      <c r="O44" s="31"/>
      <c r="P44" s="33"/>
      <c r="Q44" s="30"/>
      <c r="R44" s="331">
        <f>SUM(R36:T43)</f>
        <v>284660.25</v>
      </c>
      <c r="S44" s="331"/>
      <c r="T44" s="331"/>
      <c r="U44" s="46"/>
      <c r="W44" s="120"/>
      <c r="X44" s="486" t="s">
        <v>143</v>
      </c>
      <c r="Y44" s="487"/>
      <c r="Z44" s="487"/>
      <c r="AA44" s="487"/>
      <c r="AB44" s="487"/>
      <c r="AC44" s="487"/>
      <c r="AD44" s="487"/>
      <c r="AE44" s="487"/>
      <c r="AF44" s="487"/>
      <c r="AG44" s="487"/>
      <c r="AH44" s="487"/>
      <c r="AI44" s="487"/>
      <c r="AJ44" s="487"/>
      <c r="AK44" s="487"/>
      <c r="AL44" s="487"/>
      <c r="AM44" s="487"/>
      <c r="AN44" s="487"/>
      <c r="AO44" s="487"/>
      <c r="AP44" s="487"/>
      <c r="AQ44" s="487"/>
      <c r="AR44" s="487"/>
      <c r="AS44" s="487"/>
      <c r="AT44" s="487"/>
      <c r="AU44" s="487"/>
      <c r="AV44" s="487"/>
      <c r="AW44" s="487"/>
      <c r="AX44" s="487"/>
      <c r="AY44" s="487"/>
      <c r="AZ44" s="487"/>
      <c r="BA44" s="487"/>
      <c r="BB44" s="487"/>
      <c r="BC44" s="487"/>
      <c r="BD44" s="488"/>
      <c r="BE44" s="120"/>
    </row>
    <row r="45" spans="2:57" ht="16.2" thickBot="1">
      <c r="B45" s="22">
        <f t="shared" si="5"/>
        <v>46639</v>
      </c>
      <c r="C45" s="210" t="str">
        <f t="shared" si="2"/>
        <v>Sep-2027</v>
      </c>
      <c r="D45" s="211">
        <v>18</v>
      </c>
      <c r="E45" s="212">
        <f t="shared" si="3"/>
        <v>15000.248169988199</v>
      </c>
      <c r="F45" s="213">
        <f t="shared" si="6"/>
        <v>10878.301396203888</v>
      </c>
      <c r="G45" s="214">
        <f t="shared" si="4"/>
        <v>4121.9467737843115</v>
      </c>
      <c r="H45" s="215">
        <f t="shared" si="7"/>
        <v>538714.60177506565</v>
      </c>
      <c r="J45" s="29"/>
      <c r="K45" s="30"/>
      <c r="L45" s="30"/>
      <c r="M45" s="30"/>
      <c r="N45" s="30"/>
      <c r="O45" s="32"/>
      <c r="P45" s="30"/>
      <c r="Q45" s="30"/>
      <c r="R45" s="30"/>
      <c r="S45" s="30"/>
      <c r="T45" s="30"/>
      <c r="U45" s="46"/>
      <c r="W45" s="120"/>
      <c r="X45" s="489" t="s">
        <v>352</v>
      </c>
      <c r="Y45" s="489"/>
      <c r="Z45" s="489"/>
      <c r="AA45" s="489"/>
      <c r="AB45" s="489"/>
      <c r="AC45" s="489"/>
      <c r="AD45" s="489" t="s">
        <v>353</v>
      </c>
      <c r="AE45" s="489"/>
      <c r="AF45" s="489"/>
      <c r="AG45" s="489"/>
      <c r="AH45" s="489"/>
      <c r="AI45" s="489"/>
      <c r="AJ45" s="489"/>
      <c r="AK45" s="489"/>
      <c r="AL45" s="489"/>
      <c r="AM45" s="489"/>
      <c r="AN45" s="489" t="s">
        <v>354</v>
      </c>
      <c r="AO45" s="489"/>
      <c r="AP45" s="489"/>
      <c r="AQ45" s="489"/>
      <c r="AR45" s="489"/>
      <c r="AS45" s="489"/>
      <c r="AT45" s="489"/>
      <c r="AU45" s="489"/>
      <c r="AV45" s="489"/>
      <c r="AW45" s="489"/>
      <c r="AX45" s="489"/>
      <c r="AY45" s="489"/>
      <c r="AZ45" s="490"/>
      <c r="BA45" s="490"/>
      <c r="BB45" s="134"/>
      <c r="BC45" s="134"/>
      <c r="BD45" s="134"/>
      <c r="BE45" s="120"/>
    </row>
    <row r="46" spans="2:57" ht="16.2" thickBot="1">
      <c r="B46" s="22">
        <f t="shared" si="5"/>
        <v>46669</v>
      </c>
      <c r="C46" s="210" t="str">
        <f t="shared" si="2"/>
        <v>Oct-2027</v>
      </c>
      <c r="D46" s="211">
        <v>19</v>
      </c>
      <c r="E46" s="212">
        <f t="shared" si="3"/>
        <v>15000.248169988199</v>
      </c>
      <c r="F46" s="213">
        <f t="shared" si="6"/>
        <v>10959.888656675412</v>
      </c>
      <c r="G46" s="214">
        <f t="shared" si="4"/>
        <v>4040.3595133127865</v>
      </c>
      <c r="H46" s="215">
        <f t="shared" si="7"/>
        <v>527754.71311839018</v>
      </c>
      <c r="J46" s="29"/>
      <c r="K46" s="190" t="s">
        <v>69</v>
      </c>
      <c r="L46" s="190"/>
      <c r="M46" s="190"/>
      <c r="N46" s="190"/>
      <c r="O46" s="190"/>
      <c r="P46" s="190"/>
      <c r="Q46" s="190"/>
      <c r="R46" s="190"/>
      <c r="S46" s="190"/>
      <c r="T46" s="190"/>
      <c r="U46" s="46"/>
      <c r="W46" s="120"/>
      <c r="X46" s="123" t="s">
        <v>144</v>
      </c>
      <c r="Y46" s="128"/>
      <c r="Z46" s="128"/>
      <c r="AA46" s="123"/>
      <c r="AB46" s="123"/>
      <c r="AC46" s="123"/>
      <c r="AD46" s="123" t="s">
        <v>145</v>
      </c>
      <c r="AE46" s="123"/>
      <c r="AF46" s="123"/>
      <c r="AG46" s="123"/>
      <c r="AH46" s="123"/>
      <c r="AI46" s="123"/>
      <c r="AJ46" s="123"/>
      <c r="AK46" s="123"/>
      <c r="AL46" s="120"/>
      <c r="AM46" s="123"/>
      <c r="AN46" s="123" t="s">
        <v>146</v>
      </c>
      <c r="AO46" s="123"/>
      <c r="AP46" s="123"/>
      <c r="AQ46" s="123"/>
      <c r="AR46" s="123"/>
      <c r="AS46" s="120"/>
      <c r="AT46" s="123"/>
      <c r="AU46" s="123"/>
      <c r="AV46" s="123"/>
      <c r="AW46" s="123"/>
      <c r="AX46" s="120"/>
      <c r="AY46" s="123"/>
      <c r="AZ46" s="123" t="s">
        <v>147</v>
      </c>
      <c r="BA46" s="123"/>
      <c r="BB46" s="148"/>
      <c r="BC46" s="149"/>
      <c r="BD46" s="149"/>
      <c r="BE46" s="120"/>
    </row>
    <row r="47" spans="2:57" ht="16.2" thickBot="1">
      <c r="B47" s="22">
        <f t="shared" si="5"/>
        <v>46700</v>
      </c>
      <c r="C47" s="210" t="str">
        <f t="shared" si="2"/>
        <v>Nov-2027</v>
      </c>
      <c r="D47" s="211">
        <v>20</v>
      </c>
      <c r="E47" s="212">
        <f t="shared" si="3"/>
        <v>15000.248169988199</v>
      </c>
      <c r="F47" s="213">
        <f t="shared" si="6"/>
        <v>11042.087821600475</v>
      </c>
      <c r="G47" s="214">
        <f t="shared" si="4"/>
        <v>3958.1603483877248</v>
      </c>
      <c r="H47" s="215">
        <f t="shared" si="7"/>
        <v>516712.62529678969</v>
      </c>
      <c r="J47" s="29"/>
      <c r="K47" s="30"/>
      <c r="L47" s="30"/>
      <c r="M47" s="30"/>
      <c r="N47" s="30"/>
      <c r="O47" s="32"/>
      <c r="P47" s="30"/>
      <c r="Q47" s="30"/>
      <c r="R47" s="30"/>
      <c r="S47" s="30"/>
      <c r="T47" s="30"/>
      <c r="U47" s="46"/>
      <c r="W47" s="120"/>
      <c r="X47" s="473" t="s">
        <v>148</v>
      </c>
      <c r="Y47" s="474"/>
      <c r="Z47" s="474"/>
      <c r="AA47" s="474"/>
      <c r="AB47" s="474"/>
      <c r="AC47" s="475"/>
      <c r="AD47" s="473" t="s">
        <v>61</v>
      </c>
      <c r="AE47" s="474"/>
      <c r="AF47" s="474"/>
      <c r="AG47" s="474"/>
      <c r="AH47" s="475"/>
      <c r="AI47" s="473" t="s">
        <v>149</v>
      </c>
      <c r="AJ47" s="474"/>
      <c r="AK47" s="474"/>
      <c r="AL47" s="474"/>
      <c r="AM47" s="474"/>
      <c r="AN47" s="475"/>
      <c r="AO47" s="476" t="s">
        <v>150</v>
      </c>
      <c r="AP47" s="477"/>
      <c r="AQ47" s="477"/>
      <c r="AR47" s="477"/>
      <c r="AS47" s="477"/>
      <c r="AT47" s="477"/>
      <c r="AU47" s="477"/>
      <c r="AV47" s="477"/>
      <c r="AW47" s="476" t="s">
        <v>151</v>
      </c>
      <c r="AX47" s="477"/>
      <c r="AY47" s="477"/>
      <c r="AZ47" s="477"/>
      <c r="BA47" s="477"/>
      <c r="BB47" s="477"/>
      <c r="BC47" s="477"/>
      <c r="BD47" s="478"/>
      <c r="BE47" s="120"/>
    </row>
    <row r="48" spans="2:57" ht="16.2" thickBot="1">
      <c r="B48" s="22">
        <f t="shared" si="5"/>
        <v>46730</v>
      </c>
      <c r="C48" s="210" t="str">
        <f t="shared" si="2"/>
        <v>Dec-2027</v>
      </c>
      <c r="D48" s="211">
        <v>21</v>
      </c>
      <c r="E48" s="212">
        <f t="shared" si="3"/>
        <v>15000.248169988199</v>
      </c>
      <c r="F48" s="213">
        <f t="shared" si="6"/>
        <v>11124.903480262474</v>
      </c>
      <c r="G48" s="214">
        <f t="shared" si="4"/>
        <v>3875.3446897257254</v>
      </c>
      <c r="H48" s="215">
        <f t="shared" si="7"/>
        <v>505587.72181652719</v>
      </c>
      <c r="J48" s="29"/>
      <c r="K48" s="30"/>
      <c r="L48" s="40" t="s">
        <v>263</v>
      </c>
      <c r="M48" s="40"/>
      <c r="N48" s="40"/>
      <c r="O48" s="40"/>
      <c r="P48" s="40"/>
      <c r="Q48" s="40"/>
      <c r="R48" s="479">
        <v>60</v>
      </c>
      <c r="S48" s="479"/>
      <c r="T48" s="217" t="s">
        <v>264</v>
      </c>
      <c r="U48" s="46"/>
      <c r="W48" s="120"/>
      <c r="X48" s="480" t="s">
        <v>347</v>
      </c>
      <c r="Y48" s="481"/>
      <c r="Z48" s="481"/>
      <c r="AA48" s="481"/>
      <c r="AB48" s="481"/>
      <c r="AC48" s="482"/>
      <c r="AD48" s="483" t="str">
        <f>D23</f>
        <v>O-7704</v>
      </c>
      <c r="AE48" s="484"/>
      <c r="AF48" s="484"/>
      <c r="AG48" s="484"/>
      <c r="AH48" s="485"/>
      <c r="AI48" s="480" t="s">
        <v>343</v>
      </c>
      <c r="AJ48" s="481"/>
      <c r="AK48" s="481"/>
      <c r="AL48" s="481"/>
      <c r="AM48" s="481"/>
      <c r="AN48" s="482"/>
      <c r="AO48" s="124"/>
      <c r="AP48" s="125"/>
      <c r="AQ48" s="125"/>
      <c r="AR48" s="125"/>
      <c r="AS48" s="125"/>
      <c r="AT48" s="125"/>
      <c r="AU48" s="125"/>
      <c r="AV48" s="126"/>
      <c r="AW48" s="124"/>
      <c r="AX48" s="125"/>
      <c r="AY48" s="125"/>
      <c r="AZ48" s="125"/>
      <c r="BA48" s="125"/>
      <c r="BB48" s="125"/>
      <c r="BC48" s="125"/>
      <c r="BD48" s="126"/>
      <c r="BE48" s="120"/>
    </row>
    <row r="49" spans="2:57" ht="16.2" thickBot="1">
      <c r="B49" s="22">
        <f t="shared" si="5"/>
        <v>46761</v>
      </c>
      <c r="C49" s="210" t="str">
        <f t="shared" si="2"/>
        <v>Jan-2028</v>
      </c>
      <c r="D49" s="211">
        <v>22</v>
      </c>
      <c r="E49" s="212">
        <f t="shared" si="3"/>
        <v>15000.248169988199</v>
      </c>
      <c r="F49" s="213">
        <f t="shared" si="6"/>
        <v>11208.340256364438</v>
      </c>
      <c r="G49" s="214">
        <f t="shared" si="4"/>
        <v>3791.907913623761</v>
      </c>
      <c r="H49" s="215">
        <f t="shared" si="7"/>
        <v>494379.38156016276</v>
      </c>
      <c r="J49" s="29"/>
      <c r="K49" s="30"/>
      <c r="L49" s="40" t="s">
        <v>267</v>
      </c>
      <c r="M49" s="40"/>
      <c r="N49" s="40"/>
      <c r="O49" s="40"/>
      <c r="P49" s="40"/>
      <c r="Q49" s="40"/>
      <c r="R49" s="330">
        <f>C1</f>
        <v>15000.248169988199</v>
      </c>
      <c r="S49" s="330"/>
      <c r="T49" s="330"/>
      <c r="U49" s="46"/>
      <c r="W49" s="120"/>
      <c r="X49" s="120"/>
      <c r="Y49" s="120"/>
      <c r="Z49" s="120"/>
      <c r="AA49" s="120"/>
      <c r="AB49" s="120"/>
      <c r="AC49" s="120"/>
      <c r="AD49" s="120"/>
      <c r="AE49" s="120"/>
      <c r="AF49" s="120"/>
      <c r="AG49" s="120"/>
      <c r="AH49" s="120"/>
      <c r="AI49" s="120"/>
      <c r="AJ49" s="120"/>
      <c r="AK49" s="120"/>
      <c r="AL49" s="120"/>
      <c r="AM49" s="120"/>
      <c r="AN49" s="120"/>
      <c r="AO49" s="150" t="s">
        <v>112</v>
      </c>
      <c r="AP49" s="150" t="s">
        <v>112</v>
      </c>
      <c r="AQ49" s="150" t="s">
        <v>113</v>
      </c>
      <c r="AR49" s="150" t="s">
        <v>113</v>
      </c>
      <c r="AS49" s="150" t="s">
        <v>114</v>
      </c>
      <c r="AT49" s="150" t="s">
        <v>114</v>
      </c>
      <c r="AU49" s="150" t="s">
        <v>114</v>
      </c>
      <c r="AV49" s="150" t="s">
        <v>114</v>
      </c>
      <c r="AW49" s="150" t="s">
        <v>112</v>
      </c>
      <c r="AX49" s="150" t="s">
        <v>112</v>
      </c>
      <c r="AY49" s="150" t="s">
        <v>113</v>
      </c>
      <c r="AZ49" s="150" t="s">
        <v>113</v>
      </c>
      <c r="BA49" s="150" t="s">
        <v>114</v>
      </c>
      <c r="BB49" s="150" t="s">
        <v>114</v>
      </c>
      <c r="BC49" s="150" t="s">
        <v>114</v>
      </c>
      <c r="BD49" s="150" t="s">
        <v>114</v>
      </c>
      <c r="BE49" s="120"/>
    </row>
    <row r="50" spans="2:57" ht="16.2" thickBot="1">
      <c r="B50" s="22">
        <f t="shared" si="5"/>
        <v>46792</v>
      </c>
      <c r="C50" s="210" t="str">
        <f t="shared" si="2"/>
        <v>Feb-2028</v>
      </c>
      <c r="D50" s="211">
        <v>23</v>
      </c>
      <c r="E50" s="212">
        <f t="shared" si="3"/>
        <v>15000.248169988199</v>
      </c>
      <c r="F50" s="213">
        <f t="shared" si="6"/>
        <v>11292.402808287166</v>
      </c>
      <c r="G50" s="214">
        <f t="shared" si="4"/>
        <v>3707.8453617010318</v>
      </c>
      <c r="H50" s="215">
        <f t="shared" si="7"/>
        <v>483086.97875187558</v>
      </c>
      <c r="J50" s="29"/>
      <c r="K50" s="30"/>
      <c r="L50" s="40" t="s">
        <v>71</v>
      </c>
      <c r="M50" s="40"/>
      <c r="N50" s="40"/>
      <c r="O50" s="40"/>
      <c r="P50" s="40"/>
      <c r="Q50" s="40"/>
      <c r="R50" s="344">
        <f>B28</f>
        <v>46121</v>
      </c>
      <c r="S50" s="344"/>
      <c r="T50" s="344"/>
      <c r="U50" s="46"/>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row>
    <row r="51" spans="2:57" ht="16.2" thickBot="1">
      <c r="B51" s="22">
        <f t="shared" si="5"/>
        <v>46821</v>
      </c>
      <c r="C51" s="210" t="str">
        <f t="shared" si="2"/>
        <v>Mar-2028</v>
      </c>
      <c r="D51" s="211">
        <v>24</v>
      </c>
      <c r="E51" s="218">
        <f t="shared" si="3"/>
        <v>15000.248169988199</v>
      </c>
      <c r="F51" s="219">
        <f t="shared" si="6"/>
        <v>11377.095829349317</v>
      </c>
      <c r="G51" s="220">
        <f t="shared" si="4"/>
        <v>3623.1523406388824</v>
      </c>
      <c r="H51" s="203">
        <f t="shared" si="7"/>
        <v>471709.88292252627</v>
      </c>
      <c r="J51" s="29"/>
      <c r="K51" s="30"/>
      <c r="L51" s="40" t="s">
        <v>72</v>
      </c>
      <c r="M51" s="40"/>
      <c r="N51" s="40"/>
      <c r="O51" s="40"/>
      <c r="P51" s="40"/>
      <c r="Q51" s="40"/>
      <c r="R51" s="344">
        <f>B87</f>
        <v>47916</v>
      </c>
      <c r="S51" s="344"/>
      <c r="T51" s="344"/>
      <c r="U51" s="46"/>
      <c r="W51" s="120"/>
      <c r="X51" s="123" t="s">
        <v>153</v>
      </c>
      <c r="Y51" s="123"/>
      <c r="Z51" s="123"/>
      <c r="AA51" s="123"/>
      <c r="AB51" s="123"/>
      <c r="AC51" s="123"/>
      <c r="AD51" s="123"/>
      <c r="AE51" s="123" t="s">
        <v>154</v>
      </c>
      <c r="AF51" s="123"/>
      <c r="AG51" s="123"/>
      <c r="AH51" s="123"/>
      <c r="AI51" s="120"/>
      <c r="AJ51" s="151" t="s">
        <v>155</v>
      </c>
      <c r="AK51" s="469">
        <v>69</v>
      </c>
      <c r="AL51" s="471"/>
      <c r="AM51" s="472" t="s">
        <v>156</v>
      </c>
      <c r="AN51" s="472"/>
      <c r="AO51" s="472"/>
      <c r="AP51" s="472"/>
      <c r="AQ51" s="152"/>
      <c r="AR51" s="454" t="s">
        <v>157</v>
      </c>
      <c r="AS51" s="454"/>
      <c r="AT51" s="152"/>
      <c r="AU51" s="454" t="s">
        <v>158</v>
      </c>
      <c r="AV51" s="454"/>
      <c r="AW51" s="454"/>
      <c r="AX51" s="454" t="s">
        <v>159</v>
      </c>
      <c r="AY51" s="454"/>
      <c r="AZ51" s="454"/>
      <c r="BA51" s="454"/>
      <c r="BB51" s="454"/>
      <c r="BC51" s="454"/>
      <c r="BD51" s="454"/>
      <c r="BE51" s="120"/>
    </row>
    <row r="52" spans="2:57" ht="16.2" thickBot="1">
      <c r="B52" s="22">
        <f t="shared" si="5"/>
        <v>46852</v>
      </c>
      <c r="C52" s="210" t="str">
        <f t="shared" si="2"/>
        <v>Apr-2028</v>
      </c>
      <c r="D52" s="211">
        <v>25</v>
      </c>
      <c r="E52" s="218">
        <f t="shared" si="3"/>
        <v>15000.248169988199</v>
      </c>
      <c r="F52" s="219">
        <f t="shared" si="6"/>
        <v>11462.424048069432</v>
      </c>
      <c r="G52" s="220">
        <f t="shared" si="4"/>
        <v>3537.8241219187671</v>
      </c>
      <c r="H52" s="203">
        <f t="shared" si="7"/>
        <v>460247.45887445682</v>
      </c>
      <c r="J52" s="29"/>
      <c r="K52" s="30"/>
      <c r="L52" s="40" t="s">
        <v>73</v>
      </c>
      <c r="M52" s="40"/>
      <c r="N52" s="40"/>
      <c r="O52" s="40"/>
      <c r="P52" s="40"/>
      <c r="Q52" s="40"/>
      <c r="R52" s="329">
        <f>C16</f>
        <v>9.4100503202476204E-2</v>
      </c>
      <c r="S52" s="329"/>
      <c r="T52" s="329"/>
      <c r="U52" s="46"/>
      <c r="W52" s="120"/>
      <c r="X52" s="466"/>
      <c r="Y52" s="467"/>
      <c r="Z52" s="467"/>
      <c r="AA52" s="467"/>
      <c r="AB52" s="467"/>
      <c r="AC52" s="467"/>
      <c r="AD52" s="468"/>
      <c r="AE52" s="531">
        <v>20562</v>
      </c>
      <c r="AF52" s="470"/>
      <c r="AG52" s="470"/>
      <c r="AH52" s="470"/>
      <c r="AI52" s="470"/>
      <c r="AJ52" s="470"/>
      <c r="AK52" s="470"/>
      <c r="AL52" s="471"/>
      <c r="AM52" s="472"/>
      <c r="AN52" s="472"/>
      <c r="AO52" s="472"/>
      <c r="AP52" s="472"/>
      <c r="AQ52" s="152"/>
      <c r="AR52" s="454" t="s">
        <v>160</v>
      </c>
      <c r="AS52" s="454"/>
      <c r="AT52" s="152"/>
      <c r="AU52" s="454" t="s">
        <v>161</v>
      </c>
      <c r="AV52" s="454"/>
      <c r="AW52" s="454"/>
      <c r="AX52" s="466"/>
      <c r="AY52" s="467"/>
      <c r="AZ52" s="467"/>
      <c r="BA52" s="467"/>
      <c r="BB52" s="467"/>
      <c r="BC52" s="467"/>
      <c r="BD52" s="468"/>
      <c r="BE52" s="120"/>
    </row>
    <row r="53" spans="2:57" ht="16.2" thickBot="1">
      <c r="B53" s="22">
        <f t="shared" si="5"/>
        <v>46882</v>
      </c>
      <c r="C53" s="210" t="str">
        <f t="shared" si="2"/>
        <v>May-2028</v>
      </c>
      <c r="D53" s="211">
        <v>26</v>
      </c>
      <c r="E53" s="218">
        <f t="shared" si="3"/>
        <v>15000.248169988199</v>
      </c>
      <c r="F53" s="219">
        <f t="shared" si="6"/>
        <v>11548.392228429948</v>
      </c>
      <c r="G53" s="220">
        <f t="shared" si="4"/>
        <v>3451.8559415582504</v>
      </c>
      <c r="H53" s="203">
        <f t="shared" si="7"/>
        <v>448699.06664602685</v>
      </c>
      <c r="J53" s="29"/>
      <c r="K53" s="30"/>
      <c r="L53" s="40" t="s">
        <v>74</v>
      </c>
      <c r="M53" s="40"/>
      <c r="N53" s="40"/>
      <c r="O53" s="40"/>
      <c r="P53" s="40"/>
      <c r="Q53" s="40"/>
      <c r="R53" s="329">
        <f>C15</f>
        <v>7.4999999999999997E-3</v>
      </c>
      <c r="S53" s="329"/>
      <c r="T53" s="329"/>
      <c r="U53" s="46"/>
      <c r="W53" s="120"/>
      <c r="X53" s="464" t="s">
        <v>162</v>
      </c>
      <c r="Y53" s="464"/>
      <c r="Z53" s="464"/>
      <c r="AA53" s="464"/>
      <c r="AB53" s="464"/>
      <c r="AC53" s="464"/>
      <c r="AD53" s="464"/>
      <c r="AE53" s="464" t="s">
        <v>163</v>
      </c>
      <c r="AF53" s="464"/>
      <c r="AG53" s="464"/>
      <c r="AH53" s="464"/>
      <c r="AI53" s="464"/>
      <c r="AJ53" s="464"/>
      <c r="AK53" s="464"/>
      <c r="AL53" s="464"/>
      <c r="AM53" s="464"/>
      <c r="AN53" s="464"/>
      <c r="AO53" s="464"/>
      <c r="AP53" s="464"/>
      <c r="AQ53" s="464"/>
      <c r="AR53" s="464"/>
      <c r="AS53" s="464"/>
      <c r="AT53" s="464"/>
      <c r="AU53" s="120"/>
      <c r="AV53" s="134"/>
      <c r="AW53" s="134"/>
      <c r="AX53" s="134" t="s">
        <v>164</v>
      </c>
      <c r="AY53" s="134"/>
      <c r="AZ53" s="134"/>
      <c r="BA53" s="134"/>
      <c r="BB53" s="134"/>
      <c r="BC53" s="134"/>
      <c r="BD53" s="134"/>
      <c r="BE53" s="120"/>
    </row>
    <row r="54" spans="2:57" ht="16.2" thickBot="1">
      <c r="B54" s="22">
        <f t="shared" si="5"/>
        <v>46913</v>
      </c>
      <c r="C54" s="210" t="str">
        <f t="shared" si="2"/>
        <v>Jun-2028</v>
      </c>
      <c r="D54" s="211">
        <v>27</v>
      </c>
      <c r="E54" s="218">
        <f t="shared" si="3"/>
        <v>15000.248169988199</v>
      </c>
      <c r="F54" s="219">
        <f t="shared" si="6"/>
        <v>11635.005170143169</v>
      </c>
      <c r="G54" s="220">
        <f t="shared" si="4"/>
        <v>3365.2429998450302</v>
      </c>
      <c r="H54" s="203">
        <f t="shared" si="7"/>
        <v>437064.0614758837</v>
      </c>
      <c r="J54" s="29"/>
      <c r="K54" s="43"/>
      <c r="L54" s="43"/>
      <c r="M54" s="43"/>
      <c r="N54" s="43"/>
      <c r="O54" s="44"/>
      <c r="P54" s="43"/>
      <c r="Q54" s="43"/>
      <c r="R54" s="43"/>
      <c r="S54" s="43"/>
      <c r="T54" s="43"/>
      <c r="U54" s="46"/>
      <c r="W54" s="120"/>
      <c r="X54" s="465"/>
      <c r="Y54" s="459"/>
      <c r="Z54" s="459"/>
      <c r="AA54" s="459"/>
      <c r="AB54" s="459"/>
      <c r="AC54" s="459"/>
      <c r="AD54" s="460"/>
      <c r="AE54" s="455"/>
      <c r="AF54" s="456"/>
      <c r="AG54" s="456"/>
      <c r="AH54" s="456"/>
      <c r="AI54" s="456"/>
      <c r="AJ54" s="456"/>
      <c r="AK54" s="456"/>
      <c r="AL54" s="456"/>
      <c r="AM54" s="456"/>
      <c r="AN54" s="456"/>
      <c r="AO54" s="456"/>
      <c r="AP54" s="456"/>
      <c r="AQ54" s="456"/>
      <c r="AR54" s="456"/>
      <c r="AS54" s="456"/>
      <c r="AT54" s="456"/>
      <c r="AU54" s="456"/>
      <c r="AV54" s="456"/>
      <c r="AW54" s="457"/>
      <c r="AX54" s="455"/>
      <c r="AY54" s="456"/>
      <c r="AZ54" s="456"/>
      <c r="BA54" s="456"/>
      <c r="BB54" s="456"/>
      <c r="BC54" s="456"/>
      <c r="BD54" s="457"/>
      <c r="BE54" s="120"/>
    </row>
    <row r="55" spans="2:57" ht="16.2" thickBot="1">
      <c r="B55" s="22">
        <f t="shared" si="5"/>
        <v>46943</v>
      </c>
      <c r="C55" s="210" t="str">
        <f t="shared" si="2"/>
        <v>Jul-2028</v>
      </c>
      <c r="D55" s="211">
        <v>28</v>
      </c>
      <c r="E55" s="218">
        <f t="shared" si="3"/>
        <v>15000.248169988199</v>
      </c>
      <c r="F55" s="219">
        <f t="shared" si="6"/>
        <v>11722.267708919238</v>
      </c>
      <c r="G55" s="220">
        <f t="shared" si="4"/>
        <v>3277.9804610689607</v>
      </c>
      <c r="H55" s="203">
        <f t="shared" si="7"/>
        <v>425341.79376696446</v>
      </c>
      <c r="J55" s="29"/>
      <c r="K55" s="30"/>
      <c r="L55" s="30"/>
      <c r="M55" s="30"/>
      <c r="N55" s="30"/>
      <c r="O55" s="32"/>
      <c r="P55" s="30"/>
      <c r="Q55" s="30"/>
      <c r="R55" s="30"/>
      <c r="S55" s="30"/>
      <c r="T55" s="30"/>
      <c r="U55" s="46"/>
      <c r="W55" s="120"/>
      <c r="X55" s="123" t="s">
        <v>165</v>
      </c>
      <c r="Y55" s="123"/>
      <c r="Z55" s="123"/>
      <c r="AA55" s="123"/>
      <c r="AB55" s="123"/>
      <c r="AC55" s="123"/>
      <c r="AD55" s="123"/>
      <c r="AE55" s="120"/>
      <c r="AF55" s="123"/>
      <c r="AG55" s="134" t="s">
        <v>166</v>
      </c>
      <c r="AH55" s="120"/>
      <c r="AI55" s="120"/>
      <c r="AJ55" s="120"/>
      <c r="AK55" s="134"/>
      <c r="AL55" s="134"/>
      <c r="AM55" s="134"/>
      <c r="AN55" s="134"/>
      <c r="AO55" s="134"/>
      <c r="AP55" s="134"/>
      <c r="AQ55" s="134"/>
      <c r="AR55" s="134"/>
      <c r="AS55" s="134"/>
      <c r="AT55" s="454" t="s">
        <v>167</v>
      </c>
      <c r="AU55" s="454"/>
      <c r="AV55" s="454"/>
      <c r="AW55" s="454"/>
      <c r="AX55" s="454"/>
      <c r="AY55" s="454"/>
      <c r="AZ55" s="454"/>
      <c r="BA55" s="454"/>
      <c r="BB55" s="454"/>
      <c r="BC55" s="454"/>
      <c r="BD55" s="454"/>
      <c r="BE55" s="120"/>
    </row>
    <row r="56" spans="2:57" ht="16.2" thickBot="1">
      <c r="B56" s="22">
        <f t="shared" si="5"/>
        <v>46974</v>
      </c>
      <c r="C56" s="210" t="str">
        <f t="shared" si="2"/>
        <v>Aug-2028</v>
      </c>
      <c r="D56" s="211">
        <v>29</v>
      </c>
      <c r="E56" s="218">
        <f t="shared" si="3"/>
        <v>15000.248169988199</v>
      </c>
      <c r="F56" s="219">
        <f t="shared" si="6"/>
        <v>11810.184716736128</v>
      </c>
      <c r="G56" s="220">
        <f t="shared" si="4"/>
        <v>3190.0634532520712</v>
      </c>
      <c r="H56" s="203">
        <f t="shared" si="7"/>
        <v>413531.60905022832</v>
      </c>
      <c r="J56" s="29"/>
      <c r="K56" s="30" t="s">
        <v>75</v>
      </c>
      <c r="L56" s="30"/>
      <c r="M56" s="30"/>
      <c r="O56" s="30"/>
      <c r="P56" s="30"/>
      <c r="R56" s="30" t="s">
        <v>272</v>
      </c>
      <c r="S56" s="30"/>
      <c r="T56" s="30"/>
      <c r="U56" s="46"/>
      <c r="W56" s="120"/>
      <c r="X56" s="455"/>
      <c r="Y56" s="456"/>
      <c r="Z56" s="456"/>
      <c r="AA56" s="456"/>
      <c r="AB56" s="456"/>
      <c r="AC56" s="456"/>
      <c r="AD56" s="456"/>
      <c r="AE56" s="456"/>
      <c r="AF56" s="457"/>
      <c r="AG56" s="458" t="s">
        <v>357</v>
      </c>
      <c r="AH56" s="459"/>
      <c r="AI56" s="459"/>
      <c r="AJ56" s="459"/>
      <c r="AK56" s="459"/>
      <c r="AL56" s="459"/>
      <c r="AM56" s="459"/>
      <c r="AN56" s="459"/>
      <c r="AO56" s="459"/>
      <c r="AP56" s="459"/>
      <c r="AQ56" s="459"/>
      <c r="AR56" s="459"/>
      <c r="AS56" s="460"/>
      <c r="AT56" s="153" t="s">
        <v>169</v>
      </c>
      <c r="AU56" s="154" t="s">
        <v>298</v>
      </c>
      <c r="AV56" s="154" t="s">
        <v>348</v>
      </c>
      <c r="AW56" s="155" t="s">
        <v>168</v>
      </c>
      <c r="AX56" s="154" t="s">
        <v>274</v>
      </c>
      <c r="AY56" s="154" t="s">
        <v>274</v>
      </c>
      <c r="AZ56" s="154" t="s">
        <v>170</v>
      </c>
      <c r="BA56" s="155" t="s">
        <v>168</v>
      </c>
      <c r="BB56" s="154" t="s">
        <v>322</v>
      </c>
      <c r="BC56" s="154" t="s">
        <v>340</v>
      </c>
      <c r="BD56" s="154" t="s">
        <v>298</v>
      </c>
      <c r="BE56" s="120"/>
    </row>
    <row r="57" spans="2:57" ht="16.2" thickBot="1">
      <c r="B57" s="22">
        <f t="shared" si="5"/>
        <v>47005</v>
      </c>
      <c r="C57" s="210" t="str">
        <f t="shared" si="2"/>
        <v>Sep-2028</v>
      </c>
      <c r="D57" s="211">
        <v>30</v>
      </c>
      <c r="E57" s="218">
        <f t="shared" si="3"/>
        <v>15000.248169988199</v>
      </c>
      <c r="F57" s="219">
        <f t="shared" si="6"/>
        <v>11898.761102111645</v>
      </c>
      <c r="G57" s="220">
        <f t="shared" si="4"/>
        <v>3101.4870678765546</v>
      </c>
      <c r="H57" s="203">
        <f t="shared" si="7"/>
        <v>401632.84794811666</v>
      </c>
      <c r="J57" s="29"/>
      <c r="K57" s="30"/>
      <c r="L57" s="30"/>
      <c r="M57" s="30"/>
      <c r="N57" s="30"/>
      <c r="O57" s="30"/>
      <c r="P57" s="30"/>
      <c r="Q57" s="30"/>
      <c r="R57" s="30"/>
      <c r="S57" s="30"/>
      <c r="T57" s="30"/>
      <c r="U57" s="46"/>
      <c r="W57" s="120"/>
      <c r="X57" s="156" t="s">
        <v>171</v>
      </c>
      <c r="Y57" s="134"/>
      <c r="Z57" s="134"/>
      <c r="AA57" s="134"/>
      <c r="AB57" s="530" t="str">
        <f>N34</f>
        <v>#49 RICARTE ST. AFPOVAI WESTERN BICUTAN TAGUIG CITY METRO MANILA</v>
      </c>
      <c r="AC57" s="462"/>
      <c r="AD57" s="462"/>
      <c r="AE57" s="462"/>
      <c r="AF57" s="462"/>
      <c r="AG57" s="462"/>
      <c r="AH57" s="462"/>
      <c r="AI57" s="462"/>
      <c r="AJ57" s="462"/>
      <c r="AK57" s="462"/>
      <c r="AL57" s="462"/>
      <c r="AM57" s="462"/>
      <c r="AN57" s="462"/>
      <c r="AO57" s="462"/>
      <c r="AP57" s="462"/>
      <c r="AQ57" s="462"/>
      <c r="AR57" s="462"/>
      <c r="AS57" s="462"/>
      <c r="AT57" s="462"/>
      <c r="AU57" s="462"/>
      <c r="AV57" s="462"/>
      <c r="AW57" s="462"/>
      <c r="AX57" s="462"/>
      <c r="AY57" s="462"/>
      <c r="AZ57" s="462"/>
      <c r="BA57" s="462"/>
      <c r="BB57" s="462"/>
      <c r="BC57" s="462"/>
      <c r="BD57" s="463"/>
      <c r="BE57" s="120"/>
    </row>
    <row r="58" spans="2:57" ht="15.6" customHeight="1" thickBot="1">
      <c r="B58" s="22">
        <f t="shared" si="5"/>
        <v>47035</v>
      </c>
      <c r="C58" s="210" t="str">
        <f t="shared" si="2"/>
        <v>Oct-2028</v>
      </c>
      <c r="D58" s="211">
        <v>31</v>
      </c>
      <c r="E58" s="218">
        <f t="shared" si="3"/>
        <v>15000.248169988199</v>
      </c>
      <c r="F58" s="219">
        <f t="shared" si="6"/>
        <v>11988.001810377478</v>
      </c>
      <c r="G58" s="220">
        <f t="shared" si="4"/>
        <v>3012.2463596107214</v>
      </c>
      <c r="H58" s="203">
        <f t="shared" si="7"/>
        <v>389644.84613773919</v>
      </c>
      <c r="J58" s="16"/>
      <c r="U58" s="216"/>
      <c r="W58" s="120"/>
      <c r="X58" s="431" t="s">
        <v>172</v>
      </c>
      <c r="Y58" s="432"/>
      <c r="Z58" s="432"/>
      <c r="AA58" s="432"/>
      <c r="AB58" s="432"/>
      <c r="AC58" s="432"/>
      <c r="AD58" s="432"/>
      <c r="AE58" s="432"/>
      <c r="AF58" s="432"/>
      <c r="AG58" s="432"/>
      <c r="AH58" s="432"/>
      <c r="AI58" s="432"/>
      <c r="AJ58" s="432"/>
      <c r="AK58" s="432"/>
      <c r="AL58" s="432"/>
      <c r="AM58" s="432"/>
      <c r="AN58" s="432"/>
      <c r="AO58" s="432"/>
      <c r="AP58" s="432"/>
      <c r="AQ58" s="432"/>
      <c r="AR58" s="432"/>
      <c r="AS58" s="432"/>
      <c r="AT58" s="432"/>
      <c r="AU58" s="432"/>
      <c r="AV58" s="432"/>
      <c r="AW58" s="432"/>
      <c r="AX58" s="432"/>
      <c r="AY58" s="432"/>
      <c r="AZ58" s="432"/>
      <c r="BA58" s="432"/>
      <c r="BB58" s="432"/>
      <c r="BC58" s="432"/>
      <c r="BD58" s="433"/>
      <c r="BE58" s="120"/>
    </row>
    <row r="59" spans="2:57" ht="16.2" thickBot="1">
      <c r="B59" s="22">
        <f t="shared" si="5"/>
        <v>47066</v>
      </c>
      <c r="C59" s="210" t="str">
        <f t="shared" si="2"/>
        <v>Nov-2028</v>
      </c>
      <c r="D59" s="211">
        <v>32</v>
      </c>
      <c r="E59" s="218">
        <f t="shared" si="3"/>
        <v>15000.248169988199</v>
      </c>
      <c r="F59" s="219">
        <f t="shared" si="6"/>
        <v>12077.911823955304</v>
      </c>
      <c r="G59" s="220">
        <f t="shared" si="4"/>
        <v>2922.3363460328951</v>
      </c>
      <c r="H59" s="203">
        <f t="shared" si="7"/>
        <v>377566.93431378389</v>
      </c>
      <c r="J59" s="16"/>
      <c r="U59" s="216"/>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row>
    <row r="60" spans="2:57" ht="16.2" thickBot="1">
      <c r="B60" s="22">
        <f t="shared" si="5"/>
        <v>47096</v>
      </c>
      <c r="C60" s="210" t="str">
        <f t="shared" si="2"/>
        <v>Dec-2028</v>
      </c>
      <c r="D60" s="211">
        <v>33</v>
      </c>
      <c r="E60" s="218">
        <f t="shared" si="3"/>
        <v>15000.248169988199</v>
      </c>
      <c r="F60" s="219">
        <f t="shared" si="6"/>
        <v>12168.496162634965</v>
      </c>
      <c r="G60" s="220">
        <f t="shared" si="4"/>
        <v>2831.7520073532351</v>
      </c>
      <c r="H60" s="203">
        <f t="shared" si="7"/>
        <v>365398.4381511489</v>
      </c>
      <c r="J60" s="29"/>
      <c r="K60" s="453" t="s">
        <v>204</v>
      </c>
      <c r="L60" s="453"/>
      <c r="M60" s="453"/>
      <c r="N60" s="33"/>
      <c r="O60" s="33"/>
      <c r="P60" s="33"/>
      <c r="R60" s="452" t="s">
        <v>89</v>
      </c>
      <c r="S60" s="452"/>
      <c r="T60" s="452"/>
      <c r="U60" s="46"/>
      <c r="W60" s="120"/>
      <c r="X60" s="120"/>
      <c r="Y60" s="120" t="s">
        <v>173</v>
      </c>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row>
    <row r="61" spans="2:57" ht="16.2" thickBot="1">
      <c r="B61" s="22">
        <f t="shared" si="5"/>
        <v>47127</v>
      </c>
      <c r="C61" s="210" t="str">
        <f t="shared" si="2"/>
        <v>Jan-2029</v>
      </c>
      <c r="D61" s="211">
        <v>34</v>
      </c>
      <c r="E61" s="218">
        <f t="shared" si="3"/>
        <v>15000.248169988199</v>
      </c>
      <c r="F61" s="219">
        <f t="shared" si="6"/>
        <v>12259.759883854722</v>
      </c>
      <c r="G61" s="220">
        <f t="shared" si="4"/>
        <v>2740.4882861334772</v>
      </c>
      <c r="H61" s="203">
        <f t="shared" si="7"/>
        <v>353138.67826729419</v>
      </c>
      <c r="J61" s="29"/>
      <c r="K61" s="451" t="s">
        <v>77</v>
      </c>
      <c r="L61" s="451"/>
      <c r="M61" s="451"/>
      <c r="N61" s="30"/>
      <c r="O61" s="32"/>
      <c r="P61" s="30"/>
      <c r="R61" s="451" t="s">
        <v>276</v>
      </c>
      <c r="S61" s="451"/>
      <c r="T61" s="451"/>
      <c r="U61" s="46"/>
      <c r="W61" s="120"/>
      <c r="X61" s="120" t="s">
        <v>174</v>
      </c>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row>
    <row r="62" spans="2:57" ht="16.2" thickBot="1">
      <c r="B62" s="22">
        <f t="shared" si="5"/>
        <v>47158</v>
      </c>
      <c r="C62" s="210" t="str">
        <f t="shared" si="2"/>
        <v>Feb-2029</v>
      </c>
      <c r="D62" s="211">
        <v>35</v>
      </c>
      <c r="E62" s="218">
        <f t="shared" si="3"/>
        <v>15000.248169988199</v>
      </c>
      <c r="F62" s="219">
        <f t="shared" si="6"/>
        <v>12351.708082983627</v>
      </c>
      <c r="G62" s="220">
        <f>H61*C$12</f>
        <v>2648.5400870045714</v>
      </c>
      <c r="H62" s="203">
        <f t="shared" si="7"/>
        <v>340786.97018431057</v>
      </c>
      <c r="J62" s="16"/>
      <c r="U62" s="216"/>
      <c r="W62" s="120"/>
      <c r="X62" s="120" t="s">
        <v>175</v>
      </c>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row>
    <row r="63" spans="2:57" ht="16.2" thickBot="1">
      <c r="B63" s="22">
        <f t="shared" si="5"/>
        <v>47186</v>
      </c>
      <c r="C63" s="210" t="str">
        <f t="shared" si="2"/>
        <v>Mar-2029</v>
      </c>
      <c r="D63" s="211">
        <v>36</v>
      </c>
      <c r="E63" s="212">
        <f t="shared" si="3"/>
        <v>15000.248169988199</v>
      </c>
      <c r="F63" s="213">
        <f t="shared" si="6"/>
        <v>12444.345893606</v>
      </c>
      <c r="G63" s="214">
        <f t="shared" si="4"/>
        <v>2555.902276382199</v>
      </c>
      <c r="H63" s="215">
        <f t="shared" si="7"/>
        <v>328342.62429070455</v>
      </c>
      <c r="J63" s="16"/>
      <c r="U63" s="216"/>
      <c r="W63" s="120"/>
      <c r="X63" s="120" t="s">
        <v>176</v>
      </c>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row>
    <row r="64" spans="2:57" ht="16.2" thickBot="1">
      <c r="B64" s="22">
        <f t="shared" si="5"/>
        <v>47217</v>
      </c>
      <c r="C64" s="210" t="str">
        <f t="shared" si="2"/>
        <v>Apr-2029</v>
      </c>
      <c r="D64" s="211">
        <v>37</v>
      </c>
      <c r="E64" s="212">
        <f t="shared" ref="E64:E87" si="8">C$1</f>
        <v>15000.248169988199</v>
      </c>
      <c r="F64" s="213">
        <f t="shared" ref="F64:F87" si="9">E64-G64</f>
        <v>12537.67848780804</v>
      </c>
      <c r="G64" s="214">
        <f t="shared" ref="G64:G87" si="10">H63*C$12</f>
        <v>2462.5696821801589</v>
      </c>
      <c r="H64" s="215">
        <f t="shared" ref="H64:H87" si="11">H63-F64</f>
        <v>315804.94580289652</v>
      </c>
      <c r="J64" s="16"/>
      <c r="U64" s="216"/>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373" t="str">
        <f>K69</f>
        <v>TABAQUERO, ARTHUR I.</v>
      </c>
      <c r="AV64" s="373"/>
      <c r="AW64" s="373"/>
      <c r="AX64" s="373"/>
      <c r="AY64" s="373"/>
      <c r="AZ64" s="373"/>
      <c r="BA64" s="373"/>
      <c r="BB64" s="373"/>
      <c r="BC64" s="373"/>
      <c r="BD64" s="120"/>
      <c r="BE64" s="120"/>
    </row>
    <row r="65" spans="2:57" ht="16.2" thickBot="1">
      <c r="B65" s="22">
        <f t="shared" si="5"/>
        <v>47247</v>
      </c>
      <c r="C65" s="210" t="str">
        <f t="shared" si="2"/>
        <v>May-2029</v>
      </c>
      <c r="D65" s="211">
        <v>38</v>
      </c>
      <c r="E65" s="212">
        <f t="shared" si="8"/>
        <v>15000.248169988199</v>
      </c>
      <c r="F65" s="213">
        <f t="shared" si="9"/>
        <v>12631.711076466596</v>
      </c>
      <c r="G65" s="214">
        <f t="shared" si="10"/>
        <v>2368.5370935216033</v>
      </c>
      <c r="H65" s="215">
        <f t="shared" si="11"/>
        <v>303173.23472642992</v>
      </c>
      <c r="J65" s="29"/>
      <c r="K65" s="30"/>
      <c r="L65" s="30"/>
      <c r="M65" s="30"/>
      <c r="N65" s="30"/>
      <c r="O65" s="32"/>
      <c r="P65" s="30"/>
      <c r="Q65" s="30"/>
      <c r="R65" s="30"/>
      <c r="S65" s="30"/>
      <c r="T65" s="30"/>
      <c r="U65" s="46"/>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363" t="s">
        <v>177</v>
      </c>
      <c r="AV65" s="410"/>
      <c r="AW65" s="410"/>
      <c r="AX65" s="410"/>
      <c r="AY65" s="410"/>
      <c r="AZ65" s="410"/>
      <c r="BA65" s="410"/>
      <c r="BB65" s="410"/>
      <c r="BC65" s="410"/>
      <c r="BD65" s="120"/>
      <c r="BE65" s="120"/>
    </row>
    <row r="66" spans="2:57" ht="16.2" thickBot="1">
      <c r="B66" s="22">
        <f t="shared" si="5"/>
        <v>47278</v>
      </c>
      <c r="C66" s="210" t="str">
        <f t="shared" si="2"/>
        <v>Jun-2029</v>
      </c>
      <c r="D66" s="211">
        <v>39</v>
      </c>
      <c r="E66" s="212">
        <f t="shared" si="8"/>
        <v>15000.248169988199</v>
      </c>
      <c r="F66" s="213">
        <f t="shared" si="9"/>
        <v>12726.44890954009</v>
      </c>
      <c r="G66" s="214">
        <f t="shared" si="10"/>
        <v>2273.7992604481087</v>
      </c>
      <c r="H66" s="215">
        <f t="shared" si="11"/>
        <v>290446.78581688984</v>
      </c>
      <c r="J66" s="29"/>
      <c r="K66" s="30" t="s">
        <v>79</v>
      </c>
      <c r="L66" s="30"/>
      <c r="M66" s="30"/>
      <c r="N66" s="30"/>
      <c r="O66" s="32"/>
      <c r="P66" s="30"/>
      <c r="Q66" s="30"/>
      <c r="R66" s="30" t="s">
        <v>76</v>
      </c>
      <c r="S66" s="30"/>
      <c r="T66" s="30"/>
      <c r="U66" s="46"/>
      <c r="W66" s="120"/>
      <c r="X66" s="431" t="s">
        <v>178</v>
      </c>
      <c r="Y66" s="432"/>
      <c r="Z66" s="432"/>
      <c r="AA66" s="432"/>
      <c r="AB66" s="432"/>
      <c r="AC66" s="432"/>
      <c r="AD66" s="432"/>
      <c r="AE66" s="432"/>
      <c r="AF66" s="432"/>
      <c r="AG66" s="432"/>
      <c r="AH66" s="432"/>
      <c r="AI66" s="432"/>
      <c r="AJ66" s="432"/>
      <c r="AK66" s="432"/>
      <c r="AL66" s="432"/>
      <c r="AM66" s="432"/>
      <c r="AN66" s="432"/>
      <c r="AO66" s="432"/>
      <c r="AP66" s="432"/>
      <c r="AQ66" s="432"/>
      <c r="AR66" s="432"/>
      <c r="AS66" s="432"/>
      <c r="AT66" s="432"/>
      <c r="AU66" s="432"/>
      <c r="AV66" s="432"/>
      <c r="AW66" s="432"/>
      <c r="AX66" s="432"/>
      <c r="AY66" s="432"/>
      <c r="AZ66" s="432"/>
      <c r="BA66" s="432"/>
      <c r="BB66" s="432"/>
      <c r="BC66" s="432"/>
      <c r="BD66" s="433"/>
      <c r="BE66" s="120"/>
    </row>
    <row r="67" spans="2:57" ht="16.2" thickBot="1">
      <c r="B67" s="22">
        <f t="shared" si="5"/>
        <v>47308</v>
      </c>
      <c r="C67" s="210" t="str">
        <f t="shared" si="2"/>
        <v>Jul-2029</v>
      </c>
      <c r="D67" s="211">
        <v>40</v>
      </c>
      <c r="E67" s="212">
        <f t="shared" si="8"/>
        <v>15000.248169988199</v>
      </c>
      <c r="F67" s="213">
        <f t="shared" si="9"/>
        <v>12821.897276361637</v>
      </c>
      <c r="G67" s="214">
        <f t="shared" si="10"/>
        <v>2178.350893626563</v>
      </c>
      <c r="H67" s="215">
        <f t="shared" si="11"/>
        <v>277624.88854052819</v>
      </c>
      <c r="J67" s="29"/>
      <c r="K67" s="30"/>
      <c r="L67" s="30"/>
      <c r="M67" s="30"/>
      <c r="N67" s="30"/>
      <c r="O67" s="32"/>
      <c r="P67" s="30"/>
      <c r="Q67" s="30"/>
      <c r="R67" s="30"/>
      <c r="S67" s="30"/>
      <c r="T67" s="30"/>
      <c r="U67" s="46"/>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row>
    <row r="68" spans="2:57" ht="16.2" thickBot="1">
      <c r="B68" s="22">
        <f t="shared" si="5"/>
        <v>47339</v>
      </c>
      <c r="C68" s="210" t="str">
        <f t="shared" si="2"/>
        <v>Aug-2029</v>
      </c>
      <c r="D68" s="211">
        <v>41</v>
      </c>
      <c r="E68" s="212">
        <f t="shared" si="8"/>
        <v>15000.248169988199</v>
      </c>
      <c r="F68" s="213">
        <f t="shared" si="9"/>
        <v>12918.061505934344</v>
      </c>
      <c r="G68" s="214">
        <f t="shared" si="10"/>
        <v>2082.1866640538556</v>
      </c>
      <c r="H68" s="215">
        <f t="shared" si="11"/>
        <v>264706.82703459385</v>
      </c>
      <c r="J68" s="16"/>
      <c r="U68" s="216"/>
      <c r="W68" s="120"/>
      <c r="X68" s="120"/>
      <c r="Y68" s="120" t="s">
        <v>179</v>
      </c>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row>
    <row r="69" spans="2:57" ht="16.2" thickBot="1">
      <c r="B69" s="22">
        <f t="shared" si="5"/>
        <v>47370</v>
      </c>
      <c r="C69" s="210" t="str">
        <f t="shared" si="2"/>
        <v>Sep-2029</v>
      </c>
      <c r="D69" s="211">
        <v>42</v>
      </c>
      <c r="E69" s="212">
        <f t="shared" si="8"/>
        <v>15000.248169988199</v>
      </c>
      <c r="F69" s="213">
        <f t="shared" si="9"/>
        <v>13014.946967228847</v>
      </c>
      <c r="G69" s="214">
        <f t="shared" si="10"/>
        <v>1985.3012027593527</v>
      </c>
      <c r="H69" s="215">
        <f t="shared" si="11"/>
        <v>251691.88006736501</v>
      </c>
      <c r="J69" s="16"/>
      <c r="K69" s="453" t="str">
        <f>N32</f>
        <v>TABAQUERO, ARTHUR I.</v>
      </c>
      <c r="L69" s="453"/>
      <c r="M69" s="453"/>
      <c r="P69" s="452" t="s">
        <v>278</v>
      </c>
      <c r="Q69" s="452"/>
      <c r="R69" s="452"/>
      <c r="S69" s="452"/>
      <c r="T69" s="452"/>
      <c r="U69" s="225"/>
      <c r="W69" s="120"/>
      <c r="X69" s="120" t="s">
        <v>180</v>
      </c>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row>
    <row r="70" spans="2:57" ht="16.2" thickBot="1">
      <c r="B70" s="22">
        <f t="shared" si="5"/>
        <v>47400</v>
      </c>
      <c r="C70" s="210" t="str">
        <f t="shared" si="2"/>
        <v>Oct-2029</v>
      </c>
      <c r="D70" s="211">
        <v>43</v>
      </c>
      <c r="E70" s="212">
        <f t="shared" si="8"/>
        <v>15000.248169988199</v>
      </c>
      <c r="F70" s="213">
        <f t="shared" si="9"/>
        <v>13112.559069483057</v>
      </c>
      <c r="G70" s="214">
        <f t="shared" si="10"/>
        <v>1887.6891005051414</v>
      </c>
      <c r="H70" s="215">
        <f t="shared" si="11"/>
        <v>238579.32099788197</v>
      </c>
      <c r="J70" s="29"/>
      <c r="K70" s="226" t="s">
        <v>80</v>
      </c>
      <c r="L70" s="226"/>
      <c r="M70" s="226"/>
      <c r="N70" s="30"/>
      <c r="O70" s="32"/>
      <c r="P70" s="30"/>
      <c r="Q70" s="30"/>
      <c r="R70" s="33" t="s">
        <v>78</v>
      </c>
      <c r="S70" s="33"/>
      <c r="T70" s="30"/>
      <c r="U70" s="46"/>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row>
    <row r="71" spans="2:57" ht="16.2" thickBot="1">
      <c r="B71" s="22">
        <f t="shared" si="5"/>
        <v>47431</v>
      </c>
      <c r="C71" s="210" t="str">
        <f t="shared" si="2"/>
        <v>Nov-2029</v>
      </c>
      <c r="D71" s="211">
        <v>44</v>
      </c>
      <c r="E71" s="212">
        <f t="shared" si="8"/>
        <v>15000.248169988199</v>
      </c>
      <c r="F71" s="213">
        <f t="shared" si="9"/>
        <v>13210.903262504176</v>
      </c>
      <c r="G71" s="214">
        <f t="shared" si="10"/>
        <v>1789.3449074840237</v>
      </c>
      <c r="H71" s="215">
        <f t="shared" si="11"/>
        <v>225368.41773537779</v>
      </c>
      <c r="J71" s="50"/>
      <c r="K71" s="51"/>
      <c r="L71" s="51"/>
      <c r="M71" s="51"/>
      <c r="N71" s="51"/>
      <c r="O71" s="52"/>
      <c r="P71" s="51"/>
      <c r="Q71" s="51"/>
      <c r="R71" s="51"/>
      <c r="S71" s="51"/>
      <c r="T71" s="51"/>
      <c r="U71" s="53"/>
      <c r="W71" s="120"/>
      <c r="X71" s="373"/>
      <c r="Y71" s="373"/>
      <c r="Z71" s="373"/>
      <c r="AA71" s="373"/>
      <c r="AB71" s="373"/>
      <c r="AC71" s="373"/>
      <c r="AD71" s="373"/>
      <c r="AE71" s="373"/>
      <c r="AF71" s="120"/>
      <c r="AG71" s="373"/>
      <c r="AH71" s="373"/>
      <c r="AI71" s="373"/>
      <c r="AJ71" s="373"/>
      <c r="AK71" s="373"/>
      <c r="AL71" s="373"/>
      <c r="AM71" s="373"/>
      <c r="AN71" s="120"/>
      <c r="AO71" s="120"/>
      <c r="AP71" s="373"/>
      <c r="AQ71" s="373"/>
      <c r="AR71" s="373"/>
      <c r="AS71" s="373"/>
      <c r="AT71" s="373"/>
      <c r="AU71" s="373"/>
      <c r="AV71" s="373"/>
      <c r="AW71" s="120"/>
      <c r="AX71" s="450"/>
      <c r="AY71" s="450"/>
      <c r="AZ71" s="450"/>
      <c r="BA71" s="450"/>
      <c r="BB71" s="450"/>
      <c r="BC71" s="450"/>
      <c r="BD71" s="450"/>
      <c r="BE71" s="120"/>
    </row>
    <row r="72" spans="2:57" ht="16.2" thickBot="1">
      <c r="B72" s="22">
        <f t="shared" si="5"/>
        <v>47461</v>
      </c>
      <c r="C72" s="210" t="str">
        <f t="shared" si="2"/>
        <v>Dec-2029</v>
      </c>
      <c r="D72" s="211">
        <v>45</v>
      </c>
      <c r="E72" s="212">
        <f t="shared" si="8"/>
        <v>15000.248169988199</v>
      </c>
      <c r="F72" s="213">
        <f t="shared" si="9"/>
        <v>13309.985036972952</v>
      </c>
      <c r="G72" s="214">
        <f t="shared" si="10"/>
        <v>1690.2631330152474</v>
      </c>
      <c r="H72" s="215">
        <f t="shared" si="11"/>
        <v>212058.43269840485</v>
      </c>
      <c r="W72" s="120"/>
      <c r="X72" s="363" t="s">
        <v>181</v>
      </c>
      <c r="Y72" s="363"/>
      <c r="Z72" s="363"/>
      <c r="AA72" s="363"/>
      <c r="AB72" s="363"/>
      <c r="AC72" s="363"/>
      <c r="AD72" s="363"/>
      <c r="AE72" s="363"/>
      <c r="AF72" s="120"/>
      <c r="AG72" s="363" t="s">
        <v>182</v>
      </c>
      <c r="AH72" s="363"/>
      <c r="AI72" s="363"/>
      <c r="AJ72" s="363"/>
      <c r="AK72" s="363"/>
      <c r="AL72" s="363"/>
      <c r="AM72" s="363"/>
      <c r="AN72" s="120"/>
      <c r="AO72" s="120"/>
      <c r="AP72" s="363" t="s">
        <v>183</v>
      </c>
      <c r="AQ72" s="363"/>
      <c r="AR72" s="363"/>
      <c r="AS72" s="363"/>
      <c r="AT72" s="363"/>
      <c r="AU72" s="363"/>
      <c r="AV72" s="363"/>
      <c r="AW72" s="120"/>
      <c r="AX72" s="363" t="s">
        <v>184</v>
      </c>
      <c r="AY72" s="363"/>
      <c r="AZ72" s="363"/>
      <c r="BA72" s="363"/>
      <c r="BB72" s="363"/>
      <c r="BC72" s="363"/>
      <c r="BD72" s="363"/>
      <c r="BE72" s="120"/>
    </row>
    <row r="73" spans="2:57" ht="16.2" thickBot="1">
      <c r="B73" s="22">
        <f t="shared" si="5"/>
        <v>47492</v>
      </c>
      <c r="C73" s="210" t="str">
        <f t="shared" si="2"/>
        <v>Jan-2030</v>
      </c>
      <c r="D73" s="211">
        <v>46</v>
      </c>
      <c r="E73" s="212">
        <f t="shared" si="8"/>
        <v>15000.248169988199</v>
      </c>
      <c r="F73" s="213">
        <f t="shared" si="9"/>
        <v>13409.809924750243</v>
      </c>
      <c r="G73" s="214">
        <f t="shared" si="10"/>
        <v>1590.4382452379555</v>
      </c>
      <c r="H73" s="215">
        <f t="shared" si="11"/>
        <v>198648.62277365461</v>
      </c>
      <c r="W73" s="120"/>
      <c r="X73" s="363" t="s">
        <v>185</v>
      </c>
      <c r="Y73" s="363"/>
      <c r="Z73" s="363"/>
      <c r="AA73" s="363"/>
      <c r="AB73" s="363"/>
      <c r="AC73" s="363"/>
      <c r="AD73" s="363"/>
      <c r="AE73" s="363"/>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row>
    <row r="74" spans="2:57" ht="16.2" thickBot="1">
      <c r="B74" s="22">
        <f t="shared" si="5"/>
        <v>47523</v>
      </c>
      <c r="C74" s="210" t="str">
        <f t="shared" si="2"/>
        <v>Feb-2030</v>
      </c>
      <c r="D74" s="211">
        <v>47</v>
      </c>
      <c r="E74" s="212">
        <f t="shared" si="8"/>
        <v>15000.248169988199</v>
      </c>
      <c r="F74" s="213">
        <f t="shared" si="9"/>
        <v>13510.383499185866</v>
      </c>
      <c r="G74" s="214">
        <f t="shared" si="10"/>
        <v>1489.8646708023336</v>
      </c>
      <c r="H74" s="215">
        <f t="shared" si="11"/>
        <v>185138.23927446874</v>
      </c>
      <c r="W74" s="120"/>
      <c r="X74" s="431" t="s">
        <v>186</v>
      </c>
      <c r="Y74" s="447"/>
      <c r="Z74" s="447"/>
      <c r="AA74" s="447"/>
      <c r="AB74" s="447"/>
      <c r="AC74" s="447"/>
      <c r="AD74" s="447"/>
      <c r="AE74" s="447"/>
      <c r="AF74" s="447"/>
      <c r="AG74" s="447"/>
      <c r="AH74" s="447"/>
      <c r="AI74" s="447"/>
      <c r="AJ74" s="447"/>
      <c r="AK74" s="447"/>
      <c r="AL74" s="447"/>
      <c r="AM74" s="447"/>
      <c r="AN74" s="447"/>
      <c r="AO74" s="447"/>
      <c r="AP74" s="447"/>
      <c r="AQ74" s="447"/>
      <c r="AR74" s="447"/>
      <c r="AS74" s="447"/>
      <c r="AT74" s="447"/>
      <c r="AU74" s="447"/>
      <c r="AV74" s="447"/>
      <c r="AW74" s="447"/>
      <c r="AX74" s="447"/>
      <c r="AY74" s="447"/>
      <c r="AZ74" s="447"/>
      <c r="BA74" s="447"/>
      <c r="BB74" s="447"/>
      <c r="BC74" s="447"/>
      <c r="BD74" s="448"/>
      <c r="BE74" s="120"/>
    </row>
    <row r="75" spans="2:57" ht="16.2" thickBot="1">
      <c r="B75" s="22">
        <f t="shared" si="5"/>
        <v>47551</v>
      </c>
      <c r="C75" s="210" t="str">
        <f t="shared" si="2"/>
        <v>Mar-2030</v>
      </c>
      <c r="D75" s="211">
        <v>48</v>
      </c>
      <c r="E75" s="212">
        <f t="shared" si="8"/>
        <v>15000.248169988199</v>
      </c>
      <c r="F75" s="213">
        <f t="shared" si="9"/>
        <v>13611.711375429753</v>
      </c>
      <c r="G75" s="214">
        <f t="shared" si="10"/>
        <v>1388.5367945584449</v>
      </c>
      <c r="H75" s="215">
        <f t="shared" si="11"/>
        <v>171526.52789903898</v>
      </c>
      <c r="W75" s="120"/>
      <c r="X75" s="449" t="s">
        <v>187</v>
      </c>
      <c r="Y75" s="449"/>
      <c r="Z75" s="449"/>
      <c r="AA75" s="449" t="s">
        <v>188</v>
      </c>
      <c r="AB75" s="449"/>
      <c r="AC75" s="449"/>
      <c r="AD75" s="449"/>
      <c r="AE75" s="449" t="s">
        <v>189</v>
      </c>
      <c r="AF75" s="449"/>
      <c r="AG75" s="449"/>
      <c r="AH75" s="449"/>
      <c r="AI75" s="449"/>
      <c r="AJ75" s="449" t="s">
        <v>190</v>
      </c>
      <c r="AK75" s="449"/>
      <c r="AL75" s="449"/>
      <c r="AM75" s="449" t="s">
        <v>46</v>
      </c>
      <c r="AN75" s="449"/>
      <c r="AO75" s="449"/>
      <c r="AP75" s="449"/>
      <c r="AQ75" s="449"/>
      <c r="AR75" s="449" t="s">
        <v>191</v>
      </c>
      <c r="AS75" s="449"/>
      <c r="AT75" s="449"/>
      <c r="AU75" s="449" t="s">
        <v>192</v>
      </c>
      <c r="AV75" s="449"/>
      <c r="AW75" s="449"/>
      <c r="AX75" s="449"/>
      <c r="AY75" s="449"/>
      <c r="AZ75" s="449" t="s">
        <v>193</v>
      </c>
      <c r="BA75" s="449"/>
      <c r="BB75" s="449"/>
      <c r="BC75" s="449"/>
      <c r="BD75" s="449"/>
      <c r="BE75" s="120"/>
    </row>
    <row r="76" spans="2:57" ht="16.2" thickBot="1">
      <c r="B76" s="22">
        <f t="shared" si="5"/>
        <v>47582</v>
      </c>
      <c r="C76" s="210" t="str">
        <f t="shared" si="2"/>
        <v>Apr-2030</v>
      </c>
      <c r="D76" s="211">
        <v>49</v>
      </c>
      <c r="E76" s="212">
        <f t="shared" si="8"/>
        <v>15000.248169988199</v>
      </c>
      <c r="F76" s="213">
        <f t="shared" si="9"/>
        <v>13713.799210745472</v>
      </c>
      <c r="G76" s="214">
        <f t="shared" si="10"/>
        <v>1286.4489592427269</v>
      </c>
      <c r="H76" s="215">
        <f t="shared" si="11"/>
        <v>157812.72868829352</v>
      </c>
      <c r="W76" s="120"/>
      <c r="X76" s="440"/>
      <c r="Y76" s="438"/>
      <c r="Z76" s="438"/>
      <c r="AA76" s="441"/>
      <c r="AB76" s="438"/>
      <c r="AC76" s="438"/>
      <c r="AD76" s="438"/>
      <c r="AE76" s="439"/>
      <c r="AF76" s="439"/>
      <c r="AG76" s="439"/>
      <c r="AH76" s="439"/>
      <c r="AI76" s="439"/>
      <c r="AJ76" s="442"/>
      <c r="AK76" s="438"/>
      <c r="AL76" s="438"/>
      <c r="AM76" s="443"/>
      <c r="AN76" s="444"/>
      <c r="AO76" s="444"/>
      <c r="AP76" s="444"/>
      <c r="AQ76" s="445"/>
      <c r="AR76" s="446"/>
      <c r="AS76" s="446"/>
      <c r="AT76" s="446"/>
      <c r="AU76" s="438"/>
      <c r="AV76" s="438"/>
      <c r="AW76" s="438"/>
      <c r="AX76" s="438"/>
      <c r="AY76" s="438"/>
      <c r="AZ76" s="439"/>
      <c r="BA76" s="439"/>
      <c r="BB76" s="439"/>
      <c r="BC76" s="439"/>
      <c r="BD76" s="439"/>
      <c r="BE76" s="120"/>
    </row>
    <row r="77" spans="2:57" ht="16.2" thickBot="1">
      <c r="B77" s="22">
        <f t="shared" si="5"/>
        <v>47612</v>
      </c>
      <c r="C77" s="210" t="str">
        <f t="shared" si="2"/>
        <v>May-2030</v>
      </c>
      <c r="D77" s="211">
        <v>50</v>
      </c>
      <c r="E77" s="212">
        <f t="shared" si="8"/>
        <v>15000.248169988199</v>
      </c>
      <c r="F77" s="213">
        <f t="shared" si="9"/>
        <v>13816.652704826058</v>
      </c>
      <c r="G77" s="214">
        <f t="shared" si="10"/>
        <v>1183.5954651621412</v>
      </c>
      <c r="H77" s="215">
        <f t="shared" si="11"/>
        <v>143996.07598346745</v>
      </c>
      <c r="W77" s="120"/>
      <c r="X77" s="437"/>
      <c r="Y77" s="437"/>
      <c r="Z77" s="437"/>
      <c r="AA77" s="437"/>
      <c r="AB77" s="437"/>
      <c r="AC77" s="437"/>
      <c r="AD77" s="437"/>
      <c r="AE77" s="437"/>
      <c r="AF77" s="437"/>
      <c r="AG77" s="437"/>
      <c r="AH77" s="437"/>
      <c r="AI77" s="437"/>
      <c r="AJ77" s="437"/>
      <c r="AK77" s="437"/>
      <c r="AL77" s="437"/>
      <c r="AM77" s="437"/>
      <c r="AN77" s="437"/>
      <c r="AO77" s="437"/>
      <c r="AP77" s="437"/>
      <c r="AQ77" s="437"/>
      <c r="AR77" s="437"/>
      <c r="AS77" s="437"/>
      <c r="AT77" s="437"/>
      <c r="AU77" s="437"/>
      <c r="AV77" s="437"/>
      <c r="AW77" s="437"/>
      <c r="AX77" s="437"/>
      <c r="AY77" s="437"/>
      <c r="AZ77" s="437"/>
      <c r="BA77" s="437"/>
      <c r="BB77" s="437"/>
      <c r="BC77" s="437"/>
      <c r="BD77" s="437"/>
      <c r="BE77" s="120"/>
    </row>
    <row r="78" spans="2:57" ht="16.2" thickBot="1">
      <c r="B78" s="22">
        <f t="shared" si="5"/>
        <v>47643</v>
      </c>
      <c r="C78" s="210" t="str">
        <f t="shared" si="2"/>
        <v>Jun-2030</v>
      </c>
      <c r="D78" s="211">
        <v>51</v>
      </c>
      <c r="E78" s="212">
        <f t="shared" si="8"/>
        <v>15000.248169988199</v>
      </c>
      <c r="F78" s="213">
        <f t="shared" si="9"/>
        <v>13920.277600112247</v>
      </c>
      <c r="G78" s="214">
        <f t="shared" si="10"/>
        <v>1079.970569875951</v>
      </c>
      <c r="H78" s="215">
        <f t="shared" si="11"/>
        <v>130075.7983833552</v>
      </c>
      <c r="N78" s="230"/>
      <c r="W78" s="120"/>
      <c r="X78" s="437"/>
      <c r="Y78" s="437"/>
      <c r="Z78" s="437"/>
      <c r="AA78" s="437"/>
      <c r="AB78" s="437"/>
      <c r="AC78" s="437"/>
      <c r="AD78" s="437"/>
      <c r="AE78" s="437"/>
      <c r="AF78" s="437"/>
      <c r="AG78" s="437"/>
      <c r="AH78" s="437"/>
      <c r="AI78" s="437"/>
      <c r="AJ78" s="437"/>
      <c r="AK78" s="437"/>
      <c r="AL78" s="437"/>
      <c r="AM78" s="437"/>
      <c r="AN78" s="437"/>
      <c r="AO78" s="437"/>
      <c r="AP78" s="437"/>
      <c r="AQ78" s="437"/>
      <c r="AR78" s="437"/>
      <c r="AS78" s="437"/>
      <c r="AT78" s="437"/>
      <c r="AU78" s="437"/>
      <c r="AV78" s="437"/>
      <c r="AW78" s="437"/>
      <c r="AX78" s="437"/>
      <c r="AY78" s="437"/>
      <c r="AZ78" s="437"/>
      <c r="BA78" s="437"/>
      <c r="BB78" s="437"/>
      <c r="BC78" s="437"/>
      <c r="BD78" s="437"/>
      <c r="BE78" s="120"/>
    </row>
    <row r="79" spans="2:57" ht="16.2" thickBot="1">
      <c r="B79" s="22">
        <f t="shared" si="5"/>
        <v>47673</v>
      </c>
      <c r="C79" s="210" t="str">
        <f t="shared" si="2"/>
        <v>Jul-2030</v>
      </c>
      <c r="D79" s="211">
        <v>52</v>
      </c>
      <c r="E79" s="212">
        <f t="shared" si="8"/>
        <v>15000.248169988199</v>
      </c>
      <c r="F79" s="213">
        <f t="shared" si="9"/>
        <v>14024.679682113085</v>
      </c>
      <c r="G79" s="214">
        <f t="shared" si="10"/>
        <v>975.56848787511433</v>
      </c>
      <c r="H79" s="215">
        <f t="shared" si="11"/>
        <v>116051.11870124211</v>
      </c>
      <c r="N79" s="423"/>
      <c r="O79" s="424"/>
      <c r="P79" s="424"/>
      <c r="Q79" s="424"/>
      <c r="W79" s="120"/>
      <c r="X79" s="437"/>
      <c r="Y79" s="437"/>
      <c r="Z79" s="437"/>
      <c r="AA79" s="437"/>
      <c r="AB79" s="437"/>
      <c r="AC79" s="437"/>
      <c r="AD79" s="437"/>
      <c r="AE79" s="437"/>
      <c r="AF79" s="437"/>
      <c r="AG79" s="437"/>
      <c r="AH79" s="437"/>
      <c r="AI79" s="437"/>
      <c r="AJ79" s="437"/>
      <c r="AK79" s="437"/>
      <c r="AL79" s="437"/>
      <c r="AM79" s="437"/>
      <c r="AN79" s="437"/>
      <c r="AO79" s="437"/>
      <c r="AP79" s="437"/>
      <c r="AQ79" s="437"/>
      <c r="AR79" s="437"/>
      <c r="AS79" s="437"/>
      <c r="AT79" s="437"/>
      <c r="AU79" s="437"/>
      <c r="AV79" s="437"/>
      <c r="AW79" s="437"/>
      <c r="AX79" s="437"/>
      <c r="AY79" s="437"/>
      <c r="AZ79" s="437"/>
      <c r="BA79" s="437"/>
      <c r="BB79" s="437"/>
      <c r="BC79" s="437"/>
      <c r="BD79" s="437"/>
      <c r="BE79" s="120"/>
    </row>
    <row r="80" spans="2:57" ht="16.2" thickBot="1">
      <c r="B80" s="22">
        <f t="shared" si="5"/>
        <v>47704</v>
      </c>
      <c r="C80" s="210" t="str">
        <f t="shared" si="2"/>
        <v>Aug-2030</v>
      </c>
      <c r="D80" s="211">
        <v>53</v>
      </c>
      <c r="E80" s="212">
        <f t="shared" si="8"/>
        <v>15000.248169988199</v>
      </c>
      <c r="F80" s="213">
        <f t="shared" si="9"/>
        <v>14129.864779728927</v>
      </c>
      <c r="G80" s="214">
        <f t="shared" si="10"/>
        <v>870.38339025927155</v>
      </c>
      <c r="H80" s="215">
        <f t="shared" si="11"/>
        <v>101921.25392151318</v>
      </c>
      <c r="M80" s="423"/>
      <c r="N80" s="424"/>
      <c r="O80" s="424"/>
      <c r="P80" s="424"/>
      <c r="Q80" s="424"/>
      <c r="R80" s="424"/>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row>
    <row r="81" spans="2:57" ht="16.2" thickBot="1">
      <c r="B81" s="22">
        <f t="shared" si="5"/>
        <v>47735</v>
      </c>
      <c r="C81" s="210" t="str">
        <f t="shared" si="2"/>
        <v>Sep-2030</v>
      </c>
      <c r="D81" s="211">
        <v>54</v>
      </c>
      <c r="E81" s="212">
        <f t="shared" si="8"/>
        <v>15000.248169988199</v>
      </c>
      <c r="F81" s="213">
        <f t="shared" si="9"/>
        <v>14235.838765576889</v>
      </c>
      <c r="G81" s="214">
        <f t="shared" si="10"/>
        <v>764.40940441130999</v>
      </c>
      <c r="H81" s="215">
        <f t="shared" si="11"/>
        <v>87685.415155936294</v>
      </c>
      <c r="N81" s="423"/>
      <c r="O81" s="424"/>
      <c r="P81" s="424"/>
      <c r="Q81" s="424"/>
      <c r="W81" s="120"/>
      <c r="X81" s="431" t="s">
        <v>194</v>
      </c>
      <c r="Y81" s="432"/>
      <c r="Z81" s="432"/>
      <c r="AA81" s="432"/>
      <c r="AB81" s="432"/>
      <c r="AC81" s="432"/>
      <c r="AD81" s="432"/>
      <c r="AE81" s="432"/>
      <c r="AF81" s="432"/>
      <c r="AG81" s="432"/>
      <c r="AH81" s="432"/>
      <c r="AI81" s="432"/>
      <c r="AJ81" s="432"/>
      <c r="AK81" s="432"/>
      <c r="AL81" s="432"/>
      <c r="AM81" s="432"/>
      <c r="AN81" s="432"/>
      <c r="AO81" s="432"/>
      <c r="AP81" s="432"/>
      <c r="AQ81" s="432"/>
      <c r="AR81" s="432"/>
      <c r="AS81" s="432"/>
      <c r="AT81" s="432"/>
      <c r="AU81" s="432"/>
      <c r="AV81" s="432"/>
      <c r="AW81" s="432"/>
      <c r="AX81" s="432"/>
      <c r="AY81" s="432"/>
      <c r="AZ81" s="432"/>
      <c r="BA81" s="432"/>
      <c r="BB81" s="432"/>
      <c r="BC81" s="432"/>
      <c r="BD81" s="433"/>
      <c r="BE81" s="120"/>
    </row>
    <row r="82" spans="2:57" ht="16.2" thickBot="1">
      <c r="B82" s="22">
        <f t="shared" si="5"/>
        <v>47765</v>
      </c>
      <c r="C82" s="210" t="str">
        <f t="shared" si="2"/>
        <v>Oct-2030</v>
      </c>
      <c r="D82" s="211">
        <v>55</v>
      </c>
      <c r="E82" s="212">
        <f t="shared" si="8"/>
        <v>15000.248169988199</v>
      </c>
      <c r="F82" s="213">
        <f t="shared" si="9"/>
        <v>14342.60755631871</v>
      </c>
      <c r="G82" s="214">
        <f t="shared" si="10"/>
        <v>657.64061366948874</v>
      </c>
      <c r="H82" s="215">
        <f t="shared" si="11"/>
        <v>73342.80759961759</v>
      </c>
      <c r="W82" s="120"/>
      <c r="X82" s="434" t="s">
        <v>195</v>
      </c>
      <c r="Y82" s="435"/>
      <c r="Z82" s="435"/>
      <c r="AA82" s="435"/>
      <c r="AB82" s="436"/>
      <c r="AC82" s="434" t="s">
        <v>196</v>
      </c>
      <c r="AD82" s="435"/>
      <c r="AE82" s="435"/>
      <c r="AF82" s="436"/>
      <c r="AG82" s="434" t="s">
        <v>47</v>
      </c>
      <c r="AH82" s="435"/>
      <c r="AI82" s="435"/>
      <c r="AJ82" s="436"/>
      <c r="AK82" s="434" t="s">
        <v>197</v>
      </c>
      <c r="AL82" s="435"/>
      <c r="AM82" s="435"/>
      <c r="AN82" s="435"/>
      <c r="AO82" s="435"/>
      <c r="AP82" s="435"/>
      <c r="AQ82" s="436"/>
      <c r="AR82" s="434" t="s">
        <v>198</v>
      </c>
      <c r="AS82" s="435"/>
      <c r="AT82" s="435"/>
      <c r="AU82" s="435"/>
      <c r="AV82" s="436"/>
      <c r="AW82" s="434" t="s">
        <v>199</v>
      </c>
      <c r="AX82" s="435"/>
      <c r="AY82" s="435"/>
      <c r="AZ82" s="435"/>
      <c r="BA82" s="435"/>
      <c r="BB82" s="435"/>
      <c r="BC82" s="435"/>
      <c r="BD82" s="436"/>
      <c r="BE82" s="120"/>
    </row>
    <row r="83" spans="2:57" ht="16.2" thickBot="1">
      <c r="B83" s="22">
        <f t="shared" si="5"/>
        <v>47796</v>
      </c>
      <c r="C83" s="210" t="str">
        <f t="shared" si="2"/>
        <v>Nov-2030</v>
      </c>
      <c r="D83" s="211">
        <v>56</v>
      </c>
      <c r="E83" s="212">
        <f t="shared" si="8"/>
        <v>15000.248169988199</v>
      </c>
      <c r="F83" s="213">
        <f t="shared" si="9"/>
        <v>14450.177112991096</v>
      </c>
      <c r="G83" s="214">
        <f t="shared" si="10"/>
        <v>550.07105699710394</v>
      </c>
      <c r="H83" s="215">
        <f t="shared" si="11"/>
        <v>58892.630486626498</v>
      </c>
      <c r="M83" s="426"/>
      <c r="N83" s="426"/>
      <c r="O83" s="426"/>
      <c r="P83" s="426"/>
      <c r="Q83" s="426"/>
      <c r="R83" s="426"/>
      <c r="W83" s="120"/>
      <c r="X83" s="418">
        <f>C4</f>
        <v>722612.55799999996</v>
      </c>
      <c r="Y83" s="419"/>
      <c r="Z83" s="419"/>
      <c r="AA83" s="419"/>
      <c r="AB83" s="420"/>
      <c r="AC83" s="418">
        <f>AT39</f>
        <v>15000.248169988199</v>
      </c>
      <c r="AD83" s="419"/>
      <c r="AE83" s="419"/>
      <c r="AF83" s="420"/>
      <c r="AG83" s="427">
        <f>E25</f>
        <v>60</v>
      </c>
      <c r="AH83" s="428"/>
      <c r="AI83" s="428"/>
      <c r="AJ83" s="429"/>
      <c r="AK83" s="418"/>
      <c r="AL83" s="419"/>
      <c r="AM83" s="419"/>
      <c r="AN83" s="419"/>
      <c r="AO83" s="419"/>
      <c r="AP83" s="419"/>
      <c r="AQ83" s="420"/>
      <c r="AR83" s="430"/>
      <c r="AS83" s="428"/>
      <c r="AT83" s="428"/>
      <c r="AU83" s="428"/>
      <c r="AV83" s="429"/>
      <c r="AW83" s="418">
        <f>C3</f>
        <v>900014.89019929199</v>
      </c>
      <c r="AX83" s="419"/>
      <c r="AY83" s="419"/>
      <c r="AZ83" s="419"/>
      <c r="BA83" s="419"/>
      <c r="BB83" s="419"/>
      <c r="BC83" s="419"/>
      <c r="BD83" s="420"/>
      <c r="BE83" s="120"/>
    </row>
    <row r="84" spans="2:57" ht="16.2" thickBot="1">
      <c r="B84" s="22">
        <f t="shared" si="5"/>
        <v>47826</v>
      </c>
      <c r="C84" s="210" t="str">
        <f t="shared" si="2"/>
        <v>Dec-2030</v>
      </c>
      <c r="D84" s="211">
        <v>57</v>
      </c>
      <c r="E84" s="212">
        <f t="shared" si="8"/>
        <v>15000.248169988199</v>
      </c>
      <c r="F84" s="213">
        <f t="shared" si="9"/>
        <v>14558.553441338523</v>
      </c>
      <c r="G84" s="214">
        <f t="shared" si="10"/>
        <v>441.69472864967622</v>
      </c>
      <c r="H84" s="215">
        <f t="shared" si="11"/>
        <v>44334.077045287973</v>
      </c>
      <c r="W84" s="120"/>
      <c r="X84" s="414" t="s">
        <v>200</v>
      </c>
      <c r="Y84" s="414"/>
      <c r="Z84" s="414"/>
      <c r="AA84" s="414"/>
      <c r="AB84" s="414"/>
      <c r="AC84" s="414"/>
      <c r="AD84" s="414"/>
      <c r="AE84" s="414"/>
      <c r="AF84" s="414"/>
      <c r="AG84" s="414"/>
      <c r="AH84" s="414"/>
      <c r="AI84" s="414"/>
      <c r="AJ84" s="414"/>
      <c r="AK84" s="414"/>
      <c r="AL84" s="414"/>
      <c r="AM84" s="414"/>
      <c r="AN84" s="414"/>
      <c r="AO84" s="414"/>
      <c r="AP84" s="414"/>
      <c r="AQ84" s="414"/>
      <c r="AR84" s="414"/>
      <c r="AS84" s="414"/>
      <c r="AT84" s="414"/>
      <c r="AU84" s="414"/>
      <c r="AV84" s="414"/>
      <c r="AW84" s="414"/>
      <c r="AX84" s="414"/>
      <c r="AY84" s="414"/>
      <c r="AZ84" s="414"/>
      <c r="BA84" s="414"/>
      <c r="BB84" s="414"/>
      <c r="BC84" s="414"/>
      <c r="BD84" s="414"/>
      <c r="BE84" s="120"/>
    </row>
    <row r="85" spans="2:57" ht="16.2" thickBot="1">
      <c r="B85" s="22">
        <f t="shared" si="5"/>
        <v>47857</v>
      </c>
      <c r="C85" s="210" t="str">
        <f t="shared" si="2"/>
        <v>Jan-2031</v>
      </c>
      <c r="D85" s="211">
        <v>58</v>
      </c>
      <c r="E85" s="212">
        <f t="shared" si="8"/>
        <v>15000.248169988199</v>
      </c>
      <c r="F85" s="213">
        <f t="shared" si="9"/>
        <v>14667.742592148556</v>
      </c>
      <c r="G85" s="214">
        <f t="shared" si="10"/>
        <v>332.50557783964285</v>
      </c>
      <c r="H85" s="215">
        <f t="shared" si="11"/>
        <v>29666.334453139418</v>
      </c>
      <c r="R85" s="538"/>
      <c r="S85" s="424"/>
      <c r="W85" s="120"/>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0"/>
    </row>
    <row r="86" spans="2:57" ht="16.2" thickBot="1">
      <c r="B86" s="22">
        <f t="shared" si="5"/>
        <v>47888</v>
      </c>
      <c r="C86" s="210" t="str">
        <f t="shared" si="2"/>
        <v>Feb-2031</v>
      </c>
      <c r="D86" s="211">
        <v>59</v>
      </c>
      <c r="E86" s="212">
        <f t="shared" si="8"/>
        <v>15000.248169988199</v>
      </c>
      <c r="F86" s="213">
        <f t="shared" si="9"/>
        <v>14777.750661589665</v>
      </c>
      <c r="G86" s="214">
        <f t="shared" si="10"/>
        <v>222.49750839853431</v>
      </c>
      <c r="H86" s="215">
        <f t="shared" si="11"/>
        <v>14888.583791549752</v>
      </c>
      <c r="R86" s="423"/>
      <c r="S86" s="424"/>
      <c r="W86" s="120"/>
      <c r="X86" s="123"/>
      <c r="Y86" s="123"/>
      <c r="Z86" s="123"/>
      <c r="AA86" s="123"/>
      <c r="AB86" s="123"/>
      <c r="AC86" s="123"/>
      <c r="AD86" s="123"/>
      <c r="AE86" s="123"/>
      <c r="AF86" s="123"/>
      <c r="AG86" s="123"/>
      <c r="AH86" s="123"/>
      <c r="AI86" s="123"/>
      <c r="AJ86" s="425" t="str">
        <f>K60</f>
        <v>JEFFRAE A. SAPLA</v>
      </c>
      <c r="AK86" s="425"/>
      <c r="AL86" s="425"/>
      <c r="AM86" s="425"/>
      <c r="AN86" s="425"/>
      <c r="AO86" s="425"/>
      <c r="AP86" s="425"/>
      <c r="AQ86" s="425"/>
      <c r="AR86" s="425"/>
      <c r="AS86" s="425"/>
      <c r="AT86" s="123"/>
      <c r="AU86" s="123"/>
      <c r="AV86" s="123"/>
      <c r="AW86" s="123"/>
      <c r="AX86" s="123"/>
      <c r="AY86" s="123"/>
      <c r="AZ86" s="123"/>
      <c r="BA86" s="123"/>
      <c r="BB86" s="123"/>
      <c r="BC86" s="123"/>
      <c r="BD86" s="123"/>
      <c r="BE86" s="120"/>
    </row>
    <row r="87" spans="2:57" ht="16.2" thickBot="1">
      <c r="B87" s="22">
        <f t="shared" si="5"/>
        <v>47916</v>
      </c>
      <c r="C87" s="210" t="str">
        <f t="shared" si="2"/>
        <v>Mar-2031</v>
      </c>
      <c r="D87" s="211">
        <v>60</v>
      </c>
      <c r="E87" s="212">
        <f t="shared" si="8"/>
        <v>15000.248169988199</v>
      </c>
      <c r="F87" s="213">
        <f t="shared" si="9"/>
        <v>14888.583791551582</v>
      </c>
      <c r="G87" s="214">
        <f t="shared" si="10"/>
        <v>111.66437843661745</v>
      </c>
      <c r="H87" s="215">
        <f t="shared" si="11"/>
        <v>-1.8299033399671316E-9</v>
      </c>
      <c r="W87" s="363" t="s">
        <v>201</v>
      </c>
      <c r="X87" s="363"/>
      <c r="Y87" s="363"/>
      <c r="Z87" s="363"/>
      <c r="AA87" s="363"/>
      <c r="AB87" s="363"/>
      <c r="AC87" s="363"/>
      <c r="AD87" s="363"/>
      <c r="AE87" s="363"/>
      <c r="AF87" s="363"/>
      <c r="AG87" s="363"/>
      <c r="AH87" s="363"/>
      <c r="AI87" s="363"/>
      <c r="AJ87" s="363"/>
      <c r="AK87" s="363"/>
      <c r="AL87" s="363"/>
      <c r="AM87" s="363"/>
      <c r="AN87" s="363"/>
      <c r="AO87" s="363"/>
      <c r="AP87" s="363"/>
      <c r="AQ87" s="363"/>
      <c r="AR87" s="363"/>
      <c r="AS87" s="363"/>
      <c r="AT87" s="363"/>
      <c r="AU87" s="363"/>
      <c r="AV87" s="363"/>
      <c r="AW87" s="363"/>
      <c r="AX87" s="363"/>
      <c r="AY87" s="363"/>
      <c r="AZ87" s="363"/>
      <c r="BA87" s="363"/>
      <c r="BB87" s="363"/>
      <c r="BC87" s="363"/>
      <c r="BD87" s="363"/>
      <c r="BE87" s="363"/>
    </row>
    <row r="88" spans="2:57" ht="15.6">
      <c r="E88" s="1">
        <f>SUM(E28:E87)</f>
        <v>900014.89019929129</v>
      </c>
      <c r="F88" s="1">
        <f t="shared" ref="F88:G88" si="12">SUM(F28:F87)</f>
        <v>722612.55800000182</v>
      </c>
      <c r="G88" s="1">
        <f t="shared" si="12"/>
        <v>177402.33219929039</v>
      </c>
      <c r="H88" s="1"/>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row>
    <row r="89" spans="2:57" ht="15.6">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row>
    <row r="90" spans="2:57" ht="15.6">
      <c r="K90" s="411"/>
      <c r="L90" s="412"/>
      <c r="M90" s="412"/>
      <c r="W90" s="120"/>
      <c r="X90" s="413" t="s">
        <v>202</v>
      </c>
      <c r="Y90" s="414"/>
      <c r="Z90" s="414"/>
      <c r="AA90" s="414"/>
      <c r="AB90" s="414"/>
      <c r="AC90" s="414"/>
      <c r="AD90" s="414"/>
      <c r="AE90" s="414"/>
      <c r="AF90" s="414"/>
      <c r="AG90" s="414"/>
      <c r="AH90" s="414"/>
      <c r="AI90" s="414"/>
      <c r="AJ90" s="414"/>
      <c r="AK90" s="414"/>
      <c r="AL90" s="414"/>
      <c r="AM90" s="414"/>
      <c r="AN90" s="415"/>
      <c r="AO90" s="413" t="s">
        <v>203</v>
      </c>
      <c r="AP90" s="414"/>
      <c r="AQ90" s="414"/>
      <c r="AR90" s="414"/>
      <c r="AS90" s="414"/>
      <c r="AT90" s="414"/>
      <c r="AU90" s="414"/>
      <c r="AV90" s="414"/>
      <c r="AW90" s="414"/>
      <c r="AX90" s="414"/>
      <c r="AY90" s="414"/>
      <c r="AZ90" s="414"/>
      <c r="BA90" s="414"/>
      <c r="BB90" s="414"/>
      <c r="BC90" s="414"/>
      <c r="BD90" s="415"/>
      <c r="BE90" s="120"/>
    </row>
    <row r="91" spans="2:57" ht="15.6">
      <c r="V91" s="30"/>
      <c r="W91" s="120"/>
      <c r="X91" s="158"/>
      <c r="Y91" s="157"/>
      <c r="Z91" s="157"/>
      <c r="AA91" s="157"/>
      <c r="AB91" s="157"/>
      <c r="AC91" s="157"/>
      <c r="AD91" s="157"/>
      <c r="AE91" s="157"/>
      <c r="AF91" s="157"/>
      <c r="AG91" s="157"/>
      <c r="AH91" s="157"/>
      <c r="AI91" s="157"/>
      <c r="AJ91" s="157"/>
      <c r="AK91" s="157"/>
      <c r="AL91" s="157"/>
      <c r="AM91" s="157"/>
      <c r="AN91" s="159"/>
      <c r="AO91" s="158"/>
      <c r="AP91" s="157"/>
      <c r="AQ91" s="157"/>
      <c r="AR91" s="157"/>
      <c r="AS91" s="157"/>
      <c r="AT91" s="157"/>
      <c r="AU91" s="157"/>
      <c r="AV91" s="157"/>
      <c r="AW91" s="157"/>
      <c r="AX91" s="157"/>
      <c r="AY91" s="157"/>
      <c r="AZ91" s="157"/>
      <c r="BA91" s="157"/>
      <c r="BB91" s="157"/>
      <c r="BC91" s="157"/>
      <c r="BD91" s="159"/>
      <c r="BE91" s="120"/>
    </row>
    <row r="92" spans="2:57" ht="16.2" thickBot="1">
      <c r="K92" s="230"/>
      <c r="L92" s="230"/>
      <c r="O92" s="537"/>
      <c r="P92" s="423"/>
      <c r="Q92" s="423"/>
      <c r="R92" s="423"/>
      <c r="S92" s="423"/>
      <c r="V92" s="30"/>
      <c r="W92" s="120"/>
      <c r="X92" s="160"/>
      <c r="Y92" s="130"/>
      <c r="Z92" s="130"/>
      <c r="AA92" s="161"/>
      <c r="AB92" s="529" t="str">
        <f>R60</f>
        <v>ALEXANDER A. FERIA JR</v>
      </c>
      <c r="AC92" s="529"/>
      <c r="AD92" s="529"/>
      <c r="AE92" s="529"/>
      <c r="AF92" s="529"/>
      <c r="AG92" s="529"/>
      <c r="AH92" s="529"/>
      <c r="AI92" s="529"/>
      <c r="AJ92" s="529"/>
      <c r="AK92" s="161"/>
      <c r="AL92" s="161"/>
      <c r="AM92" s="161"/>
      <c r="AN92" s="162"/>
      <c r="AO92" s="160"/>
      <c r="AP92" s="120"/>
      <c r="AQ92" s="120"/>
      <c r="AR92" s="425" t="s">
        <v>205</v>
      </c>
      <c r="AS92" s="425"/>
      <c r="AT92" s="425"/>
      <c r="AU92" s="425"/>
      <c r="AV92" s="425"/>
      <c r="AW92" s="425"/>
      <c r="AX92" s="425"/>
      <c r="AY92" s="425"/>
      <c r="AZ92" s="425"/>
      <c r="BA92" s="425"/>
      <c r="BB92" s="120"/>
      <c r="BC92" s="120"/>
      <c r="BD92" s="163"/>
      <c r="BE92" s="120"/>
    </row>
    <row r="93" spans="2:57" ht="16.2" customHeight="1">
      <c r="K93" s="230"/>
      <c r="L93" s="191"/>
      <c r="M93" s="230"/>
      <c r="P93" s="423"/>
      <c r="Q93" s="424"/>
      <c r="R93" s="424"/>
      <c r="S93" s="424"/>
      <c r="V93" s="30"/>
      <c r="W93" s="120"/>
      <c r="X93" s="404" t="s">
        <v>201</v>
      </c>
      <c r="Y93" s="405"/>
      <c r="Z93" s="405"/>
      <c r="AA93" s="405"/>
      <c r="AB93" s="405"/>
      <c r="AC93" s="405"/>
      <c r="AD93" s="405"/>
      <c r="AE93" s="405"/>
      <c r="AF93" s="405"/>
      <c r="AG93" s="405"/>
      <c r="AH93" s="405"/>
      <c r="AI93" s="405"/>
      <c r="AJ93" s="405"/>
      <c r="AK93" s="405"/>
      <c r="AL93" s="405"/>
      <c r="AM93" s="405"/>
      <c r="AN93" s="406"/>
      <c r="AO93" s="404" t="s">
        <v>201</v>
      </c>
      <c r="AP93" s="405"/>
      <c r="AQ93" s="405"/>
      <c r="AR93" s="405"/>
      <c r="AS93" s="405"/>
      <c r="AT93" s="405"/>
      <c r="AU93" s="405"/>
      <c r="AV93" s="405"/>
      <c r="AW93" s="405"/>
      <c r="AX93" s="405"/>
      <c r="AY93" s="405"/>
      <c r="AZ93" s="405"/>
      <c r="BA93" s="405"/>
      <c r="BB93" s="405"/>
      <c r="BC93" s="405"/>
      <c r="BD93" s="406"/>
      <c r="BE93" s="120"/>
    </row>
    <row r="94" spans="2:57" ht="15.6">
      <c r="K94" s="230"/>
      <c r="V94" s="3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row>
    <row r="95" spans="2:57" ht="15.6">
      <c r="V95" s="3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row>
    <row r="96" spans="2:57">
      <c r="V96" s="30"/>
    </row>
    <row r="97" spans="22:57">
      <c r="V97" s="30"/>
    </row>
    <row r="98" spans="22:57">
      <c r="V98" s="30"/>
    </row>
    <row r="99" spans="22:57" ht="18">
      <c r="V99" s="3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65"/>
      <c r="AS99" s="120"/>
      <c r="AT99" s="120"/>
      <c r="AU99" s="120"/>
      <c r="AV99" s="120"/>
      <c r="AW99" s="120"/>
      <c r="AX99" s="120"/>
      <c r="AY99" s="120"/>
      <c r="AZ99" s="120"/>
      <c r="BA99" s="120"/>
      <c r="BB99" s="120"/>
      <c r="BC99" s="120"/>
      <c r="BD99" s="120"/>
      <c r="BE99" s="120"/>
    </row>
    <row r="100" spans="22:57" ht="18.600000000000001" thickBot="1">
      <c r="V100" s="30"/>
      <c r="W100" s="120"/>
      <c r="X100" s="368" t="s">
        <v>206</v>
      </c>
      <c r="Y100" s="369"/>
      <c r="Z100" s="369"/>
      <c r="AA100" s="369"/>
      <c r="AB100" s="369"/>
      <c r="AC100" s="369"/>
      <c r="AD100" s="369"/>
      <c r="AE100" s="369"/>
      <c r="AF100" s="369"/>
      <c r="AG100" s="369"/>
      <c r="AH100" s="369"/>
      <c r="AI100" s="369"/>
      <c r="AJ100" s="369"/>
      <c r="AK100" s="369"/>
      <c r="AL100" s="373" t="str">
        <f>H22</f>
        <v>LRV-059</v>
      </c>
      <c r="AM100" s="373"/>
      <c r="AN100" s="373"/>
      <c r="AO100" s="120"/>
      <c r="AP100" s="120"/>
      <c r="AQ100" s="120"/>
      <c r="AR100" s="120"/>
      <c r="AS100" s="120"/>
      <c r="AT100" s="120"/>
      <c r="AU100" s="120"/>
      <c r="AV100" s="120"/>
      <c r="AW100" s="120"/>
      <c r="AX100" s="120"/>
      <c r="AY100" s="120"/>
    </row>
    <row r="101" spans="22:57" ht="18">
      <c r="V101" s="30"/>
      <c r="W101" s="120"/>
      <c r="X101" s="120"/>
      <c r="Y101" s="400" t="s">
        <v>207</v>
      </c>
      <c r="Z101" s="400"/>
      <c r="AA101" s="400"/>
      <c r="AB101" s="400"/>
      <c r="AC101" s="400"/>
      <c r="AD101" s="400"/>
      <c r="AE101" s="400"/>
      <c r="AF101" s="400"/>
      <c r="AG101" s="400"/>
      <c r="AH101" s="400"/>
      <c r="AI101" s="400"/>
      <c r="AJ101" s="400"/>
      <c r="AK101" s="400"/>
      <c r="AL101" s="400"/>
      <c r="AM101" s="400"/>
      <c r="AN101" s="400"/>
      <c r="AO101" s="400"/>
      <c r="AP101" s="400"/>
      <c r="AQ101" s="400"/>
      <c r="AR101" s="400"/>
      <c r="AS101" s="400"/>
      <c r="AT101" s="400"/>
      <c r="AU101" s="400"/>
      <c r="AV101" s="400"/>
      <c r="AW101" s="400"/>
      <c r="AX101" s="400"/>
      <c r="AY101" s="407">
        <f>AW83</f>
        <v>900014.89019929199</v>
      </c>
      <c r="AZ101" s="408"/>
      <c r="BA101" s="408"/>
      <c r="BB101" s="408"/>
      <c r="BC101" s="408"/>
      <c r="BD101" s="408"/>
      <c r="BE101" s="165"/>
    </row>
    <row r="102" spans="22:57" ht="18" customHeight="1">
      <c r="V102" s="30"/>
      <c r="W102" s="120"/>
      <c r="X102" s="398"/>
      <c r="Y102" s="399"/>
      <c r="Z102" s="399"/>
      <c r="AA102" s="166" t="s">
        <v>208</v>
      </c>
      <c r="AB102" s="167">
        <f>E25</f>
        <v>60</v>
      </c>
      <c r="AC102" s="400" t="s">
        <v>209</v>
      </c>
      <c r="AD102" s="400"/>
      <c r="AE102" s="400"/>
      <c r="AF102" s="400"/>
      <c r="AG102" s="400"/>
      <c r="AH102" s="400"/>
      <c r="AI102" s="400"/>
      <c r="AJ102" s="400"/>
      <c r="AK102" s="400"/>
      <c r="AL102" s="400"/>
      <c r="AM102" s="400"/>
      <c r="AN102" s="399">
        <f>AC83</f>
        <v>15000.248169988199</v>
      </c>
      <c r="AO102" s="399"/>
      <c r="AP102" s="399"/>
      <c r="AQ102" s="399"/>
      <c r="AR102" s="400" t="s">
        <v>210</v>
      </c>
      <c r="AS102" s="400"/>
      <c r="AT102" s="400"/>
      <c r="AU102" s="400"/>
      <c r="AV102" s="400"/>
      <c r="AW102" s="400"/>
      <c r="AX102" s="400"/>
      <c r="AY102" s="400"/>
      <c r="AZ102" s="400"/>
      <c r="BA102" s="400"/>
      <c r="BB102" s="400"/>
      <c r="BC102" s="400"/>
      <c r="BD102" s="400"/>
      <c r="BE102" s="165"/>
    </row>
    <row r="103" spans="22:57" ht="18" customHeight="1">
      <c r="V103" s="38"/>
      <c r="W103" s="120"/>
      <c r="X103" s="401">
        <f>R50</f>
        <v>46121</v>
      </c>
      <c r="Y103" s="401"/>
      <c r="Z103" s="401"/>
      <c r="AA103" s="401"/>
      <c r="AB103" s="377" t="s">
        <v>211</v>
      </c>
      <c r="AC103" s="377"/>
      <c r="AD103" s="377"/>
      <c r="AE103" s="377"/>
      <c r="AF103" s="377"/>
      <c r="AG103" s="377"/>
      <c r="AH103" s="377"/>
      <c r="AI103" s="377"/>
      <c r="AJ103" s="377"/>
      <c r="AK103" s="377"/>
      <c r="AL103" s="377"/>
      <c r="AM103" s="377"/>
      <c r="AN103" s="377"/>
      <c r="AO103" s="377"/>
      <c r="AP103" s="377"/>
      <c r="AQ103" s="377"/>
      <c r="AR103" s="377"/>
      <c r="AS103" s="377"/>
      <c r="AT103" s="377"/>
      <c r="AU103" s="377"/>
      <c r="AV103" s="377"/>
      <c r="AW103" s="377"/>
      <c r="AX103" s="377"/>
      <c r="AY103" s="377"/>
      <c r="AZ103" s="377"/>
      <c r="BA103" s="377"/>
      <c r="BB103" s="377"/>
      <c r="BC103" s="377"/>
      <c r="BD103" s="377"/>
      <c r="BE103" s="165"/>
    </row>
    <row r="104" spans="22:57" ht="18" customHeight="1">
      <c r="V104" s="38"/>
      <c r="W104" s="120"/>
      <c r="X104" s="377" t="s">
        <v>212</v>
      </c>
      <c r="Y104" s="377"/>
      <c r="Z104" s="377"/>
      <c r="AA104" s="377"/>
      <c r="AB104" s="377"/>
      <c r="AC104" s="377"/>
      <c r="AD104" s="377"/>
      <c r="AE104" s="377"/>
      <c r="AF104" s="377"/>
      <c r="AG104" s="377"/>
      <c r="AH104" s="377"/>
      <c r="AI104" s="377"/>
      <c r="AJ104" s="377"/>
      <c r="AK104" s="377"/>
      <c r="AL104" s="377"/>
      <c r="AM104" s="377"/>
      <c r="AN104" s="377"/>
      <c r="AO104" s="377"/>
      <c r="AP104" s="377"/>
      <c r="AQ104" s="377"/>
      <c r="AR104" s="377"/>
      <c r="AS104" s="377"/>
      <c r="AT104" s="377"/>
      <c r="AU104" s="377"/>
      <c r="AV104" s="377"/>
      <c r="AW104" s="377"/>
      <c r="AX104" s="377"/>
      <c r="AY104" s="377"/>
      <c r="AZ104" s="377"/>
      <c r="BA104" s="377"/>
      <c r="BB104" s="377"/>
      <c r="BC104" s="377"/>
      <c r="BD104" s="377"/>
      <c r="BE104" s="165"/>
    </row>
    <row r="105" spans="22:57" ht="18" customHeight="1">
      <c r="V105" s="38"/>
      <c r="W105" s="120"/>
      <c r="X105" s="377" t="s">
        <v>213</v>
      </c>
      <c r="Y105" s="377"/>
      <c r="Z105" s="377"/>
      <c r="AA105" s="377"/>
      <c r="AB105" s="377"/>
      <c r="AC105" s="377"/>
      <c r="AD105" s="377"/>
      <c r="AE105" s="377"/>
      <c r="AF105" s="377"/>
      <c r="AG105" s="377"/>
      <c r="AH105" s="377"/>
      <c r="AI105" s="377"/>
      <c r="AJ105" s="377"/>
      <c r="AK105" s="377"/>
      <c r="AL105" s="377"/>
      <c r="AM105" s="377"/>
      <c r="AN105" s="377"/>
      <c r="AO105" s="377"/>
      <c r="AP105" s="377"/>
      <c r="AQ105" s="377"/>
      <c r="AR105" s="377"/>
      <c r="AS105" s="377"/>
      <c r="AT105" s="377"/>
      <c r="AU105" s="377"/>
      <c r="AV105" s="377"/>
      <c r="AW105" s="377"/>
      <c r="AX105" s="377"/>
      <c r="AY105" s="377"/>
      <c r="AZ105" s="377"/>
      <c r="BA105" s="377"/>
      <c r="BB105" s="377"/>
      <c r="BC105" s="377"/>
      <c r="BD105" s="377"/>
      <c r="BE105" s="165"/>
    </row>
    <row r="106" spans="22:57" ht="18" customHeight="1">
      <c r="V106" s="30"/>
      <c r="W106" s="120"/>
      <c r="X106" s="377"/>
      <c r="Y106" s="377"/>
      <c r="Z106" s="377"/>
      <c r="AA106" s="377"/>
      <c r="AB106" s="377"/>
      <c r="AC106" s="377"/>
      <c r="AD106" s="377"/>
      <c r="AE106" s="377"/>
      <c r="AF106" s="377"/>
      <c r="AG106" s="377"/>
      <c r="AH106" s="377"/>
      <c r="AI106" s="377"/>
      <c r="AJ106" s="377"/>
      <c r="AK106" s="377"/>
      <c r="AL106" s="377"/>
      <c r="AM106" s="377"/>
      <c r="AN106" s="377"/>
      <c r="AO106" s="377"/>
      <c r="AP106" s="377"/>
      <c r="AQ106" s="377"/>
      <c r="AR106" s="377"/>
      <c r="AS106" s="377"/>
      <c r="AT106" s="377"/>
      <c r="AU106" s="377"/>
      <c r="AV106" s="377"/>
      <c r="AW106" s="377"/>
      <c r="AX106" s="377"/>
      <c r="AY106" s="377"/>
      <c r="AZ106" s="377"/>
      <c r="BA106" s="377"/>
      <c r="BB106" s="377"/>
      <c r="BC106" s="377"/>
      <c r="BD106" s="377"/>
      <c r="BE106" s="165"/>
    </row>
    <row r="107" spans="22:57" ht="18">
      <c r="V107" s="30"/>
      <c r="W107" s="120"/>
      <c r="X107" s="377"/>
      <c r="Y107" s="377"/>
      <c r="Z107" s="377"/>
      <c r="AA107" s="377"/>
      <c r="AB107" s="377"/>
      <c r="AC107" s="377"/>
      <c r="AD107" s="377"/>
      <c r="AE107" s="377"/>
      <c r="AF107" s="377"/>
      <c r="AG107" s="377"/>
      <c r="AH107" s="377"/>
      <c r="AI107" s="377"/>
      <c r="AJ107" s="377"/>
      <c r="AK107" s="377"/>
      <c r="AL107" s="377"/>
      <c r="AM107" s="377"/>
      <c r="AN107" s="377"/>
      <c r="AO107" s="377"/>
      <c r="AP107" s="377"/>
      <c r="AQ107" s="377"/>
      <c r="AR107" s="377"/>
      <c r="AS107" s="377"/>
      <c r="AT107" s="377"/>
      <c r="AU107" s="377"/>
      <c r="AV107" s="377"/>
      <c r="AW107" s="377"/>
      <c r="AX107" s="377"/>
      <c r="AY107" s="377"/>
      <c r="AZ107" s="377"/>
      <c r="BA107" s="377"/>
      <c r="BB107" s="377"/>
      <c r="BC107" s="377"/>
      <c r="BD107" s="377"/>
      <c r="BE107" s="165"/>
    </row>
    <row r="108" spans="22:57" ht="18">
      <c r="V108" s="30"/>
      <c r="W108" s="120"/>
      <c r="X108" s="377" t="s">
        <v>355</v>
      </c>
      <c r="Y108" s="377"/>
      <c r="Z108" s="377"/>
      <c r="AA108" s="377"/>
      <c r="AB108" s="377"/>
      <c r="AC108" s="377"/>
      <c r="AD108" s="377"/>
      <c r="AE108" s="377"/>
      <c r="AF108" s="377"/>
      <c r="AG108" s="377"/>
      <c r="AH108" s="377"/>
      <c r="AI108" s="377"/>
      <c r="AJ108" s="377"/>
      <c r="AK108" s="377"/>
      <c r="AL108" s="377"/>
      <c r="AM108" s="377"/>
      <c r="AN108" s="377"/>
      <c r="AO108" s="377"/>
      <c r="AP108" s="377"/>
      <c r="AQ108" s="377"/>
      <c r="AR108" s="377"/>
      <c r="AS108" s="377"/>
      <c r="AT108" s="377"/>
      <c r="AU108" s="377"/>
      <c r="AV108" s="377"/>
      <c r="AW108" s="377"/>
      <c r="AX108" s="377"/>
      <c r="AY108" s="377"/>
      <c r="AZ108" s="377"/>
      <c r="BA108" s="377"/>
      <c r="BB108" s="377"/>
      <c r="BC108" s="377"/>
      <c r="BD108" s="377"/>
      <c r="BE108" s="165"/>
    </row>
    <row r="109" spans="22:57" ht="18" customHeight="1">
      <c r="V109" s="36"/>
      <c r="W109" s="120"/>
      <c r="X109" s="377"/>
      <c r="Y109" s="377"/>
      <c r="Z109" s="377"/>
      <c r="AA109" s="377"/>
      <c r="AB109" s="377"/>
      <c r="AC109" s="377"/>
      <c r="AD109" s="377"/>
      <c r="AE109" s="377"/>
      <c r="AF109" s="377"/>
      <c r="AG109" s="377"/>
      <c r="AH109" s="377"/>
      <c r="AI109" s="377"/>
      <c r="AJ109" s="377"/>
      <c r="AK109" s="377"/>
      <c r="AL109" s="377"/>
      <c r="AM109" s="377"/>
      <c r="AN109" s="377"/>
      <c r="AO109" s="377"/>
      <c r="AP109" s="377"/>
      <c r="AQ109" s="377"/>
      <c r="AR109" s="377"/>
      <c r="AS109" s="377"/>
      <c r="AT109" s="377"/>
      <c r="AU109" s="377"/>
      <c r="AV109" s="377"/>
      <c r="AW109" s="377"/>
      <c r="AX109" s="377"/>
      <c r="AY109" s="377"/>
      <c r="AZ109" s="377"/>
      <c r="BA109" s="377"/>
      <c r="BB109" s="377"/>
      <c r="BC109" s="377"/>
      <c r="BD109" s="377"/>
      <c r="BE109" s="165"/>
    </row>
    <row r="110" spans="22:57" ht="18">
      <c r="V110" s="36"/>
      <c r="W110" s="120"/>
      <c r="X110" s="377"/>
      <c r="Y110" s="377"/>
      <c r="Z110" s="377"/>
      <c r="AA110" s="377"/>
      <c r="AB110" s="377"/>
      <c r="AC110" s="377"/>
      <c r="AD110" s="377"/>
      <c r="AE110" s="377"/>
      <c r="AF110" s="377"/>
      <c r="AG110" s="377"/>
      <c r="AH110" s="377"/>
      <c r="AI110" s="377"/>
      <c r="AJ110" s="377"/>
      <c r="AK110" s="377"/>
      <c r="AL110" s="377"/>
      <c r="AM110" s="377"/>
      <c r="AN110" s="377"/>
      <c r="AO110" s="377"/>
      <c r="AP110" s="377"/>
      <c r="AQ110" s="377"/>
      <c r="AR110" s="377"/>
      <c r="AS110" s="377"/>
      <c r="AT110" s="377"/>
      <c r="AU110" s="377"/>
      <c r="AV110" s="377"/>
      <c r="AW110" s="377"/>
      <c r="AX110" s="377"/>
      <c r="AY110" s="377"/>
      <c r="AZ110" s="377"/>
      <c r="BA110" s="377"/>
      <c r="BB110" s="377"/>
      <c r="BC110" s="377"/>
      <c r="BD110" s="377"/>
      <c r="BE110" s="165"/>
    </row>
    <row r="111" spans="22:57" ht="18">
      <c r="V111" s="36"/>
      <c r="W111" s="120"/>
      <c r="X111" s="377" t="s">
        <v>215</v>
      </c>
      <c r="Y111" s="377"/>
      <c r="Z111" s="377"/>
      <c r="AA111" s="377"/>
      <c r="AB111" s="377"/>
      <c r="AC111" s="377"/>
      <c r="AD111" s="377"/>
      <c r="AE111" s="377"/>
      <c r="AF111" s="377"/>
      <c r="AG111" s="377"/>
      <c r="AH111" s="377"/>
      <c r="AI111" s="377"/>
      <c r="AJ111" s="377"/>
      <c r="AK111" s="377"/>
      <c r="AL111" s="377"/>
      <c r="AM111" s="377"/>
      <c r="AN111" s="377"/>
      <c r="AO111" s="377"/>
      <c r="AP111" s="377"/>
      <c r="AQ111" s="377"/>
      <c r="AR111" s="377"/>
      <c r="AS111" s="377"/>
      <c r="AT111" s="377"/>
      <c r="AU111" s="377"/>
      <c r="AV111" s="377"/>
      <c r="AW111" s="377"/>
      <c r="AX111" s="377"/>
      <c r="AY111" s="377"/>
      <c r="AZ111" s="377"/>
      <c r="BA111" s="377"/>
      <c r="BB111" s="377"/>
      <c r="BC111" s="377"/>
      <c r="BD111" s="377"/>
      <c r="BE111" s="165"/>
    </row>
    <row r="112" spans="22:57" ht="18" customHeight="1">
      <c r="V112" s="36"/>
      <c r="W112" s="120"/>
      <c r="X112" s="377"/>
      <c r="Y112" s="377"/>
      <c r="Z112" s="377"/>
      <c r="AA112" s="377"/>
      <c r="AB112" s="377"/>
      <c r="AC112" s="377"/>
      <c r="AD112" s="377"/>
      <c r="AE112" s="377"/>
      <c r="AF112" s="377"/>
      <c r="AG112" s="377"/>
      <c r="AH112" s="377"/>
      <c r="AI112" s="377"/>
      <c r="AJ112" s="377"/>
      <c r="AK112" s="377"/>
      <c r="AL112" s="377"/>
      <c r="AM112" s="377"/>
      <c r="AN112" s="377"/>
      <c r="AO112" s="377"/>
      <c r="AP112" s="377"/>
      <c r="AQ112" s="377"/>
      <c r="AR112" s="377"/>
      <c r="AS112" s="377"/>
      <c r="AT112" s="377"/>
      <c r="AU112" s="377"/>
      <c r="AV112" s="377"/>
      <c r="AW112" s="377"/>
      <c r="AX112" s="377"/>
      <c r="AY112" s="377"/>
      <c r="AZ112" s="377"/>
      <c r="BA112" s="377"/>
      <c r="BB112" s="377"/>
      <c r="BC112" s="377"/>
      <c r="BD112" s="377"/>
      <c r="BE112" s="165"/>
    </row>
    <row r="113" spans="22:57" ht="18">
      <c r="V113" s="36"/>
      <c r="W113" s="120"/>
      <c r="X113" s="377"/>
      <c r="Y113" s="377"/>
      <c r="Z113" s="377"/>
      <c r="AA113" s="377"/>
      <c r="AB113" s="377"/>
      <c r="AC113" s="377"/>
      <c r="AD113" s="377"/>
      <c r="AE113" s="377"/>
      <c r="AF113" s="377"/>
      <c r="AG113" s="377"/>
      <c r="AH113" s="377"/>
      <c r="AI113" s="377"/>
      <c r="AJ113" s="377"/>
      <c r="AK113" s="377"/>
      <c r="AL113" s="377"/>
      <c r="AM113" s="377"/>
      <c r="AN113" s="377"/>
      <c r="AO113" s="377"/>
      <c r="AP113" s="377"/>
      <c r="AQ113" s="377"/>
      <c r="AR113" s="377"/>
      <c r="AS113" s="377"/>
      <c r="AT113" s="377"/>
      <c r="AU113" s="377"/>
      <c r="AV113" s="377"/>
      <c r="AW113" s="377"/>
      <c r="AX113" s="377"/>
      <c r="AY113" s="377"/>
      <c r="AZ113" s="377"/>
      <c r="BA113" s="377"/>
      <c r="BB113" s="377"/>
      <c r="BC113" s="377"/>
      <c r="BD113" s="377"/>
      <c r="BE113" s="165"/>
    </row>
    <row r="114" spans="22:57" ht="18">
      <c r="V114" s="30"/>
      <c r="W114" s="120"/>
      <c r="X114" s="377"/>
      <c r="Y114" s="377"/>
      <c r="Z114" s="377"/>
      <c r="AA114" s="377"/>
      <c r="AB114" s="377"/>
      <c r="AC114" s="377"/>
      <c r="AD114" s="377"/>
      <c r="AE114" s="377"/>
      <c r="AF114" s="377"/>
      <c r="AG114" s="377"/>
      <c r="AH114" s="377"/>
      <c r="AI114" s="377"/>
      <c r="AJ114" s="377"/>
      <c r="AK114" s="377"/>
      <c r="AL114" s="377"/>
      <c r="AM114" s="377"/>
      <c r="AN114" s="377"/>
      <c r="AO114" s="377"/>
      <c r="AP114" s="377"/>
      <c r="AQ114" s="377"/>
      <c r="AR114" s="377"/>
      <c r="AS114" s="377"/>
      <c r="AT114" s="377"/>
      <c r="AU114" s="377"/>
      <c r="AV114" s="377"/>
      <c r="AW114" s="377"/>
      <c r="AX114" s="377"/>
      <c r="AY114" s="377"/>
      <c r="AZ114" s="377"/>
      <c r="BA114" s="377"/>
      <c r="BB114" s="377"/>
      <c r="BC114" s="377"/>
      <c r="BD114" s="377"/>
      <c r="BE114" s="165"/>
    </row>
    <row r="115" spans="22:57" ht="18">
      <c r="V115" s="30"/>
      <c r="W115" s="120"/>
      <c r="X115" s="377"/>
      <c r="Y115" s="377"/>
      <c r="Z115" s="377"/>
      <c r="AA115" s="377"/>
      <c r="AB115" s="377"/>
      <c r="AC115" s="377"/>
      <c r="AD115" s="377"/>
      <c r="AE115" s="377"/>
      <c r="AF115" s="377"/>
      <c r="AG115" s="377"/>
      <c r="AH115" s="377"/>
      <c r="AI115" s="377"/>
      <c r="AJ115" s="377"/>
      <c r="AK115" s="377"/>
      <c r="AL115" s="377"/>
      <c r="AM115" s="377"/>
      <c r="AN115" s="377"/>
      <c r="AO115" s="377"/>
      <c r="AP115" s="377"/>
      <c r="AQ115" s="377"/>
      <c r="AR115" s="377"/>
      <c r="AS115" s="377"/>
      <c r="AT115" s="377"/>
      <c r="AU115" s="377"/>
      <c r="AV115" s="377"/>
      <c r="AW115" s="377"/>
      <c r="AX115" s="377"/>
      <c r="AY115" s="377"/>
      <c r="AZ115" s="377"/>
      <c r="BA115" s="377"/>
      <c r="BB115" s="377"/>
      <c r="BC115" s="377"/>
      <c r="BD115" s="377"/>
      <c r="BE115" s="165"/>
    </row>
    <row r="116" spans="22:57" ht="18">
      <c r="V116" s="30"/>
      <c r="W116" s="120"/>
      <c r="X116" s="377" t="s">
        <v>216</v>
      </c>
      <c r="Y116" s="377"/>
      <c r="Z116" s="377"/>
      <c r="AA116" s="377"/>
      <c r="AB116" s="377"/>
      <c r="AC116" s="377"/>
      <c r="AD116" s="377"/>
      <c r="AE116" s="377"/>
      <c r="AF116" s="377"/>
      <c r="AG116" s="377"/>
      <c r="AH116" s="377"/>
      <c r="AI116" s="377"/>
      <c r="AJ116" s="377"/>
      <c r="AK116" s="377"/>
      <c r="AL116" s="377"/>
      <c r="AM116" s="377"/>
      <c r="AN116" s="377"/>
      <c r="AO116" s="377"/>
      <c r="AP116" s="377"/>
      <c r="AQ116" s="377"/>
      <c r="AR116" s="377"/>
      <c r="AS116" s="377"/>
      <c r="AT116" s="377"/>
      <c r="AU116" s="377"/>
      <c r="AV116" s="377"/>
      <c r="AW116" s="377"/>
      <c r="AX116" s="377"/>
      <c r="AY116" s="377"/>
      <c r="AZ116" s="377"/>
      <c r="BA116" s="377"/>
      <c r="BB116" s="377"/>
      <c r="BC116" s="377"/>
      <c r="BD116" s="377"/>
      <c r="BE116" s="165"/>
    </row>
    <row r="117" spans="22:57" ht="18" customHeight="1">
      <c r="V117" s="30"/>
      <c r="W117" s="120"/>
      <c r="X117" s="377"/>
      <c r="Y117" s="377"/>
      <c r="Z117" s="377"/>
      <c r="AA117" s="377"/>
      <c r="AB117" s="377"/>
      <c r="AC117" s="377"/>
      <c r="AD117" s="377"/>
      <c r="AE117" s="377"/>
      <c r="AF117" s="377"/>
      <c r="AG117" s="377"/>
      <c r="AH117" s="377"/>
      <c r="AI117" s="377"/>
      <c r="AJ117" s="377"/>
      <c r="AK117" s="377"/>
      <c r="AL117" s="377"/>
      <c r="AM117" s="377"/>
      <c r="AN117" s="377"/>
      <c r="AO117" s="377"/>
      <c r="AP117" s="377"/>
      <c r="AQ117" s="377"/>
      <c r="AR117" s="377"/>
      <c r="AS117" s="377"/>
      <c r="AT117" s="377"/>
      <c r="AU117" s="377"/>
      <c r="AV117" s="377"/>
      <c r="AW117" s="377"/>
      <c r="AX117" s="377"/>
      <c r="AY117" s="377"/>
      <c r="AZ117" s="377"/>
      <c r="BA117" s="377"/>
      <c r="BB117" s="377"/>
      <c r="BC117" s="377"/>
      <c r="BD117" s="377"/>
      <c r="BE117" s="165"/>
    </row>
    <row r="118" spans="22:57" ht="18">
      <c r="V118" s="30"/>
      <c r="W118" s="120"/>
      <c r="X118" s="377"/>
      <c r="Y118" s="377"/>
      <c r="Z118" s="377"/>
      <c r="AA118" s="377"/>
      <c r="AB118" s="377"/>
      <c r="AC118" s="377"/>
      <c r="AD118" s="377"/>
      <c r="AE118" s="377"/>
      <c r="AF118" s="377"/>
      <c r="AG118" s="377"/>
      <c r="AH118" s="377"/>
      <c r="AI118" s="377"/>
      <c r="AJ118" s="377"/>
      <c r="AK118" s="377"/>
      <c r="AL118" s="377"/>
      <c r="AM118" s="377"/>
      <c r="AN118" s="377"/>
      <c r="AO118" s="377"/>
      <c r="AP118" s="377"/>
      <c r="AQ118" s="377"/>
      <c r="AR118" s="377"/>
      <c r="AS118" s="377"/>
      <c r="AT118" s="377"/>
      <c r="AU118" s="377"/>
      <c r="AV118" s="377"/>
      <c r="AW118" s="377"/>
      <c r="AX118" s="377"/>
      <c r="AY118" s="377"/>
      <c r="AZ118" s="377"/>
      <c r="BA118" s="377"/>
      <c r="BB118" s="377"/>
      <c r="BC118" s="377"/>
      <c r="BD118" s="377"/>
      <c r="BE118" s="165"/>
    </row>
    <row r="119" spans="22:57" ht="18.600000000000001" thickBot="1">
      <c r="V119" s="30"/>
      <c r="W119" s="120"/>
      <c r="X119" s="377"/>
      <c r="Y119" s="377"/>
      <c r="Z119" s="377"/>
      <c r="AA119" s="377"/>
      <c r="AB119" s="377"/>
      <c r="AC119" s="377"/>
      <c r="AD119" s="377"/>
      <c r="AE119" s="377"/>
      <c r="AF119" s="377"/>
      <c r="AG119" s="377"/>
      <c r="AH119" s="377"/>
      <c r="AI119" s="377"/>
      <c r="AJ119" s="377"/>
      <c r="AK119" s="377"/>
      <c r="AL119" s="377"/>
      <c r="AM119" s="377"/>
      <c r="AN119" s="377"/>
      <c r="AO119" s="377"/>
      <c r="AP119" s="377"/>
      <c r="AQ119" s="377"/>
      <c r="AR119" s="377"/>
      <c r="AS119" s="377"/>
      <c r="AT119" s="377"/>
      <c r="AU119" s="377"/>
      <c r="AV119" s="377"/>
      <c r="AW119" s="377"/>
      <c r="AX119" s="377"/>
      <c r="AY119" s="377"/>
      <c r="AZ119" s="377"/>
      <c r="BA119" s="377"/>
      <c r="BB119" s="377"/>
      <c r="BC119" s="377"/>
      <c r="BD119" s="377"/>
      <c r="BE119" s="165"/>
    </row>
    <row r="120" spans="22:57" ht="15.6">
      <c r="V120" s="30"/>
      <c r="W120" s="120"/>
      <c r="X120" s="168"/>
      <c r="Y120" s="168"/>
      <c r="Z120" s="168"/>
      <c r="AA120" s="168"/>
      <c r="AB120" s="168"/>
      <c r="AC120" s="168"/>
      <c r="AD120" s="168"/>
      <c r="AE120" s="168"/>
      <c r="AF120" s="168"/>
      <c r="AG120" s="168"/>
      <c r="AH120" s="168"/>
      <c r="AI120" s="168"/>
      <c r="AJ120" s="168"/>
      <c r="AK120" s="168"/>
      <c r="AL120" s="129"/>
      <c r="AM120" s="120" t="s">
        <v>217</v>
      </c>
      <c r="AN120" s="120"/>
      <c r="AO120" s="169"/>
      <c r="AP120" s="120"/>
      <c r="AQ120" s="120"/>
      <c r="AR120" s="168"/>
      <c r="AS120" s="168"/>
      <c r="AT120" s="378"/>
      <c r="AU120" s="379"/>
      <c r="AV120" s="379"/>
      <c r="AW120" s="379"/>
      <c r="AX120" s="380"/>
      <c r="AY120" s="170"/>
      <c r="AZ120" s="387"/>
      <c r="BA120" s="388"/>
      <c r="BB120" s="388"/>
      <c r="BC120" s="388"/>
      <c r="BD120" s="389"/>
      <c r="BE120" s="168"/>
    </row>
    <row r="121" spans="22:57" ht="15.6">
      <c r="V121" s="30"/>
      <c r="W121" s="120"/>
      <c r="X121" s="120"/>
      <c r="Y121" s="120"/>
      <c r="Z121" s="120"/>
      <c r="AA121" s="120"/>
      <c r="AB121" s="120"/>
      <c r="AC121" s="120"/>
      <c r="AD121" s="120"/>
      <c r="AE121" s="120"/>
      <c r="AF121" s="120"/>
      <c r="AG121" s="120"/>
      <c r="AH121" s="120"/>
      <c r="AI121" s="120"/>
      <c r="AJ121" s="120"/>
      <c r="AK121" s="120"/>
      <c r="AL121" s="129"/>
      <c r="AM121" s="120" t="s">
        <v>218</v>
      </c>
      <c r="AN121" s="120"/>
      <c r="AO121" s="120"/>
      <c r="AP121" s="120"/>
      <c r="AQ121" s="120"/>
      <c r="AR121" s="120"/>
      <c r="AS121" s="120"/>
      <c r="AT121" s="381"/>
      <c r="AU121" s="382"/>
      <c r="AV121" s="382"/>
      <c r="AW121" s="382"/>
      <c r="AX121" s="383"/>
      <c r="AY121" s="168"/>
      <c r="AZ121" s="390"/>
      <c r="BA121" s="391"/>
      <c r="BB121" s="391"/>
      <c r="BC121" s="391"/>
      <c r="BD121" s="392"/>
      <c r="BE121" s="168"/>
    </row>
    <row r="122" spans="22:57" ht="15.6">
      <c r="V122" s="30"/>
      <c r="W122" s="120"/>
      <c r="X122" s="120"/>
      <c r="Y122" s="120"/>
      <c r="Z122" s="120"/>
      <c r="AA122" s="120"/>
      <c r="AB122" s="120"/>
      <c r="AC122" s="120"/>
      <c r="AD122" s="120"/>
      <c r="AE122" s="120"/>
      <c r="AF122" s="120"/>
      <c r="AG122" s="120"/>
      <c r="AH122" s="120"/>
      <c r="AI122" s="120"/>
      <c r="AJ122" s="120"/>
      <c r="AK122" s="120"/>
      <c r="AL122" s="129"/>
      <c r="AM122" s="120" t="s">
        <v>219</v>
      </c>
      <c r="AN122" s="120"/>
      <c r="AO122" s="120"/>
      <c r="AP122" s="120"/>
      <c r="AQ122" s="120"/>
      <c r="AR122" s="120"/>
      <c r="AS122" s="120"/>
      <c r="AT122" s="381"/>
      <c r="AU122" s="382"/>
      <c r="AV122" s="382"/>
      <c r="AW122" s="382"/>
      <c r="AX122" s="383"/>
      <c r="AY122" s="168"/>
      <c r="AZ122" s="390"/>
      <c r="BA122" s="391"/>
      <c r="BB122" s="391"/>
      <c r="BC122" s="391"/>
      <c r="BD122" s="392"/>
      <c r="BE122" s="168"/>
    </row>
    <row r="123" spans="22:57" ht="16.2" thickBot="1">
      <c r="V123" s="30"/>
      <c r="W123" s="120"/>
      <c r="X123" s="120"/>
      <c r="Y123" s="120"/>
      <c r="Z123" s="396" t="str">
        <f>AU64</f>
        <v>TABAQUERO, ARTHUR I.</v>
      </c>
      <c r="AA123" s="396"/>
      <c r="AB123" s="396"/>
      <c r="AC123" s="396"/>
      <c r="AD123" s="396"/>
      <c r="AE123" s="396"/>
      <c r="AF123" s="396"/>
      <c r="AG123" s="396"/>
      <c r="AH123" s="396"/>
      <c r="AI123" s="120"/>
      <c r="AJ123" s="120"/>
      <c r="AK123" s="120"/>
      <c r="AL123" s="129"/>
      <c r="AM123" s="120" t="s">
        <v>127</v>
      </c>
      <c r="AN123" s="120"/>
      <c r="AO123" s="373"/>
      <c r="AP123" s="373"/>
      <c r="AQ123" s="373"/>
      <c r="AR123" s="120"/>
      <c r="AS123" s="120"/>
      <c r="AT123" s="381"/>
      <c r="AU123" s="382"/>
      <c r="AV123" s="382"/>
      <c r="AW123" s="382"/>
      <c r="AX123" s="383"/>
      <c r="AY123" s="168"/>
      <c r="AZ123" s="390"/>
      <c r="BA123" s="391"/>
      <c r="BB123" s="391"/>
      <c r="BC123" s="391"/>
      <c r="BD123" s="392"/>
      <c r="BE123" s="168"/>
    </row>
    <row r="124" spans="22:57" ht="15.6">
      <c r="V124" s="30"/>
      <c r="W124" s="120"/>
      <c r="X124" s="397" t="s">
        <v>220</v>
      </c>
      <c r="Y124" s="397"/>
      <c r="Z124" s="397"/>
      <c r="AA124" s="397"/>
      <c r="AB124" s="397"/>
      <c r="AC124" s="397"/>
      <c r="AD124" s="397"/>
      <c r="AE124" s="397"/>
      <c r="AF124" s="397"/>
      <c r="AG124" s="397"/>
      <c r="AH124" s="397"/>
      <c r="AI124" s="397"/>
      <c r="AJ124" s="397"/>
      <c r="AK124" s="120"/>
      <c r="AL124" s="120"/>
      <c r="AM124" s="120"/>
      <c r="AN124" s="120"/>
      <c r="AO124" s="120"/>
      <c r="AP124" s="120"/>
      <c r="AQ124" s="120"/>
      <c r="AR124" s="120"/>
      <c r="AS124" s="120"/>
      <c r="AT124" s="381"/>
      <c r="AU124" s="382"/>
      <c r="AV124" s="382"/>
      <c r="AW124" s="382"/>
      <c r="AX124" s="383"/>
      <c r="AY124" s="168"/>
      <c r="AZ124" s="390"/>
      <c r="BA124" s="391"/>
      <c r="BB124" s="391"/>
      <c r="BC124" s="391"/>
      <c r="BD124" s="392"/>
      <c r="BE124" s="168"/>
    </row>
    <row r="125" spans="22:57" ht="15.6">
      <c r="V125" s="30"/>
      <c r="W125" s="120"/>
      <c r="X125" s="123"/>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381"/>
      <c r="AU125" s="382"/>
      <c r="AV125" s="382"/>
      <c r="AW125" s="382"/>
      <c r="AX125" s="383"/>
      <c r="AY125" s="168"/>
      <c r="AZ125" s="390"/>
      <c r="BA125" s="391"/>
      <c r="BB125" s="391"/>
      <c r="BC125" s="391"/>
      <c r="BD125" s="392"/>
      <c r="BE125" s="168"/>
    </row>
    <row r="126" spans="22:57" ht="16.2" thickBot="1">
      <c r="V126" s="30"/>
      <c r="W126" s="120"/>
      <c r="X126" s="120" t="s">
        <v>221</v>
      </c>
      <c r="Y126" s="120"/>
      <c r="Z126" s="373" t="str">
        <f>AD48</f>
        <v>O-7704</v>
      </c>
      <c r="AA126" s="373"/>
      <c r="AB126" s="373"/>
      <c r="AC126" s="373"/>
      <c r="AD126" s="373"/>
      <c r="AE126" s="373"/>
      <c r="AF126" s="373"/>
      <c r="AG126" s="373"/>
      <c r="AH126" s="373"/>
      <c r="AI126" s="373"/>
      <c r="AJ126" s="120"/>
      <c r="AK126" s="120"/>
      <c r="AL126" s="120"/>
      <c r="AM126" s="120"/>
      <c r="AN126" s="120"/>
      <c r="AO126" s="120"/>
      <c r="AP126" s="120"/>
      <c r="AQ126" s="120"/>
      <c r="AR126" s="120"/>
      <c r="AS126" s="120"/>
      <c r="AT126" s="384"/>
      <c r="AU126" s="385"/>
      <c r="AV126" s="385"/>
      <c r="AW126" s="385"/>
      <c r="AX126" s="386"/>
      <c r="AY126" s="171"/>
      <c r="AZ126" s="393"/>
      <c r="BA126" s="394"/>
      <c r="BB126" s="394"/>
      <c r="BC126" s="394"/>
      <c r="BD126" s="395"/>
      <c r="BE126" s="168"/>
    </row>
    <row r="127" spans="22:57" ht="16.2" thickBot="1">
      <c r="V127" s="30"/>
      <c r="W127" s="120"/>
      <c r="X127" s="120" t="s">
        <v>222</v>
      </c>
      <c r="Y127" s="120"/>
      <c r="Z127" s="120"/>
      <c r="AA127" s="120"/>
      <c r="AB127" s="536"/>
      <c r="AC127" s="374"/>
      <c r="AD127" s="374"/>
      <c r="AE127" s="374"/>
      <c r="AF127" s="374"/>
      <c r="AG127" s="374"/>
      <c r="AH127" s="374"/>
      <c r="AI127" s="374"/>
      <c r="AJ127" s="120"/>
      <c r="AK127" s="120"/>
      <c r="AL127" s="120"/>
      <c r="AM127" s="120"/>
      <c r="AN127" s="120"/>
      <c r="AO127" s="120"/>
      <c r="AP127" s="120"/>
      <c r="AQ127" s="120"/>
      <c r="AR127" s="120"/>
      <c r="AS127" s="120"/>
      <c r="AT127" s="375" t="s">
        <v>223</v>
      </c>
      <c r="AU127" s="375"/>
      <c r="AV127" s="375"/>
      <c r="AW127" s="375"/>
      <c r="AX127" s="375"/>
      <c r="AY127" s="133"/>
      <c r="AZ127" s="375" t="s">
        <v>224</v>
      </c>
      <c r="BA127" s="375"/>
      <c r="BB127" s="375"/>
      <c r="BC127" s="375"/>
      <c r="BD127" s="375"/>
      <c r="BE127" s="134"/>
    </row>
    <row r="128" spans="22:57" ht="15.6">
      <c r="V128" s="3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row>
    <row r="129" spans="10:57" ht="15.6">
      <c r="V129" s="3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row>
    <row r="130" spans="10:57" ht="18">
      <c r="V130" s="30"/>
      <c r="W130" s="120"/>
      <c r="X130" s="368" t="s">
        <v>225</v>
      </c>
      <c r="Y130" s="369"/>
      <c r="Z130" s="369"/>
      <c r="AA130" s="369"/>
      <c r="AB130" s="369"/>
      <c r="AC130" s="369"/>
      <c r="AD130" s="369"/>
      <c r="AE130" s="369"/>
      <c r="AF130" s="369"/>
      <c r="AG130" s="369"/>
      <c r="AH130" s="369"/>
      <c r="AI130" s="369"/>
      <c r="AJ130" s="369"/>
      <c r="AK130" s="369"/>
      <c r="AL130" s="369"/>
      <c r="AM130" s="369"/>
      <c r="AN130" s="369"/>
      <c r="AO130" s="369"/>
      <c r="AP130" s="369"/>
      <c r="AQ130" s="369"/>
      <c r="AR130" s="369"/>
      <c r="AS130" s="369"/>
      <c r="AT130" s="369"/>
      <c r="AU130" s="369"/>
      <c r="AV130" s="369"/>
      <c r="AW130" s="369"/>
      <c r="AX130" s="369"/>
      <c r="AY130" s="369"/>
      <c r="AZ130" s="369"/>
      <c r="BA130" s="369"/>
      <c r="BB130" s="369"/>
      <c r="BC130" s="369"/>
      <c r="BD130" s="369"/>
      <c r="BE130" s="369"/>
    </row>
    <row r="131" spans="10:57" ht="15.6">
      <c r="V131" s="3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row>
    <row r="132" spans="10:57" ht="17.399999999999999">
      <c r="V132" s="30"/>
      <c r="W132" s="120"/>
      <c r="X132" s="172" t="s">
        <v>226</v>
      </c>
      <c r="Z132" s="173"/>
      <c r="AA132" s="173"/>
      <c r="AB132" s="173"/>
      <c r="AC132" s="173"/>
      <c r="AD132" s="173"/>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row>
    <row r="133" spans="10:57" ht="17.399999999999999">
      <c r="V133" s="30"/>
      <c r="W133" s="120"/>
      <c r="X133" s="174" t="s">
        <v>227</v>
      </c>
      <c r="Y133" s="173"/>
      <c r="Z133" s="173"/>
      <c r="AA133" s="173"/>
      <c r="AB133" s="173"/>
      <c r="AC133" s="173"/>
      <c r="AD133" s="173"/>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row>
    <row r="134" spans="10:57" ht="17.399999999999999">
      <c r="V134" s="30"/>
      <c r="W134" s="120"/>
      <c r="X134" s="173"/>
      <c r="Y134" s="173"/>
      <c r="Z134" s="173"/>
      <c r="AA134" s="173"/>
      <c r="AB134" s="173"/>
      <c r="AC134" s="173"/>
      <c r="AD134" s="173"/>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row>
    <row r="135" spans="10:57" ht="17.399999999999999">
      <c r="J135" s="30"/>
      <c r="K135" s="30"/>
      <c r="L135" s="30"/>
      <c r="M135" s="30"/>
      <c r="N135" s="30"/>
      <c r="O135" s="32"/>
      <c r="P135" s="30"/>
      <c r="Q135" s="30"/>
      <c r="R135" s="30"/>
      <c r="S135" s="30"/>
      <c r="T135" s="30"/>
      <c r="U135" s="30"/>
      <c r="V135" s="30"/>
      <c r="W135" s="120"/>
      <c r="X135" s="376" t="s">
        <v>349</v>
      </c>
      <c r="Y135" s="376"/>
      <c r="Z135" s="376"/>
      <c r="AA135" s="376"/>
      <c r="AB135" s="376"/>
      <c r="AC135" s="376"/>
      <c r="AD135" s="376"/>
      <c r="AE135" s="376"/>
      <c r="AF135" s="376"/>
      <c r="AG135" s="376"/>
      <c r="AH135" s="376"/>
      <c r="AI135" s="376"/>
      <c r="AJ135" s="376"/>
      <c r="AK135" s="376"/>
      <c r="AL135" s="376"/>
      <c r="AM135" s="376"/>
      <c r="AN135" s="376"/>
      <c r="AO135" s="376"/>
      <c r="AP135" s="376"/>
      <c r="AQ135" s="376"/>
      <c r="AR135" s="376"/>
      <c r="AS135" s="376"/>
      <c r="AT135" s="376"/>
      <c r="AU135" s="376"/>
      <c r="AV135" s="376"/>
      <c r="AW135" s="376"/>
      <c r="AX135" s="376"/>
      <c r="AY135" s="376"/>
      <c r="AZ135" s="376"/>
      <c r="BA135" s="376"/>
      <c r="BB135" s="376"/>
      <c r="BC135" s="376"/>
      <c r="BD135" s="376"/>
      <c r="BE135" s="175"/>
    </row>
    <row r="136" spans="10:57" ht="17.399999999999999">
      <c r="W136" s="120"/>
      <c r="X136" s="370" t="s">
        <v>229</v>
      </c>
      <c r="Y136" s="370"/>
      <c r="Z136" s="370"/>
      <c r="AA136" s="370"/>
      <c r="AB136" s="370"/>
      <c r="AC136" s="370"/>
      <c r="AD136" s="370"/>
      <c r="AE136" s="370"/>
      <c r="AF136" s="370"/>
      <c r="AG136" s="370"/>
      <c r="AH136" s="370"/>
      <c r="AI136" s="370"/>
      <c r="AJ136" s="370"/>
      <c r="AK136" s="370"/>
      <c r="AL136" s="370"/>
      <c r="AM136" s="370"/>
      <c r="AN136" s="370"/>
      <c r="AO136" s="370"/>
      <c r="AP136" s="370"/>
      <c r="AQ136" s="370"/>
      <c r="AR136" s="370"/>
      <c r="AS136" s="370"/>
      <c r="AT136" s="370"/>
      <c r="AU136" s="370"/>
      <c r="AV136" s="370"/>
      <c r="AW136" s="370"/>
      <c r="AX136" s="370"/>
      <c r="AY136" s="370"/>
      <c r="AZ136" s="370"/>
      <c r="BA136" s="370"/>
      <c r="BB136" s="370"/>
      <c r="BC136" s="370"/>
      <c r="BD136" s="370"/>
      <c r="BE136" s="175"/>
    </row>
    <row r="137" spans="10:57" ht="17.399999999999999">
      <c r="W137" s="120"/>
      <c r="X137" s="370"/>
      <c r="Y137" s="370"/>
      <c r="Z137" s="370"/>
      <c r="AA137" s="370"/>
      <c r="AB137" s="370"/>
      <c r="AC137" s="370"/>
      <c r="AD137" s="370"/>
      <c r="AE137" s="370"/>
      <c r="AF137" s="370"/>
      <c r="AG137" s="370"/>
      <c r="AH137" s="370"/>
      <c r="AI137" s="370"/>
      <c r="AJ137" s="370"/>
      <c r="AK137" s="370"/>
      <c r="AL137" s="370"/>
      <c r="AM137" s="370"/>
      <c r="AN137" s="370"/>
      <c r="AO137" s="370"/>
      <c r="AP137" s="370"/>
      <c r="AQ137" s="370"/>
      <c r="AR137" s="370"/>
      <c r="AS137" s="370"/>
      <c r="AT137" s="370"/>
      <c r="AU137" s="370"/>
      <c r="AV137" s="370"/>
      <c r="AW137" s="370"/>
      <c r="AX137" s="370"/>
      <c r="AY137" s="370"/>
      <c r="AZ137" s="370"/>
      <c r="BA137" s="370"/>
      <c r="BB137" s="370"/>
      <c r="BC137" s="370"/>
      <c r="BD137" s="370"/>
      <c r="BE137" s="175"/>
    </row>
    <row r="138" spans="10:57" ht="17.399999999999999">
      <c r="W138" s="120"/>
      <c r="X138" s="370"/>
      <c r="Y138" s="370"/>
      <c r="Z138" s="370"/>
      <c r="AA138" s="370"/>
      <c r="AB138" s="370"/>
      <c r="AC138" s="370"/>
      <c r="AD138" s="370"/>
      <c r="AE138" s="370"/>
      <c r="AF138" s="370"/>
      <c r="AG138" s="370"/>
      <c r="AH138" s="370"/>
      <c r="AI138" s="370"/>
      <c r="AJ138" s="370"/>
      <c r="AK138" s="370"/>
      <c r="AL138" s="370"/>
      <c r="AM138" s="370"/>
      <c r="AN138" s="370"/>
      <c r="AO138" s="370"/>
      <c r="AP138" s="370"/>
      <c r="AQ138" s="370"/>
      <c r="AR138" s="370"/>
      <c r="AS138" s="370"/>
      <c r="AT138" s="370"/>
      <c r="AU138" s="370"/>
      <c r="AV138" s="370"/>
      <c r="AW138" s="370"/>
      <c r="AX138" s="370"/>
      <c r="AY138" s="370"/>
      <c r="AZ138" s="370"/>
      <c r="BA138" s="370"/>
      <c r="BB138" s="370"/>
      <c r="BC138" s="370"/>
      <c r="BD138" s="370"/>
      <c r="BE138" s="175"/>
    </row>
    <row r="139" spans="10:57" ht="17.399999999999999">
      <c r="W139" s="120"/>
      <c r="X139" s="370"/>
      <c r="Y139" s="370"/>
      <c r="Z139" s="370"/>
      <c r="AA139" s="370"/>
      <c r="AB139" s="370"/>
      <c r="AC139" s="370"/>
      <c r="AD139" s="370"/>
      <c r="AE139" s="370"/>
      <c r="AF139" s="370"/>
      <c r="AG139" s="370"/>
      <c r="AH139" s="370"/>
      <c r="AI139" s="370"/>
      <c r="AJ139" s="370"/>
      <c r="AK139" s="370"/>
      <c r="AL139" s="370"/>
      <c r="AM139" s="370"/>
      <c r="AN139" s="370"/>
      <c r="AO139" s="370"/>
      <c r="AP139" s="370"/>
      <c r="AQ139" s="370"/>
      <c r="AR139" s="370"/>
      <c r="AS139" s="370"/>
      <c r="AT139" s="370"/>
      <c r="AU139" s="370"/>
      <c r="AV139" s="370"/>
      <c r="AW139" s="370"/>
      <c r="AX139" s="370"/>
      <c r="AY139" s="370"/>
      <c r="AZ139" s="370"/>
      <c r="BA139" s="370"/>
      <c r="BB139" s="370"/>
      <c r="BC139" s="370"/>
      <c r="BD139" s="370"/>
      <c r="BE139" s="176"/>
    </row>
    <row r="140" spans="10:57" ht="17.399999999999999">
      <c r="W140" s="120"/>
      <c r="X140" s="173"/>
      <c r="Y140" s="177" t="s">
        <v>230</v>
      </c>
      <c r="Z140" s="173"/>
      <c r="AA140" s="173"/>
      <c r="AB140" s="173"/>
      <c r="AC140" s="173"/>
      <c r="AD140" s="173"/>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row>
    <row r="141" spans="10:57" ht="17.399999999999999">
      <c r="W141" s="120"/>
      <c r="X141" s="173"/>
      <c r="Y141" s="173"/>
      <c r="Z141" s="173"/>
      <c r="AA141" s="173"/>
      <c r="AB141" s="173"/>
      <c r="AC141" s="173"/>
      <c r="AD141" s="173"/>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row>
    <row r="142" spans="10:57" ht="18" thickBot="1">
      <c r="W142" s="120"/>
      <c r="X142" s="178" t="s">
        <v>231</v>
      </c>
      <c r="Y142" s="173"/>
      <c r="Z142" s="173"/>
      <c r="AA142" s="371"/>
      <c r="AB142" s="371"/>
      <c r="AC142" s="371"/>
      <c r="AD142" s="173"/>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row>
    <row r="143" spans="10:57" ht="18" thickBot="1">
      <c r="W143" s="120"/>
      <c r="X143" s="178" t="s">
        <v>232</v>
      </c>
      <c r="Y143" s="173"/>
      <c r="Z143" s="173"/>
      <c r="AA143" s="372"/>
      <c r="AB143" s="372"/>
      <c r="AC143" s="372"/>
      <c r="AD143" s="173"/>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row>
    <row r="144" spans="10:57" ht="18" thickBot="1">
      <c r="W144" s="120"/>
      <c r="X144" s="178" t="s">
        <v>233</v>
      </c>
      <c r="Y144" s="173"/>
      <c r="Z144" s="173"/>
      <c r="AA144" s="372"/>
      <c r="AB144" s="372"/>
      <c r="AC144" s="372"/>
      <c r="AD144" s="173"/>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row>
    <row r="145" spans="23:57" ht="18" thickBot="1">
      <c r="W145" s="120"/>
      <c r="X145" s="178" t="s">
        <v>234</v>
      </c>
      <c r="Y145" s="173"/>
      <c r="Z145" s="173"/>
      <c r="AA145" s="372"/>
      <c r="AB145" s="372"/>
      <c r="AC145" s="372"/>
      <c r="AD145" s="173"/>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row>
    <row r="146" spans="23:57" ht="15.6">
      <c r="W146" s="120"/>
      <c r="X146" s="179"/>
      <c r="Y146" s="120"/>
      <c r="Z146" s="120"/>
      <c r="AA146" s="130"/>
      <c r="AB146" s="130"/>
      <c r="AC146" s="13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row>
    <row r="147" spans="23:57" ht="18">
      <c r="W147" s="120"/>
      <c r="X147" s="368" t="s">
        <v>235</v>
      </c>
      <c r="Y147" s="369"/>
      <c r="Z147" s="369"/>
      <c r="AA147" s="369"/>
      <c r="AB147" s="369"/>
      <c r="AC147" s="369"/>
      <c r="AD147" s="369"/>
      <c r="AE147" s="369"/>
      <c r="AF147" s="369"/>
      <c r="AG147" s="369"/>
      <c r="AH147" s="369"/>
      <c r="AI147" s="369"/>
      <c r="AJ147" s="369"/>
      <c r="AK147" s="369"/>
      <c r="AL147" s="369"/>
      <c r="AM147" s="369"/>
      <c r="AN147" s="369"/>
      <c r="AO147" s="369"/>
      <c r="AP147" s="369"/>
      <c r="AQ147" s="369"/>
      <c r="AR147" s="369"/>
      <c r="AS147" s="369"/>
      <c r="AT147" s="369"/>
      <c r="AU147" s="369"/>
      <c r="AV147" s="369"/>
      <c r="AW147" s="369"/>
      <c r="AX147" s="369"/>
      <c r="AY147" s="369"/>
      <c r="AZ147" s="369"/>
      <c r="BA147" s="369"/>
      <c r="BB147" s="369"/>
      <c r="BC147" s="369"/>
      <c r="BD147" s="369"/>
      <c r="BE147" s="180"/>
    </row>
    <row r="148" spans="23:57" ht="15.6">
      <c r="W148" s="120"/>
      <c r="X148" s="181"/>
      <c r="Y148" s="182"/>
      <c r="Z148" s="182"/>
      <c r="AA148" s="182"/>
      <c r="AB148" s="182"/>
      <c r="AC148" s="182"/>
      <c r="AD148" s="182"/>
      <c r="AE148" s="182"/>
      <c r="AF148" s="182"/>
      <c r="AG148" s="182"/>
      <c r="AH148" s="182"/>
      <c r="AI148" s="182"/>
      <c r="AJ148" s="182"/>
      <c r="AK148" s="182"/>
      <c r="AL148" s="182"/>
      <c r="AM148" s="182"/>
      <c r="AN148" s="182"/>
      <c r="AO148" s="182"/>
      <c r="AP148" s="182"/>
      <c r="AQ148" s="182"/>
      <c r="AR148" s="182"/>
      <c r="AS148" s="182"/>
      <c r="AT148" s="182"/>
      <c r="AU148" s="182"/>
      <c r="AV148" s="182"/>
      <c r="AW148" s="182"/>
      <c r="AX148" s="182"/>
      <c r="AY148" s="182"/>
      <c r="AZ148" s="182"/>
      <c r="BA148" s="182"/>
      <c r="BB148" s="182"/>
      <c r="BC148" s="182"/>
      <c r="BD148" s="182"/>
      <c r="BE148" s="182"/>
    </row>
    <row r="149" spans="23:57" ht="17.399999999999999">
      <c r="W149" s="120"/>
      <c r="X149" s="173"/>
      <c r="Y149" s="173" t="s">
        <v>236</v>
      </c>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row>
    <row r="150" spans="23:57" ht="17.399999999999999">
      <c r="W150" s="120"/>
      <c r="X150" s="183" t="s">
        <v>237</v>
      </c>
      <c r="Y150" s="173"/>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row>
    <row r="151" spans="23:57" ht="18.600000000000001" thickBot="1">
      <c r="W151" s="120"/>
      <c r="X151" s="183" t="s">
        <v>238</v>
      </c>
      <c r="Y151" s="173"/>
      <c r="Z151" s="120"/>
      <c r="AA151" s="120"/>
      <c r="AB151" s="120"/>
      <c r="AC151" s="184"/>
      <c r="AD151" s="364">
        <f>AN102</f>
        <v>15000.248169988199</v>
      </c>
      <c r="AE151" s="364"/>
      <c r="AF151" s="364"/>
      <c r="AG151" s="364"/>
      <c r="AH151" s="365" t="s">
        <v>239</v>
      </c>
      <c r="AI151" s="365"/>
      <c r="AJ151" s="365"/>
      <c r="AK151" s="365"/>
      <c r="AL151" s="185">
        <f>AB102</f>
        <v>60</v>
      </c>
      <c r="AM151" s="186" t="s">
        <v>240</v>
      </c>
      <c r="AQ151" s="120"/>
      <c r="AR151" s="120"/>
      <c r="AS151" s="120"/>
      <c r="AT151" s="120"/>
      <c r="AU151" s="366">
        <f>AY101</f>
        <v>900014.89019929199</v>
      </c>
      <c r="AV151" s="366"/>
      <c r="AW151" s="366"/>
      <c r="AX151" s="366"/>
      <c r="AY151" s="366"/>
      <c r="AZ151" s="186" t="s">
        <v>241</v>
      </c>
      <c r="BA151" s="187"/>
      <c r="BB151" s="187"/>
      <c r="BC151" s="187"/>
      <c r="BE151" s="120"/>
    </row>
    <row r="152" spans="23:57" ht="17.399999999999999">
      <c r="W152" s="120"/>
      <c r="X152" s="173"/>
      <c r="Y152" s="177" t="s">
        <v>242</v>
      </c>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row>
    <row r="153" spans="23:57" ht="17.399999999999999">
      <c r="W153" s="120"/>
      <c r="X153" s="177" t="s">
        <v>243</v>
      </c>
      <c r="Y153" s="173"/>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row>
    <row r="154" spans="23:57" ht="15.6">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row>
    <row r="155" spans="23:57" ht="18.600000000000001" thickBot="1">
      <c r="W155" s="120"/>
      <c r="X155" s="120"/>
      <c r="Y155" s="120"/>
      <c r="Z155" s="120"/>
      <c r="AA155" s="120"/>
      <c r="AB155" s="120"/>
      <c r="AC155" s="120"/>
      <c r="AD155" s="120"/>
      <c r="AE155" s="120"/>
      <c r="AF155" s="120"/>
      <c r="AG155" s="120"/>
      <c r="AH155" s="120"/>
      <c r="AI155" s="367" t="str">
        <f>Z123</f>
        <v>TABAQUERO, ARTHUR I.</v>
      </c>
      <c r="AJ155" s="367"/>
      <c r="AK155" s="367"/>
      <c r="AL155" s="367"/>
      <c r="AM155" s="367"/>
      <c r="AN155" s="367"/>
      <c r="AO155" s="367"/>
      <c r="AP155" s="367"/>
      <c r="AQ155" s="367"/>
      <c r="AR155" s="367"/>
      <c r="AS155" s="367"/>
      <c r="AT155" s="188"/>
      <c r="AU155" s="188"/>
      <c r="AV155" s="120"/>
      <c r="AW155" s="120"/>
      <c r="AX155" s="120"/>
      <c r="AY155" s="120"/>
      <c r="AZ155" s="120"/>
      <c r="BA155" s="120"/>
      <c r="BB155" s="120"/>
      <c r="BC155" s="120"/>
      <c r="BD155" s="120"/>
      <c r="BE155" s="120"/>
    </row>
    <row r="156" spans="23:57" ht="15.6">
      <c r="W156" s="120"/>
      <c r="X156" s="363" t="s">
        <v>244</v>
      </c>
      <c r="Y156" s="363"/>
      <c r="Z156" s="363"/>
      <c r="AA156" s="363"/>
      <c r="AB156" s="363"/>
      <c r="AC156" s="363"/>
      <c r="AD156" s="363"/>
      <c r="AE156" s="363"/>
      <c r="AF156" s="363"/>
      <c r="AG156" s="363"/>
      <c r="AH156" s="363"/>
      <c r="AI156" s="363"/>
      <c r="AJ156" s="363"/>
      <c r="AK156" s="363"/>
      <c r="AL156" s="363"/>
      <c r="AM156" s="363"/>
      <c r="AN156" s="363"/>
      <c r="AO156" s="363"/>
      <c r="AP156" s="363"/>
      <c r="AQ156" s="363"/>
      <c r="AR156" s="363"/>
      <c r="AS156" s="363"/>
      <c r="AT156" s="363"/>
      <c r="AU156" s="363"/>
      <c r="AV156" s="363"/>
      <c r="AW156" s="363"/>
      <c r="AX156" s="363"/>
      <c r="AY156" s="363"/>
      <c r="AZ156" s="363"/>
      <c r="BA156" s="363"/>
      <c r="BB156" s="363"/>
      <c r="BC156" s="363"/>
      <c r="BD156" s="363"/>
      <c r="BE156" s="123"/>
    </row>
    <row r="157" spans="23:57" ht="15.6">
      <c r="W157" s="120"/>
      <c r="X157" s="164"/>
      <c r="Y157" s="164"/>
      <c r="Z157" s="164"/>
      <c r="AA157" s="164"/>
      <c r="AB157" s="164"/>
      <c r="AC157" s="164"/>
      <c r="AD157" s="164"/>
      <c r="AE157" s="164"/>
      <c r="AF157" s="164"/>
      <c r="AG157" s="164"/>
      <c r="AH157" s="164"/>
      <c r="AI157" s="164"/>
      <c r="AJ157" s="164"/>
      <c r="AK157" s="164"/>
      <c r="AL157" s="164"/>
      <c r="AM157" s="164"/>
      <c r="AN157" s="164"/>
      <c r="AO157" s="164"/>
      <c r="AP157" s="164"/>
      <c r="AQ157" s="164"/>
      <c r="AR157" s="164"/>
      <c r="AS157" s="164"/>
      <c r="AT157" s="164"/>
      <c r="AU157" s="164"/>
      <c r="AV157" s="164"/>
      <c r="AW157" s="164"/>
      <c r="AX157" s="164"/>
      <c r="AY157" s="164"/>
      <c r="AZ157" s="164"/>
      <c r="BA157" s="164"/>
      <c r="BB157" s="164"/>
      <c r="BC157" s="164"/>
      <c r="BD157" s="164"/>
      <c r="BE157" s="157"/>
    </row>
    <row r="158" spans="23:57" ht="18">
      <c r="W158" s="120"/>
      <c r="X158" s="368" t="s">
        <v>178</v>
      </c>
      <c r="Y158" s="369"/>
      <c r="Z158" s="369"/>
      <c r="AA158" s="369"/>
      <c r="AB158" s="369"/>
      <c r="AC158" s="369"/>
      <c r="AD158" s="369"/>
      <c r="AE158" s="369"/>
      <c r="AF158" s="369"/>
      <c r="AG158" s="369"/>
      <c r="AH158" s="369"/>
      <c r="AI158" s="369"/>
      <c r="AJ158" s="369"/>
      <c r="AK158" s="369"/>
      <c r="AL158" s="369"/>
      <c r="AM158" s="369"/>
      <c r="AN158" s="369"/>
      <c r="AO158" s="369"/>
      <c r="AP158" s="369"/>
      <c r="AQ158" s="369"/>
      <c r="AR158" s="369"/>
      <c r="AS158" s="369"/>
      <c r="AT158" s="369"/>
      <c r="AU158" s="369"/>
      <c r="AV158" s="369"/>
      <c r="AW158" s="369"/>
      <c r="AX158" s="369"/>
      <c r="AY158" s="369"/>
      <c r="AZ158" s="369"/>
      <c r="BA158" s="369"/>
      <c r="BB158" s="369"/>
      <c r="BC158" s="369"/>
      <c r="BD158" s="369"/>
      <c r="BE158" s="180"/>
    </row>
    <row r="159" spans="23:57" ht="15.6">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row>
    <row r="160" spans="23:57" ht="17.399999999999999">
      <c r="W160" s="120"/>
      <c r="X160" s="173"/>
      <c r="Y160" s="177" t="s">
        <v>245</v>
      </c>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row>
    <row r="161" spans="23:57" ht="17.399999999999999">
      <c r="W161" s="120"/>
      <c r="X161" s="177" t="s">
        <v>246</v>
      </c>
      <c r="Y161" s="173"/>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row>
    <row r="162" spans="23:57" ht="17.399999999999999">
      <c r="W162" s="120"/>
      <c r="X162" s="177" t="s">
        <v>247</v>
      </c>
      <c r="Y162" s="173"/>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row>
    <row r="163" spans="23:57" ht="17.399999999999999">
      <c r="W163" s="120"/>
      <c r="X163" s="177"/>
      <c r="Y163" s="173"/>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row>
    <row r="164" spans="23:57" ht="17.399999999999999">
      <c r="W164" s="120"/>
      <c r="X164" s="177"/>
      <c r="Y164" s="173"/>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row>
    <row r="165" spans="23:57" ht="16.2" thickBot="1">
      <c r="W165" s="120"/>
      <c r="X165" s="120"/>
      <c r="Y165" s="120"/>
      <c r="Z165" s="120"/>
      <c r="AA165" s="120"/>
      <c r="AB165" s="120"/>
      <c r="AC165" s="120"/>
      <c r="AD165" s="120"/>
      <c r="AE165" s="120"/>
      <c r="AF165" s="123"/>
      <c r="AG165" s="123"/>
      <c r="AH165" s="123"/>
      <c r="AI165" s="235"/>
      <c r="AJ165" s="235"/>
      <c r="AK165" s="425"/>
      <c r="AL165" s="425"/>
      <c r="AM165" s="425"/>
      <c r="AN165" s="425"/>
      <c r="AO165" s="425"/>
      <c r="AP165" s="425"/>
      <c r="AQ165" s="425"/>
      <c r="AR165" s="425"/>
      <c r="AS165" s="425"/>
      <c r="AT165" s="235"/>
      <c r="AU165" s="235"/>
      <c r="AV165" s="123"/>
      <c r="AW165" s="123"/>
      <c r="AX165" s="123"/>
      <c r="AZ165" s="120"/>
      <c r="BA165" s="120"/>
      <c r="BB165" s="120"/>
      <c r="BC165" s="120"/>
      <c r="BD165" s="120"/>
      <c r="BE165" s="120"/>
    </row>
    <row r="166" spans="23:57" ht="15.6">
      <c r="W166" s="120"/>
      <c r="Z166" s="123"/>
      <c r="AA166" s="123"/>
      <c r="AB166" s="123"/>
      <c r="AC166" s="123"/>
      <c r="AD166" s="123"/>
      <c r="AE166" s="123"/>
      <c r="AF166" s="363" t="s">
        <v>248</v>
      </c>
      <c r="AG166" s="363"/>
      <c r="AH166" s="363"/>
      <c r="AI166" s="363"/>
      <c r="AJ166" s="363"/>
      <c r="AK166" s="363"/>
      <c r="AL166" s="363"/>
      <c r="AM166" s="363"/>
      <c r="AN166" s="363"/>
      <c r="AO166" s="363"/>
      <c r="AP166" s="363"/>
      <c r="AQ166" s="363"/>
      <c r="AR166" s="363"/>
      <c r="AS166" s="363"/>
      <c r="AT166" s="363"/>
      <c r="AU166" s="363"/>
      <c r="AV166" s="363"/>
      <c r="AW166" s="363"/>
      <c r="AX166" s="363"/>
      <c r="AY166" s="123"/>
      <c r="AZ166" s="123"/>
      <c r="BA166" s="123"/>
      <c r="BB166" s="123"/>
      <c r="BC166" s="123"/>
      <c r="BD166" s="123"/>
      <c r="BE166" s="123"/>
    </row>
    <row r="167" spans="23:57" ht="15.6">
      <c r="W167" s="120"/>
      <c r="X167" s="120"/>
      <c r="Y167" s="120"/>
      <c r="Z167" s="120"/>
      <c r="AA167" s="120"/>
      <c r="AB167" s="123"/>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row>
  </sheetData>
  <protectedRanges>
    <protectedRange sqref="E25" name="Range20_1"/>
    <protectedRange sqref="G24" name="Range19_1"/>
    <protectedRange sqref="E24" name="Range18_1"/>
    <protectedRange sqref="D23" name="Range17_1"/>
    <protectedRange sqref="G24" name="Range15_1"/>
    <protectedRange sqref="D22" name="Range13_1"/>
    <protectedRange sqref="C1" name="Range12_1"/>
    <protectedRange sqref="C3:C9" name="Range11_1"/>
    <protectedRange sqref="D4:BK4 C10 BL10:CT10" name="Range21_1"/>
    <protectedRange sqref="C12" name="Range22_1"/>
    <protectedRange sqref="B28:C87" name="Range23_1"/>
  </protectedRanges>
  <mergeCells count="225">
    <mergeCell ref="X25:BD25"/>
    <mergeCell ref="X26:BD26"/>
    <mergeCell ref="K27:T27"/>
    <mergeCell ref="X27:BD27"/>
    <mergeCell ref="S29:T29"/>
    <mergeCell ref="X29:BD29"/>
    <mergeCell ref="C20:H21"/>
    <mergeCell ref="D22:F22"/>
    <mergeCell ref="F23:H23"/>
    <mergeCell ref="C24:C27"/>
    <mergeCell ref="K24:T24"/>
    <mergeCell ref="K25:T25"/>
    <mergeCell ref="N33:S33"/>
    <mergeCell ref="Y33:AD33"/>
    <mergeCell ref="AF33:AL33"/>
    <mergeCell ref="AU33:BD33"/>
    <mergeCell ref="N34:S34"/>
    <mergeCell ref="Y34:AD34"/>
    <mergeCell ref="AF34:AL34"/>
    <mergeCell ref="AU34:BD34"/>
    <mergeCell ref="S30:T30"/>
    <mergeCell ref="AU30:AV30"/>
    <mergeCell ref="N32:S32"/>
    <mergeCell ref="X32:AD32"/>
    <mergeCell ref="AE32:AL32"/>
    <mergeCell ref="AM32:AS32"/>
    <mergeCell ref="AT32:BD32"/>
    <mergeCell ref="R37:T37"/>
    <mergeCell ref="Y37:AD37"/>
    <mergeCell ref="AF37:AL37"/>
    <mergeCell ref="R38:T38"/>
    <mergeCell ref="X38:AD38"/>
    <mergeCell ref="AH38:AL38"/>
    <mergeCell ref="Y35:AD35"/>
    <mergeCell ref="AF35:AL35"/>
    <mergeCell ref="AW35:BA35"/>
    <mergeCell ref="R36:T36"/>
    <mergeCell ref="Y36:AD36"/>
    <mergeCell ref="AF36:AL36"/>
    <mergeCell ref="AP38:AT38"/>
    <mergeCell ref="R39:T39"/>
    <mergeCell ref="AB39:AM40"/>
    <mergeCell ref="AT39:BD40"/>
    <mergeCell ref="R40:T40"/>
    <mergeCell ref="R41:T41"/>
    <mergeCell ref="X41:Y41"/>
    <mergeCell ref="Z41:AE41"/>
    <mergeCell ref="AJ41:AQ41"/>
    <mergeCell ref="AV41:BD41"/>
    <mergeCell ref="R44:T44"/>
    <mergeCell ref="X44:BD44"/>
    <mergeCell ref="X45:AC45"/>
    <mergeCell ref="AD45:AM45"/>
    <mergeCell ref="AN45:AY45"/>
    <mergeCell ref="AZ45:BA45"/>
    <mergeCell ref="R42:T42"/>
    <mergeCell ref="X42:Y43"/>
    <mergeCell ref="Z42:AE43"/>
    <mergeCell ref="AS42:AU42"/>
    <mergeCell ref="R43:T43"/>
    <mergeCell ref="AS43:AU43"/>
    <mergeCell ref="X47:AC47"/>
    <mergeCell ref="AD47:AH47"/>
    <mergeCell ref="AI47:AN47"/>
    <mergeCell ref="AO47:AV47"/>
    <mergeCell ref="AW47:BD47"/>
    <mergeCell ref="R48:S48"/>
    <mergeCell ref="X48:AC48"/>
    <mergeCell ref="AD48:AH48"/>
    <mergeCell ref="AI48:AN48"/>
    <mergeCell ref="AU51:AW51"/>
    <mergeCell ref="AX51:BD51"/>
    <mergeCell ref="R52:T52"/>
    <mergeCell ref="X52:AD52"/>
    <mergeCell ref="AE52:AL52"/>
    <mergeCell ref="AR52:AS52"/>
    <mergeCell ref="AU52:AW52"/>
    <mergeCell ref="AX52:BD52"/>
    <mergeCell ref="R49:T49"/>
    <mergeCell ref="R50:T50"/>
    <mergeCell ref="R51:T51"/>
    <mergeCell ref="AK51:AL51"/>
    <mergeCell ref="AM51:AP52"/>
    <mergeCell ref="AR51:AS51"/>
    <mergeCell ref="AT55:BD55"/>
    <mergeCell ref="X56:AF56"/>
    <mergeCell ref="AG56:AS56"/>
    <mergeCell ref="AB57:BD57"/>
    <mergeCell ref="X58:BD58"/>
    <mergeCell ref="K60:M60"/>
    <mergeCell ref="R60:T60"/>
    <mergeCell ref="R53:T53"/>
    <mergeCell ref="X53:AD53"/>
    <mergeCell ref="AE53:AT53"/>
    <mergeCell ref="X54:AD54"/>
    <mergeCell ref="AE54:AW54"/>
    <mergeCell ref="AX54:BD54"/>
    <mergeCell ref="X71:AE71"/>
    <mergeCell ref="AG71:AM71"/>
    <mergeCell ref="AP71:AV71"/>
    <mergeCell ref="AX71:BD71"/>
    <mergeCell ref="X72:AE72"/>
    <mergeCell ref="AG72:AM72"/>
    <mergeCell ref="AP72:AV72"/>
    <mergeCell ref="AX72:BD72"/>
    <mergeCell ref="K61:M61"/>
    <mergeCell ref="R61:T61"/>
    <mergeCell ref="AU64:BC64"/>
    <mergeCell ref="AU65:BC65"/>
    <mergeCell ref="X66:BD66"/>
    <mergeCell ref="P69:T69"/>
    <mergeCell ref="K69:M69"/>
    <mergeCell ref="X73:AE73"/>
    <mergeCell ref="X74:BD74"/>
    <mergeCell ref="X75:Z75"/>
    <mergeCell ref="AA75:AD75"/>
    <mergeCell ref="AE75:AI75"/>
    <mergeCell ref="AJ75:AL75"/>
    <mergeCell ref="AM75:AQ75"/>
    <mergeCell ref="AR75:AT75"/>
    <mergeCell ref="AU75:AY75"/>
    <mergeCell ref="AZ75:BD75"/>
    <mergeCell ref="AU76:AY76"/>
    <mergeCell ref="AZ76:BD76"/>
    <mergeCell ref="X77:Z77"/>
    <mergeCell ref="AA77:AD77"/>
    <mergeCell ref="AE77:AI77"/>
    <mergeCell ref="AJ77:AL77"/>
    <mergeCell ref="AM77:AQ77"/>
    <mergeCell ref="AR77:AT77"/>
    <mergeCell ref="AU77:AY77"/>
    <mergeCell ref="AZ77:BD77"/>
    <mergeCell ref="X76:Z76"/>
    <mergeCell ref="AA76:AD76"/>
    <mergeCell ref="AE76:AI76"/>
    <mergeCell ref="AJ76:AL76"/>
    <mergeCell ref="AM76:AQ76"/>
    <mergeCell ref="AR76:AT76"/>
    <mergeCell ref="AU78:AY78"/>
    <mergeCell ref="AZ78:BD78"/>
    <mergeCell ref="N79:Q79"/>
    <mergeCell ref="X79:Z79"/>
    <mergeCell ref="AA79:AD79"/>
    <mergeCell ref="AE79:AI79"/>
    <mergeCell ref="AJ79:AL79"/>
    <mergeCell ref="AM79:AQ79"/>
    <mergeCell ref="AR79:AT79"/>
    <mergeCell ref="AU79:AY79"/>
    <mergeCell ref="X78:Z78"/>
    <mergeCell ref="AA78:AD78"/>
    <mergeCell ref="AE78:AI78"/>
    <mergeCell ref="AJ78:AL78"/>
    <mergeCell ref="AM78:AQ78"/>
    <mergeCell ref="AR78:AT78"/>
    <mergeCell ref="AZ79:BD79"/>
    <mergeCell ref="M80:R80"/>
    <mergeCell ref="N81:Q81"/>
    <mergeCell ref="X81:BD81"/>
    <mergeCell ref="X82:AB82"/>
    <mergeCell ref="AC82:AF82"/>
    <mergeCell ref="AG82:AJ82"/>
    <mergeCell ref="AK82:AQ82"/>
    <mergeCell ref="AR82:AV82"/>
    <mergeCell ref="AW82:BD82"/>
    <mergeCell ref="K90:M90"/>
    <mergeCell ref="X90:AN90"/>
    <mergeCell ref="AO90:BD90"/>
    <mergeCell ref="O92:S92"/>
    <mergeCell ref="AB92:AJ92"/>
    <mergeCell ref="AW83:BD83"/>
    <mergeCell ref="X84:BD84"/>
    <mergeCell ref="R85:S85"/>
    <mergeCell ref="R86:S86"/>
    <mergeCell ref="AJ86:AS86"/>
    <mergeCell ref="W87:BE87"/>
    <mergeCell ref="M83:R83"/>
    <mergeCell ref="X83:AB83"/>
    <mergeCell ref="AC83:AF83"/>
    <mergeCell ref="AG83:AJ83"/>
    <mergeCell ref="AK83:AQ83"/>
    <mergeCell ref="AR83:AV83"/>
    <mergeCell ref="AR92:BA92"/>
    <mergeCell ref="X102:Z102"/>
    <mergeCell ref="AC102:AM102"/>
    <mergeCell ref="AN102:AQ102"/>
    <mergeCell ref="AR102:BD102"/>
    <mergeCell ref="X103:AA103"/>
    <mergeCell ref="AB103:BD103"/>
    <mergeCell ref="P93:S93"/>
    <mergeCell ref="X93:AN93"/>
    <mergeCell ref="AO93:BD93"/>
    <mergeCell ref="X100:AK100"/>
    <mergeCell ref="Y101:AX101"/>
    <mergeCell ref="AY101:BD101"/>
    <mergeCell ref="AL100:AN100"/>
    <mergeCell ref="Z126:AI126"/>
    <mergeCell ref="AB127:AI127"/>
    <mergeCell ref="AT127:AX127"/>
    <mergeCell ref="AZ127:BD127"/>
    <mergeCell ref="X130:BE130"/>
    <mergeCell ref="X135:BD135"/>
    <mergeCell ref="X104:BD104"/>
    <mergeCell ref="X105:BD107"/>
    <mergeCell ref="X108:BD110"/>
    <mergeCell ref="X111:BD115"/>
    <mergeCell ref="X116:BD119"/>
    <mergeCell ref="AT120:AX126"/>
    <mergeCell ref="AZ120:BD126"/>
    <mergeCell ref="Z123:AH123"/>
    <mergeCell ref="AO123:AQ123"/>
    <mergeCell ref="X124:AJ124"/>
    <mergeCell ref="AF166:AX166"/>
    <mergeCell ref="AD151:AG151"/>
    <mergeCell ref="AH151:AK151"/>
    <mergeCell ref="AU151:AY151"/>
    <mergeCell ref="AI155:AS155"/>
    <mergeCell ref="X156:BD156"/>
    <mergeCell ref="X158:BD158"/>
    <mergeCell ref="X136:BD139"/>
    <mergeCell ref="AA142:AC142"/>
    <mergeCell ref="AA143:AC143"/>
    <mergeCell ref="AA144:AC144"/>
    <mergeCell ref="AA145:AC145"/>
    <mergeCell ref="X147:BD147"/>
    <mergeCell ref="AK165:AS165"/>
  </mergeCells>
  <hyperlinks>
    <hyperlink ref="AG56" r:id="rId1" xr:uid="{8D28390A-40FC-40A7-A235-349E8493F56E}"/>
  </hyperlinks>
  <printOptions horizontalCentered="1" verticalCentered="1"/>
  <pageMargins left="0" right="0" top="0" bottom="0" header="0" footer="0"/>
  <pageSetup paperSize="9" scale="61"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02808-9DFA-4B3F-A9B7-3602D57032D4}">
  <dimension ref="A1"/>
  <sheetViews>
    <sheetView workbookViewId="0"/>
  </sheetViews>
  <sheetFormatPr defaultRowHeight="14.4"/>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23DD3-7A92-4001-A0F0-9A9C2A85024C}">
  <dimension ref="E6:O27"/>
  <sheetViews>
    <sheetView workbookViewId="0">
      <selection activeCell="N28" sqref="N28"/>
    </sheetView>
  </sheetViews>
  <sheetFormatPr defaultRowHeight="14.4"/>
  <cols>
    <col min="5" max="5" width="22.33203125" bestFit="1" customWidth="1"/>
    <col min="6" max="6" width="15.33203125" bestFit="1" customWidth="1"/>
    <col min="7" max="7" width="14.33203125" bestFit="1" customWidth="1"/>
    <col min="8" max="8" width="15.33203125" bestFit="1" customWidth="1"/>
    <col min="10" max="10" width="10.5546875" bestFit="1" customWidth="1"/>
    <col min="12" max="12" width="11.5546875" bestFit="1" customWidth="1"/>
    <col min="14" max="14" width="14.6640625" bestFit="1" customWidth="1"/>
  </cols>
  <sheetData>
    <row r="6" spans="5:15">
      <c r="L6" s="4">
        <v>140000</v>
      </c>
      <c r="M6">
        <v>60</v>
      </c>
      <c r="N6" t="s">
        <v>302</v>
      </c>
    </row>
    <row r="7" spans="5:15">
      <c r="L7" s="4">
        <v>200000</v>
      </c>
    </row>
    <row r="8" spans="5:15">
      <c r="L8" s="236">
        <f>L7-L6</f>
        <v>60000</v>
      </c>
    </row>
    <row r="10" spans="5:15">
      <c r="E10" t="s">
        <v>303</v>
      </c>
      <c r="F10" s="4">
        <v>1800000</v>
      </c>
      <c r="K10" s="191" t="s">
        <v>309</v>
      </c>
      <c r="L10" s="191"/>
      <c r="N10" s="191"/>
      <c r="O10" s="191"/>
    </row>
    <row r="11" spans="5:15">
      <c r="E11" t="s">
        <v>304</v>
      </c>
      <c r="F11" s="236">
        <f>F10*0.2</f>
        <v>360000</v>
      </c>
      <c r="K11" t="s">
        <v>308</v>
      </c>
      <c r="L11" s="90">
        <v>100000</v>
      </c>
    </row>
    <row r="12" spans="5:15">
      <c r="E12" t="s">
        <v>307</v>
      </c>
      <c r="F12" s="236">
        <f>F10-F11</f>
        <v>1440000</v>
      </c>
      <c r="L12">
        <f>L11/500</f>
        <v>200</v>
      </c>
    </row>
    <row r="13" spans="5:15">
      <c r="E13" t="s">
        <v>305</v>
      </c>
      <c r="F13" s="236">
        <v>2000000</v>
      </c>
      <c r="G13" s="90">
        <v>40000</v>
      </c>
      <c r="H13" s="90">
        <f>F13/G13</f>
        <v>50</v>
      </c>
      <c r="L13" s="4">
        <f>L12*H13</f>
        <v>10000</v>
      </c>
    </row>
    <row r="14" spans="5:15">
      <c r="E14" t="s">
        <v>306</v>
      </c>
      <c r="F14" s="236">
        <f>F12*0.3</f>
        <v>432000</v>
      </c>
      <c r="G14" s="236"/>
    </row>
    <row r="19" spans="5:13">
      <c r="E19" t="s">
        <v>310</v>
      </c>
    </row>
    <row r="20" spans="5:13">
      <c r="E20" t="s">
        <v>311</v>
      </c>
      <c r="F20">
        <v>2022</v>
      </c>
      <c r="G20" s="237" t="s">
        <v>312</v>
      </c>
      <c r="H20" s="191" t="s">
        <v>313</v>
      </c>
    </row>
    <row r="21" spans="5:13">
      <c r="G21" s="4">
        <v>800000</v>
      </c>
      <c r="H21" s="4">
        <v>8000000</v>
      </c>
      <c r="K21" t="s">
        <v>308</v>
      </c>
      <c r="L21" t="s">
        <v>316</v>
      </c>
      <c r="M21" t="s">
        <v>317</v>
      </c>
    </row>
    <row r="22" spans="5:13">
      <c r="F22">
        <v>2023</v>
      </c>
      <c r="G22" s="237" t="s">
        <v>312</v>
      </c>
      <c r="H22" s="191" t="s">
        <v>313</v>
      </c>
      <c r="J22" t="s">
        <v>315</v>
      </c>
      <c r="K22" s="238">
        <v>0.06</v>
      </c>
      <c r="L22" s="239">
        <v>6.3E-2</v>
      </c>
      <c r="M22" s="239">
        <v>6.3E-2</v>
      </c>
    </row>
    <row r="23" spans="5:13">
      <c r="G23" s="1">
        <f>H21</f>
        <v>8000000</v>
      </c>
      <c r="H23" s="4">
        <v>14000000</v>
      </c>
      <c r="J23" t="s">
        <v>318</v>
      </c>
      <c r="K23" s="7">
        <v>9.0800000000000006E-2</v>
      </c>
      <c r="L23" s="239">
        <v>6.3E-2</v>
      </c>
      <c r="M23" s="239">
        <v>6.3E-2</v>
      </c>
    </row>
    <row r="24" spans="5:13">
      <c r="F24">
        <v>2024</v>
      </c>
      <c r="G24" s="237" t="s">
        <v>312</v>
      </c>
      <c r="H24" s="191" t="s">
        <v>313</v>
      </c>
      <c r="J24" t="s">
        <v>319</v>
      </c>
    </row>
    <row r="25" spans="5:13">
      <c r="G25" s="1">
        <f>H23</f>
        <v>14000000</v>
      </c>
      <c r="H25" s="4">
        <v>23000000</v>
      </c>
    </row>
    <row r="26" spans="5:13">
      <c r="F26">
        <v>2025</v>
      </c>
      <c r="G26" s="237" t="s">
        <v>312</v>
      </c>
      <c r="H26" s="191" t="s">
        <v>314</v>
      </c>
    </row>
    <row r="27" spans="5:13">
      <c r="G27" s="1">
        <f>H25</f>
        <v>23000000</v>
      </c>
      <c r="H27" s="4">
        <v>27000000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arrUserId title="Range3" rangeCreator="" othersAccessPermission="edit"/>
    <arrUserId title="Range2" rangeCreator="" othersAccessPermission="edit"/>
    <arrUserId title="Range1" rangeCreator="" othersAccessPermission="edit"/>
  </rangeList>
  <rangeList sheetStid="2" master="" otherUserPermission="visible"/>
  <rangeList sheetStid="1" master="" otherUserPermission="visible"/>
  <rangeList sheetStid="4" master="" otherUserPermission="visible">
    <arrUserId title="Range20" rangeCreator="" othersAccessPermission="edit"/>
    <arrUserId title="Range19" rangeCreator="" othersAccessPermission="edit"/>
    <arrUserId title="Range18" rangeCreator="" othersAccessPermission="edit"/>
    <arrUserId title="Range17" rangeCreator="" othersAccessPermission="edit"/>
    <arrUserId title="Range16" rangeCreator="" othersAccessPermission="edit"/>
    <arrUserId title="Range15" rangeCreator="" othersAccessPermission="edit"/>
    <arrUserId title="Range14" rangeCreator="" othersAccessPermission="edit"/>
    <arrUserId title="Range13" rangeCreator="" othersAccessPermission="edit"/>
    <arrUserId title="Range12" rangeCreator="" othersAccessPermission="edit"/>
    <arrUserId title="Range11" rangeCreator="" othersAccessPermission="edit"/>
    <arrUserId title="Range21" rangeCreator="" othersAccessPermission="edit"/>
    <arrUserId title="Range22" rangeCreator="" othersAccessPermission="edit"/>
    <arrUserId title="Range23" rangeCreator="" othersAccessPermission="edit"/>
  </rangeList>
  <rangeList sheetStid="5" master="" otherUserPermission="visible">
    <arrUserId title="Range20" rangeCreator="" othersAccessPermission="edit"/>
    <arrUserId title="Range19" rangeCreator="" othersAccessPermission="edit"/>
    <arrUserId title="Range18" rangeCreator="" othersAccessPermission="edit"/>
    <arrUserId title="Range17" rangeCreator="" othersAccessPermission="edit"/>
    <arrUserId title="Range16" rangeCreator="" othersAccessPermission="edit"/>
    <arrUserId title="Range15" rangeCreator="" othersAccessPermission="edit"/>
    <arrUserId title="Range14" rangeCreator="" othersAccessPermission="edit"/>
    <arrUserId title="Range13" rangeCreator="" othersAccessPermission="edit"/>
    <arrUserId title="Range12" rangeCreator="" othersAccessPermission="edit"/>
    <arrUserId title="Range11" rangeCreator="" othersAccessPermission="edit"/>
    <arrUserId title="Range21" rangeCreator="" othersAccessPermission="edit"/>
    <arrUserId title="Range22" rangeCreator="" othersAccessPermission="edit"/>
    <arrUserId title="Range23"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DATA ENTRY</vt:lpstr>
      <vt:lpstr>Sheet2</vt:lpstr>
      <vt:lpstr>Amortization  Table</vt:lpstr>
      <vt:lpstr>Computation Table</vt:lpstr>
      <vt:lpstr>3 YEARS</vt:lpstr>
      <vt:lpstr>5 YEARS</vt:lpstr>
      <vt:lpstr>LRV1YEAR</vt:lpstr>
      <vt:lpstr>LRV2YEAR</vt:lpstr>
      <vt:lpstr>LRV3YEAR</vt:lpstr>
      <vt:lpstr>LRV4YEAR</vt:lpstr>
      <vt:lpstr>LRV 5YEAR</vt:lpstr>
      <vt:lpstr>Sheet3</vt:lpstr>
      <vt:lpstr>Sheet1</vt:lpstr>
      <vt:lpstr>'3 YEARS'!Print_Area</vt:lpstr>
      <vt:lpstr>'5 YEARS'!Print_Area</vt:lpstr>
      <vt:lpstr>'Amortization  Table'!Print_Area</vt:lpstr>
      <vt:lpstr>'LRV 5YEAR'!Print_Area</vt:lpstr>
      <vt:lpstr>LRV1YEAR!Print_Area</vt:lpstr>
      <vt:lpstr>LRV3YEAR!Print_Area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Feria</dc:creator>
  <cp:lastModifiedBy>Jeffrae Sapla</cp:lastModifiedBy>
  <cp:lastPrinted>2026-01-13T00:29:43Z</cp:lastPrinted>
  <dcterms:created xsi:type="dcterms:W3CDTF">2025-01-13T10:36:00Z</dcterms:created>
  <dcterms:modified xsi:type="dcterms:W3CDTF">2026-02-10T05:27:57Z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B448C767B0F84FEC89DA85C0518E8F17_13</vt:lpwstr>
  </property>
  <property fmtid="{D5CDD505-2E9C-101B-9397-08002B2CF9AE}" pid="3" name="KSOProductBuildVer">
    <vt:lpwstr>1033-12.2.0.19805</vt:lpwstr>
  </property>
</Properties>
</file>