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Jeff\Desktop\peoples-information-system\Computation\"/>
    </mc:Choice>
  </mc:AlternateContent>
  <xr:revisionPtr revIDLastSave="0" documentId="13_ncr:1_{201D8A0C-5E95-43EF-9C34-07283D02BC8A}" xr6:coauthVersionLast="47" xr6:coauthVersionMax="47" xr10:uidLastSave="{00000000-0000-0000-0000-000000000000}"/>
  <bookViews>
    <workbookView xWindow="28680" yWindow="-120" windowWidth="21840" windowHeight="13020" xr2:uid="{00000000-000D-0000-FFFF-FFFF00000000}"/>
  </bookViews>
  <sheets>
    <sheet name="DATA ENTRY" sheetId="3" r:id="rId1"/>
    <sheet name="DEL ROSARIO" sheetId="12" r:id="rId2"/>
    <sheet name="Amortization  Table" sheetId="2" r:id="rId3"/>
    <sheet name="Computation Table" sheetId="1" r:id="rId4"/>
    <sheet name="GARCIA, CARLITO" sheetId="10" r:id="rId5"/>
    <sheet name="MARTIN, RICARDO" sheetId="4" r:id="rId6"/>
    <sheet name="YADAO, MELENCIO" sheetId="13" r:id="rId7"/>
    <sheet name="Loan Form" sheetId="8" r:id="rId8"/>
    <sheet name="Loan Form Back" sheetId="9" r:id="rId9"/>
  </sheets>
  <definedNames>
    <definedName name="_xlnm.Print_Area" localSheetId="2">'Amortization  Table'!$A$3:$H$29</definedName>
    <definedName name="_xlnm.Print_Area" localSheetId="0">'DATA ENTRY'!$K$3:$L$16</definedName>
    <definedName name="_xlnm.Print_Area" localSheetId="7">'Loan Form'!$A$1:$AI$76</definedName>
    <definedName name="_xlnm.Print_Area" localSheetId="8">'Loan Form Back'!$A$1:$AL$66</definedName>
    <definedName name="_xlnm.Print_Area" localSheetId="6">'YADAO, MELENCIO'!$C$20:$H$52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 i="9" l="1"/>
  <c r="P2" i="9"/>
  <c r="Q56" i="9"/>
  <c r="D25" i="9"/>
  <c r="B5" i="9"/>
  <c r="Y45" i="8" l="1"/>
  <c r="F20" i="8"/>
  <c r="K69" i="13"/>
  <c r="S30" i="13"/>
  <c r="B29" i="13"/>
  <c r="B30" i="13"/>
  <c r="B31" i="13"/>
  <c r="B32" i="13"/>
  <c r="B33" i="13"/>
  <c r="B34" i="13"/>
  <c r="C34" i="13" s="1"/>
  <c r="B35" i="13"/>
  <c r="B36" i="13"/>
  <c r="C36" i="13" s="1"/>
  <c r="B37" i="13"/>
  <c r="C37" i="13" s="1"/>
  <c r="B38" i="13"/>
  <c r="C38" i="13" s="1"/>
  <c r="B39" i="13"/>
  <c r="B40" i="13"/>
  <c r="C40" i="13" s="1"/>
  <c r="B41" i="13"/>
  <c r="C41" i="13" s="1"/>
  <c r="B42" i="13"/>
  <c r="C42" i="13" s="1"/>
  <c r="B43" i="13"/>
  <c r="C43" i="13" s="1"/>
  <c r="B44" i="13"/>
  <c r="B45" i="13"/>
  <c r="C45" i="13" s="1"/>
  <c r="B46" i="13"/>
  <c r="B47" i="13"/>
  <c r="C47" i="13" s="1"/>
  <c r="B48" i="13"/>
  <c r="C48" i="13" s="1"/>
  <c r="B49" i="13"/>
  <c r="B50" i="13"/>
  <c r="B51" i="13"/>
  <c r="C51" i="13" s="1"/>
  <c r="G24" i="13" s="1"/>
  <c r="C29" i="13"/>
  <c r="C31" i="13"/>
  <c r="C32" i="13"/>
  <c r="C33" i="13"/>
  <c r="C35" i="13"/>
  <c r="C39" i="13"/>
  <c r="C49" i="13"/>
  <c r="C50" i="13"/>
  <c r="B28" i="13"/>
  <c r="R50" i="13" s="1"/>
  <c r="C8" i="13"/>
  <c r="R39" i="13" s="1"/>
  <c r="C7" i="13"/>
  <c r="R40" i="13" s="1"/>
  <c r="R53" i="13"/>
  <c r="R48" i="13"/>
  <c r="C46" i="13"/>
  <c r="C44" i="13"/>
  <c r="R38" i="13"/>
  <c r="N34" i="13"/>
  <c r="N33" i="13"/>
  <c r="N32" i="13"/>
  <c r="C30" i="13"/>
  <c r="S29" i="13"/>
  <c r="C16" i="13"/>
  <c r="R52" i="13" s="1"/>
  <c r="C15" i="13"/>
  <c r="F36" i="1"/>
  <c r="G36" i="1"/>
  <c r="H36" i="1"/>
  <c r="I36" i="1"/>
  <c r="J36" i="1"/>
  <c r="K36" i="1"/>
  <c r="L36" i="1"/>
  <c r="M36" i="1"/>
  <c r="N36" i="1"/>
  <c r="O36" i="1"/>
  <c r="P36" i="1"/>
  <c r="Q36" i="1"/>
  <c r="R36" i="1"/>
  <c r="S36" i="1"/>
  <c r="T36" i="1"/>
  <c r="U36" i="1"/>
  <c r="V36" i="1"/>
  <c r="W36" i="1"/>
  <c r="X36" i="1"/>
  <c r="Y36" i="1"/>
  <c r="Z36" i="1"/>
  <c r="AA36" i="1"/>
  <c r="AB36" i="1"/>
  <c r="AC36" i="1"/>
  <c r="AD36" i="1"/>
  <c r="AE36" i="1"/>
  <c r="AF36" i="1"/>
  <c r="AG36" i="1"/>
  <c r="AH36" i="1"/>
  <c r="AI36" i="1"/>
  <c r="AJ36" i="1"/>
  <c r="AK36" i="1"/>
  <c r="AL36" i="1"/>
  <c r="AM36" i="1"/>
  <c r="AN36" i="1"/>
  <c r="AO36" i="1"/>
  <c r="AP36" i="1"/>
  <c r="AQ36" i="1"/>
  <c r="AR36" i="1"/>
  <c r="E36" i="1"/>
  <c r="AR31" i="1"/>
  <c r="AQ31" i="1"/>
  <c r="AP31" i="1"/>
  <c r="AO31" i="1"/>
  <c r="AN31" i="1"/>
  <c r="AM31" i="1"/>
  <c r="AL31" i="1"/>
  <c r="AK31" i="1"/>
  <c r="AJ31" i="1"/>
  <c r="AI31" i="1"/>
  <c r="AH31" i="1"/>
  <c r="AG31" i="1"/>
  <c r="AF31" i="1"/>
  <c r="AE31" i="1"/>
  <c r="AD31" i="1"/>
  <c r="AC31" i="1"/>
  <c r="AB31" i="1"/>
  <c r="AA31" i="1"/>
  <c r="Z31" i="1"/>
  <c r="Y31" i="1"/>
  <c r="X31" i="1"/>
  <c r="W31" i="1"/>
  <c r="V31" i="1"/>
  <c r="U31" i="1"/>
  <c r="T31" i="1"/>
  <c r="S31" i="1"/>
  <c r="R31" i="1"/>
  <c r="Q31" i="1"/>
  <c r="P31" i="1"/>
  <c r="O31" i="1"/>
  <c r="N31" i="1"/>
  <c r="M31" i="1"/>
  <c r="L31" i="1"/>
  <c r="K31" i="1"/>
  <c r="J31" i="1"/>
  <c r="I31" i="1"/>
  <c r="H31" i="1"/>
  <c r="G31" i="1"/>
  <c r="F31" i="1"/>
  <c r="E31" i="1"/>
  <c r="C31" i="1"/>
  <c r="Q7" i="1"/>
  <c r="S7" i="1" s="1"/>
  <c r="U7" i="1" s="1"/>
  <c r="W7" i="1" s="1"/>
  <c r="Y7" i="1" s="1"/>
  <c r="AA7" i="1" s="1"/>
  <c r="AC7" i="1" s="1"/>
  <c r="AE7" i="1" s="1"/>
  <c r="AG7" i="1" s="1"/>
  <c r="AI7" i="1" s="1"/>
  <c r="AK7" i="1" s="1"/>
  <c r="AM7" i="1" s="1"/>
  <c r="AO7" i="1" s="1"/>
  <c r="AQ7" i="1" s="1"/>
  <c r="R7" i="1"/>
  <c r="T7" i="1" s="1"/>
  <c r="V7" i="1" s="1"/>
  <c r="X7" i="1" s="1"/>
  <c r="Z7" i="1" s="1"/>
  <c r="AB7" i="1" s="1"/>
  <c r="AD7" i="1" s="1"/>
  <c r="AF7" i="1" s="1"/>
  <c r="AH7" i="1" s="1"/>
  <c r="AJ7" i="1" s="1"/>
  <c r="AL7" i="1" s="1"/>
  <c r="AN7" i="1" s="1"/>
  <c r="AP7" i="1" s="1"/>
  <c r="AR7" i="1" s="1"/>
  <c r="R8" i="1"/>
  <c r="T8" i="1" s="1"/>
  <c r="V8" i="1" s="1"/>
  <c r="X8" i="1" s="1"/>
  <c r="Z8" i="1" s="1"/>
  <c r="AB8" i="1" s="1"/>
  <c r="AD8" i="1" s="1"/>
  <c r="AF8" i="1" s="1"/>
  <c r="AH8" i="1" s="1"/>
  <c r="AJ8" i="1" s="1"/>
  <c r="AL8" i="1" s="1"/>
  <c r="AN8" i="1" s="1"/>
  <c r="AP8" i="1" s="1"/>
  <c r="AR8" i="1" s="1"/>
  <c r="Q8" i="1"/>
  <c r="S8" i="1" s="1"/>
  <c r="U8" i="1" s="1"/>
  <c r="W8" i="1" s="1"/>
  <c r="Y8" i="1" s="1"/>
  <c r="AA8" i="1" s="1"/>
  <c r="AC8" i="1" s="1"/>
  <c r="AE8" i="1" s="1"/>
  <c r="AG8" i="1" s="1"/>
  <c r="AI8" i="1" s="1"/>
  <c r="AK8" i="1" s="1"/>
  <c r="AM8" i="1" s="1"/>
  <c r="AO8" i="1" s="1"/>
  <c r="AQ8" i="1" s="1"/>
  <c r="J104" i="12"/>
  <c r="J109" i="12" s="1"/>
  <c r="K102" i="12"/>
  <c r="K101" i="12"/>
  <c r="K100" i="12"/>
  <c r="K99" i="12"/>
  <c r="R51" i="13" l="1"/>
  <c r="C28" i="13"/>
  <c r="B28" i="12"/>
  <c r="B87" i="12" l="1"/>
  <c r="B86" i="12"/>
  <c r="C86" i="12" s="1"/>
  <c r="B85" i="12"/>
  <c r="C85" i="12" s="1"/>
  <c r="B84" i="12"/>
  <c r="C84" i="12" s="1"/>
  <c r="B83" i="12"/>
  <c r="C83" i="12" s="1"/>
  <c r="B82" i="12"/>
  <c r="C82" i="12" s="1"/>
  <c r="B81" i="12"/>
  <c r="C81" i="12" s="1"/>
  <c r="B80" i="12"/>
  <c r="C80" i="12" s="1"/>
  <c r="B79" i="12"/>
  <c r="C79" i="12" s="1"/>
  <c r="B78" i="12"/>
  <c r="C78" i="12" s="1"/>
  <c r="B77" i="12"/>
  <c r="C77" i="12" s="1"/>
  <c r="B76" i="12"/>
  <c r="C76" i="12" s="1"/>
  <c r="B75" i="12"/>
  <c r="C75" i="12" s="1"/>
  <c r="B74" i="12"/>
  <c r="C74" i="12" s="1"/>
  <c r="B73" i="12"/>
  <c r="C73" i="12" s="1"/>
  <c r="B72" i="12"/>
  <c r="C72" i="12" s="1"/>
  <c r="B71" i="12"/>
  <c r="C71" i="12" s="1"/>
  <c r="B70" i="12"/>
  <c r="C70" i="12" s="1"/>
  <c r="B69" i="12"/>
  <c r="C69" i="12" s="1"/>
  <c r="B68" i="12"/>
  <c r="C68" i="12" s="1"/>
  <c r="B67" i="12"/>
  <c r="C67" i="12" s="1"/>
  <c r="B66" i="12"/>
  <c r="C66" i="12" s="1"/>
  <c r="B65" i="12"/>
  <c r="C65" i="12" s="1"/>
  <c r="B64" i="12"/>
  <c r="C64" i="12" s="1"/>
  <c r="B63" i="12"/>
  <c r="C63" i="12" s="1"/>
  <c r="B62" i="12"/>
  <c r="C62" i="12" s="1"/>
  <c r="B61" i="12"/>
  <c r="C61" i="12" s="1"/>
  <c r="B60" i="12"/>
  <c r="C60" i="12" s="1"/>
  <c r="B59" i="12"/>
  <c r="C59" i="12" s="1"/>
  <c r="B58" i="12"/>
  <c r="C58" i="12" s="1"/>
  <c r="B57" i="12"/>
  <c r="C57" i="12" s="1"/>
  <c r="B56" i="12"/>
  <c r="C56" i="12" s="1"/>
  <c r="B55" i="12"/>
  <c r="C55" i="12" s="1"/>
  <c r="B54" i="12"/>
  <c r="C54" i="12" s="1"/>
  <c r="B53" i="12"/>
  <c r="C53" i="12" s="1"/>
  <c r="B52" i="12"/>
  <c r="C52" i="12" s="1"/>
  <c r="B51" i="12"/>
  <c r="C51" i="12" s="1"/>
  <c r="B50" i="12"/>
  <c r="C50" i="12" s="1"/>
  <c r="B49" i="12"/>
  <c r="C49" i="12" s="1"/>
  <c r="R48" i="12"/>
  <c r="B48" i="12"/>
  <c r="C48" i="12" s="1"/>
  <c r="B47" i="12"/>
  <c r="C47" i="12" s="1"/>
  <c r="B46" i="12"/>
  <c r="C46" i="12" s="1"/>
  <c r="B45" i="12"/>
  <c r="C45" i="12" s="1"/>
  <c r="B44" i="12"/>
  <c r="C44" i="12" s="1"/>
  <c r="B43" i="12"/>
  <c r="C43" i="12" s="1"/>
  <c r="B42" i="12"/>
  <c r="C42" i="12" s="1"/>
  <c r="B41" i="12"/>
  <c r="C41" i="12" s="1"/>
  <c r="B40" i="12"/>
  <c r="C40" i="12" s="1"/>
  <c r="B39" i="12"/>
  <c r="C39" i="12" s="1"/>
  <c r="R38" i="12"/>
  <c r="B38" i="12"/>
  <c r="C38" i="12" s="1"/>
  <c r="B37" i="12"/>
  <c r="C37" i="12" s="1"/>
  <c r="B36" i="12"/>
  <c r="C36" i="12" s="1"/>
  <c r="B35" i="12"/>
  <c r="C35" i="12" s="1"/>
  <c r="N34" i="12"/>
  <c r="B34" i="12"/>
  <c r="C34" i="12" s="1"/>
  <c r="N33" i="12"/>
  <c r="B33" i="12"/>
  <c r="C33" i="12" s="1"/>
  <c r="N32" i="12"/>
  <c r="B32" i="12"/>
  <c r="C32" i="12" s="1"/>
  <c r="B31" i="12"/>
  <c r="C31" i="12" s="1"/>
  <c r="B30" i="12"/>
  <c r="C30" i="12" s="1"/>
  <c r="S29" i="12"/>
  <c r="B29" i="12"/>
  <c r="C29" i="12" s="1"/>
  <c r="C28" i="12"/>
  <c r="C8" i="12"/>
  <c r="R39" i="12" s="1"/>
  <c r="C7" i="12"/>
  <c r="G105" i="12" s="1"/>
  <c r="N102" i="12" s="1"/>
  <c r="B87" i="10"/>
  <c r="C87" i="10" s="1"/>
  <c r="B86" i="10"/>
  <c r="C86" i="10" s="1"/>
  <c r="B85" i="10"/>
  <c r="C85" i="10" s="1"/>
  <c r="B84" i="10"/>
  <c r="C84" i="10" s="1"/>
  <c r="B83" i="10"/>
  <c r="C83" i="10" s="1"/>
  <c r="B82" i="10"/>
  <c r="C82" i="10" s="1"/>
  <c r="B81" i="10"/>
  <c r="C81" i="10" s="1"/>
  <c r="B80" i="10"/>
  <c r="C80" i="10" s="1"/>
  <c r="B79" i="10"/>
  <c r="C79" i="10" s="1"/>
  <c r="B78" i="10"/>
  <c r="C78" i="10" s="1"/>
  <c r="B77" i="10"/>
  <c r="C77" i="10" s="1"/>
  <c r="B76" i="10"/>
  <c r="C76" i="10" s="1"/>
  <c r="B75" i="10"/>
  <c r="C75" i="10" s="1"/>
  <c r="B74" i="10"/>
  <c r="C74" i="10" s="1"/>
  <c r="B73" i="10"/>
  <c r="C73" i="10" s="1"/>
  <c r="B72" i="10"/>
  <c r="C72" i="10" s="1"/>
  <c r="B71" i="10"/>
  <c r="C71" i="10" s="1"/>
  <c r="B70" i="10"/>
  <c r="C70" i="10" s="1"/>
  <c r="B69" i="10"/>
  <c r="C69" i="10" s="1"/>
  <c r="B68" i="10"/>
  <c r="C68" i="10" s="1"/>
  <c r="B67" i="10"/>
  <c r="C67" i="10" s="1"/>
  <c r="B66" i="10"/>
  <c r="C66" i="10" s="1"/>
  <c r="B65" i="10"/>
  <c r="C65" i="10" s="1"/>
  <c r="B64" i="10"/>
  <c r="C64" i="10" s="1"/>
  <c r="B63" i="10"/>
  <c r="C63" i="10" s="1"/>
  <c r="B62" i="10"/>
  <c r="C62" i="10" s="1"/>
  <c r="B61" i="10"/>
  <c r="C61" i="10" s="1"/>
  <c r="B60" i="10"/>
  <c r="C60" i="10" s="1"/>
  <c r="B59" i="10"/>
  <c r="C59" i="10" s="1"/>
  <c r="B58" i="10"/>
  <c r="C58" i="10" s="1"/>
  <c r="B57" i="10"/>
  <c r="C57" i="10" s="1"/>
  <c r="B56" i="10"/>
  <c r="C56" i="10" s="1"/>
  <c r="B55" i="10"/>
  <c r="C55" i="10" s="1"/>
  <c r="B54" i="10"/>
  <c r="C54" i="10" s="1"/>
  <c r="B53" i="10"/>
  <c r="C53" i="10" s="1"/>
  <c r="B52" i="10"/>
  <c r="C52" i="10" s="1"/>
  <c r="B51" i="10"/>
  <c r="C51" i="10" s="1"/>
  <c r="B50" i="10"/>
  <c r="C50" i="10" s="1"/>
  <c r="B49" i="10"/>
  <c r="C49" i="10" s="1"/>
  <c r="R48" i="10"/>
  <c r="B48" i="10"/>
  <c r="C48" i="10" s="1"/>
  <c r="B47" i="10"/>
  <c r="C47" i="10" s="1"/>
  <c r="B46" i="10"/>
  <c r="C46" i="10" s="1"/>
  <c r="B45" i="10"/>
  <c r="C45" i="10" s="1"/>
  <c r="C44" i="10"/>
  <c r="B44" i="10"/>
  <c r="B43" i="10"/>
  <c r="C43" i="10" s="1"/>
  <c r="B42" i="10"/>
  <c r="C42" i="10" s="1"/>
  <c r="B41" i="10"/>
  <c r="C41" i="10" s="1"/>
  <c r="B40" i="10"/>
  <c r="C40" i="10" s="1"/>
  <c r="B39" i="10"/>
  <c r="C39" i="10" s="1"/>
  <c r="R38" i="10"/>
  <c r="B38" i="10"/>
  <c r="C38" i="10" s="1"/>
  <c r="B37" i="10"/>
  <c r="C37" i="10" s="1"/>
  <c r="B36" i="10"/>
  <c r="C36" i="10" s="1"/>
  <c r="B35" i="10"/>
  <c r="C35" i="10" s="1"/>
  <c r="N34" i="10"/>
  <c r="C34" i="10"/>
  <c r="B34" i="10"/>
  <c r="N33" i="10"/>
  <c r="B33" i="10"/>
  <c r="C33" i="10" s="1"/>
  <c r="N32" i="10"/>
  <c r="B32" i="10"/>
  <c r="C32" i="10" s="1"/>
  <c r="B31" i="10"/>
  <c r="C31" i="10" s="1"/>
  <c r="B30" i="10"/>
  <c r="C30" i="10" s="1"/>
  <c r="S29" i="10"/>
  <c r="B29" i="10"/>
  <c r="C29" i="10" s="1"/>
  <c r="B28" i="10"/>
  <c r="R50" i="10" s="1"/>
  <c r="C8" i="10"/>
  <c r="R39" i="10" s="1"/>
  <c r="R40" i="10"/>
  <c r="R48" i="4"/>
  <c r="R40" i="12" l="1"/>
  <c r="C87" i="12"/>
  <c r="G24" i="12"/>
  <c r="R51" i="12" s="1"/>
  <c r="R50" i="12"/>
  <c r="G24" i="10"/>
  <c r="R51" i="10" s="1"/>
  <c r="C28" i="10"/>
  <c r="C8" i="4" l="1"/>
  <c r="R39" i="4" s="1"/>
  <c r="C7" i="4"/>
  <c r="R40" i="4" s="1"/>
  <c r="R38" i="4"/>
  <c r="N33" i="4"/>
  <c r="S29" i="4"/>
  <c r="N34" i="4"/>
  <c r="N32" i="4"/>
  <c r="B87" i="4"/>
  <c r="B86" i="4"/>
  <c r="C86" i="4" s="1"/>
  <c r="B85" i="4"/>
  <c r="C85" i="4" s="1"/>
  <c r="B84" i="4"/>
  <c r="C84" i="4" s="1"/>
  <c r="B83" i="4"/>
  <c r="C83" i="4" s="1"/>
  <c r="B82" i="4"/>
  <c r="C82" i="4" s="1"/>
  <c r="B81" i="4"/>
  <c r="C81" i="4" s="1"/>
  <c r="B80" i="4"/>
  <c r="C80" i="4" s="1"/>
  <c r="B79" i="4"/>
  <c r="C79" i="4" s="1"/>
  <c r="B78" i="4"/>
  <c r="C78" i="4" s="1"/>
  <c r="B77" i="4"/>
  <c r="C77" i="4" s="1"/>
  <c r="B76" i="4"/>
  <c r="C76" i="4" s="1"/>
  <c r="B75" i="4"/>
  <c r="C75" i="4" s="1"/>
  <c r="B74" i="4"/>
  <c r="C74" i="4" s="1"/>
  <c r="B73" i="4"/>
  <c r="C73" i="4" s="1"/>
  <c r="B72" i="4"/>
  <c r="C72" i="4" s="1"/>
  <c r="B71" i="4"/>
  <c r="C71" i="4" s="1"/>
  <c r="B70" i="4"/>
  <c r="C70" i="4" s="1"/>
  <c r="B69" i="4"/>
  <c r="C69" i="4" s="1"/>
  <c r="B68" i="4"/>
  <c r="C68" i="4" s="1"/>
  <c r="B67" i="4"/>
  <c r="C67" i="4" s="1"/>
  <c r="B66" i="4"/>
  <c r="C66" i="4" s="1"/>
  <c r="B65" i="4"/>
  <c r="C65" i="4" s="1"/>
  <c r="B64" i="4"/>
  <c r="C64" i="4" s="1"/>
  <c r="B63" i="4"/>
  <c r="C63" i="4" s="1"/>
  <c r="B62" i="4"/>
  <c r="C62" i="4" s="1"/>
  <c r="B61" i="4"/>
  <c r="C61" i="4" s="1"/>
  <c r="B60" i="4"/>
  <c r="C60" i="4" s="1"/>
  <c r="B59" i="4"/>
  <c r="C59" i="4" s="1"/>
  <c r="B58" i="4"/>
  <c r="C58" i="4" s="1"/>
  <c r="B57" i="4"/>
  <c r="C57" i="4" s="1"/>
  <c r="B56" i="4"/>
  <c r="C56" i="4" s="1"/>
  <c r="B55" i="4"/>
  <c r="C55" i="4" s="1"/>
  <c r="B54" i="4"/>
  <c r="C54" i="4" s="1"/>
  <c r="B53" i="4"/>
  <c r="C53" i="4" s="1"/>
  <c r="B52" i="4"/>
  <c r="C52" i="4" s="1"/>
  <c r="B51" i="4"/>
  <c r="C51" i="4" s="1"/>
  <c r="B50" i="4"/>
  <c r="C50" i="4" s="1"/>
  <c r="B49" i="4"/>
  <c r="C49" i="4" s="1"/>
  <c r="B48" i="4"/>
  <c r="C48" i="4" s="1"/>
  <c r="B47" i="4"/>
  <c r="C47" i="4" s="1"/>
  <c r="B46" i="4"/>
  <c r="C46" i="4" s="1"/>
  <c r="B45" i="4"/>
  <c r="C45" i="4" s="1"/>
  <c r="B44" i="4"/>
  <c r="C44" i="4" s="1"/>
  <c r="B43" i="4"/>
  <c r="C43" i="4" s="1"/>
  <c r="B42" i="4"/>
  <c r="C42" i="4" s="1"/>
  <c r="B41" i="4"/>
  <c r="C41" i="4" s="1"/>
  <c r="B40" i="4"/>
  <c r="C40" i="4" s="1"/>
  <c r="B39" i="4"/>
  <c r="C39" i="4" s="1"/>
  <c r="B38" i="4"/>
  <c r="C38" i="4" s="1"/>
  <c r="B37" i="4"/>
  <c r="C37" i="4" s="1"/>
  <c r="B36" i="4"/>
  <c r="C36" i="4" s="1"/>
  <c r="B35" i="4"/>
  <c r="C35" i="4" s="1"/>
  <c r="B34" i="4"/>
  <c r="C34" i="4" s="1"/>
  <c r="B33" i="4"/>
  <c r="C33" i="4" s="1"/>
  <c r="B32" i="4"/>
  <c r="C32" i="4" s="1"/>
  <c r="B31" i="4"/>
  <c r="C31" i="4" s="1"/>
  <c r="B30" i="4"/>
  <c r="C30" i="4" s="1"/>
  <c r="B29" i="4"/>
  <c r="C29" i="4" s="1"/>
  <c r="B28" i="4"/>
  <c r="AQ120" i="1"/>
  <c r="AQ111" i="1" s="1"/>
  <c r="AM120" i="1"/>
  <c r="AI120" i="1"/>
  <c r="AI111" i="1" s="1"/>
  <c r="AE120" i="1"/>
  <c r="AE111" i="1" s="1"/>
  <c r="AA120" i="1"/>
  <c r="AA111" i="1" s="1"/>
  <c r="W120" i="1"/>
  <c r="W111" i="1" s="1"/>
  <c r="S120" i="1"/>
  <c r="S111" i="1" s="1"/>
  <c r="O120" i="1"/>
  <c r="O111" i="1" s="1"/>
  <c r="K120" i="1"/>
  <c r="K111" i="1" s="1"/>
  <c r="J120" i="1"/>
  <c r="J111" i="1" s="1"/>
  <c r="I120" i="1"/>
  <c r="H120" i="1"/>
  <c r="G120" i="1"/>
  <c r="F120" i="1"/>
  <c r="E120" i="1"/>
  <c r="C120" i="1"/>
  <c r="E119" i="1"/>
  <c r="E122" i="1" s="1"/>
  <c r="E124" i="1" s="1"/>
  <c r="C119" i="1"/>
  <c r="C122" i="1" s="1"/>
  <c r="C123" i="1" s="1"/>
  <c r="U118" i="1"/>
  <c r="T118" i="1"/>
  <c r="Q118" i="1"/>
  <c r="Q120" i="1" s="1"/>
  <c r="O118" i="1"/>
  <c r="S118" i="1" s="1"/>
  <c r="W118" i="1" s="1"/>
  <c r="AA118" i="1" s="1"/>
  <c r="AE118" i="1" s="1"/>
  <c r="AI118" i="1" s="1"/>
  <c r="AM118" i="1" s="1"/>
  <c r="AQ118" i="1" s="1"/>
  <c r="N118" i="1"/>
  <c r="M118" i="1"/>
  <c r="M120" i="1" s="1"/>
  <c r="L118" i="1"/>
  <c r="P118" i="1" s="1"/>
  <c r="P120" i="1" s="1"/>
  <c r="P111" i="1" s="1"/>
  <c r="E117" i="1"/>
  <c r="E116" i="1"/>
  <c r="G116" i="1" s="1"/>
  <c r="Q113" i="1"/>
  <c r="S113" i="1" s="1"/>
  <c r="U113" i="1" s="1"/>
  <c r="W113" i="1" s="1"/>
  <c r="Y113" i="1" s="1"/>
  <c r="AA113" i="1" s="1"/>
  <c r="AC113" i="1" s="1"/>
  <c r="AE113" i="1" s="1"/>
  <c r="AG113" i="1" s="1"/>
  <c r="AI113" i="1" s="1"/>
  <c r="AK113" i="1" s="1"/>
  <c r="AM113" i="1" s="1"/>
  <c r="AO113" i="1" s="1"/>
  <c r="AQ113" i="1" s="1"/>
  <c r="C113" i="1"/>
  <c r="R113" i="1" s="1"/>
  <c r="T113" i="1" s="1"/>
  <c r="V113" i="1" s="1"/>
  <c r="X113" i="1" s="1"/>
  <c r="Z113" i="1" s="1"/>
  <c r="AB113" i="1" s="1"/>
  <c r="AD113" i="1" s="1"/>
  <c r="AF113" i="1" s="1"/>
  <c r="AH113" i="1" s="1"/>
  <c r="AJ113" i="1" s="1"/>
  <c r="AL113" i="1" s="1"/>
  <c r="AN113" i="1" s="1"/>
  <c r="AP113" i="1" s="1"/>
  <c r="AR113" i="1" s="1"/>
  <c r="Q112" i="1"/>
  <c r="S112" i="1" s="1"/>
  <c r="U112" i="1" s="1"/>
  <c r="W112" i="1" s="1"/>
  <c r="Y112" i="1" s="1"/>
  <c r="AA112" i="1" s="1"/>
  <c r="AC112" i="1" s="1"/>
  <c r="AE112" i="1" s="1"/>
  <c r="AG112" i="1" s="1"/>
  <c r="AI112" i="1" s="1"/>
  <c r="AK112" i="1" s="1"/>
  <c r="AM112" i="1" s="1"/>
  <c r="AO112" i="1" s="1"/>
  <c r="AQ112" i="1" s="1"/>
  <c r="C112" i="1"/>
  <c r="AM111" i="1"/>
  <c r="Q111" i="1"/>
  <c r="M111" i="1"/>
  <c r="I111" i="1"/>
  <c r="H111" i="1"/>
  <c r="G111" i="1"/>
  <c r="F111" i="1"/>
  <c r="E111" i="1"/>
  <c r="AR110" i="1"/>
  <c r="AQ110" i="1"/>
  <c r="AP110" i="1"/>
  <c r="AO110" i="1"/>
  <c r="AN110" i="1"/>
  <c r="AM110" i="1"/>
  <c r="AL110" i="1"/>
  <c r="AK110" i="1"/>
  <c r="AJ110" i="1"/>
  <c r="AI110" i="1"/>
  <c r="AH110" i="1"/>
  <c r="AG110" i="1"/>
  <c r="AF110" i="1"/>
  <c r="AE110" i="1"/>
  <c r="AD110" i="1"/>
  <c r="AC110" i="1"/>
  <c r="AB110" i="1"/>
  <c r="AA110" i="1"/>
  <c r="Z110" i="1"/>
  <c r="Y110" i="1"/>
  <c r="X110" i="1"/>
  <c r="W110" i="1"/>
  <c r="V110" i="1"/>
  <c r="U110" i="1"/>
  <c r="T110" i="1"/>
  <c r="S110" i="1"/>
  <c r="R110" i="1"/>
  <c r="Q110" i="1"/>
  <c r="P110" i="1"/>
  <c r="O110" i="1"/>
  <c r="N110" i="1"/>
  <c r="M110" i="1"/>
  <c r="L110" i="1"/>
  <c r="K110" i="1"/>
  <c r="J110" i="1"/>
  <c r="I110" i="1"/>
  <c r="H110" i="1"/>
  <c r="G110" i="1"/>
  <c r="F110" i="1"/>
  <c r="E110" i="1"/>
  <c r="C109" i="1"/>
  <c r="C110" i="1" s="1"/>
  <c r="T94" i="1"/>
  <c r="S94" i="1"/>
  <c r="S85" i="1" s="1"/>
  <c r="P94" i="1"/>
  <c r="P85" i="1" s="1"/>
  <c r="M94" i="1"/>
  <c r="M85" i="1" s="1"/>
  <c r="L94" i="1"/>
  <c r="L85" i="1" s="1"/>
  <c r="K94" i="1"/>
  <c r="K85" i="1" s="1"/>
  <c r="J94" i="1"/>
  <c r="J85" i="1" s="1"/>
  <c r="I94" i="1"/>
  <c r="H94" i="1"/>
  <c r="H85" i="1" s="1"/>
  <c r="G94" i="1"/>
  <c r="F94" i="1"/>
  <c r="E94" i="1"/>
  <c r="C94" i="1"/>
  <c r="C93" i="1"/>
  <c r="W92" i="1"/>
  <c r="U92" i="1"/>
  <c r="T92" i="1"/>
  <c r="X92" i="1" s="1"/>
  <c r="Q92" i="1"/>
  <c r="Q94" i="1" s="1"/>
  <c r="O92" i="1"/>
  <c r="S92" i="1" s="1"/>
  <c r="N92" i="1"/>
  <c r="M92" i="1"/>
  <c r="L92" i="1"/>
  <c r="P92" i="1" s="1"/>
  <c r="F90" i="1"/>
  <c r="E90" i="1"/>
  <c r="E93" i="1" s="1"/>
  <c r="E88" i="1" s="1"/>
  <c r="R87" i="1"/>
  <c r="T87" i="1" s="1"/>
  <c r="V87" i="1" s="1"/>
  <c r="X87" i="1" s="1"/>
  <c r="Z87" i="1" s="1"/>
  <c r="AB87" i="1" s="1"/>
  <c r="AD87" i="1" s="1"/>
  <c r="AF87" i="1" s="1"/>
  <c r="AH87" i="1" s="1"/>
  <c r="AJ87" i="1" s="1"/>
  <c r="AL87" i="1" s="1"/>
  <c r="AN87" i="1" s="1"/>
  <c r="AP87" i="1" s="1"/>
  <c r="AR87" i="1" s="1"/>
  <c r="Q87" i="1"/>
  <c r="S87" i="1" s="1"/>
  <c r="U87" i="1" s="1"/>
  <c r="W87" i="1" s="1"/>
  <c r="Y87" i="1" s="1"/>
  <c r="AA87" i="1" s="1"/>
  <c r="AC87" i="1" s="1"/>
  <c r="AE87" i="1" s="1"/>
  <c r="AG87" i="1" s="1"/>
  <c r="AI87" i="1" s="1"/>
  <c r="AK87" i="1" s="1"/>
  <c r="AM87" i="1" s="1"/>
  <c r="AO87" i="1" s="1"/>
  <c r="AQ87" i="1" s="1"/>
  <c r="C87" i="1"/>
  <c r="C86" i="1"/>
  <c r="T85" i="1"/>
  <c r="Q85" i="1"/>
  <c r="I85" i="1"/>
  <c r="G85" i="1"/>
  <c r="F85" i="1"/>
  <c r="AR84" i="1"/>
  <c r="AQ84" i="1"/>
  <c r="AP84" i="1"/>
  <c r="AO84" i="1"/>
  <c r="AN84" i="1"/>
  <c r="AM84" i="1"/>
  <c r="AL84" i="1"/>
  <c r="AK84" i="1"/>
  <c r="AJ84" i="1"/>
  <c r="AI84" i="1"/>
  <c r="AH84" i="1"/>
  <c r="AG84" i="1"/>
  <c r="AF84" i="1"/>
  <c r="AE84" i="1"/>
  <c r="AD84" i="1"/>
  <c r="AC84" i="1"/>
  <c r="AB84" i="1"/>
  <c r="AA84" i="1"/>
  <c r="Z84" i="1"/>
  <c r="Y84" i="1"/>
  <c r="X84" i="1"/>
  <c r="W84" i="1"/>
  <c r="V84" i="1"/>
  <c r="U84" i="1"/>
  <c r="T84" i="1"/>
  <c r="S84" i="1"/>
  <c r="R84" i="1"/>
  <c r="Q84" i="1"/>
  <c r="P84" i="1"/>
  <c r="O84" i="1"/>
  <c r="N84" i="1"/>
  <c r="M84" i="1"/>
  <c r="L84" i="1"/>
  <c r="K84" i="1"/>
  <c r="J84" i="1"/>
  <c r="I84" i="1"/>
  <c r="H84" i="1"/>
  <c r="G84" i="1"/>
  <c r="F84" i="1"/>
  <c r="E84" i="1"/>
  <c r="C83" i="1"/>
  <c r="C84" i="1" s="1"/>
  <c r="D8" i="3" s="1"/>
  <c r="C5" i="13" s="1"/>
  <c r="R41" i="13" s="1"/>
  <c r="AC68" i="1"/>
  <c r="AC59" i="1" s="1"/>
  <c r="Q68" i="1"/>
  <c r="Q59" i="1" s="1"/>
  <c r="N68" i="1"/>
  <c r="N59" i="1" s="1"/>
  <c r="K68" i="1"/>
  <c r="J68" i="1"/>
  <c r="J59" i="1" s="1"/>
  <c r="I68" i="1"/>
  <c r="I59" i="1" s="1"/>
  <c r="H68" i="1"/>
  <c r="G68" i="1"/>
  <c r="F68" i="1"/>
  <c r="F59" i="1" s="1"/>
  <c r="E68" i="1"/>
  <c r="E59" i="1" s="1"/>
  <c r="C68" i="1"/>
  <c r="C67" i="1"/>
  <c r="C70" i="1" s="1"/>
  <c r="AC66" i="1"/>
  <c r="AG66" i="1" s="1"/>
  <c r="AG68" i="1" s="1"/>
  <c r="AG59" i="1" s="1"/>
  <c r="U66" i="1"/>
  <c r="Y66" i="1" s="1"/>
  <c r="Y68" i="1" s="1"/>
  <c r="Y59" i="1" s="1"/>
  <c r="S66" i="1"/>
  <c r="P66" i="1"/>
  <c r="O66" i="1"/>
  <c r="O68" i="1" s="1"/>
  <c r="O59" i="1" s="1"/>
  <c r="N66" i="1"/>
  <c r="R66" i="1" s="1"/>
  <c r="V66" i="1" s="1"/>
  <c r="M66" i="1"/>
  <c r="Q66" i="1" s="1"/>
  <c r="L66" i="1"/>
  <c r="L68" i="1" s="1"/>
  <c r="L59" i="1" s="1"/>
  <c r="C65" i="1"/>
  <c r="F64" i="1"/>
  <c r="H64" i="1" s="1"/>
  <c r="E64" i="1"/>
  <c r="E65" i="1" s="1"/>
  <c r="R61" i="1"/>
  <c r="T61" i="1" s="1"/>
  <c r="V61" i="1" s="1"/>
  <c r="X61" i="1" s="1"/>
  <c r="Z61" i="1" s="1"/>
  <c r="AB61" i="1" s="1"/>
  <c r="AD61" i="1" s="1"/>
  <c r="AF61" i="1" s="1"/>
  <c r="AH61" i="1" s="1"/>
  <c r="AJ61" i="1" s="1"/>
  <c r="AL61" i="1" s="1"/>
  <c r="AN61" i="1" s="1"/>
  <c r="AP61" i="1" s="1"/>
  <c r="AR61" i="1" s="1"/>
  <c r="Q61" i="1"/>
  <c r="S61" i="1" s="1"/>
  <c r="U61" i="1" s="1"/>
  <c r="W61" i="1" s="1"/>
  <c r="Y61" i="1" s="1"/>
  <c r="AA61" i="1" s="1"/>
  <c r="AC61" i="1" s="1"/>
  <c r="AE61" i="1" s="1"/>
  <c r="AG61" i="1" s="1"/>
  <c r="AI61" i="1" s="1"/>
  <c r="AK61" i="1" s="1"/>
  <c r="AM61" i="1" s="1"/>
  <c r="AO61" i="1" s="1"/>
  <c r="AQ61" i="1" s="1"/>
  <c r="C61" i="1"/>
  <c r="Q60" i="1"/>
  <c r="S60" i="1" s="1"/>
  <c r="U60" i="1" s="1"/>
  <c r="W60" i="1" s="1"/>
  <c r="Y60" i="1" s="1"/>
  <c r="AA60" i="1" s="1"/>
  <c r="AC60" i="1" s="1"/>
  <c r="AE60" i="1" s="1"/>
  <c r="AG60" i="1" s="1"/>
  <c r="AI60" i="1" s="1"/>
  <c r="AK60" i="1" s="1"/>
  <c r="AM60" i="1" s="1"/>
  <c r="AO60" i="1" s="1"/>
  <c r="AQ60" i="1" s="1"/>
  <c r="C60" i="1"/>
  <c r="K59" i="1"/>
  <c r="H59" i="1"/>
  <c r="G59" i="1"/>
  <c r="AR58" i="1"/>
  <c r="AQ58" i="1"/>
  <c r="AP58" i="1"/>
  <c r="AO58" i="1"/>
  <c r="AN58" i="1"/>
  <c r="AM58" i="1"/>
  <c r="AL58" i="1"/>
  <c r="AK58" i="1"/>
  <c r="AJ58" i="1"/>
  <c r="AI58" i="1"/>
  <c r="AH58" i="1"/>
  <c r="AG58" i="1"/>
  <c r="AF58" i="1"/>
  <c r="AE58" i="1"/>
  <c r="AD58" i="1"/>
  <c r="AC58" i="1"/>
  <c r="AB58" i="1"/>
  <c r="AA58" i="1"/>
  <c r="Z58" i="1"/>
  <c r="Y58" i="1"/>
  <c r="X58" i="1"/>
  <c r="W58" i="1"/>
  <c r="V58" i="1"/>
  <c r="U58" i="1"/>
  <c r="T58" i="1"/>
  <c r="S58" i="1"/>
  <c r="R58" i="1"/>
  <c r="Q58" i="1"/>
  <c r="P58" i="1"/>
  <c r="O58" i="1"/>
  <c r="N58" i="1"/>
  <c r="M58" i="1"/>
  <c r="L58" i="1"/>
  <c r="K58" i="1"/>
  <c r="J58" i="1"/>
  <c r="I58" i="1"/>
  <c r="H58" i="1"/>
  <c r="G58" i="1"/>
  <c r="F58" i="1"/>
  <c r="C57" i="1"/>
  <c r="C62" i="1" s="1"/>
  <c r="E45" i="1"/>
  <c r="Q41" i="1"/>
  <c r="Q32" i="1" s="1"/>
  <c r="P41" i="1"/>
  <c r="P32" i="1" s="1"/>
  <c r="O41" i="1"/>
  <c r="L41" i="1"/>
  <c r="K41" i="1"/>
  <c r="J41" i="1"/>
  <c r="J32" i="1" s="1"/>
  <c r="I41" i="1"/>
  <c r="I32" i="1" s="1"/>
  <c r="H41" i="1"/>
  <c r="H32" i="1" s="1"/>
  <c r="G41" i="1"/>
  <c r="F41" i="1"/>
  <c r="E41" i="1"/>
  <c r="C41" i="1"/>
  <c r="E40" i="1"/>
  <c r="E43" i="1" s="1"/>
  <c r="E44" i="1" s="1"/>
  <c r="E46" i="1" s="1"/>
  <c r="C40" i="1"/>
  <c r="AA39" i="1"/>
  <c r="Y39" i="1"/>
  <c r="T39" i="1"/>
  <c r="X39" i="1" s="1"/>
  <c r="S39" i="1"/>
  <c r="W39" i="1" s="1"/>
  <c r="W41" i="1" s="1"/>
  <c r="Q39" i="1"/>
  <c r="U39" i="1" s="1"/>
  <c r="U41" i="1" s="1"/>
  <c r="O39" i="1"/>
  <c r="N39" i="1"/>
  <c r="M39" i="1"/>
  <c r="M41" i="1" s="1"/>
  <c r="L39" i="1"/>
  <c r="P39" i="1" s="1"/>
  <c r="F38" i="1"/>
  <c r="E38" i="1"/>
  <c r="C38" i="1"/>
  <c r="F37" i="1"/>
  <c r="F40" i="1" s="1"/>
  <c r="F35" i="1" s="1"/>
  <c r="E35" i="1"/>
  <c r="Q34" i="1"/>
  <c r="S34" i="1" s="1"/>
  <c r="U34" i="1" s="1"/>
  <c r="W34" i="1" s="1"/>
  <c r="Y34" i="1" s="1"/>
  <c r="AA34" i="1" s="1"/>
  <c r="AC34" i="1" s="1"/>
  <c r="AE34" i="1" s="1"/>
  <c r="AG34" i="1" s="1"/>
  <c r="AI34" i="1" s="1"/>
  <c r="AK34" i="1" s="1"/>
  <c r="AM34" i="1" s="1"/>
  <c r="AO34" i="1" s="1"/>
  <c r="AQ34" i="1" s="1"/>
  <c r="C34" i="1"/>
  <c r="R34" i="1" s="1"/>
  <c r="T34" i="1" s="1"/>
  <c r="V34" i="1" s="1"/>
  <c r="X34" i="1" s="1"/>
  <c r="Z34" i="1" s="1"/>
  <c r="AB34" i="1" s="1"/>
  <c r="AD34" i="1" s="1"/>
  <c r="AF34" i="1" s="1"/>
  <c r="AH34" i="1" s="1"/>
  <c r="AJ34" i="1" s="1"/>
  <c r="AL34" i="1" s="1"/>
  <c r="AN34" i="1" s="1"/>
  <c r="AP34" i="1" s="1"/>
  <c r="AR34" i="1" s="1"/>
  <c r="C33" i="1"/>
  <c r="W32" i="1"/>
  <c r="U32" i="1"/>
  <c r="O32" i="1"/>
  <c r="M32" i="1"/>
  <c r="L32" i="1"/>
  <c r="K32" i="1"/>
  <c r="G32" i="1"/>
  <c r="F32" i="1"/>
  <c r="E32" i="1"/>
  <c r="C30" i="1"/>
  <c r="AA15" i="1"/>
  <c r="AA6" i="1" s="1"/>
  <c r="S15" i="1"/>
  <c r="S6" i="1" s="1"/>
  <c r="R15" i="1"/>
  <c r="Q15" i="1"/>
  <c r="Q6" i="1" s="1"/>
  <c r="P15" i="1"/>
  <c r="P6" i="1" s="1"/>
  <c r="O15" i="1"/>
  <c r="N15" i="1"/>
  <c r="M15" i="1"/>
  <c r="L15" i="1"/>
  <c r="L6" i="1" s="1"/>
  <c r="K15" i="1"/>
  <c r="K6" i="1" s="1"/>
  <c r="J15" i="1"/>
  <c r="I15" i="1"/>
  <c r="H15" i="1"/>
  <c r="G15" i="1"/>
  <c r="F15" i="1"/>
  <c r="E15" i="1"/>
  <c r="C15" i="1"/>
  <c r="C12" i="1" s="1"/>
  <c r="G15" i="3" s="1"/>
  <c r="AR14" i="1"/>
  <c r="X14" i="1"/>
  <c r="C14" i="1"/>
  <c r="AQ13" i="1"/>
  <c r="AQ15" i="1" s="1"/>
  <c r="AQ6" i="1" s="1"/>
  <c r="AI13" i="1"/>
  <c r="AM13" i="1" s="1"/>
  <c r="AM15" i="1" s="1"/>
  <c r="AM6" i="1" s="1"/>
  <c r="AA13" i="1"/>
  <c r="AE13" i="1" s="1"/>
  <c r="AE15" i="1" s="1"/>
  <c r="AE6" i="1" s="1"/>
  <c r="W13" i="1"/>
  <c r="W15" i="1" s="1"/>
  <c r="V13" i="1"/>
  <c r="V15" i="1" s="1"/>
  <c r="U13" i="1"/>
  <c r="T13" i="1"/>
  <c r="F11" i="1"/>
  <c r="E11" i="1"/>
  <c r="E14" i="1" s="1"/>
  <c r="X9" i="1"/>
  <c r="C8" i="1"/>
  <c r="C7" i="1"/>
  <c r="W6" i="1"/>
  <c r="V6" i="1"/>
  <c r="R6" i="1"/>
  <c r="O6" i="1"/>
  <c r="N6" i="1"/>
  <c r="M6" i="1"/>
  <c r="J6" i="1"/>
  <c r="I6" i="1"/>
  <c r="H6" i="1"/>
  <c r="G6" i="1"/>
  <c r="F6" i="1"/>
  <c r="E6" i="1"/>
  <c r="AR5" i="1"/>
  <c r="AQ5" i="1"/>
  <c r="AP5" i="1"/>
  <c r="AO5" i="1"/>
  <c r="AN5" i="1"/>
  <c r="AM5" i="1"/>
  <c r="AL5" i="1"/>
  <c r="AK5" i="1"/>
  <c r="AJ5" i="1"/>
  <c r="AI5" i="1"/>
  <c r="AH5" i="1"/>
  <c r="AG5" i="1"/>
  <c r="AF5" i="1"/>
  <c r="AE5" i="1"/>
  <c r="AD5" i="1"/>
  <c r="AC5" i="1"/>
  <c r="AB5" i="1"/>
  <c r="AA5" i="1"/>
  <c r="Z5" i="1"/>
  <c r="Y5" i="1"/>
  <c r="X5" i="1"/>
  <c r="W5" i="1"/>
  <c r="V5" i="1"/>
  <c r="U5" i="1"/>
  <c r="T5" i="1"/>
  <c r="S5" i="1"/>
  <c r="R5" i="1"/>
  <c r="Q5" i="1"/>
  <c r="P5" i="1"/>
  <c r="O5" i="1"/>
  <c r="N5" i="1"/>
  <c r="M5" i="1"/>
  <c r="L5" i="1"/>
  <c r="K5" i="1"/>
  <c r="J5" i="1"/>
  <c r="I5" i="1"/>
  <c r="H5" i="1"/>
  <c r="G5" i="1"/>
  <c r="F5" i="1"/>
  <c r="E5" i="1"/>
  <c r="C4" i="1"/>
  <c r="F15" i="3"/>
  <c r="G14" i="3"/>
  <c r="F14" i="3"/>
  <c r="E14" i="3"/>
  <c r="D14" i="3"/>
  <c r="C14" i="3"/>
  <c r="C114" i="1" l="1"/>
  <c r="C12" i="3" s="1"/>
  <c r="E114" i="1"/>
  <c r="E123" i="1"/>
  <c r="E125" i="1" s="1"/>
  <c r="F116" i="1"/>
  <c r="G117" i="1"/>
  <c r="E115" i="1"/>
  <c r="C43" i="1"/>
  <c r="C44" i="1" s="1"/>
  <c r="C35" i="1"/>
  <c r="G37" i="1"/>
  <c r="F43" i="1"/>
  <c r="H37" i="1"/>
  <c r="H40" i="1" s="1"/>
  <c r="E47" i="1"/>
  <c r="E29" i="1" s="1"/>
  <c r="E49" i="1" s="1"/>
  <c r="E50" i="1" s="1"/>
  <c r="C16" i="4"/>
  <c r="R52" i="4" s="1"/>
  <c r="C16" i="12"/>
  <c r="R52" i="12" s="1"/>
  <c r="C16" i="10"/>
  <c r="R52" i="10" s="1"/>
  <c r="F14" i="1"/>
  <c r="G11" i="1"/>
  <c r="X41" i="1"/>
  <c r="X32" i="1" s="1"/>
  <c r="AB39" i="1"/>
  <c r="Q33" i="1"/>
  <c r="S33" i="1" s="1"/>
  <c r="U33" i="1" s="1"/>
  <c r="W33" i="1" s="1"/>
  <c r="Y33" i="1" s="1"/>
  <c r="AA33" i="1" s="1"/>
  <c r="AC33" i="1" s="1"/>
  <c r="AE33" i="1" s="1"/>
  <c r="AG33" i="1" s="1"/>
  <c r="AI33" i="1" s="1"/>
  <c r="AK33" i="1" s="1"/>
  <c r="AM33" i="1" s="1"/>
  <c r="AO33" i="1" s="1"/>
  <c r="AQ33" i="1" s="1"/>
  <c r="X13" i="1"/>
  <c r="T15" i="1"/>
  <c r="T6" i="1" s="1"/>
  <c r="C9" i="1"/>
  <c r="G12" i="3" s="1"/>
  <c r="C17" i="1"/>
  <c r="AC39" i="1"/>
  <c r="Y41" i="1"/>
  <c r="Y32" i="1" s="1"/>
  <c r="W66" i="1"/>
  <c r="S68" i="1"/>
  <c r="S59" i="1" s="1"/>
  <c r="C96" i="1"/>
  <c r="C88" i="1"/>
  <c r="D12" i="3" s="1"/>
  <c r="C9" i="13" s="1"/>
  <c r="R43" i="13" s="1"/>
  <c r="E9" i="1"/>
  <c r="E17" i="1"/>
  <c r="E12" i="1"/>
  <c r="F12" i="1"/>
  <c r="E67" i="1"/>
  <c r="Y13" i="1"/>
  <c r="U15" i="1"/>
  <c r="U6" i="1" s="1"/>
  <c r="T41" i="1"/>
  <c r="T32" i="1" s="1"/>
  <c r="AR9" i="1"/>
  <c r="N41" i="1"/>
  <c r="N32" i="1" s="1"/>
  <c r="R39" i="1"/>
  <c r="E10" i="1"/>
  <c r="Z13" i="1"/>
  <c r="AE39" i="1"/>
  <c r="AA41" i="1"/>
  <c r="AA32" i="1" s="1"/>
  <c r="E89" i="1"/>
  <c r="AI15" i="1"/>
  <c r="AI6" i="1" s="1"/>
  <c r="H38" i="1"/>
  <c r="C15" i="12"/>
  <c r="R53" i="12" s="1"/>
  <c r="C15" i="10"/>
  <c r="R53" i="10" s="1"/>
  <c r="C15" i="4"/>
  <c r="R53" i="4" s="1"/>
  <c r="S41" i="1"/>
  <c r="S32" i="1" s="1"/>
  <c r="F44" i="1"/>
  <c r="F45" i="1"/>
  <c r="C72" i="1"/>
  <c r="C71" i="1"/>
  <c r="G64" i="1"/>
  <c r="Z66" i="1"/>
  <c r="V68" i="1"/>
  <c r="V59" i="1" s="1"/>
  <c r="R68" i="1"/>
  <c r="R59" i="1" s="1"/>
  <c r="H67" i="1"/>
  <c r="J64" i="1"/>
  <c r="F65" i="1"/>
  <c r="E15" i="3" s="1"/>
  <c r="F67" i="1"/>
  <c r="C6" i="1"/>
  <c r="G9" i="3" s="1"/>
  <c r="C5" i="1"/>
  <c r="G8" i="3" s="1"/>
  <c r="H65" i="1"/>
  <c r="Q86" i="1"/>
  <c r="S86" i="1" s="1"/>
  <c r="C45" i="1"/>
  <c r="C46" i="1" s="1"/>
  <c r="P68" i="1"/>
  <c r="P59" i="1" s="1"/>
  <c r="T66" i="1"/>
  <c r="AK66" i="1"/>
  <c r="Y92" i="1"/>
  <c r="U94" i="1"/>
  <c r="U85" i="1" s="1"/>
  <c r="C91" i="1"/>
  <c r="C85" i="1"/>
  <c r="D9" i="3" s="1"/>
  <c r="C6" i="13" s="1"/>
  <c r="R42" i="13" s="1"/>
  <c r="C59" i="1"/>
  <c r="E9" i="3" s="1"/>
  <c r="U68" i="1"/>
  <c r="U59" i="1" s="1"/>
  <c r="E85" i="1"/>
  <c r="E91" i="1"/>
  <c r="E96" i="1"/>
  <c r="X118" i="1"/>
  <c r="T120" i="1"/>
  <c r="T111" i="1" s="1"/>
  <c r="U120" i="1"/>
  <c r="U111" i="1" s="1"/>
  <c r="Y118" i="1"/>
  <c r="M68" i="1"/>
  <c r="M59" i="1" s="1"/>
  <c r="F91" i="1"/>
  <c r="D15" i="3" s="1"/>
  <c r="H90" i="1"/>
  <c r="G90" i="1"/>
  <c r="AB92" i="1"/>
  <c r="X94" i="1"/>
  <c r="X85" i="1" s="1"/>
  <c r="F93" i="1"/>
  <c r="C125" i="1"/>
  <c r="C124" i="1"/>
  <c r="AA92" i="1"/>
  <c r="W94" i="1"/>
  <c r="W85" i="1" s="1"/>
  <c r="C117" i="1"/>
  <c r="C15" i="3" s="1"/>
  <c r="C111" i="1"/>
  <c r="C9" i="3" s="1"/>
  <c r="L120" i="1"/>
  <c r="L111" i="1" s="1"/>
  <c r="R92" i="1"/>
  <c r="N94" i="1"/>
  <c r="N85" i="1" s="1"/>
  <c r="O94" i="1"/>
  <c r="O85" i="1" s="1"/>
  <c r="R118" i="1"/>
  <c r="N120" i="1"/>
  <c r="N111" i="1" s="1"/>
  <c r="G119" i="1"/>
  <c r="I116" i="1"/>
  <c r="C28" i="4"/>
  <c r="R50" i="4"/>
  <c r="C87" i="4"/>
  <c r="G24" i="4"/>
  <c r="C5" i="4"/>
  <c r="R41" i="4" s="1"/>
  <c r="F8" i="3"/>
  <c r="C5" i="10" s="1"/>
  <c r="R41" i="10" s="1"/>
  <c r="F12" i="3"/>
  <c r="C32" i="1"/>
  <c r="F9" i="3" s="1"/>
  <c r="C63" i="1"/>
  <c r="E12" i="3"/>
  <c r="C8" i="3"/>
  <c r="E58" i="1"/>
  <c r="R51" i="4"/>
  <c r="F119" i="1" l="1"/>
  <c r="H116" i="1"/>
  <c r="F117" i="1"/>
  <c r="E126" i="1"/>
  <c r="D13" i="3"/>
  <c r="F7" i="2"/>
  <c r="J37" i="1"/>
  <c r="H35" i="1"/>
  <c r="H43" i="1"/>
  <c r="G40" i="1"/>
  <c r="I37" i="1"/>
  <c r="G38" i="1"/>
  <c r="F46" i="1"/>
  <c r="F47" i="1" s="1"/>
  <c r="AF92" i="1"/>
  <c r="AB94" i="1"/>
  <c r="AB85" i="1" s="1"/>
  <c r="C9" i="12"/>
  <c r="G104" i="12" s="1"/>
  <c r="N101" i="12" s="1"/>
  <c r="L12" i="3"/>
  <c r="R94" i="1"/>
  <c r="R85" i="1" s="1"/>
  <c r="V92" i="1"/>
  <c r="G91" i="1"/>
  <c r="I90" i="1"/>
  <c r="G93" i="1"/>
  <c r="T68" i="1"/>
  <c r="T59" i="1" s="1"/>
  <c r="X66" i="1"/>
  <c r="H62" i="1"/>
  <c r="H70" i="1"/>
  <c r="Y15" i="1"/>
  <c r="Y6" i="1" s="1"/>
  <c r="AC13" i="1"/>
  <c r="AA94" i="1"/>
  <c r="AA85" i="1" s="1"/>
  <c r="AE92" i="1"/>
  <c r="J90" i="1"/>
  <c r="H93" i="1"/>
  <c r="H91" i="1"/>
  <c r="I64" i="1"/>
  <c r="G67" i="1"/>
  <c r="G65" i="1"/>
  <c r="J38" i="1"/>
  <c r="J40" i="1"/>
  <c r="L37" i="1"/>
  <c r="Z15" i="1"/>
  <c r="Z6" i="1" s="1"/>
  <c r="AD13" i="1"/>
  <c r="E62" i="1"/>
  <c r="E63" i="1" s="1"/>
  <c r="E70" i="1"/>
  <c r="C98" i="1"/>
  <c r="C97" i="1"/>
  <c r="G14" i="1"/>
  <c r="H11" i="1"/>
  <c r="G12" i="1"/>
  <c r="L9" i="3"/>
  <c r="C6" i="12"/>
  <c r="F88" i="1"/>
  <c r="F89" i="1" s="1"/>
  <c r="F96" i="1"/>
  <c r="AC41" i="1"/>
  <c r="AC32" i="1" s="1"/>
  <c r="AG39" i="1"/>
  <c r="Y94" i="1"/>
  <c r="Y85" i="1" s="1"/>
  <c r="AC92" i="1"/>
  <c r="C115" i="1"/>
  <c r="C126" i="1" s="1"/>
  <c r="C16" i="3" s="1"/>
  <c r="R120" i="1"/>
  <c r="R111" i="1" s="1"/>
  <c r="V118" i="1"/>
  <c r="AO66" i="1"/>
  <c r="AO68" i="1" s="1"/>
  <c r="AO59" i="1" s="1"/>
  <c r="AK68" i="1"/>
  <c r="AK59" i="1" s="1"/>
  <c r="AI39" i="1"/>
  <c r="AE41" i="1"/>
  <c r="AE32" i="1" s="1"/>
  <c r="C19" i="1"/>
  <c r="C18" i="1"/>
  <c r="C20" i="1" s="1"/>
  <c r="AB13" i="1"/>
  <c r="X15" i="1"/>
  <c r="AD66" i="1"/>
  <c r="Z68" i="1"/>
  <c r="Z59" i="1" s="1"/>
  <c r="AF39" i="1"/>
  <c r="AB41" i="1"/>
  <c r="AB32" i="1" s="1"/>
  <c r="C10" i="1"/>
  <c r="C21" i="1" s="1"/>
  <c r="G16" i="3" s="1"/>
  <c r="F17" i="1"/>
  <c r="F9" i="1"/>
  <c r="Y120" i="1"/>
  <c r="Y111" i="1" s="1"/>
  <c r="AC118" i="1"/>
  <c r="U86" i="1"/>
  <c r="W86" i="1" s="1"/>
  <c r="Y86" i="1" s="1"/>
  <c r="AA86" i="1" s="1"/>
  <c r="AC86" i="1" s="1"/>
  <c r="AE86" i="1" s="1"/>
  <c r="AG86" i="1" s="1"/>
  <c r="AI86" i="1" s="1"/>
  <c r="AK86" i="1" s="1"/>
  <c r="AM86" i="1" s="1"/>
  <c r="AO86" i="1" s="1"/>
  <c r="AQ86" i="1" s="1"/>
  <c r="F70" i="1"/>
  <c r="F62" i="1"/>
  <c r="F63" i="1" s="1"/>
  <c r="V39" i="1"/>
  <c r="R41" i="1"/>
  <c r="R32" i="1" s="1"/>
  <c r="C13" i="3"/>
  <c r="E18" i="1"/>
  <c r="E19" i="1"/>
  <c r="I119" i="1"/>
  <c r="I117" i="1"/>
  <c r="K116" i="1"/>
  <c r="X120" i="1"/>
  <c r="X111" i="1" s="1"/>
  <c r="AB118" i="1"/>
  <c r="L64" i="1"/>
  <c r="J65" i="1"/>
  <c r="J67" i="1"/>
  <c r="C89" i="1"/>
  <c r="G122" i="1"/>
  <c r="G114" i="1"/>
  <c r="G115" i="1" s="1"/>
  <c r="E97" i="1"/>
  <c r="E98" i="1"/>
  <c r="L8" i="3"/>
  <c r="C5" i="12"/>
  <c r="C73" i="1"/>
  <c r="C74" i="1" s="1"/>
  <c r="W68" i="1"/>
  <c r="W59" i="1" s="1"/>
  <c r="AA66" i="1"/>
  <c r="G13" i="3"/>
  <c r="F13" i="3"/>
  <c r="C4" i="10" s="1"/>
  <c r="R36" i="10" s="1"/>
  <c r="C6" i="10"/>
  <c r="R42" i="10" s="1"/>
  <c r="C36" i="1"/>
  <c r="C47" i="1" s="1"/>
  <c r="F16" i="3" s="1"/>
  <c r="C1" i="10" s="1"/>
  <c r="C9" i="10"/>
  <c r="R43" i="10" s="1"/>
  <c r="C9" i="4"/>
  <c r="R43" i="4" s="1"/>
  <c r="C6" i="4"/>
  <c r="R42" i="4" s="1"/>
  <c r="E8" i="3"/>
  <c r="E13" i="3" s="1"/>
  <c r="H63" i="1"/>
  <c r="C108" i="1"/>
  <c r="F10" i="1"/>
  <c r="R43" i="12" l="1"/>
  <c r="B64" i="8"/>
  <c r="C4" i="13"/>
  <c r="E108" i="1"/>
  <c r="E128" i="1" s="1"/>
  <c r="E129" i="1" s="1"/>
  <c r="C7" i="2"/>
  <c r="J116" i="1"/>
  <c r="H117" i="1"/>
  <c r="H119" i="1"/>
  <c r="F114" i="1"/>
  <c r="F115" i="1" s="1"/>
  <c r="F122" i="1"/>
  <c r="I40" i="1"/>
  <c r="K37" i="1"/>
  <c r="I38" i="1"/>
  <c r="G43" i="1"/>
  <c r="G35" i="1"/>
  <c r="H44" i="1"/>
  <c r="H45" i="1"/>
  <c r="E16" i="3"/>
  <c r="C56" i="1"/>
  <c r="F8" i="2"/>
  <c r="F29" i="1"/>
  <c r="F49" i="1" s="1"/>
  <c r="F50" i="1" s="1"/>
  <c r="I93" i="1"/>
  <c r="I91" i="1"/>
  <c r="K90" i="1"/>
  <c r="AM39" i="1"/>
  <c r="AI41" i="1"/>
  <c r="AI32" i="1" s="1"/>
  <c r="I114" i="1"/>
  <c r="I115" i="1" s="1"/>
  <c r="I122" i="1"/>
  <c r="AE66" i="1"/>
  <c r="AA68" i="1"/>
  <c r="AA59" i="1" s="1"/>
  <c r="J62" i="1"/>
  <c r="J70" i="1"/>
  <c r="AC120" i="1"/>
  <c r="AC111" i="1" s="1"/>
  <c r="AG118" i="1"/>
  <c r="X12" i="1"/>
  <c r="X6" i="1"/>
  <c r="X17" i="1"/>
  <c r="AG41" i="1"/>
  <c r="AG32" i="1" s="1"/>
  <c r="AK39" i="1"/>
  <c r="H96" i="1"/>
  <c r="H88" i="1"/>
  <c r="H89" i="1" s="1"/>
  <c r="L67" i="1"/>
  <c r="L65" i="1"/>
  <c r="N64" i="1"/>
  <c r="AJ39" i="1"/>
  <c r="AF41" i="1"/>
  <c r="AF32" i="1" s="1"/>
  <c r="AF13" i="1"/>
  <c r="AB15" i="1"/>
  <c r="AB6" i="1" s="1"/>
  <c r="L14" i="3"/>
  <c r="H14" i="1"/>
  <c r="I11" i="1"/>
  <c r="H12" i="1"/>
  <c r="L15" i="3" s="1"/>
  <c r="L40" i="1"/>
  <c r="N37" i="1"/>
  <c r="L38" i="1"/>
  <c r="J93" i="1"/>
  <c r="L90" i="1"/>
  <c r="J91" i="1"/>
  <c r="X68" i="1"/>
  <c r="X59" i="1" s="1"/>
  <c r="AB66" i="1"/>
  <c r="F18" i="1"/>
  <c r="F20" i="1" s="1"/>
  <c r="F21" i="1" s="1"/>
  <c r="F19" i="1"/>
  <c r="G123" i="1"/>
  <c r="G124" i="1"/>
  <c r="E20" i="1"/>
  <c r="E21" i="1" s="1"/>
  <c r="Z118" i="1"/>
  <c r="V120" i="1"/>
  <c r="V111" i="1" s="1"/>
  <c r="G102" i="12"/>
  <c r="R41" i="12"/>
  <c r="AF118" i="1"/>
  <c r="AB120" i="1"/>
  <c r="AB111" i="1" s="1"/>
  <c r="G9" i="1"/>
  <c r="G10" i="1" s="1"/>
  <c r="G17" i="1"/>
  <c r="J35" i="1"/>
  <c r="J43" i="1"/>
  <c r="AI92" i="1"/>
  <c r="AE94" i="1"/>
  <c r="AE85" i="1" s="1"/>
  <c r="M116" i="1"/>
  <c r="K117" i="1"/>
  <c r="K119" i="1"/>
  <c r="F98" i="1"/>
  <c r="F97" i="1"/>
  <c r="F99" i="1" s="1"/>
  <c r="F100" i="1" s="1"/>
  <c r="C1" i="12"/>
  <c r="E41" i="12" s="1"/>
  <c r="L16" i="3"/>
  <c r="F71" i="1"/>
  <c r="F72" i="1"/>
  <c r="E72" i="1"/>
  <c r="E71" i="1"/>
  <c r="E73" i="1" s="1"/>
  <c r="E74" i="1" s="1"/>
  <c r="G70" i="1"/>
  <c r="G62" i="1"/>
  <c r="G63" i="1" s="1"/>
  <c r="AG13" i="1"/>
  <c r="AC15" i="1"/>
  <c r="AC6" i="1" s="1"/>
  <c r="G103" i="12"/>
  <c r="N100" i="12" s="1"/>
  <c r="R42" i="12"/>
  <c r="I67" i="1"/>
  <c r="K64" i="1"/>
  <c r="I65" i="1"/>
  <c r="V94" i="1"/>
  <c r="V85" i="1" s="1"/>
  <c r="Z92" i="1"/>
  <c r="AD15" i="1"/>
  <c r="AD6" i="1" s="1"/>
  <c r="AH13" i="1"/>
  <c r="H71" i="1"/>
  <c r="H72" i="1"/>
  <c r="L13" i="3"/>
  <c r="E99" i="1"/>
  <c r="E100" i="1" s="1"/>
  <c r="V41" i="1"/>
  <c r="V32" i="1" s="1"/>
  <c r="Z39" i="1"/>
  <c r="AH66" i="1"/>
  <c r="AD68" i="1"/>
  <c r="AD59" i="1" s="1"/>
  <c r="AG92" i="1"/>
  <c r="AC94" i="1"/>
  <c r="AC85" i="1" s="1"/>
  <c r="C99" i="1"/>
  <c r="C100" i="1" s="1"/>
  <c r="G88" i="1"/>
  <c r="G89" i="1" s="1"/>
  <c r="G96" i="1"/>
  <c r="AF94" i="1"/>
  <c r="AF85" i="1" s="1"/>
  <c r="AJ92" i="1"/>
  <c r="E44" i="12"/>
  <c r="E10" i="12"/>
  <c r="AZ10" i="12"/>
  <c r="AQ10" i="12"/>
  <c r="T10" i="12"/>
  <c r="E69" i="12"/>
  <c r="R49" i="12"/>
  <c r="E52" i="12"/>
  <c r="E76" i="12"/>
  <c r="E67" i="12"/>
  <c r="C4" i="12"/>
  <c r="H27" i="12" s="1"/>
  <c r="C29" i="1"/>
  <c r="C49" i="1" s="1"/>
  <c r="C50" i="1" s="1"/>
  <c r="C10" i="10"/>
  <c r="H27" i="10" s="1"/>
  <c r="R44" i="10"/>
  <c r="E52" i="10"/>
  <c r="E42" i="10"/>
  <c r="E32" i="10"/>
  <c r="BK10" i="10"/>
  <c r="AX10" i="10"/>
  <c r="AK10" i="10"/>
  <c r="X10" i="10"/>
  <c r="K10" i="10"/>
  <c r="BE10" i="10"/>
  <c r="AC10" i="10"/>
  <c r="BB10" i="10"/>
  <c r="BA10" i="10"/>
  <c r="AZ10" i="10"/>
  <c r="AL10" i="10"/>
  <c r="BJ10" i="10"/>
  <c r="AW10" i="10"/>
  <c r="AJ10" i="10"/>
  <c r="W10" i="10"/>
  <c r="J10" i="10"/>
  <c r="E86" i="10"/>
  <c r="AI10" i="10"/>
  <c r="I10" i="10"/>
  <c r="AG10" i="10"/>
  <c r="R10" i="10"/>
  <c r="AR10" i="10"/>
  <c r="BD10" i="10"/>
  <c r="AO10" i="10"/>
  <c r="E33" i="10"/>
  <c r="Z10" i="10"/>
  <c r="Y10" i="10"/>
  <c r="E48" i="10"/>
  <c r="E41" i="10"/>
  <c r="E35" i="10"/>
  <c r="E31" i="10"/>
  <c r="BI10" i="10"/>
  <c r="AV10" i="10"/>
  <c r="V10" i="10"/>
  <c r="F10" i="10"/>
  <c r="E10" i="10"/>
  <c r="D10" i="10"/>
  <c r="E28" i="10"/>
  <c r="AN10" i="10"/>
  <c r="E36" i="10"/>
  <c r="L10" i="10"/>
  <c r="BH10" i="10"/>
  <c r="AU10" i="10"/>
  <c r="AH10" i="10"/>
  <c r="U10" i="10"/>
  <c r="H10" i="10"/>
  <c r="E30" i="10"/>
  <c r="AT10" i="10"/>
  <c r="T10" i="10"/>
  <c r="AF10" i="10"/>
  <c r="AD10" i="10"/>
  <c r="AP10" i="10"/>
  <c r="AB10" i="10"/>
  <c r="AA10" i="10"/>
  <c r="M10" i="10"/>
  <c r="AY10" i="10"/>
  <c r="E40" i="10"/>
  <c r="BG10" i="10"/>
  <c r="Q10" i="10"/>
  <c r="P10" i="10"/>
  <c r="O10" i="10"/>
  <c r="N10" i="10"/>
  <c r="AM10" i="10"/>
  <c r="E49" i="10"/>
  <c r="E46" i="10"/>
  <c r="E34" i="10"/>
  <c r="BF10" i="10"/>
  <c r="AS10" i="10"/>
  <c r="E51" i="10"/>
  <c r="E38" i="10"/>
  <c r="E50" i="10"/>
  <c r="E43" i="10"/>
  <c r="E59" i="10"/>
  <c r="E83" i="10"/>
  <c r="E56" i="10"/>
  <c r="E80" i="10"/>
  <c r="E61" i="10"/>
  <c r="E85" i="10"/>
  <c r="E58" i="10"/>
  <c r="E82" i="10"/>
  <c r="E39" i="10"/>
  <c r="E87" i="10"/>
  <c r="E60" i="10"/>
  <c r="E84" i="10"/>
  <c r="E65" i="10"/>
  <c r="G10" i="10"/>
  <c r="E62" i="10"/>
  <c r="S10" i="10"/>
  <c r="E64" i="10"/>
  <c r="E69" i="10"/>
  <c r="E66" i="10"/>
  <c r="R49" i="10"/>
  <c r="E74" i="10"/>
  <c r="E79" i="10"/>
  <c r="E78" i="10"/>
  <c r="E63" i="10"/>
  <c r="E67" i="10"/>
  <c r="AE10" i="10"/>
  <c r="E71" i="10"/>
  <c r="AQ10" i="10"/>
  <c r="E44" i="10"/>
  <c r="E75" i="10"/>
  <c r="E53" i="10"/>
  <c r="E76" i="10"/>
  <c r="E54" i="10"/>
  <c r="E37" i="10"/>
  <c r="E68" i="10"/>
  <c r="E73" i="10"/>
  <c r="E70" i="10"/>
  <c r="E29" i="10"/>
  <c r="E72" i="10"/>
  <c r="E77" i="10"/>
  <c r="E45" i="10"/>
  <c r="E55" i="10"/>
  <c r="E47" i="10"/>
  <c r="E81" i="10"/>
  <c r="BC10" i="10"/>
  <c r="E57" i="10"/>
  <c r="C1" i="4"/>
  <c r="C4" i="4"/>
  <c r="C10" i="4" s="1"/>
  <c r="H23" i="4" s="1"/>
  <c r="C3" i="1"/>
  <c r="G4" i="3" s="1"/>
  <c r="J63" i="1"/>
  <c r="F4" i="3"/>
  <c r="C3" i="10" s="1"/>
  <c r="E4" i="3"/>
  <c r="C76" i="1"/>
  <c r="C77" i="1" s="1"/>
  <c r="C4" i="3"/>
  <c r="C128" i="1"/>
  <c r="C129" i="1" s="1"/>
  <c r="BI10" i="12" l="1"/>
  <c r="I10" i="12"/>
  <c r="E40" i="12"/>
  <c r="BK10" i="12"/>
  <c r="E39" i="12"/>
  <c r="R36" i="13"/>
  <c r="R44" i="13" s="1"/>
  <c r="C10" i="13"/>
  <c r="F124" i="1"/>
  <c r="F123" i="1"/>
  <c r="F125" i="1" s="1"/>
  <c r="F126" i="1" s="1"/>
  <c r="H122" i="1"/>
  <c r="H114" i="1"/>
  <c r="H115" i="1" s="1"/>
  <c r="J119" i="1"/>
  <c r="L116" i="1"/>
  <c r="J117" i="1"/>
  <c r="E82" i="1"/>
  <c r="E102" i="1" s="1"/>
  <c r="E103" i="1" s="1"/>
  <c r="D7" i="2"/>
  <c r="H46" i="1"/>
  <c r="H47" i="1" s="1"/>
  <c r="G45" i="1"/>
  <c r="G44" i="1"/>
  <c r="K38" i="1"/>
  <c r="M37" i="1"/>
  <c r="K40" i="1"/>
  <c r="I35" i="1"/>
  <c r="I43" i="1"/>
  <c r="E7" i="2"/>
  <c r="E56" i="1"/>
  <c r="E76" i="1" s="1"/>
  <c r="E77" i="1" s="1"/>
  <c r="D16" i="3"/>
  <c r="C82" i="1"/>
  <c r="D8" i="2"/>
  <c r="F82" i="1"/>
  <c r="F102" i="1" s="1"/>
  <c r="F103" i="1" s="1"/>
  <c r="G8" i="2"/>
  <c r="F3" i="1"/>
  <c r="F23" i="1" s="1"/>
  <c r="F24" i="1" s="1"/>
  <c r="AG120" i="1"/>
  <c r="AG111" i="1" s="1"/>
  <c r="AK118" i="1"/>
  <c r="I124" i="1"/>
  <c r="I123" i="1"/>
  <c r="I125" i="1" s="1"/>
  <c r="I126" i="1" s="1"/>
  <c r="I108" i="1" s="1"/>
  <c r="I128" i="1" s="1"/>
  <c r="I129" i="1" s="1"/>
  <c r="I88" i="1"/>
  <c r="I89" i="1" s="1"/>
  <c r="I96" i="1"/>
  <c r="E59" i="12"/>
  <c r="E81" i="12"/>
  <c r="E77" i="12"/>
  <c r="W10" i="12"/>
  <c r="AP10" i="12"/>
  <c r="E65" i="12"/>
  <c r="E60" i="12"/>
  <c r="E50" i="12"/>
  <c r="V10" i="12"/>
  <c r="E37" i="12"/>
  <c r="O10" i="12"/>
  <c r="AG10" i="12"/>
  <c r="E62" i="12"/>
  <c r="AC10" i="12"/>
  <c r="E51" i="12"/>
  <c r="G18" i="1"/>
  <c r="G20" i="1" s="1"/>
  <c r="G21" i="1" s="1"/>
  <c r="G19" i="1"/>
  <c r="AJ13" i="1"/>
  <c r="AF15" i="1"/>
  <c r="AF6" i="1" s="1"/>
  <c r="E35" i="12"/>
  <c r="BB10" i="12"/>
  <c r="AE10" i="12"/>
  <c r="AI10" i="12"/>
  <c r="AF10" i="12"/>
  <c r="E78" i="12"/>
  <c r="M10" i="12"/>
  <c r="E53" i="12"/>
  <c r="E36" i="12"/>
  <c r="E47" i="12"/>
  <c r="AA10" i="12"/>
  <c r="E29" i="12"/>
  <c r="E84" i="12"/>
  <c r="AO10" i="12"/>
  <c r="E54" i="12"/>
  <c r="K122" i="1"/>
  <c r="K114" i="1"/>
  <c r="K115" i="1" s="1"/>
  <c r="N40" i="1"/>
  <c r="N38" i="1"/>
  <c r="P37" i="1"/>
  <c r="H97" i="1"/>
  <c r="H98" i="1"/>
  <c r="J72" i="1"/>
  <c r="J71" i="1"/>
  <c r="J73" i="1" s="1"/>
  <c r="J74" i="1" s="1"/>
  <c r="AH68" i="1"/>
  <c r="AH59" i="1" s="1"/>
  <c r="AL66" i="1"/>
  <c r="J45" i="1"/>
  <c r="J44" i="1"/>
  <c r="J46" i="1" s="1"/>
  <c r="J47" i="1" s="1"/>
  <c r="C3" i="12"/>
  <c r="H23" i="12" s="1"/>
  <c r="L4" i="3"/>
  <c r="E63" i="12"/>
  <c r="E64" i="12"/>
  <c r="K10" i="12"/>
  <c r="E33" i="12"/>
  <c r="BF10" i="12"/>
  <c r="E43" i="12"/>
  <c r="U10" i="12"/>
  <c r="E30" i="12"/>
  <c r="AR10" i="12"/>
  <c r="E34" i="12"/>
  <c r="Q10" i="12"/>
  <c r="E48" i="12"/>
  <c r="AD39" i="1"/>
  <c r="Z41" i="1"/>
  <c r="Z32" i="1" s="1"/>
  <c r="Z94" i="1"/>
  <c r="Z85" i="1" s="1"/>
  <c r="AD92" i="1"/>
  <c r="J96" i="1"/>
  <c r="J88" i="1"/>
  <c r="J89" i="1" s="1"/>
  <c r="BC10" i="12"/>
  <c r="AU10" i="12"/>
  <c r="L10" i="12"/>
  <c r="F10" i="12"/>
  <c r="Y10" i="12"/>
  <c r="N10" i="12"/>
  <c r="E57" i="12"/>
  <c r="D10" i="12"/>
  <c r="E68" i="12"/>
  <c r="E58" i="12"/>
  <c r="L43" i="1"/>
  <c r="L35" i="1"/>
  <c r="E31" i="12"/>
  <c r="E71" i="12"/>
  <c r="E83" i="12"/>
  <c r="E42" i="12"/>
  <c r="BE10" i="12"/>
  <c r="E46" i="12"/>
  <c r="AJ10" i="12"/>
  <c r="H10" i="12"/>
  <c r="AW10" i="12"/>
  <c r="AD10" i="12"/>
  <c r="AL10" i="12"/>
  <c r="E72" i="12"/>
  <c r="E66" i="12"/>
  <c r="AB10" i="12"/>
  <c r="AT10" i="12"/>
  <c r="E38" i="12"/>
  <c r="E87" i="12"/>
  <c r="AG94" i="1"/>
  <c r="AG85" i="1" s="1"/>
  <c r="AK92" i="1"/>
  <c r="H73" i="1"/>
  <c r="H74" i="1" s="1"/>
  <c r="F73" i="1"/>
  <c r="F74" i="1" s="1"/>
  <c r="E3" i="1"/>
  <c r="E23" i="1" s="1"/>
  <c r="E24" i="1" s="1"/>
  <c r="G7" i="2"/>
  <c r="G125" i="1"/>
  <c r="G126" i="1" s="1"/>
  <c r="I12" i="1"/>
  <c r="I14" i="1"/>
  <c r="J11" i="1"/>
  <c r="N67" i="1"/>
  <c r="N65" i="1"/>
  <c r="P64" i="1"/>
  <c r="X19" i="1"/>
  <c r="X18" i="1"/>
  <c r="X20" i="1" s="1"/>
  <c r="AE68" i="1"/>
  <c r="AE59" i="1" s="1"/>
  <c r="AI66" i="1"/>
  <c r="AQ39" i="1"/>
  <c r="AQ41" i="1" s="1"/>
  <c r="AQ32" i="1" s="1"/>
  <c r="AM41" i="1"/>
  <c r="AM32" i="1" s="1"/>
  <c r="E55" i="12"/>
  <c r="E82" i="12"/>
  <c r="AH10" i="12"/>
  <c r="G97" i="1"/>
  <c r="G98" i="1"/>
  <c r="N99" i="12"/>
  <c r="M98" i="12" s="1"/>
  <c r="E28" i="12"/>
  <c r="E86" i="12"/>
  <c r="E61" i="12"/>
  <c r="AM10" i="12"/>
  <c r="BA10" i="12"/>
  <c r="K65" i="1"/>
  <c r="M64" i="1"/>
  <c r="K67" i="1"/>
  <c r="AN39" i="1"/>
  <c r="AJ41" i="1"/>
  <c r="AJ32" i="1" s="1"/>
  <c r="AK41" i="1"/>
  <c r="AK32" i="1" s="1"/>
  <c r="AO39" i="1"/>
  <c r="AO41" i="1" s="1"/>
  <c r="AO32" i="1" s="1"/>
  <c r="BG10" i="12"/>
  <c r="E85" i="12"/>
  <c r="E32" i="12"/>
  <c r="BH10" i="12"/>
  <c r="X10" i="12"/>
  <c r="S10" i="12"/>
  <c r="AK10" i="12"/>
  <c r="E74" i="12"/>
  <c r="Z10" i="12"/>
  <c r="E70" i="12"/>
  <c r="AY10" i="12"/>
  <c r="P10" i="12"/>
  <c r="AS10" i="12"/>
  <c r="E80" i="12"/>
  <c r="I62" i="1"/>
  <c r="I63" i="1" s="1"/>
  <c r="I70" i="1"/>
  <c r="AG15" i="1"/>
  <c r="AG6" i="1" s="1"/>
  <c r="AK13" i="1"/>
  <c r="M119" i="1"/>
  <c r="M117" i="1"/>
  <c r="O116" i="1"/>
  <c r="AD118" i="1"/>
  <c r="Z120" i="1"/>
  <c r="Z111" i="1" s="1"/>
  <c r="AF66" i="1"/>
  <c r="AB68" i="1"/>
  <c r="AB59" i="1" s="1"/>
  <c r="H23" i="10"/>
  <c r="E75" i="12"/>
  <c r="E79" i="12"/>
  <c r="E49" i="12"/>
  <c r="J10" i="12"/>
  <c r="E56" i="12"/>
  <c r="AV10" i="12"/>
  <c r="E45" i="12"/>
  <c r="BJ10" i="12"/>
  <c r="G10" i="12"/>
  <c r="AX10" i="12"/>
  <c r="BD10" i="12"/>
  <c r="R10" i="12"/>
  <c r="AN10" i="12"/>
  <c r="E73" i="12"/>
  <c r="AJ94" i="1"/>
  <c r="AJ85" i="1" s="1"/>
  <c r="AN92" i="1"/>
  <c r="AL13" i="1"/>
  <c r="AH15" i="1"/>
  <c r="AH6" i="1" s="1"/>
  <c r="G71" i="1"/>
  <c r="G72" i="1"/>
  <c r="AM92" i="1"/>
  <c r="AI94" i="1"/>
  <c r="AI85" i="1" s="1"/>
  <c r="AF120" i="1"/>
  <c r="AF111" i="1" s="1"/>
  <c r="AJ118" i="1"/>
  <c r="H17" i="1"/>
  <c r="H9" i="1"/>
  <c r="H10" i="1" s="1"/>
  <c r="M90" i="1"/>
  <c r="K93" i="1"/>
  <c r="K91" i="1"/>
  <c r="L91" i="1"/>
  <c r="L93" i="1"/>
  <c r="N90" i="1"/>
  <c r="L70" i="1"/>
  <c r="L62" i="1"/>
  <c r="L63" i="1" s="1"/>
  <c r="C12" i="12"/>
  <c r="R36" i="12"/>
  <c r="R44" i="12" s="1"/>
  <c r="C10" i="12"/>
  <c r="D10" i="4"/>
  <c r="V10" i="4"/>
  <c r="BB10" i="4"/>
  <c r="E53" i="4"/>
  <c r="E70" i="4"/>
  <c r="E85" i="4"/>
  <c r="E43" i="4"/>
  <c r="E37" i="4"/>
  <c r="AD10" i="4"/>
  <c r="E75" i="4"/>
  <c r="E61" i="4"/>
  <c r="E62" i="4"/>
  <c r="E54" i="4"/>
  <c r="E45" i="4"/>
  <c r="E42" i="4"/>
  <c r="AI10" i="4"/>
  <c r="BD10" i="4"/>
  <c r="BG10" i="4"/>
  <c r="N10" i="4"/>
  <c r="Y10" i="4"/>
  <c r="E31" i="4"/>
  <c r="AB10" i="4"/>
  <c r="AK10" i="4"/>
  <c r="E50" i="4"/>
  <c r="E10" i="4"/>
  <c r="AM10" i="4"/>
  <c r="E64" i="4"/>
  <c r="AN10" i="4"/>
  <c r="E87" i="4"/>
  <c r="AY10" i="4"/>
  <c r="E78" i="4"/>
  <c r="E29" i="4"/>
  <c r="E51" i="4"/>
  <c r="BE10" i="4"/>
  <c r="Z10" i="4"/>
  <c r="AR10" i="4"/>
  <c r="E41" i="4"/>
  <c r="X10" i="4"/>
  <c r="E28" i="4"/>
  <c r="J10" i="4"/>
  <c r="E72" i="4"/>
  <c r="E82" i="4"/>
  <c r="E38" i="4"/>
  <c r="G10" i="4"/>
  <c r="E59" i="4"/>
  <c r="W10" i="4"/>
  <c r="E86" i="4"/>
  <c r="E83" i="4"/>
  <c r="AL10" i="4"/>
  <c r="AS10" i="4"/>
  <c r="S10" i="4"/>
  <c r="E32" i="4"/>
  <c r="AT10" i="4"/>
  <c r="AP10" i="4"/>
  <c r="E80" i="4"/>
  <c r="AE10" i="4"/>
  <c r="E40" i="4"/>
  <c r="BF10" i="4"/>
  <c r="I10" i="4"/>
  <c r="E34" i="4"/>
  <c r="U10" i="4"/>
  <c r="E57" i="4"/>
  <c r="E36" i="4"/>
  <c r="E84" i="4"/>
  <c r="AV10" i="4"/>
  <c r="E67" i="4"/>
  <c r="F10" i="4"/>
  <c r="BC10" i="4"/>
  <c r="BI10" i="4"/>
  <c r="E81" i="4"/>
  <c r="T10" i="4"/>
  <c r="AC10" i="4"/>
  <c r="C12" i="10"/>
  <c r="D12" i="10" s="1"/>
  <c r="E88" i="10"/>
  <c r="E46" i="4"/>
  <c r="AG10" i="4"/>
  <c r="P10" i="4"/>
  <c r="H27" i="4"/>
  <c r="R36" i="4"/>
  <c r="R44" i="4" s="1"/>
  <c r="R49" i="4"/>
  <c r="AX10" i="4"/>
  <c r="AU10" i="4"/>
  <c r="E55" i="4"/>
  <c r="BH10" i="4"/>
  <c r="AH10" i="4"/>
  <c r="E47" i="4"/>
  <c r="E39" i="4"/>
  <c r="E74" i="4"/>
  <c r="AO10" i="4"/>
  <c r="BA10" i="4"/>
  <c r="E68" i="4"/>
  <c r="AA10" i="4"/>
  <c r="E77" i="4"/>
  <c r="E65" i="4"/>
  <c r="E30" i="4"/>
  <c r="E33" i="4"/>
  <c r="O10" i="4"/>
  <c r="E73" i="4"/>
  <c r="E76" i="4"/>
  <c r="E49" i="4"/>
  <c r="E52" i="4"/>
  <c r="L10" i="4"/>
  <c r="E44" i="4"/>
  <c r="BK10" i="4"/>
  <c r="R10" i="4"/>
  <c r="BJ10" i="4"/>
  <c r="E58" i="4"/>
  <c r="AW10" i="4"/>
  <c r="Q10" i="4"/>
  <c r="AJ10" i="4"/>
  <c r="K10" i="4"/>
  <c r="AF10" i="4"/>
  <c r="E56" i="4"/>
  <c r="AZ10" i="4"/>
  <c r="M10" i="4"/>
  <c r="H10" i="4"/>
  <c r="E69" i="4"/>
  <c r="E66" i="4"/>
  <c r="E35" i="4"/>
  <c r="AQ10" i="4"/>
  <c r="E60" i="4"/>
  <c r="E79" i="4"/>
  <c r="E71" i="4"/>
  <c r="E63" i="4"/>
  <c r="E48" i="4"/>
  <c r="C23" i="1"/>
  <c r="C24" i="1" s="1"/>
  <c r="E88" i="12" l="1"/>
  <c r="X20" i="8"/>
  <c r="C1" i="13"/>
  <c r="G64" i="8"/>
  <c r="H27" i="13"/>
  <c r="H23" i="13"/>
  <c r="L119" i="1"/>
  <c r="L117" i="1"/>
  <c r="N116" i="1"/>
  <c r="J122" i="1"/>
  <c r="J114" i="1"/>
  <c r="J115" i="1" s="1"/>
  <c r="H124" i="1"/>
  <c r="H123" i="1"/>
  <c r="H125" i="1" s="1"/>
  <c r="H126" i="1" s="1"/>
  <c r="F108" i="1"/>
  <c r="F128" i="1" s="1"/>
  <c r="F129" i="1" s="1"/>
  <c r="C8" i="2"/>
  <c r="H99" i="1"/>
  <c r="H100" i="1" s="1"/>
  <c r="G73" i="1"/>
  <c r="G74" i="1" s="1"/>
  <c r="G46" i="1"/>
  <c r="G47" i="1" s="1"/>
  <c r="F9" i="2" s="1"/>
  <c r="I45" i="1"/>
  <c r="I44" i="1"/>
  <c r="K43" i="1"/>
  <c r="K35" i="1"/>
  <c r="M40" i="1"/>
  <c r="O37" i="1"/>
  <c r="M38" i="1"/>
  <c r="G29" i="1"/>
  <c r="G49" i="1" s="1"/>
  <c r="G50" i="1" s="1"/>
  <c r="H29" i="1"/>
  <c r="H49" i="1" s="1"/>
  <c r="H50" i="1" s="1"/>
  <c r="F10" i="2"/>
  <c r="J29" i="1"/>
  <c r="J49" i="1" s="1"/>
  <c r="J50" i="1" s="1"/>
  <c r="F11" i="2"/>
  <c r="E11" i="2"/>
  <c r="J56" i="1"/>
  <c r="J76" i="1" s="1"/>
  <c r="J77" i="1" s="1"/>
  <c r="D10" i="2"/>
  <c r="H82" i="1"/>
  <c r="H102" i="1" s="1"/>
  <c r="H103" i="1" s="1"/>
  <c r="M122" i="1"/>
  <c r="M114" i="1"/>
  <c r="M115" i="1" s="1"/>
  <c r="J97" i="1"/>
  <c r="J99" i="1" s="1"/>
  <c r="J100" i="1" s="1"/>
  <c r="J98" i="1"/>
  <c r="AQ92" i="1"/>
  <c r="AQ94" i="1" s="1"/>
  <c r="AQ85" i="1" s="1"/>
  <c r="AM94" i="1"/>
  <c r="AM85" i="1" s="1"/>
  <c r="AF68" i="1"/>
  <c r="AF59" i="1" s="1"/>
  <c r="AJ66" i="1"/>
  <c r="AO13" i="1"/>
  <c r="AO15" i="1" s="1"/>
  <c r="AO6" i="1" s="1"/>
  <c r="AK15" i="1"/>
  <c r="AK6" i="1" s="1"/>
  <c r="AR39" i="1"/>
  <c r="AR41" i="1" s="1"/>
  <c r="AR32" i="1" s="1"/>
  <c r="AN41" i="1"/>
  <c r="AN32" i="1" s="1"/>
  <c r="G108" i="1"/>
  <c r="G128" i="1" s="1"/>
  <c r="G129" i="1" s="1"/>
  <c r="C9" i="2"/>
  <c r="AH92" i="1"/>
  <c r="AD94" i="1"/>
  <c r="AD85" i="1" s="1"/>
  <c r="AN13" i="1"/>
  <c r="AJ15" i="1"/>
  <c r="AJ6" i="1" s="1"/>
  <c r="D4" i="3"/>
  <c r="C3" i="13" s="1"/>
  <c r="C102" i="1"/>
  <c r="C103" i="1" s="1"/>
  <c r="K96" i="1"/>
  <c r="K88" i="1"/>
  <c r="K89" i="1" s="1"/>
  <c r="AK120" i="1"/>
  <c r="AK111" i="1" s="1"/>
  <c r="AO118" i="1"/>
  <c r="AO120" i="1" s="1"/>
  <c r="AO111" i="1" s="1"/>
  <c r="AD41" i="1"/>
  <c r="AD32" i="1" s="1"/>
  <c r="AH39" i="1"/>
  <c r="P38" i="1"/>
  <c r="P40" i="1"/>
  <c r="R37" i="1"/>
  <c r="L72" i="1"/>
  <c r="L71" i="1"/>
  <c r="H19" i="1"/>
  <c r="H18" i="1"/>
  <c r="H20" i="1" s="1"/>
  <c r="H21" i="1" s="1"/>
  <c r="AL15" i="1"/>
  <c r="AL6" i="1" s="1"/>
  <c r="AP13" i="1"/>
  <c r="AP15" i="1" s="1"/>
  <c r="AP6" i="1" s="1"/>
  <c r="M67" i="1"/>
  <c r="M65" i="1"/>
  <c r="O64" i="1"/>
  <c r="N105" i="12"/>
  <c r="M104" i="12"/>
  <c r="P99" i="12" s="1"/>
  <c r="N70" i="1"/>
  <c r="N62" i="1"/>
  <c r="F56" i="1"/>
  <c r="F76" i="1" s="1"/>
  <c r="F77" i="1" s="1"/>
  <c r="E8" i="2"/>
  <c r="AP66" i="1"/>
  <c r="AP68" i="1" s="1"/>
  <c r="AP59" i="1" s="1"/>
  <c r="AL68" i="1"/>
  <c r="AL59" i="1" s="1"/>
  <c r="M91" i="1"/>
  <c r="O90" i="1"/>
  <c r="M93" i="1"/>
  <c r="G56" i="1"/>
  <c r="G76" i="1" s="1"/>
  <c r="G77" i="1" s="1"/>
  <c r="E9" i="2"/>
  <c r="AH118" i="1"/>
  <c r="AD120" i="1"/>
  <c r="AD111" i="1" s="1"/>
  <c r="I71" i="1"/>
  <c r="I72" i="1"/>
  <c r="P67" i="1"/>
  <c r="R64" i="1"/>
  <c r="P65" i="1"/>
  <c r="L44" i="1"/>
  <c r="L45" i="1"/>
  <c r="K124" i="1"/>
  <c r="K123" i="1"/>
  <c r="G9" i="2"/>
  <c r="G3" i="1"/>
  <c r="G23" i="1" s="1"/>
  <c r="G24" i="1" s="1"/>
  <c r="K70" i="1"/>
  <c r="K62" i="1"/>
  <c r="K63" i="1" s="1"/>
  <c r="N93" i="1"/>
  <c r="P90" i="1"/>
  <c r="N91" i="1"/>
  <c r="AN118" i="1"/>
  <c r="AJ120" i="1"/>
  <c r="AJ111" i="1" s="1"/>
  <c r="AR92" i="1"/>
  <c r="AR94" i="1" s="1"/>
  <c r="AR85" i="1" s="1"/>
  <c r="AN94" i="1"/>
  <c r="AN85" i="1" s="1"/>
  <c r="O119" i="1"/>
  <c r="Q116" i="1"/>
  <c r="O117" i="1"/>
  <c r="J12" i="1"/>
  <c r="K11" i="1"/>
  <c r="J14" i="1"/>
  <c r="H56" i="1"/>
  <c r="H76" i="1" s="1"/>
  <c r="H77" i="1" s="1"/>
  <c r="E10" i="2"/>
  <c r="N43" i="1"/>
  <c r="N35" i="1"/>
  <c r="I98" i="1"/>
  <c r="I97" i="1"/>
  <c r="L96" i="1"/>
  <c r="L88" i="1"/>
  <c r="L89" i="1" s="1"/>
  <c r="G99" i="1"/>
  <c r="G100" i="1" s="1"/>
  <c r="AI68" i="1"/>
  <c r="AI59" i="1" s="1"/>
  <c r="AM66" i="1"/>
  <c r="I17" i="1"/>
  <c r="I9" i="1"/>
  <c r="I10" i="1" s="1"/>
  <c r="AO92" i="1"/>
  <c r="AO94" i="1" s="1"/>
  <c r="AO85" i="1" s="1"/>
  <c r="AK94" i="1"/>
  <c r="AK85" i="1" s="1"/>
  <c r="G28" i="10"/>
  <c r="F28" i="10" s="1"/>
  <c r="H28" i="10" s="1"/>
  <c r="G29" i="10" s="1"/>
  <c r="F29" i="10" s="1"/>
  <c r="C12" i="4"/>
  <c r="D12" i="4" s="1"/>
  <c r="E88" i="4"/>
  <c r="C3" i="4"/>
  <c r="N63" i="1"/>
  <c r="AC52" i="9" l="1"/>
  <c r="AA64" i="8"/>
  <c r="B4" i="9"/>
  <c r="AT10" i="13"/>
  <c r="H52" i="9"/>
  <c r="T4" i="9"/>
  <c r="AU10" i="13"/>
  <c r="AW10" i="13"/>
  <c r="AN10" i="13"/>
  <c r="E49" i="13"/>
  <c r="AP10" i="13"/>
  <c r="E30" i="13"/>
  <c r="W10" i="13"/>
  <c r="E48" i="13"/>
  <c r="N10" i="13"/>
  <c r="E43" i="13"/>
  <c r="T10" i="13"/>
  <c r="E46" i="13"/>
  <c r="E39" i="13"/>
  <c r="O10" i="13"/>
  <c r="Y10" i="13"/>
  <c r="AI10" i="13"/>
  <c r="E36" i="13"/>
  <c r="BC10" i="13"/>
  <c r="AH10" i="13"/>
  <c r="E33" i="13"/>
  <c r="E35" i="13"/>
  <c r="P10" i="13"/>
  <c r="BF10" i="13"/>
  <c r="AZ10" i="13"/>
  <c r="E29" i="13"/>
  <c r="X10" i="13"/>
  <c r="U10" i="13"/>
  <c r="F10" i="13"/>
  <c r="AO10" i="13"/>
  <c r="AM10" i="13"/>
  <c r="E50" i="13"/>
  <c r="V10" i="13"/>
  <c r="S10" i="13"/>
  <c r="H10" i="13"/>
  <c r="M10" i="13"/>
  <c r="BJ10" i="13"/>
  <c r="AG10" i="13"/>
  <c r="AX10" i="13"/>
  <c r="BA10" i="13"/>
  <c r="BD10" i="13"/>
  <c r="AQ10" i="13"/>
  <c r="I10" i="13"/>
  <c r="BK10" i="13"/>
  <c r="AC10" i="13"/>
  <c r="E44" i="13"/>
  <c r="AD10" i="13"/>
  <c r="K10" i="13"/>
  <c r="AE10" i="13"/>
  <c r="AY10" i="13"/>
  <c r="L10" i="13"/>
  <c r="AF10" i="13"/>
  <c r="AK10" i="13"/>
  <c r="E32" i="13"/>
  <c r="E38" i="13"/>
  <c r="E31" i="13"/>
  <c r="BH10" i="13"/>
  <c r="E37" i="13"/>
  <c r="E40" i="13"/>
  <c r="Q10" i="13"/>
  <c r="BB10" i="13"/>
  <c r="AR10" i="13"/>
  <c r="Z10" i="13"/>
  <c r="BG10" i="13"/>
  <c r="E28" i="13"/>
  <c r="AA10" i="13"/>
  <c r="AS10" i="13"/>
  <c r="E45" i="13"/>
  <c r="E42" i="13"/>
  <c r="J10" i="13"/>
  <c r="BE10" i="13"/>
  <c r="AV10" i="13"/>
  <c r="R49" i="13"/>
  <c r="D10" i="13"/>
  <c r="R10" i="13"/>
  <c r="AJ10" i="13"/>
  <c r="AL10" i="13"/>
  <c r="E10" i="13"/>
  <c r="E41" i="13"/>
  <c r="E51" i="13"/>
  <c r="E47" i="13"/>
  <c r="E34" i="13"/>
  <c r="AB10" i="13"/>
  <c r="BI10" i="13"/>
  <c r="G10" i="13"/>
  <c r="H108" i="1"/>
  <c r="H128" i="1" s="1"/>
  <c r="H129" i="1" s="1"/>
  <c r="C10" i="2"/>
  <c r="J124" i="1"/>
  <c r="J123" i="1"/>
  <c r="J125" i="1" s="1"/>
  <c r="J126" i="1" s="1"/>
  <c r="N119" i="1"/>
  <c r="N117" i="1"/>
  <c r="P116" i="1"/>
  <c r="L122" i="1"/>
  <c r="L114" i="1"/>
  <c r="L115" i="1" s="1"/>
  <c r="I99" i="1"/>
  <c r="I100" i="1" s="1"/>
  <c r="I82" i="1" s="1"/>
  <c r="I102" i="1" s="1"/>
  <c r="I103" i="1" s="1"/>
  <c r="I46" i="1"/>
  <c r="I47" i="1" s="1"/>
  <c r="I29" i="1" s="1"/>
  <c r="I49" i="1" s="1"/>
  <c r="I50" i="1" s="1"/>
  <c r="L46" i="1"/>
  <c r="L47" i="1" s="1"/>
  <c r="K45" i="1"/>
  <c r="K44" i="1"/>
  <c r="K46" i="1" s="1"/>
  <c r="K47" i="1" s="1"/>
  <c r="K29" i="1" s="1"/>
  <c r="K49" i="1" s="1"/>
  <c r="K50" i="1" s="1"/>
  <c r="O38" i="1"/>
  <c r="O40" i="1"/>
  <c r="Q37" i="1"/>
  <c r="M43" i="1"/>
  <c r="M35" i="1"/>
  <c r="J82" i="1"/>
  <c r="J102" i="1" s="1"/>
  <c r="J103" i="1" s="1"/>
  <c r="D11" i="2"/>
  <c r="L29" i="1"/>
  <c r="L49" i="1" s="1"/>
  <c r="L50" i="1" s="1"/>
  <c r="F12" i="2"/>
  <c r="G10" i="2"/>
  <c r="H3" i="1"/>
  <c r="H23" i="1" s="1"/>
  <c r="H24" i="1" s="1"/>
  <c r="R38" i="1"/>
  <c r="R40" i="1"/>
  <c r="T37" i="1"/>
  <c r="Q119" i="1"/>
  <c r="Q117" i="1"/>
  <c r="S116" i="1"/>
  <c r="N88" i="1"/>
  <c r="N89" i="1" s="1"/>
  <c r="N96" i="1"/>
  <c r="K125" i="1"/>
  <c r="K126" i="1" s="1"/>
  <c r="K108" i="1" s="1"/>
  <c r="K128" i="1" s="1"/>
  <c r="K129" i="1" s="1"/>
  <c r="O91" i="1"/>
  <c r="Q90" i="1"/>
  <c r="O93" i="1"/>
  <c r="P43" i="1"/>
  <c r="P35" i="1"/>
  <c r="N71" i="1"/>
  <c r="N72" i="1"/>
  <c r="I73" i="1"/>
  <c r="I74" i="1" s="1"/>
  <c r="I56" i="1" s="1"/>
  <c r="I76" i="1" s="1"/>
  <c r="I77" i="1" s="1"/>
  <c r="AH41" i="1"/>
  <c r="AH32" i="1" s="1"/>
  <c r="AL39" i="1"/>
  <c r="M96" i="1"/>
  <c r="M88" i="1"/>
  <c r="M89" i="1" s="1"/>
  <c r="D9" i="2"/>
  <c r="G82" i="1"/>
  <c r="G102" i="1" s="1"/>
  <c r="G103" i="1" s="1"/>
  <c r="L98" i="1"/>
  <c r="L97" i="1"/>
  <c r="P91" i="1"/>
  <c r="R90" i="1"/>
  <c r="P93" i="1"/>
  <c r="N44" i="1"/>
  <c r="N45" i="1"/>
  <c r="AR13" i="1"/>
  <c r="AR15" i="1" s="1"/>
  <c r="AN15" i="1"/>
  <c r="AN6" i="1" s="1"/>
  <c r="J9" i="1"/>
  <c r="J10" i="1" s="1"/>
  <c r="J17" i="1"/>
  <c r="AH120" i="1"/>
  <c r="AH111" i="1" s="1"/>
  <c r="AL118" i="1"/>
  <c r="O67" i="1"/>
  <c r="O65" i="1"/>
  <c r="Q64" i="1"/>
  <c r="K98" i="1"/>
  <c r="K97" i="1"/>
  <c r="AN66" i="1"/>
  <c r="AJ68" i="1"/>
  <c r="AJ59" i="1" s="1"/>
  <c r="K14" i="1"/>
  <c r="L11" i="1"/>
  <c r="K12" i="1"/>
  <c r="AN120" i="1"/>
  <c r="AN111" i="1" s="1"/>
  <c r="AR118" i="1"/>
  <c r="AR120" i="1" s="1"/>
  <c r="AR111" i="1" s="1"/>
  <c r="K72" i="1"/>
  <c r="K71" i="1"/>
  <c r="T64" i="1"/>
  <c r="R65" i="1"/>
  <c r="R67" i="1"/>
  <c r="L73" i="1"/>
  <c r="L74" i="1" s="1"/>
  <c r="AH94" i="1"/>
  <c r="AH85" i="1" s="1"/>
  <c r="AL92" i="1"/>
  <c r="M124" i="1"/>
  <c r="M123" i="1"/>
  <c r="AM68" i="1"/>
  <c r="AM59" i="1" s="1"/>
  <c r="AQ66" i="1"/>
  <c r="AQ68" i="1" s="1"/>
  <c r="AQ59" i="1" s="1"/>
  <c r="O122" i="1"/>
  <c r="O114" i="1"/>
  <c r="O115" i="1" s="1"/>
  <c r="I19" i="1"/>
  <c r="I18" i="1"/>
  <c r="P70" i="1"/>
  <c r="P62" i="1"/>
  <c r="P63" i="1" s="1"/>
  <c r="M70" i="1"/>
  <c r="M62" i="1"/>
  <c r="M63" i="1" s="1"/>
  <c r="G28" i="12"/>
  <c r="F28" i="12" s="1"/>
  <c r="H28" i="12" s="1"/>
  <c r="H29" i="10"/>
  <c r="G28" i="4"/>
  <c r="F28" i="4" s="1"/>
  <c r="H28" i="4" s="1"/>
  <c r="G29" i="4" s="1"/>
  <c r="F29" i="4" s="1"/>
  <c r="R60" i="1"/>
  <c r="R33" i="1"/>
  <c r="R112" i="1"/>
  <c r="R86" i="1"/>
  <c r="C12" i="13" l="1"/>
  <c r="L123" i="1"/>
  <c r="L124" i="1"/>
  <c r="R116" i="1"/>
  <c r="P117" i="1"/>
  <c r="P119" i="1"/>
  <c r="N122" i="1"/>
  <c r="N114" i="1"/>
  <c r="N115" i="1" s="1"/>
  <c r="J108" i="1"/>
  <c r="J128" i="1" s="1"/>
  <c r="J129" i="1" s="1"/>
  <c r="C11" i="2"/>
  <c r="M45" i="1"/>
  <c r="M44" i="1"/>
  <c r="Q38" i="1"/>
  <c r="Q40" i="1"/>
  <c r="S37" i="1"/>
  <c r="O43" i="1"/>
  <c r="O35" i="1"/>
  <c r="Q67" i="1"/>
  <c r="S64" i="1"/>
  <c r="Q65" i="1"/>
  <c r="E12" i="2"/>
  <c r="L56" i="1"/>
  <c r="L76" i="1" s="1"/>
  <c r="L77" i="1" s="1"/>
  <c r="N98" i="1"/>
  <c r="N97" i="1"/>
  <c r="N99" i="1" s="1"/>
  <c r="N100" i="1" s="1"/>
  <c r="O123" i="1"/>
  <c r="O124" i="1"/>
  <c r="L14" i="1"/>
  <c r="L12" i="1"/>
  <c r="M11" i="1"/>
  <c r="V37" i="1"/>
  <c r="T38" i="1"/>
  <c r="T40" i="1"/>
  <c r="AP92" i="1"/>
  <c r="AP94" i="1" s="1"/>
  <c r="AP85" i="1" s="1"/>
  <c r="AL94" i="1"/>
  <c r="AL85" i="1" s="1"/>
  <c r="AR6" i="1"/>
  <c r="AR12" i="1"/>
  <c r="AR17" i="1"/>
  <c r="AP118" i="1"/>
  <c r="AP120" i="1" s="1"/>
  <c r="AP111" i="1" s="1"/>
  <c r="AL120" i="1"/>
  <c r="AL111" i="1" s="1"/>
  <c r="N73" i="1"/>
  <c r="N74" i="1" s="1"/>
  <c r="U116" i="1"/>
  <c r="S117" i="1"/>
  <c r="S119" i="1"/>
  <c r="R35" i="1"/>
  <c r="R43" i="1"/>
  <c r="M72" i="1"/>
  <c r="M71" i="1"/>
  <c r="M73" i="1" s="1"/>
  <c r="M74" i="1" s="1"/>
  <c r="M56" i="1" s="1"/>
  <c r="M76" i="1" s="1"/>
  <c r="M77" i="1" s="1"/>
  <c r="P44" i="1"/>
  <c r="P45" i="1"/>
  <c r="O70" i="1"/>
  <c r="O62" i="1"/>
  <c r="O63" i="1" s="1"/>
  <c r="N46" i="1"/>
  <c r="N47" i="1" s="1"/>
  <c r="V64" i="1"/>
  <c r="T67" i="1"/>
  <c r="T65" i="1"/>
  <c r="P96" i="1"/>
  <c r="P88" i="1"/>
  <c r="P89" i="1" s="1"/>
  <c r="M97" i="1"/>
  <c r="M98" i="1"/>
  <c r="O88" i="1"/>
  <c r="O89" i="1" s="1"/>
  <c r="O96" i="1"/>
  <c r="R62" i="1"/>
  <c r="R70" i="1"/>
  <c r="P72" i="1"/>
  <c r="P71" i="1"/>
  <c r="P73" i="1" s="1"/>
  <c r="P74" i="1" s="1"/>
  <c r="K9" i="1"/>
  <c r="K10" i="1" s="1"/>
  <c r="K17" i="1"/>
  <c r="M125" i="1"/>
  <c r="M126" i="1" s="1"/>
  <c r="M108" i="1" s="1"/>
  <c r="M128" i="1" s="1"/>
  <c r="M129" i="1" s="1"/>
  <c r="K73" i="1"/>
  <c r="K74" i="1" s="1"/>
  <c r="K56" i="1" s="1"/>
  <c r="K76" i="1" s="1"/>
  <c r="K77" i="1" s="1"/>
  <c r="AN68" i="1"/>
  <c r="AN59" i="1" s="1"/>
  <c r="AR66" i="1"/>
  <c r="AR68" i="1" s="1"/>
  <c r="AR59" i="1" s="1"/>
  <c r="J19" i="1"/>
  <c r="J18" i="1"/>
  <c r="J20" i="1" s="1"/>
  <c r="J21" i="1" s="1"/>
  <c r="R93" i="1"/>
  <c r="R91" i="1"/>
  <c r="T90" i="1"/>
  <c r="L99" i="1"/>
  <c r="L100" i="1" s="1"/>
  <c r="S90" i="1"/>
  <c r="Q91" i="1"/>
  <c r="Q93" i="1"/>
  <c r="Q114" i="1"/>
  <c r="Q115" i="1" s="1"/>
  <c r="Q122" i="1"/>
  <c r="I20" i="1"/>
  <c r="I21" i="1" s="1"/>
  <c r="I3" i="1" s="1"/>
  <c r="I23" i="1" s="1"/>
  <c r="I24" i="1" s="1"/>
  <c r="K99" i="1"/>
  <c r="K100" i="1" s="1"/>
  <c r="K82" i="1" s="1"/>
  <c r="K102" i="1" s="1"/>
  <c r="K103" i="1" s="1"/>
  <c r="AL41" i="1"/>
  <c r="AL32" i="1" s="1"/>
  <c r="AP39" i="1"/>
  <c r="AP41" i="1" s="1"/>
  <c r="AP32" i="1" s="1"/>
  <c r="G29" i="12"/>
  <c r="F29" i="12" s="1"/>
  <c r="H29" i="12" s="1"/>
  <c r="G30" i="12" s="1"/>
  <c r="F30" i="12" s="1"/>
  <c r="G30" i="10"/>
  <c r="T86" i="1"/>
  <c r="T112" i="1"/>
  <c r="T33" i="1"/>
  <c r="T60" i="1"/>
  <c r="R63" i="1"/>
  <c r="H29" i="4"/>
  <c r="D12" i="13" l="1"/>
  <c r="G28" i="13"/>
  <c r="F28" i="13" s="1"/>
  <c r="H28" i="13" s="1"/>
  <c r="N124" i="1"/>
  <c r="N123" i="1"/>
  <c r="N125" i="1" s="1"/>
  <c r="N126" i="1" s="1"/>
  <c r="P114" i="1"/>
  <c r="P115" i="1" s="1"/>
  <c r="P122" i="1"/>
  <c r="R119" i="1"/>
  <c r="T116" i="1"/>
  <c r="R117" i="1"/>
  <c r="L125" i="1"/>
  <c r="L126" i="1" s="1"/>
  <c r="U37" i="1"/>
  <c r="S38" i="1"/>
  <c r="S40" i="1"/>
  <c r="Q43" i="1"/>
  <c r="Q35" i="1"/>
  <c r="M46" i="1"/>
  <c r="M47" i="1" s="1"/>
  <c r="M29" i="1" s="1"/>
  <c r="M49" i="1" s="1"/>
  <c r="M50" i="1" s="1"/>
  <c r="O44" i="1"/>
  <c r="O45" i="1"/>
  <c r="G11" i="2"/>
  <c r="J3" i="1"/>
  <c r="J23" i="1" s="1"/>
  <c r="J24" i="1" s="1"/>
  <c r="E14" i="2"/>
  <c r="P56" i="1"/>
  <c r="P76" i="1" s="1"/>
  <c r="P77" i="1" s="1"/>
  <c r="D13" i="2"/>
  <c r="N82" i="1"/>
  <c r="N102" i="1" s="1"/>
  <c r="N103" i="1" s="1"/>
  <c r="R71" i="1"/>
  <c r="R72" i="1"/>
  <c r="L9" i="1"/>
  <c r="L10" i="1" s="1"/>
  <c r="L17" i="1"/>
  <c r="S65" i="1"/>
  <c r="U64" i="1"/>
  <c r="S67" i="1"/>
  <c r="Q62" i="1"/>
  <c r="Q63" i="1" s="1"/>
  <c r="Q70" i="1"/>
  <c r="U119" i="1"/>
  <c r="W116" i="1"/>
  <c r="U117" i="1"/>
  <c r="U90" i="1"/>
  <c r="S93" i="1"/>
  <c r="S91" i="1"/>
  <c r="O97" i="1"/>
  <c r="O98" i="1"/>
  <c r="N29" i="1"/>
  <c r="N49" i="1" s="1"/>
  <c r="N50" i="1" s="1"/>
  <c r="F13" i="2"/>
  <c r="R45" i="1"/>
  <c r="R44" i="1"/>
  <c r="R46" i="1" s="1"/>
  <c r="R47" i="1" s="1"/>
  <c r="T43" i="1"/>
  <c r="T35" i="1"/>
  <c r="O125" i="1"/>
  <c r="O126" i="1" s="1"/>
  <c r="O108" i="1" s="1"/>
  <c r="O128" i="1" s="1"/>
  <c r="O129" i="1" s="1"/>
  <c r="P97" i="1"/>
  <c r="P98" i="1"/>
  <c r="N56" i="1"/>
  <c r="N76" i="1" s="1"/>
  <c r="N77" i="1" s="1"/>
  <c r="E13" i="2"/>
  <c r="D12" i="2"/>
  <c r="L82" i="1"/>
  <c r="L102" i="1" s="1"/>
  <c r="L103" i="1" s="1"/>
  <c r="Q124" i="1"/>
  <c r="Q123" i="1"/>
  <c r="T91" i="1"/>
  <c r="T93" i="1"/>
  <c r="V90" i="1"/>
  <c r="T70" i="1"/>
  <c r="T62" i="1"/>
  <c r="K19" i="1"/>
  <c r="K18" i="1"/>
  <c r="V67" i="1"/>
  <c r="V65" i="1"/>
  <c r="X64" i="1"/>
  <c r="O72" i="1"/>
  <c r="O71" i="1"/>
  <c r="S122" i="1"/>
  <c r="S114" i="1"/>
  <c r="S115" i="1" s="1"/>
  <c r="V40" i="1"/>
  <c r="X37" i="1"/>
  <c r="V38" i="1"/>
  <c r="C13" i="2"/>
  <c r="N108" i="1"/>
  <c r="N128" i="1" s="1"/>
  <c r="N129" i="1" s="1"/>
  <c r="N11" i="1"/>
  <c r="M12" i="1"/>
  <c r="M14" i="1"/>
  <c r="P46" i="1"/>
  <c r="P47" i="1" s="1"/>
  <c r="Q88" i="1"/>
  <c r="Q89" i="1" s="1"/>
  <c r="Q96" i="1"/>
  <c r="R88" i="1"/>
  <c r="R89" i="1" s="1"/>
  <c r="R96" i="1"/>
  <c r="M99" i="1"/>
  <c r="M100" i="1" s="1"/>
  <c r="M82" i="1" s="1"/>
  <c r="M102" i="1" s="1"/>
  <c r="M103" i="1" s="1"/>
  <c r="AR19" i="1"/>
  <c r="AR18" i="1"/>
  <c r="H30" i="12"/>
  <c r="G31" i="12" s="1"/>
  <c r="F30" i="10"/>
  <c r="T63" i="1"/>
  <c r="V60" i="1"/>
  <c r="V33" i="1"/>
  <c r="V112" i="1"/>
  <c r="V86" i="1"/>
  <c r="G30" i="4"/>
  <c r="G29" i="13" l="1"/>
  <c r="F29" i="13" s="1"/>
  <c r="H29" i="13" s="1"/>
  <c r="L108" i="1"/>
  <c r="L128" i="1" s="1"/>
  <c r="L129" i="1" s="1"/>
  <c r="C12" i="2"/>
  <c r="T117" i="1"/>
  <c r="V116" i="1"/>
  <c r="T119" i="1"/>
  <c r="R122" i="1"/>
  <c r="R114" i="1"/>
  <c r="R115" i="1" s="1"/>
  <c r="P123" i="1"/>
  <c r="P125" i="1" s="1"/>
  <c r="P126" i="1" s="1"/>
  <c r="P108" i="1" s="1"/>
  <c r="P128" i="1" s="1"/>
  <c r="P129" i="1" s="1"/>
  <c r="P124" i="1"/>
  <c r="O73" i="1"/>
  <c r="O74" i="1" s="1"/>
  <c r="O56" i="1" s="1"/>
  <c r="O76" i="1" s="1"/>
  <c r="O77" i="1" s="1"/>
  <c r="O46" i="1"/>
  <c r="O47" i="1" s="1"/>
  <c r="O29" i="1" s="1"/>
  <c r="O49" i="1" s="1"/>
  <c r="O50" i="1" s="1"/>
  <c r="Q44" i="1"/>
  <c r="Q45" i="1"/>
  <c r="S43" i="1"/>
  <c r="S35" i="1"/>
  <c r="W37" i="1"/>
  <c r="U38" i="1"/>
  <c r="U40" i="1"/>
  <c r="F15" i="2"/>
  <c r="R29" i="1"/>
  <c r="R49" i="1" s="1"/>
  <c r="R50" i="1" s="1"/>
  <c r="L19" i="1"/>
  <c r="L18" i="1"/>
  <c r="L20" i="1" s="1"/>
  <c r="S124" i="1"/>
  <c r="S123" i="1"/>
  <c r="S125" i="1" s="1"/>
  <c r="S126" i="1" s="1"/>
  <c r="S108" i="1" s="1"/>
  <c r="S128" i="1" s="1"/>
  <c r="S129" i="1" s="1"/>
  <c r="O99" i="1"/>
  <c r="O100" i="1" s="1"/>
  <c r="O82" i="1" s="1"/>
  <c r="O102" i="1" s="1"/>
  <c r="O103" i="1" s="1"/>
  <c r="U122" i="1"/>
  <c r="U114" i="1"/>
  <c r="U115" i="1" s="1"/>
  <c r="L21" i="1"/>
  <c r="N14" i="1"/>
  <c r="O11" i="1"/>
  <c r="N12" i="1"/>
  <c r="T44" i="1"/>
  <c r="T45" i="1"/>
  <c r="W119" i="1"/>
  <c r="Y116" i="1"/>
  <c r="W117" i="1"/>
  <c r="T72" i="1"/>
  <c r="T71" i="1"/>
  <c r="T73" i="1" s="1"/>
  <c r="T74" i="1" s="1"/>
  <c r="Q97" i="1"/>
  <c r="Q98" i="1"/>
  <c r="X67" i="1"/>
  <c r="X65" i="1"/>
  <c r="Z64" i="1"/>
  <c r="T96" i="1"/>
  <c r="T88" i="1"/>
  <c r="T89" i="1" s="1"/>
  <c r="P99" i="1"/>
  <c r="P100" i="1" s="1"/>
  <c r="S96" i="1"/>
  <c r="S88" i="1"/>
  <c r="S89" i="1" s="1"/>
  <c r="S70" i="1"/>
  <c r="S62" i="1"/>
  <c r="S63" i="1" s="1"/>
  <c r="R73" i="1"/>
  <c r="R74" i="1" s="1"/>
  <c r="M9" i="1"/>
  <c r="M10" i="1" s="1"/>
  <c r="M17" i="1"/>
  <c r="R97" i="1"/>
  <c r="R99" i="1" s="1"/>
  <c r="R100" i="1" s="1"/>
  <c r="R98" i="1"/>
  <c r="Q72" i="1"/>
  <c r="Q71" i="1"/>
  <c r="Q73" i="1" s="1"/>
  <c r="Q74" i="1" s="1"/>
  <c r="Q56" i="1" s="1"/>
  <c r="Q76" i="1" s="1"/>
  <c r="Q77" i="1" s="1"/>
  <c r="V91" i="1"/>
  <c r="V93" i="1"/>
  <c r="X90" i="1"/>
  <c r="X38" i="1"/>
  <c r="X40" i="1"/>
  <c r="Z37" i="1"/>
  <c r="V70" i="1"/>
  <c r="V62" i="1"/>
  <c r="V63" i="1" s="1"/>
  <c r="Q125" i="1"/>
  <c r="Q126" i="1" s="1"/>
  <c r="Q108" i="1" s="1"/>
  <c r="Q128" i="1" s="1"/>
  <c r="Q129" i="1" s="1"/>
  <c r="U93" i="1"/>
  <c r="U91" i="1"/>
  <c r="W90" i="1"/>
  <c r="W64" i="1"/>
  <c r="U67" i="1"/>
  <c r="U65" i="1"/>
  <c r="AR20" i="1"/>
  <c r="F14" i="2"/>
  <c r="P29" i="1"/>
  <c r="P49" i="1" s="1"/>
  <c r="P50" i="1" s="1"/>
  <c r="V35" i="1"/>
  <c r="V43" i="1"/>
  <c r="K20" i="1"/>
  <c r="K21" i="1" s="1"/>
  <c r="K3" i="1" s="1"/>
  <c r="K23" i="1" s="1"/>
  <c r="K24" i="1" s="1"/>
  <c r="F31" i="12"/>
  <c r="H30" i="10"/>
  <c r="X112" i="1"/>
  <c r="X86" i="1"/>
  <c r="X33" i="1"/>
  <c r="X60" i="1"/>
  <c r="F30" i="4"/>
  <c r="G30" i="13" l="1"/>
  <c r="F30" i="13" s="1"/>
  <c r="H30" i="13" s="1"/>
  <c r="G31" i="13" s="1"/>
  <c r="F31" i="13" s="1"/>
  <c r="H31" i="13" s="1"/>
  <c r="T114" i="1"/>
  <c r="T115" i="1" s="1"/>
  <c r="T122" i="1"/>
  <c r="R124" i="1"/>
  <c r="R123" i="1"/>
  <c r="R125" i="1" s="1"/>
  <c r="R126" i="1" s="1"/>
  <c r="C15" i="2" s="1"/>
  <c r="X116" i="1"/>
  <c r="V117" i="1"/>
  <c r="V119" i="1"/>
  <c r="C14" i="2"/>
  <c r="Q46" i="1"/>
  <c r="Q47" i="1" s="1"/>
  <c r="Q29" i="1" s="1"/>
  <c r="Q49" i="1" s="1"/>
  <c r="Q50" i="1" s="1"/>
  <c r="U43" i="1"/>
  <c r="U35" i="1"/>
  <c r="W38" i="1"/>
  <c r="W40" i="1"/>
  <c r="Y37" i="1"/>
  <c r="S45" i="1"/>
  <c r="S44" i="1"/>
  <c r="S46" i="1" s="1"/>
  <c r="S47" i="1" s="1"/>
  <c r="S29" i="1" s="1"/>
  <c r="S49" i="1" s="1"/>
  <c r="S50" i="1" s="1"/>
  <c r="R82" i="1"/>
  <c r="R102" i="1" s="1"/>
  <c r="R103" i="1" s="1"/>
  <c r="D15" i="2"/>
  <c r="T56" i="1"/>
  <c r="T76" i="1" s="1"/>
  <c r="T77" i="1" s="1"/>
  <c r="E16" i="2"/>
  <c r="U124" i="1"/>
  <c r="U123" i="1"/>
  <c r="U125" i="1" s="1"/>
  <c r="U126" i="1" s="1"/>
  <c r="U108" i="1" s="1"/>
  <c r="U128" i="1" s="1"/>
  <c r="U129" i="1" s="1"/>
  <c r="E15" i="2"/>
  <c r="R56" i="1"/>
  <c r="R76" i="1" s="1"/>
  <c r="R77" i="1" s="1"/>
  <c r="Q99" i="1"/>
  <c r="Q100" i="1" s="1"/>
  <c r="Q82" i="1" s="1"/>
  <c r="Q102" i="1" s="1"/>
  <c r="Q103" i="1" s="1"/>
  <c r="U88" i="1"/>
  <c r="U89" i="1" s="1"/>
  <c r="U96" i="1"/>
  <c r="S72" i="1"/>
  <c r="S71" i="1"/>
  <c r="S73" i="1" s="1"/>
  <c r="S74" i="1" s="1"/>
  <c r="S56" i="1" s="1"/>
  <c r="S76" i="1" s="1"/>
  <c r="S77" i="1" s="1"/>
  <c r="O14" i="1"/>
  <c r="P11" i="1"/>
  <c r="O12" i="1"/>
  <c r="X43" i="1"/>
  <c r="X35" i="1"/>
  <c r="U70" i="1"/>
  <c r="U62" i="1"/>
  <c r="U63" i="1" s="1"/>
  <c r="X91" i="1"/>
  <c r="Z90" i="1"/>
  <c r="X93" i="1"/>
  <c r="T98" i="1"/>
  <c r="T97" i="1"/>
  <c r="T99" i="1" s="1"/>
  <c r="T100" i="1" s="1"/>
  <c r="N17" i="1"/>
  <c r="N9" i="1"/>
  <c r="N10" i="1" s="1"/>
  <c r="V44" i="1"/>
  <c r="V45" i="1"/>
  <c r="W67" i="1"/>
  <c r="W65" i="1"/>
  <c r="Y64" i="1"/>
  <c r="V96" i="1"/>
  <c r="V88" i="1"/>
  <c r="V89" i="1" s="1"/>
  <c r="S98" i="1"/>
  <c r="S97" i="1"/>
  <c r="AB64" i="1"/>
  <c r="Z65" i="1"/>
  <c r="Z67" i="1"/>
  <c r="Y119" i="1"/>
  <c r="Y117" i="1"/>
  <c r="AA116" i="1"/>
  <c r="V71" i="1"/>
  <c r="V72" i="1"/>
  <c r="P82" i="1"/>
  <c r="P102" i="1" s="1"/>
  <c r="P103" i="1" s="1"/>
  <c r="D14" i="2"/>
  <c r="W122" i="1"/>
  <c r="W114" i="1"/>
  <c r="W115" i="1" s="1"/>
  <c r="G12" i="2"/>
  <c r="L3" i="1"/>
  <c r="L23" i="1" s="1"/>
  <c r="L24" i="1" s="1"/>
  <c r="W93" i="1"/>
  <c r="Y90" i="1"/>
  <c r="W91" i="1"/>
  <c r="Z38" i="1"/>
  <c r="AB37" i="1"/>
  <c r="Z40" i="1"/>
  <c r="M18" i="1"/>
  <c r="M20" i="1" s="1"/>
  <c r="M21" i="1" s="1"/>
  <c r="M3" i="1" s="1"/>
  <c r="M23" i="1" s="1"/>
  <c r="M24" i="1" s="1"/>
  <c r="M19" i="1"/>
  <c r="X70" i="1"/>
  <c r="X62" i="1"/>
  <c r="X63" i="1" s="1"/>
  <c r="T46" i="1"/>
  <c r="T47" i="1" s="1"/>
  <c r="H31" i="12"/>
  <c r="G31" i="10"/>
  <c r="Z60" i="1"/>
  <c r="Z33" i="1"/>
  <c r="Z112" i="1"/>
  <c r="Z86" i="1"/>
  <c r="H30" i="4"/>
  <c r="G32" i="13" l="1"/>
  <c r="V114" i="1"/>
  <c r="V115" i="1" s="1"/>
  <c r="V122" i="1"/>
  <c r="X117" i="1"/>
  <c r="X119" i="1"/>
  <c r="Z116" i="1"/>
  <c r="R108" i="1"/>
  <c r="R128" i="1" s="1"/>
  <c r="R129" i="1" s="1"/>
  <c r="T123" i="1"/>
  <c r="T124" i="1"/>
  <c r="S99" i="1"/>
  <c r="S100" i="1" s="1"/>
  <c r="S82" i="1" s="1"/>
  <c r="S102" i="1" s="1"/>
  <c r="S103" i="1" s="1"/>
  <c r="V73" i="1"/>
  <c r="V74" i="1" s="1"/>
  <c r="V46" i="1"/>
  <c r="V47" i="1" s="1"/>
  <c r="Y38" i="1"/>
  <c r="Y40" i="1"/>
  <c r="AA37" i="1"/>
  <c r="W35" i="1"/>
  <c r="W43" i="1"/>
  <c r="U45" i="1"/>
  <c r="U44" i="1"/>
  <c r="U46" i="1" s="1"/>
  <c r="U47" i="1" s="1"/>
  <c r="U29" i="1" s="1"/>
  <c r="U49" i="1" s="1"/>
  <c r="U50" i="1" s="1"/>
  <c r="D16" i="2"/>
  <c r="T82" i="1"/>
  <c r="T102" i="1" s="1"/>
  <c r="T103" i="1" s="1"/>
  <c r="V56" i="1"/>
  <c r="V76" i="1" s="1"/>
  <c r="V77" i="1" s="1"/>
  <c r="E17" i="2"/>
  <c r="F17" i="2"/>
  <c r="V29" i="1"/>
  <c r="V49" i="1" s="1"/>
  <c r="V50" i="1" s="1"/>
  <c r="W88" i="1"/>
  <c r="W89" i="1" s="1"/>
  <c r="W96" i="1"/>
  <c r="W70" i="1"/>
  <c r="W62" i="1"/>
  <c r="W63" i="1" s="1"/>
  <c r="U72" i="1"/>
  <c r="U71" i="1"/>
  <c r="U97" i="1"/>
  <c r="U98" i="1"/>
  <c r="AD64" i="1"/>
  <c r="AB65" i="1"/>
  <c r="AB67" i="1"/>
  <c r="Z35" i="1"/>
  <c r="Z43" i="1"/>
  <c r="X45" i="1"/>
  <c r="X44" i="1"/>
  <c r="X46" i="1" s="1"/>
  <c r="X47" i="1" s="1"/>
  <c r="AB38" i="1"/>
  <c r="AD37" i="1"/>
  <c r="AB40" i="1"/>
  <c r="X96" i="1"/>
  <c r="X88" i="1"/>
  <c r="X89" i="1" s="1"/>
  <c r="V98" i="1"/>
  <c r="V97" i="1"/>
  <c r="V99" i="1" s="1"/>
  <c r="V100" i="1" s="1"/>
  <c r="Z93" i="1"/>
  <c r="AB90" i="1"/>
  <c r="Z91" i="1"/>
  <c r="P14" i="1"/>
  <c r="Q11" i="1"/>
  <c r="P12" i="1"/>
  <c r="T29" i="1"/>
  <c r="T49" i="1" s="1"/>
  <c r="T50" i="1" s="1"/>
  <c r="F16" i="2"/>
  <c r="W123" i="1"/>
  <c r="W124" i="1"/>
  <c r="AC116" i="1"/>
  <c r="AA117" i="1"/>
  <c r="AA119" i="1"/>
  <c r="X71" i="1"/>
  <c r="X72" i="1"/>
  <c r="Y114" i="1"/>
  <c r="Y115" i="1" s="1"/>
  <c r="Y122" i="1"/>
  <c r="Y67" i="1"/>
  <c r="AA64" i="1"/>
  <c r="Y65" i="1"/>
  <c r="O9" i="1"/>
  <c r="O10" i="1" s="1"/>
  <c r="O17" i="1"/>
  <c r="Y93" i="1"/>
  <c r="AA90" i="1"/>
  <c r="Y91" i="1"/>
  <c r="Z70" i="1"/>
  <c r="Z62" i="1"/>
  <c r="Z63" i="1" s="1"/>
  <c r="N18" i="1"/>
  <c r="N19" i="1"/>
  <c r="G32" i="12"/>
  <c r="F31" i="10"/>
  <c r="AB86" i="1"/>
  <c r="AB112" i="1"/>
  <c r="AB33" i="1"/>
  <c r="AB60" i="1"/>
  <c r="G31" i="4"/>
  <c r="X10" i="1"/>
  <c r="X21" i="1" s="1"/>
  <c r="F32" i="13" l="1"/>
  <c r="V123" i="1"/>
  <c r="V125" i="1" s="1"/>
  <c r="V126" i="1" s="1"/>
  <c r="V124" i="1"/>
  <c r="T125" i="1"/>
  <c r="T126" i="1" s="1"/>
  <c r="Z119" i="1"/>
  <c r="AB116" i="1"/>
  <c r="Z117" i="1"/>
  <c r="X122" i="1"/>
  <c r="X114" i="1"/>
  <c r="X115" i="1" s="1"/>
  <c r="W45" i="1"/>
  <c r="W44" i="1"/>
  <c r="AA38" i="1"/>
  <c r="AA40" i="1"/>
  <c r="AC37" i="1"/>
  <c r="Y35" i="1"/>
  <c r="Y43" i="1"/>
  <c r="X29" i="1"/>
  <c r="X49" i="1" s="1"/>
  <c r="X50" i="1" s="1"/>
  <c r="F18" i="2"/>
  <c r="Z74" i="1"/>
  <c r="Z56" i="1" s="1"/>
  <c r="Z76" i="1" s="1"/>
  <c r="Z77" i="1" s="1"/>
  <c r="Q12" i="1"/>
  <c r="R11" i="1"/>
  <c r="Q14" i="1"/>
  <c r="X97" i="1"/>
  <c r="X98" i="1"/>
  <c r="AB62" i="1"/>
  <c r="AB63" i="1" s="1"/>
  <c r="AB70" i="1"/>
  <c r="N20" i="1"/>
  <c r="N21" i="1" s="1"/>
  <c r="Y124" i="1"/>
  <c r="Y123" i="1"/>
  <c r="W125" i="1"/>
  <c r="W126" i="1" s="1"/>
  <c r="W108" i="1" s="1"/>
  <c r="W128" i="1" s="1"/>
  <c r="W129" i="1" s="1"/>
  <c r="P17" i="1"/>
  <c r="P9" i="1"/>
  <c r="P10" i="1" s="1"/>
  <c r="V82" i="1"/>
  <c r="V102" i="1" s="1"/>
  <c r="V103" i="1" s="1"/>
  <c r="D17" i="2"/>
  <c r="Z72" i="1"/>
  <c r="Z71" i="1"/>
  <c r="Z73" i="1" s="1"/>
  <c r="X73" i="1"/>
  <c r="X74" i="1" s="1"/>
  <c r="U99" i="1"/>
  <c r="U100" i="1" s="1"/>
  <c r="U82" i="1" s="1"/>
  <c r="U102" i="1" s="1"/>
  <c r="U103" i="1" s="1"/>
  <c r="AF64" i="1"/>
  <c r="AD67" i="1"/>
  <c r="AD65" i="1"/>
  <c r="O19" i="1"/>
  <c r="O18" i="1"/>
  <c r="O20" i="1" s="1"/>
  <c r="O21" i="1" s="1"/>
  <c r="O3" i="1" s="1"/>
  <c r="O23" i="1" s="1"/>
  <c r="O24" i="1" s="1"/>
  <c r="AB91" i="1"/>
  <c r="AB93" i="1"/>
  <c r="AD90" i="1"/>
  <c r="Z88" i="1"/>
  <c r="Z89" i="1" s="1"/>
  <c r="Z96" i="1"/>
  <c r="AC90" i="1"/>
  <c r="AA93" i="1"/>
  <c r="AA91" i="1"/>
  <c r="AA122" i="1"/>
  <c r="AA114" i="1"/>
  <c r="AA115" i="1" s="1"/>
  <c r="AB43" i="1"/>
  <c r="AB35" i="1"/>
  <c r="Y70" i="1"/>
  <c r="Y62" i="1"/>
  <c r="Y63" i="1" s="1"/>
  <c r="W72" i="1"/>
  <c r="W71" i="1"/>
  <c r="W97" i="1"/>
  <c r="W98" i="1"/>
  <c r="Y88" i="1"/>
  <c r="Y89" i="1" s="1"/>
  <c r="Y96" i="1"/>
  <c r="AD40" i="1"/>
  <c r="AF37" i="1"/>
  <c r="AD38" i="1"/>
  <c r="Z45" i="1"/>
  <c r="Z44" i="1"/>
  <c r="AA65" i="1"/>
  <c r="AC64" i="1"/>
  <c r="AA67" i="1"/>
  <c r="AC119" i="1"/>
  <c r="AC117" i="1"/>
  <c r="AE116" i="1"/>
  <c r="U73" i="1"/>
  <c r="U74" i="1" s="1"/>
  <c r="U56" i="1" s="1"/>
  <c r="U76" i="1" s="1"/>
  <c r="U77" i="1" s="1"/>
  <c r="F32" i="12"/>
  <c r="H31" i="10"/>
  <c r="AD60" i="1"/>
  <c r="E19" i="2"/>
  <c r="AD33" i="1"/>
  <c r="AD112" i="1"/>
  <c r="AD86" i="1"/>
  <c r="X3" i="1"/>
  <c r="X23" i="1" s="1"/>
  <c r="X24" i="1" s="1"/>
  <c r="G18" i="2"/>
  <c r="F31" i="4"/>
  <c r="H32" i="13" l="1"/>
  <c r="C17" i="2"/>
  <c r="V108" i="1"/>
  <c r="V128" i="1" s="1"/>
  <c r="V129" i="1" s="1"/>
  <c r="X124" i="1"/>
  <c r="X123" i="1"/>
  <c r="X125" i="1" s="1"/>
  <c r="X126" i="1" s="1"/>
  <c r="AD116" i="1"/>
  <c r="AB119" i="1"/>
  <c r="AB117" i="1"/>
  <c r="Z114" i="1"/>
  <c r="Z115" i="1" s="1"/>
  <c r="Z122" i="1"/>
  <c r="C16" i="2"/>
  <c r="T108" i="1"/>
  <c r="T128" i="1" s="1"/>
  <c r="T129" i="1" s="1"/>
  <c r="W73" i="1"/>
  <c r="W74" i="1" s="1"/>
  <c r="W56" i="1" s="1"/>
  <c r="W76" i="1" s="1"/>
  <c r="W77" i="1" s="1"/>
  <c r="W46" i="1"/>
  <c r="W47" i="1" s="1"/>
  <c r="W29" i="1" s="1"/>
  <c r="W49" i="1" s="1"/>
  <c r="W50" i="1" s="1"/>
  <c r="AA43" i="1"/>
  <c r="AA35" i="1"/>
  <c r="Y44" i="1"/>
  <c r="Y45" i="1"/>
  <c r="AC38" i="1"/>
  <c r="AC40" i="1"/>
  <c r="AE37" i="1"/>
  <c r="G13" i="2"/>
  <c r="N3" i="1"/>
  <c r="N23" i="1" s="1"/>
  <c r="N24" i="1" s="1"/>
  <c r="AE119" i="1"/>
  <c r="AG116" i="1"/>
  <c r="AE117" i="1"/>
  <c r="Z46" i="1"/>
  <c r="Z47" i="1" s="1"/>
  <c r="AA96" i="1"/>
  <c r="AA88" i="1"/>
  <c r="AA89" i="1" s="1"/>
  <c r="AB96" i="1"/>
  <c r="AB88" i="1"/>
  <c r="AB89" i="1" s="1"/>
  <c r="P19" i="1"/>
  <c r="P18" i="1"/>
  <c r="P20" i="1" s="1"/>
  <c r="AB72" i="1"/>
  <c r="AB71" i="1"/>
  <c r="Y98" i="1"/>
  <c r="Y97" i="1"/>
  <c r="Y99" i="1" s="1"/>
  <c r="Y100" i="1" s="1"/>
  <c r="Y82" i="1" s="1"/>
  <c r="Y102" i="1" s="1"/>
  <c r="Y103" i="1" s="1"/>
  <c r="AD93" i="1"/>
  <c r="AD91" i="1"/>
  <c r="AF90" i="1"/>
  <c r="Y72" i="1"/>
  <c r="Y71" i="1"/>
  <c r="Y125" i="1"/>
  <c r="Y126" i="1" s="1"/>
  <c r="Y108" i="1" s="1"/>
  <c r="Y128" i="1" s="1"/>
  <c r="Y129" i="1" s="1"/>
  <c r="AC122" i="1"/>
  <c r="AC114" i="1"/>
  <c r="AC115" i="1" s="1"/>
  <c r="AA62" i="1"/>
  <c r="AA63" i="1" s="1"/>
  <c r="AA70" i="1"/>
  <c r="AF38" i="1"/>
  <c r="AF40" i="1"/>
  <c r="AH37" i="1"/>
  <c r="X99" i="1"/>
  <c r="X100" i="1" s="1"/>
  <c r="AE64" i="1"/>
  <c r="AC67" i="1"/>
  <c r="AC65" i="1"/>
  <c r="AD43" i="1"/>
  <c r="AD35" i="1"/>
  <c r="W99" i="1"/>
  <c r="W100" i="1" s="1"/>
  <c r="W82" i="1" s="1"/>
  <c r="W102" i="1" s="1"/>
  <c r="W103" i="1" s="1"/>
  <c r="AB44" i="1"/>
  <c r="AB45" i="1"/>
  <c r="Q17" i="1"/>
  <c r="Q9" i="1"/>
  <c r="Q10" i="1" s="1"/>
  <c r="P21" i="1"/>
  <c r="AC93" i="1"/>
  <c r="AE90" i="1"/>
  <c r="AC91" i="1"/>
  <c r="Z98" i="1"/>
  <c r="Z97" i="1"/>
  <c r="R12" i="1"/>
  <c r="R14" i="1"/>
  <c r="S11" i="1"/>
  <c r="AF67" i="1"/>
  <c r="AF65" i="1"/>
  <c r="AH64" i="1"/>
  <c r="E18" i="2"/>
  <c r="X56" i="1"/>
  <c r="X76" i="1" s="1"/>
  <c r="X77" i="1" s="1"/>
  <c r="AA124" i="1"/>
  <c r="AA123" i="1"/>
  <c r="AD70" i="1"/>
  <c r="AD62" i="1"/>
  <c r="H32" i="12"/>
  <c r="G32" i="10"/>
  <c r="AF112" i="1"/>
  <c r="AF86" i="1"/>
  <c r="AF33" i="1"/>
  <c r="AF60" i="1"/>
  <c r="AD63" i="1"/>
  <c r="H31" i="4"/>
  <c r="G33" i="13" l="1"/>
  <c r="F33" i="13" s="1"/>
  <c r="H33" i="13" s="1"/>
  <c r="AB122" i="1"/>
  <c r="AB114" i="1"/>
  <c r="AB115" i="1" s="1"/>
  <c r="AD119" i="1"/>
  <c r="AD117" i="1"/>
  <c r="AF116" i="1"/>
  <c r="C18" i="2"/>
  <c r="X108" i="1"/>
  <c r="X128" i="1" s="1"/>
  <c r="X129" i="1" s="1"/>
  <c r="Z124" i="1"/>
  <c r="Z123" i="1"/>
  <c r="AB73" i="1"/>
  <c r="AB74" i="1" s="1"/>
  <c r="AG37" i="1"/>
  <c r="AE38" i="1"/>
  <c r="AE40" i="1"/>
  <c r="AC43" i="1"/>
  <c r="AC35" i="1"/>
  <c r="Y46" i="1"/>
  <c r="Y47" i="1" s="1"/>
  <c r="Y29" i="1" s="1"/>
  <c r="Y49" i="1" s="1"/>
  <c r="Y50" i="1" s="1"/>
  <c r="AA45" i="1"/>
  <c r="AA44" i="1"/>
  <c r="AA46" i="1" s="1"/>
  <c r="AA47" i="1" s="1"/>
  <c r="AA29" i="1" s="1"/>
  <c r="AA49" i="1" s="1"/>
  <c r="AA50" i="1" s="1"/>
  <c r="E20" i="2"/>
  <c r="AB56" i="1"/>
  <c r="AB76" i="1" s="1"/>
  <c r="AB77" i="1" s="1"/>
  <c r="AJ64" i="1"/>
  <c r="AH65" i="1"/>
  <c r="AH67" i="1"/>
  <c r="AF35" i="1"/>
  <c r="AF43" i="1"/>
  <c r="AG119" i="1"/>
  <c r="AG117" i="1"/>
  <c r="AI116" i="1"/>
  <c r="AD44" i="1"/>
  <c r="AD45" i="1"/>
  <c r="AD71" i="1"/>
  <c r="AD72" i="1"/>
  <c r="AC62" i="1"/>
  <c r="AC63" i="1" s="1"/>
  <c r="AC70" i="1"/>
  <c r="Y73" i="1"/>
  <c r="Y74" i="1" s="1"/>
  <c r="Y56" i="1" s="1"/>
  <c r="Y76" i="1" s="1"/>
  <c r="Y77" i="1" s="1"/>
  <c r="AA97" i="1"/>
  <c r="AA98" i="1"/>
  <c r="AB98" i="1"/>
  <c r="AB97" i="1"/>
  <c r="AA72" i="1"/>
  <c r="AA71" i="1"/>
  <c r="AA73" i="1" s="1"/>
  <c r="AA74" i="1" s="1"/>
  <c r="AA56" i="1" s="1"/>
  <c r="AA76" i="1" s="1"/>
  <c r="AA77" i="1" s="1"/>
  <c r="AH40" i="1"/>
  <c r="AH38" i="1"/>
  <c r="AJ37" i="1"/>
  <c r="S14" i="1"/>
  <c r="T11" i="1"/>
  <c r="S12" i="1"/>
  <c r="AG64" i="1"/>
  <c r="AE67" i="1"/>
  <c r="AE65" i="1"/>
  <c r="AA125" i="1"/>
  <c r="AA126" i="1" s="1"/>
  <c r="AA108" i="1" s="1"/>
  <c r="AA128" i="1" s="1"/>
  <c r="AA129" i="1" s="1"/>
  <c r="R17" i="1"/>
  <c r="R9" i="1"/>
  <c r="R10" i="1" s="1"/>
  <c r="G14" i="2"/>
  <c r="P3" i="1"/>
  <c r="P23" i="1" s="1"/>
  <c r="P24" i="1" s="1"/>
  <c r="X82" i="1"/>
  <c r="X102" i="1" s="1"/>
  <c r="X103" i="1" s="1"/>
  <c r="D18" i="2"/>
  <c r="AF93" i="1"/>
  <c r="AH90" i="1"/>
  <c r="AF91" i="1"/>
  <c r="AE122" i="1"/>
  <c r="AE114" i="1"/>
  <c r="AE115" i="1" s="1"/>
  <c r="AF62" i="1"/>
  <c r="AF63" i="1" s="1"/>
  <c r="AF70" i="1"/>
  <c r="AC96" i="1"/>
  <c r="AC88" i="1"/>
  <c r="AC89" i="1" s="1"/>
  <c r="AB46" i="1"/>
  <c r="AB47" i="1" s="1"/>
  <c r="Z29" i="1"/>
  <c r="Z49" i="1" s="1"/>
  <c r="Z50" i="1" s="1"/>
  <c r="F19" i="2"/>
  <c r="AE91" i="1"/>
  <c r="AG90" i="1"/>
  <c r="AE93" i="1"/>
  <c r="Z99" i="1"/>
  <c r="Z100" i="1" s="1"/>
  <c r="Q18" i="1"/>
  <c r="Q19" i="1"/>
  <c r="AC124" i="1"/>
  <c r="AC123" i="1"/>
  <c r="AD88" i="1"/>
  <c r="AD89" i="1" s="1"/>
  <c r="AD96" i="1"/>
  <c r="G33" i="12"/>
  <c r="F33" i="12" s="1"/>
  <c r="H33" i="12" s="1"/>
  <c r="F32" i="10"/>
  <c r="AH60" i="1"/>
  <c r="AH33" i="1"/>
  <c r="AH86" i="1"/>
  <c r="AH112" i="1"/>
  <c r="G32" i="4"/>
  <c r="F32" i="4" s="1"/>
  <c r="G34" i="13" l="1"/>
  <c r="F34" i="13" s="1"/>
  <c r="H34" i="13" s="1"/>
  <c r="AF119" i="1"/>
  <c r="AH116" i="1"/>
  <c r="AF117" i="1"/>
  <c r="AD114" i="1"/>
  <c r="AD115" i="1" s="1"/>
  <c r="AD122" i="1"/>
  <c r="Z125" i="1"/>
  <c r="Z126" i="1" s="1"/>
  <c r="AB123" i="1"/>
  <c r="AB124" i="1"/>
  <c r="AC44" i="1"/>
  <c r="AC45" i="1"/>
  <c r="AE35" i="1"/>
  <c r="AE43" i="1"/>
  <c r="AG40" i="1"/>
  <c r="AI37" i="1"/>
  <c r="AG38" i="1"/>
  <c r="AH70" i="1"/>
  <c r="AH62" i="1"/>
  <c r="F20" i="2"/>
  <c r="AB29" i="1"/>
  <c r="AB49" i="1" s="1"/>
  <c r="AB50" i="1" s="1"/>
  <c r="R21" i="1"/>
  <c r="S9" i="1"/>
  <c r="S10" i="1" s="1"/>
  <c r="S17" i="1"/>
  <c r="AG91" i="1"/>
  <c r="AI90" i="1"/>
  <c r="AG93" i="1"/>
  <c r="T14" i="1"/>
  <c r="T12" i="1"/>
  <c r="U11" i="1"/>
  <c r="AJ38" i="1"/>
  <c r="AL37" i="1"/>
  <c r="AJ40" i="1"/>
  <c r="AC97" i="1"/>
  <c r="AC98" i="1"/>
  <c r="AH93" i="1"/>
  <c r="AH91" i="1"/>
  <c r="AJ90" i="1"/>
  <c r="AD73" i="1"/>
  <c r="AD74" i="1" s="1"/>
  <c r="AF45" i="1"/>
  <c r="AF44" i="1"/>
  <c r="AF71" i="1"/>
  <c r="AF72" i="1"/>
  <c r="AF96" i="1"/>
  <c r="AF88" i="1"/>
  <c r="AF89" i="1" s="1"/>
  <c r="AH35" i="1"/>
  <c r="AH43" i="1"/>
  <c r="AA99" i="1"/>
  <c r="AA100" i="1" s="1"/>
  <c r="AA82" i="1" s="1"/>
  <c r="AA102" i="1" s="1"/>
  <c r="AA103" i="1" s="1"/>
  <c r="AG114" i="1"/>
  <c r="AG115" i="1" s="1"/>
  <c r="AG122" i="1"/>
  <c r="AD98" i="1"/>
  <c r="AD97" i="1"/>
  <c r="AD99" i="1" s="1"/>
  <c r="AD100" i="1" s="1"/>
  <c r="Q20" i="1"/>
  <c r="Q21" i="1" s="1"/>
  <c r="Q3" i="1" s="1"/>
  <c r="Q23" i="1" s="1"/>
  <c r="Q24" i="1" s="1"/>
  <c r="AE70" i="1"/>
  <c r="AE62" i="1"/>
  <c r="AE63" i="1" s="1"/>
  <c r="AK116" i="1"/>
  <c r="AI117" i="1"/>
  <c r="AI119" i="1"/>
  <c r="Z82" i="1"/>
  <c r="Z102" i="1" s="1"/>
  <c r="Z103" i="1" s="1"/>
  <c r="D19" i="2"/>
  <c r="AG67" i="1"/>
  <c r="AI64" i="1"/>
  <c r="AG65" i="1"/>
  <c r="AC72" i="1"/>
  <c r="AC71" i="1"/>
  <c r="R19" i="1"/>
  <c r="R18" i="1"/>
  <c r="R20" i="1" s="1"/>
  <c r="AJ67" i="1"/>
  <c r="AJ65" i="1"/>
  <c r="AL64" i="1"/>
  <c r="AC125" i="1"/>
  <c r="AC126" i="1" s="1"/>
  <c r="AC108" i="1" s="1"/>
  <c r="AC128" i="1" s="1"/>
  <c r="AC129" i="1" s="1"/>
  <c r="AE96" i="1"/>
  <c r="AE88" i="1"/>
  <c r="AE89" i="1" s="1"/>
  <c r="AE123" i="1"/>
  <c r="AE124" i="1"/>
  <c r="AB99" i="1"/>
  <c r="AB100" i="1" s="1"/>
  <c r="AD46" i="1"/>
  <c r="AD47" i="1" s="1"/>
  <c r="G34" i="12"/>
  <c r="F34" i="12" s="1"/>
  <c r="H34" i="12" s="1"/>
  <c r="H32" i="10"/>
  <c r="AJ112" i="1"/>
  <c r="AJ86" i="1"/>
  <c r="AJ33" i="1"/>
  <c r="AJ60" i="1"/>
  <c r="AH63" i="1"/>
  <c r="H32" i="4"/>
  <c r="G35" i="13" l="1"/>
  <c r="F35" i="13" s="1"/>
  <c r="H35" i="13" s="1"/>
  <c r="AD124" i="1"/>
  <c r="AD123" i="1"/>
  <c r="AD125" i="1" s="1"/>
  <c r="AD126" i="1" s="1"/>
  <c r="AH119" i="1"/>
  <c r="AJ116" i="1"/>
  <c r="AH117" i="1"/>
  <c r="AE125" i="1"/>
  <c r="AE126" i="1" s="1"/>
  <c r="AE108" i="1" s="1"/>
  <c r="AE128" i="1" s="1"/>
  <c r="AE129" i="1" s="1"/>
  <c r="AB125" i="1"/>
  <c r="AB126" i="1" s="1"/>
  <c r="Z108" i="1"/>
  <c r="Z128" i="1" s="1"/>
  <c r="Z129" i="1" s="1"/>
  <c r="C19" i="2"/>
  <c r="AF122" i="1"/>
  <c r="AF114" i="1"/>
  <c r="AF115" i="1" s="1"/>
  <c r="AF73" i="1"/>
  <c r="AF74" i="1" s="1"/>
  <c r="AF46" i="1"/>
  <c r="AF47" i="1" s="1"/>
  <c r="AI38" i="1"/>
  <c r="AI40" i="1"/>
  <c r="AK37" i="1"/>
  <c r="AG35" i="1"/>
  <c r="AG43" i="1"/>
  <c r="AE44" i="1"/>
  <c r="AE45" i="1"/>
  <c r="AC46" i="1"/>
  <c r="AC47" i="1" s="1"/>
  <c r="AC29" i="1" s="1"/>
  <c r="AC49" i="1" s="1"/>
  <c r="AC50" i="1" s="1"/>
  <c r="AF56" i="1"/>
  <c r="AF76" i="1" s="1"/>
  <c r="AF77" i="1" s="1"/>
  <c r="E22" i="2"/>
  <c r="AF29" i="1"/>
  <c r="AF49" i="1" s="1"/>
  <c r="AF50" i="1" s="1"/>
  <c r="F22" i="2"/>
  <c r="AN64" i="1"/>
  <c r="AL67" i="1"/>
  <c r="AL65" i="1"/>
  <c r="AC73" i="1"/>
  <c r="AC74" i="1" s="1"/>
  <c r="AC56" i="1" s="1"/>
  <c r="AC76" i="1" s="1"/>
  <c r="AC77" i="1" s="1"/>
  <c r="AC99" i="1"/>
  <c r="AC100" i="1" s="1"/>
  <c r="AC82" i="1" s="1"/>
  <c r="AC102" i="1" s="1"/>
  <c r="AC103" i="1" s="1"/>
  <c r="T9" i="1"/>
  <c r="T10" i="1" s="1"/>
  <c r="T17" i="1"/>
  <c r="AJ70" i="1"/>
  <c r="AJ62" i="1"/>
  <c r="AJ63" i="1" s="1"/>
  <c r="AH45" i="1"/>
  <c r="AH44" i="1"/>
  <c r="AK90" i="1"/>
  <c r="AI93" i="1"/>
  <c r="AI91" i="1"/>
  <c r="AK119" i="1"/>
  <c r="AM116" i="1"/>
  <c r="AK117" i="1"/>
  <c r="G15" i="2"/>
  <c r="R3" i="1"/>
  <c r="R23" i="1" s="1"/>
  <c r="R24" i="1" s="1"/>
  <c r="AD82" i="1"/>
  <c r="AD102" i="1" s="1"/>
  <c r="AD103" i="1" s="1"/>
  <c r="D21" i="2"/>
  <c r="AE98" i="1"/>
  <c r="AE97" i="1"/>
  <c r="AE99" i="1" s="1"/>
  <c r="AE100" i="1" s="1"/>
  <c r="AE82" i="1" s="1"/>
  <c r="AE102" i="1" s="1"/>
  <c r="AE103" i="1" s="1"/>
  <c r="AI65" i="1"/>
  <c r="AI67" i="1"/>
  <c r="AK64" i="1"/>
  <c r="AE72" i="1"/>
  <c r="AE71" i="1"/>
  <c r="AD56" i="1"/>
  <c r="AD76" i="1" s="1"/>
  <c r="AD77" i="1" s="1"/>
  <c r="E21" i="2"/>
  <c r="AJ43" i="1"/>
  <c r="AJ35" i="1"/>
  <c r="AH71" i="1"/>
  <c r="AH72" i="1"/>
  <c r="AG123" i="1"/>
  <c r="AG124" i="1"/>
  <c r="AG88" i="1"/>
  <c r="AG89" i="1" s="1"/>
  <c r="AG96" i="1"/>
  <c r="AJ91" i="1"/>
  <c r="AL90" i="1"/>
  <c r="AJ93" i="1"/>
  <c r="AL40" i="1"/>
  <c r="AN37" i="1"/>
  <c r="AL38" i="1"/>
  <c r="D20" i="2"/>
  <c r="AB82" i="1"/>
  <c r="AB102" i="1" s="1"/>
  <c r="AB103" i="1" s="1"/>
  <c r="AG70" i="1"/>
  <c r="AG62" i="1"/>
  <c r="AG63" i="1" s="1"/>
  <c r="AI122" i="1"/>
  <c r="AI114" i="1"/>
  <c r="AI115" i="1" s="1"/>
  <c r="AF97" i="1"/>
  <c r="AF98" i="1"/>
  <c r="S19" i="1"/>
  <c r="S18" i="1"/>
  <c r="S20" i="1" s="1"/>
  <c r="S21" i="1" s="1"/>
  <c r="S3" i="1" s="1"/>
  <c r="S23" i="1" s="1"/>
  <c r="S24" i="1" s="1"/>
  <c r="AD29" i="1"/>
  <c r="AD49" i="1" s="1"/>
  <c r="AD50" i="1" s="1"/>
  <c r="F21" i="2"/>
  <c r="AH88" i="1"/>
  <c r="AH89" i="1" s="1"/>
  <c r="AH96" i="1"/>
  <c r="V11" i="1"/>
  <c r="U14" i="1"/>
  <c r="U12" i="1"/>
  <c r="G35" i="12"/>
  <c r="F35" i="12" s="1"/>
  <c r="H35" i="12" s="1"/>
  <c r="G33" i="10"/>
  <c r="F33" i="10" s="1"/>
  <c r="H33" i="10" s="1"/>
  <c r="AL33" i="1"/>
  <c r="AL86" i="1"/>
  <c r="AL60" i="1"/>
  <c r="AL112" i="1"/>
  <c r="G33" i="4"/>
  <c r="F33" i="4" s="1"/>
  <c r="H33" i="4" s="1"/>
  <c r="G36" i="13" l="1"/>
  <c r="F36" i="13" s="1"/>
  <c r="H36" i="13" s="1"/>
  <c r="AG125" i="1"/>
  <c r="AG126" i="1" s="1"/>
  <c r="AG108" i="1" s="1"/>
  <c r="AG128" i="1" s="1"/>
  <c r="AG129" i="1" s="1"/>
  <c r="AJ117" i="1"/>
  <c r="AL116" i="1"/>
  <c r="AJ119" i="1"/>
  <c r="AH114" i="1"/>
  <c r="AH115" i="1" s="1"/>
  <c r="AH122" i="1"/>
  <c r="AF123" i="1"/>
  <c r="AF124" i="1"/>
  <c r="C21" i="2"/>
  <c r="AD108" i="1"/>
  <c r="AD128" i="1" s="1"/>
  <c r="AD129" i="1" s="1"/>
  <c r="C20" i="2"/>
  <c r="AB108" i="1"/>
  <c r="AB128" i="1" s="1"/>
  <c r="AB129" i="1" s="1"/>
  <c r="AF99" i="1"/>
  <c r="AF100" i="1" s="1"/>
  <c r="AE46" i="1"/>
  <c r="AE47" i="1" s="1"/>
  <c r="AE29" i="1" s="1"/>
  <c r="AE49" i="1" s="1"/>
  <c r="AE50" i="1" s="1"/>
  <c r="AG45" i="1"/>
  <c r="AG44" i="1"/>
  <c r="AK38" i="1"/>
  <c r="AK40" i="1"/>
  <c r="AM37" i="1"/>
  <c r="AI43" i="1"/>
  <c r="AI35" i="1"/>
  <c r="D22" i="2"/>
  <c r="AF82" i="1"/>
  <c r="AF102" i="1" s="1"/>
  <c r="AF103" i="1" s="1"/>
  <c r="AJ96" i="1"/>
  <c r="AJ88" i="1"/>
  <c r="AJ89" i="1" s="1"/>
  <c r="AE73" i="1"/>
  <c r="AE74" i="1" s="1"/>
  <c r="AE56" i="1" s="1"/>
  <c r="AE76" i="1" s="1"/>
  <c r="AE77" i="1" s="1"/>
  <c r="AK122" i="1"/>
  <c r="AK114" i="1"/>
  <c r="AK115" i="1" s="1"/>
  <c r="AL70" i="1"/>
  <c r="AL62" i="1"/>
  <c r="AL63" i="1" s="1"/>
  <c r="AI88" i="1"/>
  <c r="AI89" i="1" s="1"/>
  <c r="AI96" i="1"/>
  <c r="AJ72" i="1"/>
  <c r="AJ71" i="1"/>
  <c r="AJ73" i="1" s="1"/>
  <c r="AJ74" i="1" s="1"/>
  <c r="AM119" i="1"/>
  <c r="AO116" i="1"/>
  <c r="AM117" i="1"/>
  <c r="AL93" i="1"/>
  <c r="AL91" i="1"/>
  <c r="AN90" i="1"/>
  <c r="AN67" i="1"/>
  <c r="AP64" i="1"/>
  <c r="AN65" i="1"/>
  <c r="V14" i="1"/>
  <c r="W11" i="1"/>
  <c r="V12" i="1"/>
  <c r="AH73" i="1"/>
  <c r="AH74" i="1" s="1"/>
  <c r="AM90" i="1"/>
  <c r="AK91" i="1"/>
  <c r="AK93" i="1"/>
  <c r="T19" i="1"/>
  <c r="T18" i="1"/>
  <c r="U9" i="1"/>
  <c r="U10" i="1" s="1"/>
  <c r="U17" i="1"/>
  <c r="AH98" i="1"/>
  <c r="AH97" i="1"/>
  <c r="AH99" i="1" s="1"/>
  <c r="AG97" i="1"/>
  <c r="AG98" i="1"/>
  <c r="AK67" i="1"/>
  <c r="AK65" i="1"/>
  <c r="AM64" i="1"/>
  <c r="AH46" i="1"/>
  <c r="AH47" i="1" s="1"/>
  <c r="AL35" i="1"/>
  <c r="AL43" i="1"/>
  <c r="AI124" i="1"/>
  <c r="AI123" i="1"/>
  <c r="AI125" i="1" s="1"/>
  <c r="AI126" i="1" s="1"/>
  <c r="AI108" i="1" s="1"/>
  <c r="AI128" i="1" s="1"/>
  <c r="AI129" i="1" s="1"/>
  <c r="AH100" i="1"/>
  <c r="AJ44" i="1"/>
  <c r="AJ45" i="1"/>
  <c r="AI70" i="1"/>
  <c r="AI62" i="1"/>
  <c r="AI63" i="1" s="1"/>
  <c r="AG71" i="1"/>
  <c r="AG72" i="1"/>
  <c r="AN38" i="1"/>
  <c r="AP37" i="1"/>
  <c r="AN40" i="1"/>
  <c r="G36" i="12"/>
  <c r="F36" i="12" s="1"/>
  <c r="H36" i="12" s="1"/>
  <c r="G34" i="10"/>
  <c r="F34" i="10" s="1"/>
  <c r="H34" i="10" s="1"/>
  <c r="AN33" i="1"/>
  <c r="AN112" i="1"/>
  <c r="AN60" i="1"/>
  <c r="AN86" i="1"/>
  <c r="G34" i="4"/>
  <c r="F34" i="4" s="1"/>
  <c r="H34" i="4" s="1"/>
  <c r="G37" i="13" l="1"/>
  <c r="F37" i="13" s="1"/>
  <c r="H37" i="13" s="1"/>
  <c r="AL119" i="1"/>
  <c r="AL117" i="1"/>
  <c r="AN116" i="1"/>
  <c r="AF125" i="1"/>
  <c r="AF126" i="1" s="1"/>
  <c r="AH123" i="1"/>
  <c r="AH124" i="1"/>
  <c r="AJ122" i="1"/>
  <c r="AJ114" i="1"/>
  <c r="AJ115" i="1" s="1"/>
  <c r="AG99" i="1"/>
  <c r="AG100" i="1" s="1"/>
  <c r="AG82" i="1" s="1"/>
  <c r="AG102" i="1" s="1"/>
  <c r="AG103" i="1" s="1"/>
  <c r="E24" i="2"/>
  <c r="AJ56" i="1"/>
  <c r="AJ76" i="1" s="1"/>
  <c r="AJ77" i="1" s="1"/>
  <c r="AG46" i="1"/>
  <c r="AG47" i="1" s="1"/>
  <c r="AG29" i="1" s="1"/>
  <c r="AG49" i="1" s="1"/>
  <c r="AG50" i="1" s="1"/>
  <c r="AI45" i="1"/>
  <c r="AI44" i="1"/>
  <c r="AM40" i="1"/>
  <c r="AO37" i="1"/>
  <c r="AM38" i="1"/>
  <c r="AK43" i="1"/>
  <c r="AK35" i="1"/>
  <c r="AK62" i="1"/>
  <c r="AK63" i="1" s="1"/>
  <c r="AK70" i="1"/>
  <c r="AI98" i="1"/>
  <c r="AI97" i="1"/>
  <c r="AI99" i="1" s="1"/>
  <c r="AI100" i="1" s="1"/>
  <c r="AI82" i="1" s="1"/>
  <c r="AI102" i="1" s="1"/>
  <c r="AI103" i="1" s="1"/>
  <c r="AN35" i="1"/>
  <c r="AN43" i="1"/>
  <c r="AI72" i="1"/>
  <c r="AI71" i="1"/>
  <c r="T20" i="1"/>
  <c r="T21" i="1" s="1"/>
  <c r="AP38" i="1"/>
  <c r="AR37" i="1"/>
  <c r="AP40" i="1"/>
  <c r="AK96" i="1"/>
  <c r="AK88" i="1"/>
  <c r="AK89" i="1" s="1"/>
  <c r="V17" i="1"/>
  <c r="V9" i="1"/>
  <c r="V10" i="1" s="1"/>
  <c r="AK124" i="1"/>
  <c r="AK123" i="1"/>
  <c r="AN91" i="1"/>
  <c r="AP90" i="1"/>
  <c r="AN93" i="1"/>
  <c r="AL44" i="1"/>
  <c r="AL45" i="1"/>
  <c r="AO119" i="1"/>
  <c r="AO117" i="1"/>
  <c r="AQ116" i="1"/>
  <c r="AJ46" i="1"/>
  <c r="AJ47" i="1" s="1"/>
  <c r="AG73" i="1"/>
  <c r="AG74" i="1" s="1"/>
  <c r="AG56" i="1" s="1"/>
  <c r="AG76" i="1" s="1"/>
  <c r="AG77" i="1" s="1"/>
  <c r="AH29" i="1"/>
  <c r="AH49" i="1" s="1"/>
  <c r="AH50" i="1" s="1"/>
  <c r="F23" i="2"/>
  <c r="AM93" i="1"/>
  <c r="AM91" i="1"/>
  <c r="AO90" i="1"/>
  <c r="AM122" i="1"/>
  <c r="AM114" i="1"/>
  <c r="AM115" i="1" s="1"/>
  <c r="E23" i="2"/>
  <c r="AH56" i="1"/>
  <c r="AH76" i="1" s="1"/>
  <c r="AH77" i="1" s="1"/>
  <c r="AL96" i="1"/>
  <c r="AL88" i="1"/>
  <c r="AL89" i="1" s="1"/>
  <c r="AO64" i="1"/>
  <c r="AM67" i="1"/>
  <c r="AM65" i="1"/>
  <c r="AR64" i="1"/>
  <c r="AP65" i="1"/>
  <c r="AP67" i="1"/>
  <c r="W14" i="1"/>
  <c r="Y11" i="1"/>
  <c r="W12" i="1"/>
  <c r="D23" i="2"/>
  <c r="AH82" i="1"/>
  <c r="AH102" i="1" s="1"/>
  <c r="AH103" i="1" s="1"/>
  <c r="U18" i="1"/>
  <c r="U19" i="1"/>
  <c r="AN62" i="1"/>
  <c r="AN63" i="1" s="1"/>
  <c r="AN70" i="1"/>
  <c r="AL71" i="1"/>
  <c r="AL72" i="1"/>
  <c r="AJ98" i="1"/>
  <c r="AJ97" i="1"/>
  <c r="G37" i="12"/>
  <c r="F37" i="12" s="1"/>
  <c r="H37" i="12" s="1"/>
  <c r="G35" i="10"/>
  <c r="F35" i="10" s="1"/>
  <c r="H35" i="10" s="1"/>
  <c r="AP112" i="1"/>
  <c r="AP86" i="1"/>
  <c r="AP60" i="1"/>
  <c r="AP33" i="1"/>
  <c r="G35" i="4"/>
  <c r="F35" i="4" s="1"/>
  <c r="H35" i="4" s="1"/>
  <c r="G38" i="13" l="1"/>
  <c r="F38" i="13" s="1"/>
  <c r="H38" i="13" s="1"/>
  <c r="AJ123" i="1"/>
  <c r="AJ124" i="1"/>
  <c r="AH125" i="1"/>
  <c r="AH126" i="1" s="1"/>
  <c r="AF108" i="1"/>
  <c r="AF128" i="1" s="1"/>
  <c r="AF129" i="1" s="1"/>
  <c r="C22" i="2"/>
  <c r="AN117" i="1"/>
  <c r="AP116" i="1"/>
  <c r="AN119" i="1"/>
  <c r="AL122" i="1"/>
  <c r="AL114" i="1"/>
  <c r="AL115" i="1" s="1"/>
  <c r="AL73" i="1"/>
  <c r="AL74" i="1" s="1"/>
  <c r="AI46" i="1"/>
  <c r="AI47" i="1" s="1"/>
  <c r="AI29" i="1" s="1"/>
  <c r="AI49" i="1" s="1"/>
  <c r="AI50" i="1" s="1"/>
  <c r="AK45" i="1"/>
  <c r="AK44" i="1"/>
  <c r="AO38" i="1"/>
  <c r="AQ37" i="1"/>
  <c r="AO40" i="1"/>
  <c r="AM43" i="1"/>
  <c r="AM35" i="1"/>
  <c r="E25" i="2"/>
  <c r="AL56" i="1"/>
  <c r="AL76" i="1" s="1"/>
  <c r="AL77" i="1" s="1"/>
  <c r="AL46" i="1"/>
  <c r="AL47" i="1" s="1"/>
  <c r="AM70" i="1"/>
  <c r="AM62" i="1"/>
  <c r="AM63" i="1" s="1"/>
  <c r="AN96" i="1"/>
  <c r="AN88" i="1"/>
  <c r="AN89" i="1" s="1"/>
  <c r="AR40" i="1"/>
  <c r="AR38" i="1"/>
  <c r="AO67" i="1"/>
  <c r="AQ64" i="1"/>
  <c r="AO65" i="1"/>
  <c r="AP93" i="1"/>
  <c r="AP91" i="1"/>
  <c r="AR90" i="1"/>
  <c r="AR67" i="1"/>
  <c r="AR65" i="1"/>
  <c r="AP35" i="1"/>
  <c r="AP43" i="1"/>
  <c r="Z11" i="1"/>
  <c r="Y12" i="1"/>
  <c r="Y14" i="1"/>
  <c r="AJ99" i="1"/>
  <c r="AJ100" i="1" s="1"/>
  <c r="U20" i="1"/>
  <c r="U21" i="1" s="1"/>
  <c r="U3" i="1" s="1"/>
  <c r="U23" i="1" s="1"/>
  <c r="U24" i="1" s="1"/>
  <c r="W17" i="1"/>
  <c r="W9" i="1"/>
  <c r="W10" i="1" s="1"/>
  <c r="F24" i="2"/>
  <c r="AJ29" i="1"/>
  <c r="AJ49" i="1" s="1"/>
  <c r="AJ50" i="1" s="1"/>
  <c r="V19" i="1"/>
  <c r="V18" i="1"/>
  <c r="AQ117" i="1"/>
  <c r="AQ119" i="1"/>
  <c r="T3" i="1"/>
  <c r="T23" i="1" s="1"/>
  <c r="T24" i="1" s="1"/>
  <c r="G16" i="2"/>
  <c r="AN72" i="1"/>
  <c r="AN71" i="1"/>
  <c r="AN73" i="1" s="1"/>
  <c r="AN74" i="1" s="1"/>
  <c r="AM96" i="1"/>
  <c r="AM88" i="1"/>
  <c r="AM89" i="1" s="1"/>
  <c r="AL100" i="1"/>
  <c r="AM123" i="1"/>
  <c r="AM124" i="1"/>
  <c r="AP70" i="1"/>
  <c r="AP62" i="1"/>
  <c r="AL98" i="1"/>
  <c r="AL97" i="1"/>
  <c r="AL99" i="1" s="1"/>
  <c r="AO93" i="1"/>
  <c r="AQ90" i="1"/>
  <c r="AO91" i="1"/>
  <c r="AK97" i="1"/>
  <c r="AK98" i="1"/>
  <c r="AI73" i="1"/>
  <c r="AI74" i="1" s="1"/>
  <c r="AI56" i="1" s="1"/>
  <c r="AI76" i="1" s="1"/>
  <c r="AI77" i="1" s="1"/>
  <c r="AN44" i="1"/>
  <c r="AN45" i="1"/>
  <c r="AO114" i="1"/>
  <c r="AO115" i="1" s="1"/>
  <c r="AO122" i="1"/>
  <c r="AK125" i="1"/>
  <c r="AK126" i="1" s="1"/>
  <c r="AK108" i="1" s="1"/>
  <c r="AK128" i="1" s="1"/>
  <c r="AK129" i="1" s="1"/>
  <c r="AK72" i="1"/>
  <c r="AK71" i="1"/>
  <c r="AK73" i="1" s="1"/>
  <c r="AK74" i="1" s="1"/>
  <c r="AK56" i="1" s="1"/>
  <c r="AK76" i="1" s="1"/>
  <c r="AK77" i="1" s="1"/>
  <c r="G38" i="12"/>
  <c r="F38" i="12" s="1"/>
  <c r="H38" i="12" s="1"/>
  <c r="G36" i="10"/>
  <c r="F36" i="10" s="1"/>
  <c r="H36" i="10" s="1"/>
  <c r="AP63" i="1"/>
  <c r="AR60" i="1"/>
  <c r="AR86" i="1"/>
  <c r="AR33" i="1"/>
  <c r="AR112" i="1"/>
  <c r="G36" i="4"/>
  <c r="F36" i="4" s="1"/>
  <c r="H36" i="4" s="1"/>
  <c r="G39" i="13" l="1"/>
  <c r="F39" i="13" s="1"/>
  <c r="H39" i="13" s="1"/>
  <c r="AN122" i="1"/>
  <c r="AN114" i="1"/>
  <c r="AN115" i="1" s="1"/>
  <c r="AP119" i="1"/>
  <c r="AR116" i="1"/>
  <c r="AP117" i="1"/>
  <c r="C23" i="2"/>
  <c r="AH108" i="1"/>
  <c r="AH128" i="1" s="1"/>
  <c r="AH129" i="1" s="1"/>
  <c r="AL124" i="1"/>
  <c r="AL123" i="1"/>
  <c r="AJ125" i="1"/>
  <c r="AJ126" i="1" s="1"/>
  <c r="AK46" i="1"/>
  <c r="AK47" i="1" s="1"/>
  <c r="AK29" i="1" s="1"/>
  <c r="AK49" i="1" s="1"/>
  <c r="AK50" i="1" s="1"/>
  <c r="AM45" i="1"/>
  <c r="AM44" i="1"/>
  <c r="AO35" i="1"/>
  <c r="AO43" i="1"/>
  <c r="AQ40" i="1"/>
  <c r="AQ38" i="1"/>
  <c r="E26" i="2"/>
  <c r="AN56" i="1"/>
  <c r="AN76" i="1" s="1"/>
  <c r="AN77" i="1" s="1"/>
  <c r="AO124" i="1"/>
  <c r="AO123" i="1"/>
  <c r="AO125" i="1" s="1"/>
  <c r="AO126" i="1" s="1"/>
  <c r="AO108" i="1" s="1"/>
  <c r="AO128" i="1" s="1"/>
  <c r="AO129" i="1" s="1"/>
  <c r="W19" i="1"/>
  <c r="W18" i="1"/>
  <c r="AR70" i="1"/>
  <c r="AR62" i="1"/>
  <c r="AQ65" i="1"/>
  <c r="AQ67" i="1"/>
  <c r="AJ82" i="1"/>
  <c r="AJ102" i="1" s="1"/>
  <c r="AJ103" i="1" s="1"/>
  <c r="D24" i="2"/>
  <c r="AO70" i="1"/>
  <c r="AO62" i="1"/>
  <c r="AO63" i="1" s="1"/>
  <c r="AM72" i="1"/>
  <c r="AM71" i="1"/>
  <c r="AN46" i="1"/>
  <c r="AN47" i="1" s="1"/>
  <c r="AO88" i="1"/>
  <c r="AO89" i="1" s="1"/>
  <c r="AO96" i="1"/>
  <c r="V20" i="1"/>
  <c r="V21" i="1" s="1"/>
  <c r="Y9" i="1"/>
  <c r="Y10" i="1" s="1"/>
  <c r="Y17" i="1"/>
  <c r="AR91" i="1"/>
  <c r="AR93" i="1"/>
  <c r="F25" i="2"/>
  <c r="AL29" i="1"/>
  <c r="AL49" i="1" s="1"/>
  <c r="AL50" i="1" s="1"/>
  <c r="AQ93" i="1"/>
  <c r="AQ91" i="1"/>
  <c r="AQ122" i="1"/>
  <c r="AQ114" i="1"/>
  <c r="AQ115" i="1" s="1"/>
  <c r="AR43" i="1"/>
  <c r="AR35" i="1"/>
  <c r="AP72" i="1"/>
  <c r="AP71" i="1"/>
  <c r="AP73" i="1" s="1"/>
  <c r="AP74" i="1" s="1"/>
  <c r="AM125" i="1"/>
  <c r="AM126" i="1" s="1"/>
  <c r="AM108" i="1" s="1"/>
  <c r="AM128" i="1" s="1"/>
  <c r="AM129" i="1" s="1"/>
  <c r="AR63" i="1"/>
  <c r="Z12" i="1"/>
  <c r="AA11" i="1"/>
  <c r="Z14" i="1"/>
  <c r="AP88" i="1"/>
  <c r="AP89" i="1" s="1"/>
  <c r="AP96" i="1"/>
  <c r="D25" i="2"/>
  <c r="AL82" i="1"/>
  <c r="AL102" i="1" s="1"/>
  <c r="AL103" i="1" s="1"/>
  <c r="AK99" i="1"/>
  <c r="AK100" i="1" s="1"/>
  <c r="AK82" i="1" s="1"/>
  <c r="AK102" i="1" s="1"/>
  <c r="AK103" i="1" s="1"/>
  <c r="AM97" i="1"/>
  <c r="AM98" i="1"/>
  <c r="AP45" i="1"/>
  <c r="AP44" i="1"/>
  <c r="AP46" i="1" s="1"/>
  <c r="AP47" i="1" s="1"/>
  <c r="AN97" i="1"/>
  <c r="AN98" i="1"/>
  <c r="G39" i="12"/>
  <c r="F39" i="12" s="1"/>
  <c r="H39" i="12" s="1"/>
  <c r="G37" i="10"/>
  <c r="F37" i="10" s="1"/>
  <c r="H37" i="10" s="1"/>
  <c r="G37" i="4"/>
  <c r="F37" i="4" s="1"/>
  <c r="H37" i="4" s="1"/>
  <c r="AR10" i="1"/>
  <c r="AR21" i="1" s="1"/>
  <c r="G40" i="13" l="1"/>
  <c r="F40" i="13" s="1"/>
  <c r="H40" i="13" s="1"/>
  <c r="AR117" i="1"/>
  <c r="AR119" i="1"/>
  <c r="AJ108" i="1"/>
  <c r="AJ128" i="1" s="1"/>
  <c r="AJ129" i="1" s="1"/>
  <c r="C24" i="2"/>
  <c r="AP114" i="1"/>
  <c r="AP115" i="1" s="1"/>
  <c r="AP122" i="1"/>
  <c r="AL125" i="1"/>
  <c r="AL126" i="1" s="1"/>
  <c r="AN123" i="1"/>
  <c r="AN125" i="1" s="1"/>
  <c r="AN126" i="1" s="1"/>
  <c r="AN124" i="1"/>
  <c r="AM73" i="1"/>
  <c r="AM74" i="1" s="1"/>
  <c r="AM56" i="1" s="1"/>
  <c r="AM76" i="1" s="1"/>
  <c r="AM77" i="1" s="1"/>
  <c r="AM46" i="1"/>
  <c r="AM47" i="1" s="1"/>
  <c r="AM29" i="1" s="1"/>
  <c r="AM49" i="1" s="1"/>
  <c r="AM50" i="1" s="1"/>
  <c r="AQ43" i="1"/>
  <c r="AQ35" i="1"/>
  <c r="AO44" i="1"/>
  <c r="AO45" i="1"/>
  <c r="E27" i="2"/>
  <c r="AP56" i="1"/>
  <c r="AP76" i="1" s="1"/>
  <c r="AP77" i="1" s="1"/>
  <c r="F27" i="2"/>
  <c r="AP29" i="1"/>
  <c r="AP49" i="1" s="1"/>
  <c r="AP50" i="1" s="1"/>
  <c r="AQ96" i="1"/>
  <c r="AQ88" i="1"/>
  <c r="AQ89" i="1" s="1"/>
  <c r="AQ70" i="1"/>
  <c r="AQ62" i="1"/>
  <c r="AQ63" i="1" s="1"/>
  <c r="G17" i="2"/>
  <c r="V3" i="1"/>
  <c r="V23" i="1" s="1"/>
  <c r="V24" i="1" s="1"/>
  <c r="Z9" i="1"/>
  <c r="Z10" i="1" s="1"/>
  <c r="Z17" i="1"/>
  <c r="AN29" i="1"/>
  <c r="AN49" i="1" s="1"/>
  <c r="AN50" i="1" s="1"/>
  <c r="F26" i="2"/>
  <c r="AN99" i="1"/>
  <c r="AN100" i="1" s="1"/>
  <c r="AQ124" i="1"/>
  <c r="AQ123" i="1"/>
  <c r="AQ125" i="1" s="1"/>
  <c r="AQ126" i="1" s="1"/>
  <c r="AQ108" i="1" s="1"/>
  <c r="AQ128" i="1" s="1"/>
  <c r="AQ129" i="1" s="1"/>
  <c r="Y19" i="1"/>
  <c r="Y18" i="1"/>
  <c r="Y20" i="1" s="1"/>
  <c r="Y21" i="1" s="1"/>
  <c r="Y3" i="1" s="1"/>
  <c r="Y23" i="1" s="1"/>
  <c r="Y24" i="1" s="1"/>
  <c r="AR72" i="1"/>
  <c r="AR71" i="1"/>
  <c r="AR73" i="1" s="1"/>
  <c r="AR74" i="1" s="1"/>
  <c r="AO72" i="1"/>
  <c r="AO71" i="1"/>
  <c r="AO73" i="1" s="1"/>
  <c r="AO74" i="1" s="1"/>
  <c r="AO56" i="1" s="1"/>
  <c r="AO76" i="1" s="1"/>
  <c r="AO77" i="1" s="1"/>
  <c r="AO98" i="1"/>
  <c r="AO97" i="1"/>
  <c r="AO99" i="1" s="1"/>
  <c r="AO100" i="1" s="1"/>
  <c r="AO82" i="1" s="1"/>
  <c r="AO102" i="1" s="1"/>
  <c r="AO103" i="1" s="1"/>
  <c r="AA12" i="1"/>
  <c r="AB11" i="1"/>
  <c r="AA14" i="1"/>
  <c r="AM99" i="1"/>
  <c r="AM100" i="1" s="1"/>
  <c r="AM82" i="1" s="1"/>
  <c r="AM102" i="1" s="1"/>
  <c r="AM103" i="1" s="1"/>
  <c r="AR44" i="1"/>
  <c r="AR45" i="1"/>
  <c r="AR88" i="1"/>
  <c r="AR89" i="1" s="1"/>
  <c r="AR96" i="1"/>
  <c r="AP97" i="1"/>
  <c r="AP98" i="1"/>
  <c r="W20" i="1"/>
  <c r="W21" i="1" s="1"/>
  <c r="W3" i="1" s="1"/>
  <c r="W23" i="1" s="1"/>
  <c r="W24" i="1" s="1"/>
  <c r="G40" i="12"/>
  <c r="F40" i="12" s="1"/>
  <c r="H40" i="12" s="1"/>
  <c r="G38" i="10"/>
  <c r="F38" i="10" s="1"/>
  <c r="H38" i="10" s="1"/>
  <c r="G38" i="4"/>
  <c r="F38" i="4" s="1"/>
  <c r="H38" i="4" s="1"/>
  <c r="G28" i="2"/>
  <c r="AR3" i="1"/>
  <c r="AR23" i="1" s="1"/>
  <c r="AR24" i="1" s="1"/>
  <c r="G41" i="13" l="1"/>
  <c r="F41" i="13" s="1"/>
  <c r="H41" i="13" s="1"/>
  <c r="C26" i="2"/>
  <c r="AN108" i="1"/>
  <c r="AN128" i="1" s="1"/>
  <c r="AN129" i="1" s="1"/>
  <c r="C25" i="2"/>
  <c r="AL108" i="1"/>
  <c r="AL128" i="1" s="1"/>
  <c r="AL129" i="1" s="1"/>
  <c r="AR122" i="1"/>
  <c r="AR114" i="1"/>
  <c r="AR115" i="1" s="1"/>
  <c r="AP124" i="1"/>
  <c r="AP123" i="1"/>
  <c r="AP125" i="1" s="1"/>
  <c r="AP126" i="1" s="1"/>
  <c r="AP108" i="1" s="1"/>
  <c r="AP128" i="1" s="1"/>
  <c r="AP129" i="1" s="1"/>
  <c r="AO46" i="1"/>
  <c r="AO47" i="1" s="1"/>
  <c r="AO29" i="1" s="1"/>
  <c r="AO49" i="1" s="1"/>
  <c r="AO50" i="1" s="1"/>
  <c r="AQ45" i="1"/>
  <c r="AQ44" i="1"/>
  <c r="AR56" i="1"/>
  <c r="AR76" i="1" s="1"/>
  <c r="AR77" i="1" s="1"/>
  <c r="E28" i="2"/>
  <c r="AQ72" i="1"/>
  <c r="AQ71" i="1"/>
  <c r="AQ73" i="1" s="1"/>
  <c r="AQ74" i="1" s="1"/>
  <c r="AQ56" i="1" s="1"/>
  <c r="AQ76" i="1" s="1"/>
  <c r="AQ77" i="1" s="1"/>
  <c r="AP99" i="1"/>
  <c r="AP100" i="1" s="1"/>
  <c r="AB12" i="1"/>
  <c r="AC11" i="1"/>
  <c r="AB14" i="1"/>
  <c r="Z19" i="1"/>
  <c r="Z18" i="1"/>
  <c r="Z20" i="1" s="1"/>
  <c r="Z21" i="1" s="1"/>
  <c r="AA9" i="1"/>
  <c r="AA10" i="1" s="1"/>
  <c r="AA17" i="1"/>
  <c r="AQ98" i="1"/>
  <c r="AQ97" i="1"/>
  <c r="AQ99" i="1" s="1"/>
  <c r="AQ100" i="1" s="1"/>
  <c r="AQ82" i="1" s="1"/>
  <c r="AQ102" i="1" s="1"/>
  <c r="AQ103" i="1" s="1"/>
  <c r="AR98" i="1"/>
  <c r="AR97" i="1"/>
  <c r="AR99" i="1" s="1"/>
  <c r="AR100" i="1"/>
  <c r="AR46" i="1"/>
  <c r="AR47" i="1" s="1"/>
  <c r="AN82" i="1"/>
  <c r="AN102" i="1" s="1"/>
  <c r="AN103" i="1" s="1"/>
  <c r="D26" i="2"/>
  <c r="G41" i="12"/>
  <c r="F41" i="12" s="1"/>
  <c r="H41" i="12" s="1"/>
  <c r="G39" i="10"/>
  <c r="F39" i="10" s="1"/>
  <c r="H39" i="10" s="1"/>
  <c r="G39" i="4"/>
  <c r="F39" i="4" s="1"/>
  <c r="H39" i="4" s="1"/>
  <c r="G42" i="13" l="1"/>
  <c r="F42" i="13" s="1"/>
  <c r="H42" i="13" s="1"/>
  <c r="AR124" i="1"/>
  <c r="AR123" i="1"/>
  <c r="AR125" i="1" s="1"/>
  <c r="AR126" i="1" s="1"/>
  <c r="C27" i="2"/>
  <c r="AQ46" i="1"/>
  <c r="AQ47" i="1" s="1"/>
  <c r="AQ29" i="1" s="1"/>
  <c r="AQ49" i="1" s="1"/>
  <c r="AQ50" i="1" s="1"/>
  <c r="Z3" i="1"/>
  <c r="Z23" i="1" s="1"/>
  <c r="Z24" i="1" s="1"/>
  <c r="G19" i="2"/>
  <c r="D27" i="2"/>
  <c r="AP82" i="1"/>
  <c r="AP102" i="1" s="1"/>
  <c r="AP103" i="1" s="1"/>
  <c r="AR82" i="1"/>
  <c r="AR102" i="1" s="1"/>
  <c r="AR103" i="1" s="1"/>
  <c r="D28" i="2"/>
  <c r="AB9" i="1"/>
  <c r="AB10" i="1" s="1"/>
  <c r="AB17" i="1"/>
  <c r="F28" i="2"/>
  <c r="AR29" i="1"/>
  <c r="AR49" i="1" s="1"/>
  <c r="AR50" i="1" s="1"/>
  <c r="AA19" i="1"/>
  <c r="AA18" i="1"/>
  <c r="AA20" i="1" s="1"/>
  <c r="AA21" i="1" s="1"/>
  <c r="AA3" i="1" s="1"/>
  <c r="AA23" i="1" s="1"/>
  <c r="AA24" i="1" s="1"/>
  <c r="AC12" i="1"/>
  <c r="AD11" i="1"/>
  <c r="AC14" i="1"/>
  <c r="G42" i="12"/>
  <c r="F42" i="12" s="1"/>
  <c r="H42" i="12" s="1"/>
  <c r="G40" i="10"/>
  <c r="F40" i="10" s="1"/>
  <c r="H40" i="10" s="1"/>
  <c r="G40" i="4"/>
  <c r="F40" i="4" s="1"/>
  <c r="H40" i="4" s="1"/>
  <c r="G43" i="13" l="1"/>
  <c r="F43" i="13" s="1"/>
  <c r="H43" i="13" s="1"/>
  <c r="AR108" i="1"/>
  <c r="AR128" i="1" s="1"/>
  <c r="AR129" i="1" s="1"/>
  <c r="C28" i="2"/>
  <c r="AB19" i="1"/>
  <c r="AB18" i="1"/>
  <c r="AB20" i="1" s="1"/>
  <c r="AB21" i="1"/>
  <c r="AD14" i="1"/>
  <c r="AD12" i="1"/>
  <c r="AE11" i="1"/>
  <c r="AC9" i="1"/>
  <c r="AC10" i="1" s="1"/>
  <c r="AC17" i="1"/>
  <c r="G43" i="12"/>
  <c r="F43" i="12" s="1"/>
  <c r="H43" i="12" s="1"/>
  <c r="G41" i="10"/>
  <c r="F41" i="10" s="1"/>
  <c r="H41" i="10" s="1"/>
  <c r="G41" i="4"/>
  <c r="F41" i="4" s="1"/>
  <c r="H41" i="4" s="1"/>
  <c r="G44" i="13" l="1"/>
  <c r="F44" i="13" s="1"/>
  <c r="H44" i="13" s="1"/>
  <c r="AE14" i="1"/>
  <c r="AF11" i="1"/>
  <c r="AE12" i="1"/>
  <c r="AD17" i="1"/>
  <c r="AD9" i="1"/>
  <c r="AD10" i="1" s="1"/>
  <c r="AC18" i="1"/>
  <c r="AC19" i="1"/>
  <c r="G20" i="2"/>
  <c r="AB3" i="1"/>
  <c r="AB23" i="1" s="1"/>
  <c r="AB24" i="1" s="1"/>
  <c r="G44" i="12"/>
  <c r="F44" i="12" s="1"/>
  <c r="H44" i="12" s="1"/>
  <c r="G42" i="10"/>
  <c r="F42" i="10" s="1"/>
  <c r="H42" i="10" s="1"/>
  <c r="G42" i="4"/>
  <c r="F42" i="4" s="1"/>
  <c r="H42" i="4" s="1"/>
  <c r="G45" i="13" l="1"/>
  <c r="F45" i="13" s="1"/>
  <c r="H45" i="13" s="1"/>
  <c r="AC20" i="1"/>
  <c r="AC21" i="1" s="1"/>
  <c r="AC3" i="1" s="1"/>
  <c r="AC23" i="1" s="1"/>
  <c r="AC24" i="1" s="1"/>
  <c r="AD19" i="1"/>
  <c r="AD18" i="1"/>
  <c r="AD20" i="1" s="1"/>
  <c r="AD21" i="1"/>
  <c r="AF14" i="1"/>
  <c r="AG11" i="1"/>
  <c r="AF12" i="1"/>
  <c r="AE17" i="1"/>
  <c r="AE9" i="1"/>
  <c r="AE10" i="1" s="1"/>
  <c r="G45" i="12"/>
  <c r="F45" i="12" s="1"/>
  <c r="H45" i="12" s="1"/>
  <c r="G43" i="10"/>
  <c r="F43" i="10" s="1"/>
  <c r="H43" i="10" s="1"/>
  <c r="G43" i="4"/>
  <c r="F43" i="4" s="1"/>
  <c r="H43" i="4" s="1"/>
  <c r="G46" i="13" l="1"/>
  <c r="F46" i="13" s="1"/>
  <c r="H46" i="13" s="1"/>
  <c r="AH11" i="1"/>
  <c r="AG12" i="1"/>
  <c r="AG14" i="1"/>
  <c r="AF17" i="1"/>
  <c r="AF9" i="1"/>
  <c r="AF10" i="1" s="1"/>
  <c r="AE18" i="1"/>
  <c r="AE19" i="1"/>
  <c r="AD3" i="1"/>
  <c r="AD23" i="1" s="1"/>
  <c r="AD24" i="1" s="1"/>
  <c r="G21" i="2"/>
  <c r="G46" i="12"/>
  <c r="F46" i="12" s="1"/>
  <c r="H46" i="12" s="1"/>
  <c r="G44" i="10"/>
  <c r="F44" i="10" s="1"/>
  <c r="H44" i="10" s="1"/>
  <c r="G44" i="4"/>
  <c r="F44" i="4" s="1"/>
  <c r="H44" i="4" s="1"/>
  <c r="G47" i="13" l="1"/>
  <c r="F47" i="13" s="1"/>
  <c r="H47" i="13"/>
  <c r="AF18" i="1"/>
  <c r="AF19" i="1"/>
  <c r="AG17" i="1"/>
  <c r="AG9" i="1"/>
  <c r="AG10" i="1" s="1"/>
  <c r="AE20" i="1"/>
  <c r="AE21" i="1" s="1"/>
  <c r="AE3" i="1" s="1"/>
  <c r="AE23" i="1" s="1"/>
  <c r="AE24" i="1" s="1"/>
  <c r="AH12" i="1"/>
  <c r="AH14" i="1"/>
  <c r="AI11" i="1"/>
  <c r="G47" i="12"/>
  <c r="F47" i="12" s="1"/>
  <c r="H47" i="12" s="1"/>
  <c r="G45" i="10"/>
  <c r="F45" i="10" s="1"/>
  <c r="H45" i="10" s="1"/>
  <c r="G45" i="4"/>
  <c r="F45" i="4" s="1"/>
  <c r="H45" i="4" s="1"/>
  <c r="G48" i="13" l="1"/>
  <c r="F48" i="13" s="1"/>
  <c r="H48" i="13" s="1"/>
  <c r="AH17" i="1"/>
  <c r="AH9" i="1"/>
  <c r="AH10" i="1" s="1"/>
  <c r="AG18" i="1"/>
  <c r="AG19" i="1"/>
  <c r="AF20" i="1"/>
  <c r="AF21" i="1" s="1"/>
  <c r="AI14" i="1"/>
  <c r="AI12" i="1"/>
  <c r="AJ11" i="1"/>
  <c r="G48" i="12"/>
  <c r="F48" i="12" s="1"/>
  <c r="H48" i="12" s="1"/>
  <c r="G46" i="10"/>
  <c r="F46" i="10" s="1"/>
  <c r="H46" i="10" s="1"/>
  <c r="G46" i="4"/>
  <c r="F46" i="4" s="1"/>
  <c r="H46" i="4" s="1"/>
  <c r="G49" i="13" l="1"/>
  <c r="F49" i="13" s="1"/>
  <c r="H49" i="13" s="1"/>
  <c r="AI9" i="1"/>
  <c r="AI10" i="1" s="1"/>
  <c r="AI17" i="1"/>
  <c r="AJ14" i="1"/>
  <c r="AJ12" i="1"/>
  <c r="AK11" i="1"/>
  <c r="G22" i="2"/>
  <c r="AF3" i="1"/>
  <c r="AF23" i="1" s="1"/>
  <c r="AF24" i="1" s="1"/>
  <c r="AH21" i="1"/>
  <c r="AG20" i="1"/>
  <c r="AG21" i="1" s="1"/>
  <c r="AG3" i="1" s="1"/>
  <c r="AG23" i="1" s="1"/>
  <c r="AG24" i="1" s="1"/>
  <c r="AH19" i="1"/>
  <c r="AH18" i="1"/>
  <c r="AH20" i="1" s="1"/>
  <c r="G49" i="12"/>
  <c r="F49" i="12" s="1"/>
  <c r="H49" i="12" s="1"/>
  <c r="G47" i="10"/>
  <c r="F47" i="10" s="1"/>
  <c r="H47" i="10" s="1"/>
  <c r="G47" i="4"/>
  <c r="F47" i="4" s="1"/>
  <c r="H47" i="4" s="1"/>
  <c r="G50" i="13" l="1"/>
  <c r="F50" i="13" s="1"/>
  <c r="H50" i="13"/>
  <c r="AH3" i="1"/>
  <c r="AH23" i="1" s="1"/>
  <c r="AH24" i="1" s="1"/>
  <c r="G23" i="2"/>
  <c r="AI19" i="1"/>
  <c r="AI18" i="1"/>
  <c r="AI20" i="1" s="1"/>
  <c r="AI21" i="1" s="1"/>
  <c r="AI3" i="1" s="1"/>
  <c r="AI23" i="1" s="1"/>
  <c r="AI24" i="1" s="1"/>
  <c r="AK12" i="1"/>
  <c r="AL11" i="1"/>
  <c r="AK14" i="1"/>
  <c r="AJ9" i="1"/>
  <c r="AJ10" i="1" s="1"/>
  <c r="AJ17" i="1"/>
  <c r="G50" i="12"/>
  <c r="F50" i="12" s="1"/>
  <c r="H50" i="12" s="1"/>
  <c r="G48" i="10"/>
  <c r="F48" i="10" s="1"/>
  <c r="H48" i="10" s="1"/>
  <c r="G48" i="4"/>
  <c r="F48" i="4" s="1"/>
  <c r="H48" i="4" s="1"/>
  <c r="G51" i="13" l="1"/>
  <c r="F51" i="13" s="1"/>
  <c r="H51" i="13" s="1"/>
  <c r="AK9" i="1"/>
  <c r="AK10" i="1" s="1"/>
  <c r="AK17" i="1"/>
  <c r="AL14" i="1"/>
  <c r="AL12" i="1"/>
  <c r="AM11" i="1"/>
  <c r="AJ19" i="1"/>
  <c r="AJ18" i="1"/>
  <c r="AJ20" i="1" s="1"/>
  <c r="AJ21" i="1" s="1"/>
  <c r="G51" i="12"/>
  <c r="F51" i="12" s="1"/>
  <c r="H51" i="12" s="1"/>
  <c r="G49" i="10"/>
  <c r="F49" i="10" s="1"/>
  <c r="H49" i="10" s="1"/>
  <c r="G49" i="4"/>
  <c r="F49" i="4" s="1"/>
  <c r="H49" i="4" s="1"/>
  <c r="AJ3" i="1" l="1"/>
  <c r="AJ23" i="1" s="1"/>
  <c r="AJ24" i="1" s="1"/>
  <c r="G24" i="2"/>
  <c r="AM14" i="1"/>
  <c r="AN11" i="1"/>
  <c r="AM12" i="1"/>
  <c r="AL17" i="1"/>
  <c r="AL9" i="1"/>
  <c r="AL10" i="1" s="1"/>
  <c r="AK18" i="1"/>
  <c r="AK20" i="1" s="1"/>
  <c r="AK21" i="1" s="1"/>
  <c r="AK3" i="1" s="1"/>
  <c r="AK23" i="1" s="1"/>
  <c r="AK24" i="1" s="1"/>
  <c r="AK19" i="1"/>
  <c r="G52" i="12"/>
  <c r="F52" i="12" s="1"/>
  <c r="H52" i="12" s="1"/>
  <c r="G50" i="10"/>
  <c r="F50" i="10" s="1"/>
  <c r="H50" i="10" s="1"/>
  <c r="G50" i="4"/>
  <c r="F50" i="4" s="1"/>
  <c r="H50" i="4" s="1"/>
  <c r="AL19" i="1" l="1"/>
  <c r="AL18" i="1"/>
  <c r="AL20" i="1" s="1"/>
  <c r="AM9" i="1"/>
  <c r="AM10" i="1" s="1"/>
  <c r="AM17" i="1"/>
  <c r="AN14" i="1"/>
  <c r="AO11" i="1"/>
  <c r="AN12" i="1"/>
  <c r="AL21" i="1"/>
  <c r="G53" i="12"/>
  <c r="F53" i="12" s="1"/>
  <c r="H53" i="12" s="1"/>
  <c r="G51" i="10"/>
  <c r="F51" i="10" s="1"/>
  <c r="H51" i="10" s="1"/>
  <c r="G51" i="4"/>
  <c r="F51" i="4" s="1"/>
  <c r="H51" i="4" s="1"/>
  <c r="G25" i="2" l="1"/>
  <c r="AL3" i="1"/>
  <c r="AL23" i="1" s="1"/>
  <c r="AL24" i="1" s="1"/>
  <c r="AP11" i="1"/>
  <c r="AO12" i="1"/>
  <c r="AO14" i="1"/>
  <c r="AN9" i="1"/>
  <c r="AN10" i="1" s="1"/>
  <c r="AN17" i="1"/>
  <c r="AM18" i="1"/>
  <c r="AM20" i="1" s="1"/>
  <c r="AM21" i="1" s="1"/>
  <c r="AM3" i="1" s="1"/>
  <c r="AM23" i="1" s="1"/>
  <c r="AM24" i="1" s="1"/>
  <c r="AM19" i="1"/>
  <c r="G54" i="12"/>
  <c r="F54" i="12" s="1"/>
  <c r="H54" i="12" s="1"/>
  <c r="G52" i="10"/>
  <c r="F52" i="10" s="1"/>
  <c r="H52" i="10" s="1"/>
  <c r="G52" i="4"/>
  <c r="F52" i="4" s="1"/>
  <c r="H52" i="4" s="1"/>
  <c r="AP12" i="1" l="1"/>
  <c r="AQ11" i="1"/>
  <c r="AP14" i="1"/>
  <c r="AN19" i="1"/>
  <c r="AN18" i="1"/>
  <c r="AN20" i="1" s="1"/>
  <c r="AN21" i="1" s="1"/>
  <c r="AO17" i="1"/>
  <c r="AO9" i="1"/>
  <c r="AO10" i="1" s="1"/>
  <c r="G55" i="12"/>
  <c r="F55" i="12" s="1"/>
  <c r="H55" i="12" s="1"/>
  <c r="G53" i="10"/>
  <c r="F53" i="10" s="1"/>
  <c r="H53" i="10" s="1"/>
  <c r="G53" i="4"/>
  <c r="F53" i="4" s="1"/>
  <c r="H53" i="4" s="1"/>
  <c r="G26" i="2" l="1"/>
  <c r="AN3" i="1"/>
  <c r="AN23" i="1" s="1"/>
  <c r="AN24" i="1" s="1"/>
  <c r="AQ12" i="1"/>
  <c r="AQ14" i="1"/>
  <c r="AO19" i="1"/>
  <c r="AO18" i="1"/>
  <c r="AO20" i="1" s="1"/>
  <c r="AO21" i="1" s="1"/>
  <c r="AO3" i="1" s="1"/>
  <c r="AO23" i="1" s="1"/>
  <c r="AO24" i="1" s="1"/>
  <c r="AP17" i="1"/>
  <c r="AP9" i="1"/>
  <c r="AP10" i="1" s="1"/>
  <c r="G56" i="12"/>
  <c r="F56" i="12" s="1"/>
  <c r="H56" i="12" s="1"/>
  <c r="G54" i="10"/>
  <c r="F54" i="10" s="1"/>
  <c r="H54" i="10" s="1"/>
  <c r="G54" i="4"/>
  <c r="F54" i="4" s="1"/>
  <c r="H54" i="4" s="1"/>
  <c r="AQ9" i="1" l="1"/>
  <c r="AQ10" i="1" s="1"/>
  <c r="AQ17" i="1"/>
  <c r="AP19" i="1"/>
  <c r="AP18" i="1"/>
  <c r="AP20" i="1" s="1"/>
  <c r="AP21" i="1" s="1"/>
  <c r="G57" i="12"/>
  <c r="F57" i="12" s="1"/>
  <c r="H57" i="12" s="1"/>
  <c r="G55" i="10"/>
  <c r="F55" i="10" s="1"/>
  <c r="H55" i="10" s="1"/>
  <c r="G55" i="4"/>
  <c r="F55" i="4" s="1"/>
  <c r="H55" i="4" s="1"/>
  <c r="G27" i="2" l="1"/>
  <c r="AP3" i="1"/>
  <c r="AP23" i="1" s="1"/>
  <c r="AP24" i="1" s="1"/>
  <c r="AQ19" i="1"/>
  <c r="AQ18" i="1"/>
  <c r="AQ20" i="1" s="1"/>
  <c r="AQ21" i="1" s="1"/>
  <c r="AQ3" i="1" s="1"/>
  <c r="AQ23" i="1" s="1"/>
  <c r="AQ24" i="1" s="1"/>
  <c r="G58" i="12"/>
  <c r="F58" i="12" s="1"/>
  <c r="H58" i="12" s="1"/>
  <c r="G56" i="10"/>
  <c r="F56" i="10" s="1"/>
  <c r="H56" i="10" s="1"/>
  <c r="G56" i="4"/>
  <c r="F56" i="4" s="1"/>
  <c r="H56" i="4" s="1"/>
  <c r="G59" i="12" l="1"/>
  <c r="F59" i="12" s="1"/>
  <c r="H59" i="12" s="1"/>
  <c r="G57" i="10"/>
  <c r="F57" i="10" s="1"/>
  <c r="H57" i="10" s="1"/>
  <c r="G57" i="4"/>
  <c r="F57" i="4" s="1"/>
  <c r="H57" i="4" s="1"/>
  <c r="G60" i="12" l="1"/>
  <c r="F60" i="12" s="1"/>
  <c r="H60" i="12" s="1"/>
  <c r="G58" i="10"/>
  <c r="F58" i="10" s="1"/>
  <c r="H58" i="10" s="1"/>
  <c r="G58" i="4"/>
  <c r="F58" i="4" s="1"/>
  <c r="H58" i="4" s="1"/>
  <c r="G61" i="12" l="1"/>
  <c r="F61" i="12" s="1"/>
  <c r="H61" i="12" s="1"/>
  <c r="G59" i="10"/>
  <c r="F59" i="10" s="1"/>
  <c r="H59" i="10" s="1"/>
  <c r="G59" i="4"/>
  <c r="F59" i="4" s="1"/>
  <c r="H59" i="4" s="1"/>
  <c r="G62" i="12" l="1"/>
  <c r="F62" i="12" s="1"/>
  <c r="H62" i="12" s="1"/>
  <c r="G60" i="10"/>
  <c r="F60" i="10" s="1"/>
  <c r="H60" i="10" s="1"/>
  <c r="G60" i="4"/>
  <c r="F60" i="4" s="1"/>
  <c r="H60" i="4" s="1"/>
  <c r="G63" i="12" l="1"/>
  <c r="F63" i="12" s="1"/>
  <c r="H63" i="12" s="1"/>
  <c r="G61" i="10"/>
  <c r="F61" i="10" s="1"/>
  <c r="H61" i="10" s="1"/>
  <c r="G61" i="4"/>
  <c r="F61" i="4" s="1"/>
  <c r="H61" i="4" s="1"/>
  <c r="G64" i="12" l="1"/>
  <c r="F64" i="12" s="1"/>
  <c r="H64" i="12" s="1"/>
  <c r="G62" i="10"/>
  <c r="F62" i="10" s="1"/>
  <c r="H62" i="10" s="1"/>
  <c r="G62" i="4"/>
  <c r="F62" i="4" s="1"/>
  <c r="H62" i="4" s="1"/>
  <c r="G65" i="12" l="1"/>
  <c r="F65" i="12" s="1"/>
  <c r="H65" i="12" s="1"/>
  <c r="G63" i="10"/>
  <c r="F63" i="10" s="1"/>
  <c r="H63" i="10" s="1"/>
  <c r="G63" i="4"/>
  <c r="F63" i="4" s="1"/>
  <c r="H63" i="4" s="1"/>
  <c r="G66" i="12" l="1"/>
  <c r="F66" i="12" s="1"/>
  <c r="H66" i="12" s="1"/>
  <c r="G64" i="10"/>
  <c r="F64" i="10" s="1"/>
  <c r="H64" i="10" s="1"/>
  <c r="G64" i="4"/>
  <c r="F64" i="4" s="1"/>
  <c r="H64" i="4" s="1"/>
  <c r="G67" i="12" l="1"/>
  <c r="F67" i="12" s="1"/>
  <c r="H67" i="12" s="1"/>
  <c r="G65" i="10"/>
  <c r="F65" i="10" s="1"/>
  <c r="H65" i="10" s="1"/>
  <c r="G65" i="4"/>
  <c r="F65" i="4" s="1"/>
  <c r="H65" i="4" s="1"/>
  <c r="G68" i="12" l="1"/>
  <c r="F68" i="12" s="1"/>
  <c r="H68" i="12" s="1"/>
  <c r="G66" i="10"/>
  <c r="F66" i="10" s="1"/>
  <c r="H66" i="10" s="1"/>
  <c r="G66" i="4"/>
  <c r="F66" i="4" s="1"/>
  <c r="H66" i="4" s="1"/>
  <c r="G69" i="12" l="1"/>
  <c r="F69" i="12" s="1"/>
  <c r="H69" i="12" s="1"/>
  <c r="G67" i="10"/>
  <c r="F67" i="10" s="1"/>
  <c r="H67" i="10" s="1"/>
  <c r="G67" i="4"/>
  <c r="F67" i="4" s="1"/>
  <c r="H67" i="4" s="1"/>
  <c r="G70" i="12" l="1"/>
  <c r="F70" i="12" s="1"/>
  <c r="H70" i="12" s="1"/>
  <c r="G68" i="10"/>
  <c r="F68" i="10" s="1"/>
  <c r="H68" i="10" s="1"/>
  <c r="G68" i="4"/>
  <c r="F68" i="4" s="1"/>
  <c r="H68" i="4" s="1"/>
  <c r="G71" i="12" l="1"/>
  <c r="F71" i="12" s="1"/>
  <c r="H71" i="12" s="1"/>
  <c r="G69" i="10"/>
  <c r="F69" i="10" s="1"/>
  <c r="H69" i="10" s="1"/>
  <c r="G69" i="4"/>
  <c r="F69" i="4" s="1"/>
  <c r="H69" i="4" s="1"/>
  <c r="G72" i="12" l="1"/>
  <c r="F72" i="12" s="1"/>
  <c r="H72" i="12" s="1"/>
  <c r="G70" i="10"/>
  <c r="F70" i="10" s="1"/>
  <c r="H70" i="10" s="1"/>
  <c r="G70" i="4"/>
  <c r="F70" i="4" s="1"/>
  <c r="H70" i="4" s="1"/>
  <c r="G73" i="12" l="1"/>
  <c r="F73" i="12" s="1"/>
  <c r="H73" i="12" s="1"/>
  <c r="G71" i="10"/>
  <c r="F71" i="10" s="1"/>
  <c r="H71" i="10" s="1"/>
  <c r="G71" i="4"/>
  <c r="F71" i="4" s="1"/>
  <c r="H71" i="4" s="1"/>
  <c r="G74" i="12" l="1"/>
  <c r="F74" i="12" s="1"/>
  <c r="H74" i="12" s="1"/>
  <c r="G72" i="10"/>
  <c r="F72" i="10" s="1"/>
  <c r="H72" i="10" s="1"/>
  <c r="G72" i="4"/>
  <c r="F72" i="4" s="1"/>
  <c r="H72" i="4" s="1"/>
  <c r="G75" i="12" l="1"/>
  <c r="F75" i="12" s="1"/>
  <c r="H75" i="12" s="1"/>
  <c r="G73" i="10"/>
  <c r="F73" i="10" s="1"/>
  <c r="H73" i="10" s="1"/>
  <c r="G73" i="4"/>
  <c r="F73" i="4" s="1"/>
  <c r="H73" i="4" s="1"/>
  <c r="G76" i="12" l="1"/>
  <c r="F76" i="12" s="1"/>
  <c r="H76" i="12" s="1"/>
  <c r="G74" i="10"/>
  <c r="F74" i="10" s="1"/>
  <c r="H74" i="10" s="1"/>
  <c r="G74" i="4"/>
  <c r="F74" i="4" s="1"/>
  <c r="H74" i="4" s="1"/>
  <c r="G77" i="12" l="1"/>
  <c r="F77" i="12" s="1"/>
  <c r="H77" i="12" s="1"/>
  <c r="G75" i="10"/>
  <c r="F75" i="10" s="1"/>
  <c r="H75" i="10" s="1"/>
  <c r="G75" i="4"/>
  <c r="F75" i="4" s="1"/>
  <c r="H75" i="4" s="1"/>
  <c r="G78" i="12" l="1"/>
  <c r="F78" i="12" s="1"/>
  <c r="H78" i="12" s="1"/>
  <c r="G76" i="10"/>
  <c r="F76" i="10" s="1"/>
  <c r="H76" i="10" s="1"/>
  <c r="G76" i="4"/>
  <c r="F76" i="4" s="1"/>
  <c r="H76" i="4" s="1"/>
  <c r="G79" i="12" l="1"/>
  <c r="F79" i="12" s="1"/>
  <c r="H79" i="12" s="1"/>
  <c r="G77" i="10"/>
  <c r="F77" i="10" s="1"/>
  <c r="H77" i="10" s="1"/>
  <c r="G77" i="4"/>
  <c r="F77" i="4" s="1"/>
  <c r="H77" i="4" s="1"/>
  <c r="G80" i="12" l="1"/>
  <c r="F80" i="12" s="1"/>
  <c r="H80" i="12" s="1"/>
  <c r="G78" i="10"/>
  <c r="F78" i="10" s="1"/>
  <c r="H78" i="10" s="1"/>
  <c r="G78" i="4"/>
  <c r="F78" i="4" s="1"/>
  <c r="H78" i="4" s="1"/>
  <c r="G81" i="12" l="1"/>
  <c r="F81" i="12" s="1"/>
  <c r="H81" i="12" s="1"/>
  <c r="G79" i="10"/>
  <c r="F79" i="10" s="1"/>
  <c r="H79" i="10" s="1"/>
  <c r="G79" i="4"/>
  <c r="F79" i="4" s="1"/>
  <c r="H79" i="4" s="1"/>
  <c r="G82" i="12" l="1"/>
  <c r="F82" i="12" s="1"/>
  <c r="H82" i="12" s="1"/>
  <c r="G80" i="10"/>
  <c r="F80" i="10" s="1"/>
  <c r="H80" i="10" s="1"/>
  <c r="G80" i="4"/>
  <c r="F80" i="4" s="1"/>
  <c r="H80" i="4" s="1"/>
  <c r="G83" i="12" l="1"/>
  <c r="F83" i="12" s="1"/>
  <c r="H83" i="12" s="1"/>
  <c r="G81" i="10"/>
  <c r="F81" i="10" s="1"/>
  <c r="H81" i="10" s="1"/>
  <c r="G81" i="4"/>
  <c r="F81" i="4" s="1"/>
  <c r="H81" i="4" s="1"/>
  <c r="G84" i="12" l="1"/>
  <c r="F84" i="12" s="1"/>
  <c r="H84" i="12" s="1"/>
  <c r="G82" i="10"/>
  <c r="F82" i="10" s="1"/>
  <c r="H82" i="10" s="1"/>
  <c r="G82" i="4"/>
  <c r="F82" i="4" s="1"/>
  <c r="H82" i="4" s="1"/>
  <c r="G85" i="12" l="1"/>
  <c r="F85" i="12" s="1"/>
  <c r="H85" i="12" s="1"/>
  <c r="G83" i="10"/>
  <c r="F83" i="10" s="1"/>
  <c r="H83" i="10" s="1"/>
  <c r="G83" i="4"/>
  <c r="F83" i="4" s="1"/>
  <c r="H83" i="4" s="1"/>
  <c r="G86" i="12" l="1"/>
  <c r="F86" i="12" s="1"/>
  <c r="H86" i="12" s="1"/>
  <c r="G84" i="10"/>
  <c r="F84" i="10" s="1"/>
  <c r="H84" i="10" s="1"/>
  <c r="G84" i="4"/>
  <c r="F84" i="4" s="1"/>
  <c r="H84" i="4" s="1"/>
  <c r="G87" i="12" l="1"/>
  <c r="G85" i="10"/>
  <c r="F85" i="10" s="1"/>
  <c r="H85" i="10" s="1"/>
  <c r="G85" i="4"/>
  <c r="F85" i="4" s="1"/>
  <c r="H85" i="4" s="1"/>
  <c r="F87" i="12" l="1"/>
  <c r="G88" i="12"/>
  <c r="G86" i="10"/>
  <c r="F86" i="10" s="1"/>
  <c r="H86" i="10" s="1"/>
  <c r="G86" i="4"/>
  <c r="F86" i="4" s="1"/>
  <c r="H86" i="4" s="1"/>
  <c r="F100" i="12" l="1"/>
  <c r="G106" i="12"/>
  <c r="G107" i="12" s="1"/>
  <c r="F88" i="12"/>
  <c r="F99" i="12" s="1"/>
  <c r="F107" i="12" s="1"/>
  <c r="H87" i="12"/>
  <c r="G87" i="10"/>
  <c r="G87" i="4"/>
  <c r="F87" i="10" l="1"/>
  <c r="G88" i="10"/>
  <c r="F87" i="4"/>
  <c r="G88" i="4"/>
  <c r="F88" i="10" l="1"/>
  <c r="H87" i="10"/>
  <c r="F88" i="4"/>
  <c r="H87" i="4"/>
  <c r="E52" i="13"/>
  <c r="G52" i="13"/>
  <c r="F52" i="13"/>
</calcChain>
</file>

<file path=xl/sharedStrings.xml><?xml version="1.0" encoding="utf-8"?>
<sst xmlns="http://schemas.openxmlformats.org/spreadsheetml/2006/main" count="636" uniqueCount="274">
  <si>
    <t>Editable</t>
  </si>
  <si>
    <t>1 Yr</t>
  </si>
  <si>
    <t>2 Yrs</t>
  </si>
  <si>
    <t>3 Yrs</t>
  </si>
  <si>
    <t>4 Yrs</t>
  </si>
  <si>
    <t>5 Yrs</t>
  </si>
  <si>
    <t>GROSS AMOUNT</t>
  </si>
  <si>
    <t>NET PROCEEDS</t>
  </si>
  <si>
    <t>Add:</t>
  </si>
  <si>
    <t>Service Fee</t>
  </si>
  <si>
    <t>Insurance</t>
  </si>
  <si>
    <t>CapCon</t>
  </si>
  <si>
    <t>membership fee</t>
  </si>
  <si>
    <t>Advance Interest</t>
  </si>
  <si>
    <t>LOAN AMOUNT</t>
  </si>
  <si>
    <t>Annual Interest Rate</t>
  </si>
  <si>
    <t>Effective Interest Rate</t>
  </si>
  <si>
    <t>Monthly Amortization</t>
  </si>
  <si>
    <t>PEOPLE'S MULTI-PURPOSE COOPERATIVE  EFFECTIVE ON JANUARY 16, 2025</t>
  </si>
  <si>
    <t>Net Proceeds</t>
  </si>
  <si>
    <t>1 Yr                    12 Months</t>
  </si>
  <si>
    <t>2 Yrs                24 Months</t>
  </si>
  <si>
    <t>3 Yrs                  36 Months</t>
  </si>
  <si>
    <t>4 Yrs               48 Months</t>
  </si>
  <si>
    <t>5 Yrs               60 Months</t>
  </si>
  <si>
    <t>GROSS</t>
  </si>
  <si>
    <t>NET</t>
  </si>
  <si>
    <t>SF</t>
  </si>
  <si>
    <t xml:space="preserve">LOAN AMOUNT </t>
  </si>
  <si>
    <t>Annual Interest</t>
  </si>
  <si>
    <t>Effective Interest rate</t>
  </si>
  <si>
    <t>Loan Term</t>
  </si>
  <si>
    <t>Monthly Interest Rate</t>
  </si>
  <si>
    <t>Nr of Payments</t>
  </si>
  <si>
    <t>Income</t>
  </si>
  <si>
    <t>% Income</t>
  </si>
  <si>
    <t>4 yrs</t>
  </si>
  <si>
    <t>Amortization</t>
  </si>
  <si>
    <t>Timeline</t>
  </si>
  <si>
    <t>NET PROCEEDS/CASH FLOW</t>
  </si>
  <si>
    <t>Interest Rate of Return</t>
  </si>
  <si>
    <t>LOAN LEDGER CARD</t>
  </si>
  <si>
    <t>Name:</t>
  </si>
  <si>
    <t>Loan Voucher No.</t>
  </si>
  <si>
    <t>Serial Nr:</t>
  </si>
  <si>
    <t>Address:</t>
  </si>
  <si>
    <t>Amount:</t>
  </si>
  <si>
    <t>Posting date</t>
  </si>
  <si>
    <t>Date of Loan:</t>
  </si>
  <si>
    <t>Maturity Date</t>
  </si>
  <si>
    <t>Term:</t>
  </si>
  <si>
    <t>MOS</t>
  </si>
  <si>
    <t>Loan</t>
  </si>
  <si>
    <t>Installment</t>
  </si>
  <si>
    <t>Principal</t>
  </si>
  <si>
    <t>EIR</t>
  </si>
  <si>
    <t>Balance</t>
  </si>
  <si>
    <t>Month 0</t>
  </si>
  <si>
    <t>PEOPLE'S MULTI-PURPOSE COOPERATIVE</t>
  </si>
  <si>
    <t>20-E 2nd Camarilla St. corner 15th Ave., Brgy. San Roque, Murphy Cubao, Quezon City</t>
  </si>
  <si>
    <t>LOAN RELEASE VOUCHER</t>
  </si>
  <si>
    <t>Date:</t>
  </si>
  <si>
    <t>LV No:</t>
  </si>
  <si>
    <t>0001</t>
  </si>
  <si>
    <t>Name of Borrower:</t>
  </si>
  <si>
    <t>Serial No.:</t>
  </si>
  <si>
    <t>Principal Amount</t>
  </si>
  <si>
    <t>(-)</t>
  </si>
  <si>
    <t>Balance Old Loan(s)</t>
  </si>
  <si>
    <t>Membership Fee:</t>
  </si>
  <si>
    <t>Paid up Capital:</t>
  </si>
  <si>
    <t>Insurance Premium - Paramount</t>
  </si>
  <si>
    <t>NET PROCEEDS (Php):</t>
  </si>
  <si>
    <t>PAYMENT</t>
  </si>
  <si>
    <t>First Payment Due On:</t>
  </si>
  <si>
    <t>Maturity:</t>
  </si>
  <si>
    <t>EIR (%):</t>
  </si>
  <si>
    <t>Interest Rate per Month (%):</t>
  </si>
  <si>
    <t>Certified &amp; Corrected by:</t>
  </si>
  <si>
    <t>Approved By:</t>
  </si>
  <si>
    <t>Alexander A Feria Jr</t>
  </si>
  <si>
    <t>Processor</t>
  </si>
  <si>
    <t>President</t>
  </si>
  <si>
    <t>Received By:</t>
  </si>
  <si>
    <t>Signature Over Printed Name/Date</t>
  </si>
  <si>
    <t>month(s)</t>
  </si>
  <si>
    <t>Loan  Balance</t>
  </si>
  <si>
    <t xml:space="preserve">Monthly Amortization </t>
  </si>
  <si>
    <t>Pamela Cherry A Reyes</t>
  </si>
  <si>
    <t>Verified by:</t>
  </si>
  <si>
    <t>Verifier/PELVAMS Liason</t>
  </si>
  <si>
    <t>Term  of loan in months:</t>
  </si>
  <si>
    <t>Previous Loan Balance</t>
  </si>
  <si>
    <t xml:space="preserve">20-E 2nd Camarilla St corner 15th Avenue, </t>
  </si>
  <si>
    <t>Brgy San Roque, Murphy Cubao, Quezon City</t>
  </si>
  <si>
    <t>Mobile No. (+63)953-033-1580 (GLOBE)</t>
  </si>
  <si>
    <t>LOAN APPLICATION FORM</t>
  </si>
  <si>
    <t>,</t>
  </si>
  <si>
    <t>m</t>
  </si>
  <si>
    <t>d</t>
  </si>
  <si>
    <t>y</t>
  </si>
  <si>
    <t>APPLICATION TYPE</t>
  </si>
  <si>
    <t>LOAN CLASSIFICATION</t>
  </si>
  <si>
    <t>TERM</t>
  </si>
  <si>
    <t>RELEASE OF LOAN PROCEEDS</t>
  </si>
  <si>
    <t>New</t>
  </si>
  <si>
    <t>Salary Loan</t>
  </si>
  <si>
    <t>12 Months</t>
  </si>
  <si>
    <t>Check</t>
  </si>
  <si>
    <t>Renewal</t>
  </si>
  <si>
    <t>Pension Loan</t>
  </si>
  <si>
    <t>24 Months</t>
  </si>
  <si>
    <t>Bank Electronic Transfer to Borrowers Account</t>
  </si>
  <si>
    <t>Additional</t>
  </si>
  <si>
    <t>Emergency</t>
  </si>
  <si>
    <t>36 Months</t>
  </si>
  <si>
    <t>Others:</t>
  </si>
  <si>
    <t>Reloan</t>
  </si>
  <si>
    <t>Health Assistance Loan</t>
  </si>
  <si>
    <t>48 Months</t>
  </si>
  <si>
    <t>Restructure</t>
  </si>
  <si>
    <t>Educational Loan</t>
  </si>
  <si>
    <t>60 Months</t>
  </si>
  <si>
    <t xml:space="preserve">Others: </t>
  </si>
  <si>
    <t>AMOUNT APPLIED:</t>
  </si>
  <si>
    <t>MONTHLY AMORTIZATION:</t>
  </si>
  <si>
    <t>LOAN ID:</t>
  </si>
  <si>
    <t>DEDUCTION CODE:</t>
  </si>
  <si>
    <t>LOAN PURPOSE:</t>
  </si>
  <si>
    <t>MEM ID:</t>
  </si>
  <si>
    <t>Regular Member</t>
  </si>
  <si>
    <t>Old Member</t>
  </si>
  <si>
    <t>Associate Member</t>
  </si>
  <si>
    <t>New Member</t>
  </si>
  <si>
    <t>BORROWER'S INFORMATION</t>
  </si>
  <si>
    <t>(LAST NAME)</t>
  </si>
  <si>
    <t>(FIRST NAME)</t>
  </si>
  <si>
    <t>(MIDDLE NAME)</t>
  </si>
  <si>
    <t>(SUFFIX)</t>
  </si>
  <si>
    <t>Rank/Position:</t>
  </si>
  <si>
    <t>Branch of Service:</t>
  </si>
  <si>
    <t>Date of Appointment:</t>
  </si>
  <si>
    <t>Date of Retirement:</t>
  </si>
  <si>
    <t>Length of Service:</t>
  </si>
  <si>
    <t>Date of Birth:</t>
  </si>
  <si>
    <t>Age:</t>
  </si>
  <si>
    <t>Civil Status:</t>
  </si>
  <si>
    <t>Single</t>
  </si>
  <si>
    <t>Widower</t>
  </si>
  <si>
    <t>Home Phone No.</t>
  </si>
  <si>
    <t xml:space="preserve">Married </t>
  </si>
  <si>
    <t>Separated</t>
  </si>
  <si>
    <t>Unit Assignment:</t>
  </si>
  <si>
    <t>Unit/Office/Business Address:</t>
  </si>
  <si>
    <t>Unit/Office Telephone No/s:</t>
  </si>
  <si>
    <t>AFP/Company ID No:</t>
  </si>
  <si>
    <t>Email Address:</t>
  </si>
  <si>
    <t>Tax Identification No/s:</t>
  </si>
  <si>
    <t>-</t>
  </si>
  <si>
    <t>Present Address:</t>
  </si>
  <si>
    <t>NOTIFICATION CLAUSE</t>
  </si>
  <si>
    <t>I  hereby  acknowledge and authorized the People's Multi-Purpose Cooperative (PMPC) for the following: 1) the regular submission and disclosure</t>
  </si>
  <si>
    <t>of  my basic credit data  (as defined under Republic Act Nr 9510 and its Implementing Rules and Regulations) to the  Credit Information Corporation (CIC)</t>
  </si>
  <si>
    <t xml:space="preserve">as  well  as  any  updates  or  corrections  thereof;  and  2)  the sharing of my basic data and with other lenders authorized by the CIC, and credit reporting </t>
  </si>
  <si>
    <t>agencies duly accredited by the CIC.</t>
  </si>
  <si>
    <t>Printed Name &amp; Signature of Borrower</t>
  </si>
  <si>
    <t>CERTIFICATION</t>
  </si>
  <si>
    <t>I hereby certify that the applicant is assigned to this Office; is not on leave without pay; has no pending case; and, that all information he/she</t>
  </si>
  <si>
    <t>provided is true and correct.</t>
  </si>
  <si>
    <t>CERTIFYING OFFICER</t>
  </si>
  <si>
    <t>DESIGNATION</t>
  </si>
  <si>
    <t>OFFICE</t>
  </si>
  <si>
    <t>CONTACT NUMBER</t>
  </si>
  <si>
    <t>(Signature Over Printed Name)</t>
  </si>
  <si>
    <t>CREDIT HISTORY</t>
  </si>
  <si>
    <t>Loan ID</t>
  </si>
  <si>
    <t>Date Granted</t>
  </si>
  <si>
    <t>Loan Granted</t>
  </si>
  <si>
    <t>Term</t>
  </si>
  <si>
    <t>MA</t>
  </si>
  <si>
    <t>Status/Remarks</t>
  </si>
  <si>
    <t>Principal Balance</t>
  </si>
  <si>
    <t>LOAN APPROVAL</t>
  </si>
  <si>
    <t>Loan Amount:</t>
  </si>
  <si>
    <t>MA:</t>
  </si>
  <si>
    <t>Required NTHP:</t>
  </si>
  <si>
    <t>NTHP after MA</t>
  </si>
  <si>
    <t>Total Loan Exposure:</t>
  </si>
  <si>
    <t>PROCESSED &amp; VERIFIED BY:</t>
  </si>
  <si>
    <t>ALEXANDER A. FERIA JR</t>
  </si>
  <si>
    <t>SIGNATURE OVER PRINTED NAME</t>
  </si>
  <si>
    <t>RECOMMEND APPROVAL/DISAPPROVAL:</t>
  </si>
  <si>
    <t>APPROVED/DISAPPROVED:</t>
  </si>
  <si>
    <t>PROMISORY NOTE NO:</t>
  </si>
  <si>
    <t xml:space="preserve">     I hereby waive presentment for payment and notice of dishonor. PMPC may accept partial payment reserving its right of recourse against me. PMPC is hereby authorized and empowered to set off or apply without notice what is due under this Note from whatever funds I have in the Cooperative.</t>
  </si>
  <si>
    <t xml:space="preserve">     It is further agreed that in case of separation from the service of whatever cause, the unpaid balance with its accumulated surcharges  and  interest  as stipulated above be deducted from my last paymnet, commutation of leave/furlough and/or from my pension.</t>
  </si>
  <si>
    <t xml:space="preserve">     It is further agreed that  when installments are not paid when due and payable, the whole of the principal sum remaining unpaid shall forthwith become due and payable at the election of the Cooperative. I promise and agree to pay for a reasonable attorney's fee if this note is not paid  according  to  its  legal tenor and effect when palced in a lawyer's hand for collection. In case litigation, venue shall be vested in the competent court as may be allowed by the Rules of Court at the sole option of PMPC.</t>
  </si>
  <si>
    <t xml:space="preserve">     Further, I hereby agree and authorized PMPC to encumber, assign or sell to any person or entity any right which it may have under thi Note, and/or any assignment, mortgage lien, pledge or other encumbrances constituted in favor of PMPC pursuant to the provisions of this Note if any.  The  consent  herein granted is recognized and acknowledged by me/us as a waiver, to all intent and purposes of whatever right I may have to notice of actual encumbrance/ assignment.</t>
  </si>
  <si>
    <t>Military/Pensioners ID</t>
  </si>
  <si>
    <t>Employee's ID/Office ID</t>
  </si>
  <si>
    <t>Driver's License</t>
  </si>
  <si>
    <t>Signature over Printed Name</t>
  </si>
  <si>
    <t xml:space="preserve">ID No: </t>
  </si>
  <si>
    <t xml:space="preserve">Expiration Date: </t>
  </si>
  <si>
    <t>LEFT THUMBMARK</t>
  </si>
  <si>
    <t>RIGHT THUMBMARK</t>
  </si>
  <si>
    <t>ACKNOWLEDGEMENT</t>
  </si>
  <si>
    <t>REPUBLIC OF THE PHILIPPINES</t>
  </si>
  <si>
    <t>(20-E, 2nd Camarilla St., Cor. 15th Ave.,BRGY San Roque, Murphy Cubao, Quezon City)  S.S</t>
  </si>
  <si>
    <t xml:space="preserve">     BEFORE ME, a Notary Public for and in Cubao, Quezon City this _______ day of _______________, 20_____, personally appeared __________________</t>
  </si>
  <si>
    <t>__________, who presented to me the Identification Cards mentioned above, known to me to  be  the  same  person  who  executed  the forgoing application for loan and promissory note and acknowledged that the same as his/her true act and deed and took oath  that  the  statement  herein are true and correct and that the application is made for the purpose under consideration.</t>
  </si>
  <si>
    <t>WITNESS MY HAND AND NOTARIAL SEAL, on the date, year and palce first above written.</t>
  </si>
  <si>
    <t>Doc No.</t>
  </si>
  <si>
    <t>Page No.</t>
  </si>
  <si>
    <t>Book No.</t>
  </si>
  <si>
    <t>Series of.</t>
  </si>
  <si>
    <t>AUTHORITY TO DEDUCT</t>
  </si>
  <si>
    <t>In connection with my loan described above, I  hereby  authorize  the  Finance/ Agent/ Disburing  Officer  of  the  AFP  Finance  Center,  subdivision  or</t>
  </si>
  <si>
    <t>instrumentality of the Government or any other office to which I may subsequently be detailed, assigned or appointed to deduct and /or withhold from my</t>
  </si>
  <si>
    <r>
      <t xml:space="preserve">monthly payment of </t>
    </r>
    <r>
      <rPr>
        <b/>
        <sz val="13"/>
        <color rgb="FF000000"/>
        <rFont val="Calibri"/>
        <family val="2"/>
        <scheme val="minor"/>
      </rPr>
      <t>Php</t>
    </r>
  </si>
  <si>
    <t>, for the period of</t>
  </si>
  <si>
    <r>
      <t xml:space="preserve">months with the total amount of </t>
    </r>
    <r>
      <rPr>
        <b/>
        <sz val="12"/>
        <color theme="1"/>
        <rFont val="Calibri"/>
        <family val="2"/>
        <scheme val="minor"/>
      </rPr>
      <t>Php</t>
    </r>
  </si>
  <si>
    <t>has been fully paid.</t>
  </si>
  <si>
    <t>Likewise, I hereby authorize the above-mentioned official to deduct and/or withhold part of my pension, commutation, salary or any amount due me</t>
  </si>
  <si>
    <t xml:space="preserve">and my heirs for the payment of said loan together with the surcharges interest, if any, until the same have been paid in fully. </t>
  </si>
  <si>
    <t>(Signature of Borrower Over Printed Name)</t>
  </si>
  <si>
    <t>THIS IS TO CERTIFY that the applicant is under my paying jurisdiction and the amount stated above can be sufficiently deducted from monthly pay.</t>
  </si>
  <si>
    <t>I guarantee to deduct the amount as stipulated above and to remit the same to the Treasurer, PEOPLE'S MULTI-PURPOSE COOPERATIVE (PMCP) as soon</t>
  </si>
  <si>
    <t>as possible.</t>
  </si>
  <si>
    <t xml:space="preserve">(Signature of Finance/Agent/Disbursing Officer over Printed Name) </t>
  </si>
  <si>
    <r>
      <t xml:space="preserve">     FOR VALUE RECEIVED,  the undersigned  promise  to  pay  the  People's Multi-Purpose Cooperative (PMPC)  the sum of </t>
    </r>
    <r>
      <rPr>
        <b/>
        <sz val="14"/>
        <rFont val="Calibri"/>
        <family val="2"/>
        <scheme val="minor"/>
      </rPr>
      <t>Php</t>
    </r>
    <r>
      <rPr>
        <b/>
        <u/>
        <sz val="14"/>
        <rFont val="Calibri"/>
        <family val="2"/>
        <scheme val="minor"/>
      </rPr>
      <t>366,000.18</t>
    </r>
    <r>
      <rPr>
        <b/>
        <sz val="14"/>
        <rFont val="Calibri"/>
        <family val="2"/>
        <scheme val="minor"/>
      </rPr>
      <t xml:space="preserve">, </t>
    </r>
    <r>
      <rPr>
        <sz val="14"/>
        <rFont val="Calibri"/>
        <family val="2"/>
        <scheme val="minor"/>
      </rPr>
      <t>in</t>
    </r>
    <r>
      <rPr>
        <b/>
        <sz val="14"/>
        <rFont val="Calibri"/>
        <family val="2"/>
        <scheme val="minor"/>
      </rPr>
      <t xml:space="preserve"> (60) </t>
    </r>
    <r>
      <rPr>
        <sz val="14"/>
        <rFont val="Calibri"/>
        <family val="2"/>
        <scheme val="minor"/>
      </rPr>
      <t xml:space="preserve">equal monthly installments amounting to </t>
    </r>
    <r>
      <rPr>
        <b/>
        <sz val="14"/>
        <rFont val="Calibri"/>
        <family val="2"/>
        <scheme val="minor"/>
      </rPr>
      <t xml:space="preserve">Php  </t>
    </r>
    <r>
      <rPr>
        <sz val="14"/>
        <rFont val="Calibri"/>
        <family val="2"/>
        <scheme val="minor"/>
      </rPr>
      <t>each, to be paid on the</t>
    </r>
    <r>
      <rPr>
        <b/>
        <sz val="14"/>
        <rFont val="Calibri"/>
        <family val="2"/>
        <scheme val="minor"/>
      </rPr>
      <t xml:space="preserve"> 28 th </t>
    </r>
    <r>
      <rPr>
        <sz val="14"/>
        <rFont val="Calibri"/>
        <family val="2"/>
        <scheme val="minor"/>
      </rPr>
      <t>day of every month starting on</t>
    </r>
    <r>
      <rPr>
        <b/>
        <sz val="14"/>
        <rFont val="Calibri"/>
        <family val="2"/>
        <scheme val="minor"/>
      </rPr>
      <t xml:space="preserve"> APRIL 2025/ </t>
    </r>
    <r>
      <rPr>
        <sz val="14"/>
        <rFont val="Calibri"/>
        <family val="2"/>
        <scheme val="minor"/>
      </rPr>
      <t>Single Payment of</t>
    </r>
    <r>
      <rPr>
        <b/>
        <sz val="14"/>
        <rFont val="Calibri"/>
        <family val="2"/>
        <scheme val="minor"/>
      </rPr>
      <t xml:space="preserve"> _______________ </t>
    </r>
    <r>
      <rPr>
        <sz val="14"/>
        <rFont val="Calibri"/>
        <family val="2"/>
        <scheme val="minor"/>
      </rPr>
      <t>due on</t>
    </r>
    <r>
      <rPr>
        <b/>
        <sz val="14"/>
        <rFont val="Calibri"/>
        <family val="2"/>
        <scheme val="minor"/>
      </rPr>
      <t xml:space="preserve"> _______________ </t>
    </r>
    <r>
      <rPr>
        <sz val="14"/>
        <rFont val="Calibri"/>
        <family val="2"/>
        <scheme val="minor"/>
      </rPr>
      <t xml:space="preserve">unpaid installments from maturity will bear charges on unpaid principal at the rate of </t>
    </r>
    <r>
      <rPr>
        <b/>
        <sz val="14"/>
        <rFont val="Calibri"/>
        <family val="2"/>
        <scheme val="minor"/>
      </rPr>
      <t>2% per month</t>
    </r>
    <r>
      <rPr>
        <sz val="14"/>
        <rFont val="Calibri"/>
        <family val="2"/>
        <scheme val="minor"/>
      </rPr>
      <t xml:space="preserve"> as penalty thereof.</t>
    </r>
  </si>
  <si>
    <t>FOR VALUE RECEIVED,  the undersigned  promise  to  pay  the  People's Multi-Purpose Cooperative (PMPC)  the sum of Php</t>
  </si>
  <si>
    <t>in</t>
  </si>
  <si>
    <t xml:space="preserve"> equal monthly installments amounting to Php</t>
  </si>
  <si>
    <r>
      <t>/ Single Payment of</t>
    </r>
    <r>
      <rPr>
        <u/>
        <sz val="14"/>
        <rFont val="Calibri"/>
        <family val="2"/>
        <scheme val="minor"/>
      </rPr>
      <t xml:space="preserve">                                                       </t>
    </r>
    <r>
      <rPr>
        <sz val="14"/>
        <rFont val="Calibri"/>
        <family val="2"/>
        <scheme val="minor"/>
      </rPr>
      <t xml:space="preserve"> due on </t>
    </r>
    <r>
      <rPr>
        <u/>
        <sz val="14"/>
        <rFont val="Calibri"/>
        <family val="2"/>
        <scheme val="minor"/>
      </rPr>
      <t xml:space="preserve">                                                </t>
    </r>
    <r>
      <rPr>
        <sz val="14"/>
        <rFont val="Calibri"/>
        <family val="2"/>
        <scheme val="minor"/>
      </rPr>
      <t xml:space="preserve"> unpaid installments from maturity will </t>
    </r>
  </si>
  <si>
    <r>
      <t xml:space="preserve">bear charges on unpaid principal at the rate of </t>
    </r>
    <r>
      <rPr>
        <b/>
        <sz val="14"/>
        <rFont val="Calibri"/>
        <family val="2"/>
        <scheme val="minor"/>
      </rPr>
      <t>2% per month</t>
    </r>
    <r>
      <rPr>
        <sz val="14"/>
        <rFont val="Calibri"/>
        <family val="2"/>
        <scheme val="minor"/>
      </rPr>
      <t xml:space="preserve"> as penatly thereof.</t>
    </r>
  </si>
  <si>
    <t>ALEXANDER L. FERIA</t>
  </si>
  <si>
    <t xml:space="preserve">Martin, Ricardo Barroga </t>
  </si>
  <si>
    <t>O-127212</t>
  </si>
  <si>
    <t xml:space="preserve">B4 L14 Derosa St MS2, LNC Brgy Navarro, Gen Trias Cavite </t>
  </si>
  <si>
    <t>B4 L14 DEROSA ST MS2, LNC, BRGY NAVARRO, CITY OF GEN TRIAS CAVITE</t>
  </si>
  <si>
    <r>
      <t>each, to be paid on the 28</t>
    </r>
    <r>
      <rPr>
        <b/>
        <sz val="14"/>
        <rFont val="Calibri"/>
        <family val="2"/>
        <scheme val="minor"/>
      </rPr>
      <t>th</t>
    </r>
    <r>
      <rPr>
        <sz val="14"/>
        <rFont val="Calibri"/>
        <family val="2"/>
        <scheme val="minor"/>
      </rPr>
      <t xml:space="preserve"> day of every month starting on </t>
    </r>
  </si>
  <si>
    <t>Alexander L. Feria (RET) CPA MNSA</t>
  </si>
  <si>
    <t>Garcia,Carlito Vasquez</t>
  </si>
  <si>
    <t>O-121478</t>
  </si>
  <si>
    <t>Lot 1 Blk 221 GRP, Zone 13, Pembo Makati City</t>
  </si>
  <si>
    <t>Del Rosario, Isagani Sioson</t>
  </si>
  <si>
    <t>O-13567</t>
  </si>
  <si>
    <t xml:space="preserve">Blk 16 Lot 15 City Homes Subd. Alibagu, Ilagan Isabela </t>
  </si>
  <si>
    <t>Zyrine Mae T. Damaso</t>
  </si>
  <si>
    <t>Isagani S. Del Rosario</t>
  </si>
  <si>
    <t>PENSIONERS  LOAN TABLE</t>
  </si>
  <si>
    <t>Interest Income from Loans</t>
  </si>
  <si>
    <t>Insurance Premium Payable</t>
  </si>
  <si>
    <t>Cash in Bank</t>
  </si>
  <si>
    <t>Unearned Interest Income</t>
  </si>
  <si>
    <t>Loans Receivable</t>
  </si>
  <si>
    <t>Share Capital - Preferred</t>
  </si>
  <si>
    <t>Interest Income Receivable</t>
  </si>
  <si>
    <t>loan</t>
  </si>
  <si>
    <t>collection</t>
  </si>
  <si>
    <t>Cash on hand</t>
  </si>
  <si>
    <t>To record Pre-loan deductions</t>
  </si>
  <si>
    <t>LR</t>
  </si>
  <si>
    <t>LRV-060</t>
  </si>
  <si>
    <t>YADAO, MELENCIO C.</t>
  </si>
  <si>
    <t>2 CONCHITA ST., PASAY CITY</t>
  </si>
  <si>
    <t>Loan Processor</t>
  </si>
  <si>
    <t>YADAO</t>
  </si>
  <si>
    <t>MELENCIO</t>
  </si>
  <si>
    <t>CASPILLO</t>
  </si>
  <si>
    <t>MSGT</t>
  </si>
  <si>
    <t>PA</t>
  </si>
  <si>
    <t>JEFFRAE A. SAPLA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</si>
</sst>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00_-;\-* #,##0.00_-;_-* &quot;-&quot;??_-;_-@_-"/>
    <numFmt numFmtId="165" formatCode="_-* #,##0_-;\-* #,##0_-;_-* &quot;-&quot;??_-;_-@_-"/>
    <numFmt numFmtId="166" formatCode="[$-3409]dd\-mmm\-yy;@"/>
    <numFmt numFmtId="167" formatCode="dd/mm/yyyy;@"/>
    <numFmt numFmtId="168" formatCode="0.0000%"/>
    <numFmt numFmtId="169" formatCode="0.0%"/>
    <numFmt numFmtId="170" formatCode="_-* #,##0.000000_-;\-* #,##0.000000_-;_-* &quot;-&quot;??_-;_-@_-"/>
    <numFmt numFmtId="171" formatCode="_-* #,##0.0000_-;\-* #,##0.0000_-;_-* &quot;-&quot;??_-;_-@_-"/>
    <numFmt numFmtId="172" formatCode="&quot;₱&quot;#,##0.00"/>
    <numFmt numFmtId="173" formatCode="[$-409]mmmm\ d\,\ yyyy;@"/>
    <numFmt numFmtId="174" formatCode="m/d/yyyy;@"/>
  </numFmts>
  <fonts count="5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Arial"/>
      <family val="2"/>
    </font>
    <font>
      <b/>
      <sz val="11"/>
      <color rgb="FFFF0000"/>
      <name val="Calibri"/>
      <family val="2"/>
      <scheme val="minor"/>
    </font>
    <font>
      <sz val="16"/>
      <color rgb="FFFF0000"/>
      <name val="Calibri"/>
      <family val="2"/>
      <scheme val="minor"/>
    </font>
    <font>
      <sz val="11"/>
      <color rgb="FFFF0000"/>
      <name val="Calibri"/>
      <family val="2"/>
      <scheme val="minor"/>
    </font>
    <font>
      <sz val="11"/>
      <color theme="1"/>
      <name val="Arial"/>
      <family val="2"/>
    </font>
    <font>
      <sz val="11"/>
      <color theme="1"/>
      <name val="Bahnschrift Light Condensed"/>
      <family val="2"/>
    </font>
    <font>
      <b/>
      <sz val="18"/>
      <color theme="1"/>
      <name val="MS Gothic"/>
      <family val="3"/>
    </font>
    <font>
      <sz val="10"/>
      <color theme="1"/>
      <name val="Arial"/>
      <family val="2"/>
    </font>
    <font>
      <b/>
      <sz val="14"/>
      <color theme="0"/>
      <name val="Arial"/>
      <family val="2"/>
    </font>
    <font>
      <b/>
      <sz val="12"/>
      <color theme="1"/>
      <name val="Arial"/>
      <family val="2"/>
    </font>
    <font>
      <sz val="12"/>
      <color theme="1"/>
      <name val="Arial"/>
      <family val="2"/>
    </font>
    <font>
      <sz val="12"/>
      <color theme="1"/>
      <name val="Bahnschrift Light Condensed"/>
      <family val="2"/>
    </font>
    <font>
      <sz val="11"/>
      <color theme="0"/>
      <name val="Arial"/>
      <family val="2"/>
    </font>
    <font>
      <b/>
      <sz val="10"/>
      <color theme="1"/>
      <name val="Arial"/>
      <family val="2"/>
    </font>
    <font>
      <sz val="12"/>
      <color theme="1"/>
      <name val="MS Gothic"/>
      <family val="3"/>
    </font>
    <font>
      <b/>
      <sz val="16"/>
      <color theme="1"/>
      <name val="Calibri"/>
      <family val="2"/>
      <scheme val="minor"/>
    </font>
    <font>
      <b/>
      <sz val="11"/>
      <color theme="0"/>
      <name val="Calibri"/>
      <family val="2"/>
      <scheme val="minor"/>
    </font>
    <font>
      <b/>
      <sz val="11"/>
      <color theme="1"/>
      <name val="Century Gothic"/>
      <family val="2"/>
    </font>
    <font>
      <sz val="11"/>
      <color theme="1"/>
      <name val="Century Gothic"/>
      <family val="2"/>
    </font>
    <font>
      <sz val="11"/>
      <color theme="1"/>
      <name val="Calibri"/>
      <family val="2"/>
      <scheme val="minor"/>
    </font>
    <font>
      <b/>
      <sz val="11"/>
      <color theme="1"/>
      <name val="Calibri"/>
      <family val="2"/>
      <scheme val="minor"/>
    </font>
    <font>
      <sz val="12"/>
      <color theme="1"/>
      <name val="Arial"/>
      <family val="2"/>
    </font>
    <font>
      <sz val="11"/>
      <color theme="0"/>
      <name val="Calibri"/>
      <family val="2"/>
      <scheme val="minor"/>
    </font>
    <font>
      <b/>
      <sz val="14"/>
      <color theme="1"/>
      <name val="Calibri"/>
      <family val="2"/>
      <scheme val="minor"/>
    </font>
    <font>
      <b/>
      <sz val="14"/>
      <color theme="0"/>
      <name val="Calibri"/>
      <family val="2"/>
      <scheme val="minor"/>
    </font>
    <font>
      <b/>
      <sz val="12"/>
      <color theme="1"/>
      <name val="Calibri"/>
      <family val="2"/>
      <scheme val="minor"/>
    </font>
    <font>
      <b/>
      <i/>
      <sz val="11"/>
      <color theme="1"/>
      <name val="Calibri"/>
      <family val="2"/>
      <scheme val="minor"/>
    </font>
    <font>
      <sz val="12"/>
      <color theme="1"/>
      <name val="Calibri"/>
      <family val="2"/>
      <scheme val="minor"/>
    </font>
    <font>
      <sz val="13"/>
      <color theme="1"/>
      <name val="Calibri"/>
      <family val="2"/>
      <scheme val="minor"/>
    </font>
    <font>
      <sz val="14"/>
      <name val="Calibri"/>
      <family val="2"/>
      <scheme val="minor"/>
    </font>
    <font>
      <b/>
      <sz val="14"/>
      <name val="Calibri"/>
      <family val="2"/>
      <scheme val="minor"/>
    </font>
    <font>
      <b/>
      <u/>
      <sz val="14"/>
      <name val="Calibri"/>
      <family val="2"/>
      <scheme val="minor"/>
    </font>
    <font>
      <b/>
      <sz val="13"/>
      <color theme="1"/>
      <name val="Calibri"/>
      <family val="2"/>
      <scheme val="minor"/>
    </font>
    <font>
      <sz val="12"/>
      <color theme="1"/>
      <name val="Calibri"/>
      <family val="2"/>
    </font>
    <font>
      <sz val="14"/>
      <color theme="0"/>
      <name val="Calibri"/>
      <family val="2"/>
      <scheme val="minor"/>
    </font>
    <font>
      <sz val="13"/>
      <color rgb="FF000000"/>
      <name val="Calibri"/>
      <family val="2"/>
      <scheme val="minor"/>
    </font>
    <font>
      <sz val="12"/>
      <color rgb="FF000000"/>
      <name val="Calibri"/>
      <family val="2"/>
      <scheme val="minor"/>
    </font>
    <font>
      <b/>
      <sz val="12"/>
      <color theme="0"/>
      <name val="Calibri"/>
      <family val="2"/>
      <scheme val="minor"/>
    </font>
    <font>
      <sz val="12"/>
      <color theme="0"/>
      <name val="Calibri"/>
      <family val="2"/>
      <scheme val="minor"/>
    </font>
    <font>
      <b/>
      <sz val="13"/>
      <color rgb="FF000000"/>
      <name val="Calibri"/>
      <family val="2"/>
      <scheme val="minor"/>
    </font>
    <font>
      <u/>
      <sz val="14"/>
      <name val="Calibri"/>
      <family val="2"/>
      <scheme val="minor"/>
    </font>
    <font>
      <b/>
      <sz val="12"/>
      <name val="Arial"/>
      <family val="2"/>
    </font>
    <font>
      <sz val="11"/>
      <name val="Calibri"/>
      <family val="2"/>
      <scheme val="minor"/>
    </font>
    <font>
      <b/>
      <u/>
      <sz val="12"/>
      <name val="Arial"/>
      <family val="2"/>
    </font>
    <font>
      <b/>
      <u val="singleAccounting"/>
      <sz val="11"/>
      <name val="Arial"/>
      <family val="2"/>
    </font>
  </fonts>
  <fills count="11">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theme="9" tint="0.39991454817346722"/>
        <bgColor indexed="64"/>
      </patternFill>
    </fill>
    <fill>
      <patternFill patternType="solid">
        <fgColor theme="9" tint="0.39994506668294322"/>
        <bgColor indexed="64"/>
      </patternFill>
    </fill>
    <fill>
      <patternFill patternType="solid">
        <fgColor theme="1"/>
        <bgColor indexed="64"/>
      </patternFill>
    </fill>
    <fill>
      <patternFill patternType="solid">
        <fgColor theme="0" tint="-0.499984740745262"/>
        <bgColor indexed="64"/>
      </patternFill>
    </fill>
    <fill>
      <patternFill patternType="solid">
        <fgColor theme="0"/>
        <bgColor indexed="64"/>
      </patternFill>
    </fill>
  </fills>
  <borders count="3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top/>
      <bottom style="thin">
        <color auto="1"/>
      </bottom>
      <diagonal/>
    </border>
    <border>
      <left/>
      <right style="medium">
        <color auto="1"/>
      </right>
      <top/>
      <bottom/>
      <diagonal/>
    </border>
    <border>
      <left/>
      <right/>
      <top/>
      <bottom style="double">
        <color auto="1"/>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s>
  <cellStyleXfs count="3">
    <xf numFmtId="0" fontId="0" fillId="0" borderId="0"/>
    <xf numFmtId="164" fontId="26" fillId="0" borderId="0" applyFont="0" applyFill="0" applyBorder="0" applyAlignment="0" applyProtection="0"/>
    <xf numFmtId="9" fontId="26" fillId="0" borderId="0" applyFont="0" applyFill="0" applyBorder="0" applyAlignment="0" applyProtection="0"/>
  </cellStyleXfs>
  <cellXfs count="393">
    <xf numFmtId="0" fontId="0" fillId="0" borderId="0" xfId="0"/>
    <xf numFmtId="164" fontId="0" fillId="0" borderId="0" xfId="0" applyNumberFormat="1"/>
    <xf numFmtId="0" fontId="0" fillId="0" borderId="1" xfId="0" applyBorder="1"/>
    <xf numFmtId="0" fontId="0" fillId="2" borderId="0" xfId="0" applyFill="1" applyAlignment="1">
      <alignment horizontal="center"/>
    </xf>
    <xf numFmtId="164" fontId="0" fillId="0" borderId="0" xfId="1" applyFont="1"/>
    <xf numFmtId="0" fontId="7" fillId="2" borderId="0" xfId="0" applyFont="1" applyFill="1"/>
    <xf numFmtId="164" fontId="0" fillId="0" borderId="2" xfId="1" applyFont="1" applyBorder="1"/>
    <xf numFmtId="10" fontId="0" fillId="0" borderId="0" xfId="2" applyNumberFormat="1" applyFont="1"/>
    <xf numFmtId="164" fontId="8" fillId="0" borderId="0" xfId="2" applyNumberFormat="1" applyFont="1" applyFill="1"/>
    <xf numFmtId="164" fontId="0" fillId="2" borderId="0" xfId="0" applyNumberFormat="1" applyFill="1"/>
    <xf numFmtId="10" fontId="0" fillId="0" borderId="0" xfId="2" applyNumberFormat="1" applyFont="1" applyFill="1"/>
    <xf numFmtId="164" fontId="0" fillId="0" borderId="0" xfId="1" applyFont="1" applyFill="1"/>
    <xf numFmtId="0" fontId="0" fillId="0" borderId="9" xfId="0" applyBorder="1"/>
    <xf numFmtId="0" fontId="0" fillId="0" borderId="2" xfId="0" applyBorder="1"/>
    <xf numFmtId="0" fontId="0" fillId="0" borderId="11" xfId="0" applyBorder="1"/>
    <xf numFmtId="0" fontId="0" fillId="0" borderId="12" xfId="0" applyBorder="1"/>
    <xf numFmtId="0" fontId="0" fillId="0" borderId="13" xfId="0" applyBorder="1"/>
    <xf numFmtId="14" fontId="0" fillId="0" borderId="10" xfId="0" applyNumberFormat="1" applyBorder="1"/>
    <xf numFmtId="14" fontId="0" fillId="0" borderId="2" xfId="0" applyNumberFormat="1" applyBorder="1"/>
    <xf numFmtId="14" fontId="0" fillId="0" borderId="11" xfId="0" applyNumberFormat="1" applyBorder="1"/>
    <xf numFmtId="164" fontId="0" fillId="0" borderId="12" xfId="0" applyNumberFormat="1" applyBorder="1"/>
    <xf numFmtId="14" fontId="0" fillId="0" borderId="1" xfId="0" applyNumberFormat="1" applyBorder="1"/>
    <xf numFmtId="0" fontId="0" fillId="2" borderId="1" xfId="0" applyFill="1" applyBorder="1" applyAlignment="1">
      <alignment horizontal="center"/>
    </xf>
    <xf numFmtId="0" fontId="0" fillId="2" borderId="12" xfId="0" applyFill="1" applyBorder="1" applyAlignment="1">
      <alignment horizontal="center"/>
    </xf>
    <xf numFmtId="165" fontId="0" fillId="0" borderId="12" xfId="0" applyNumberFormat="1" applyBorder="1"/>
    <xf numFmtId="14" fontId="0" fillId="0" borderId="0" xfId="0" applyNumberFormat="1"/>
    <xf numFmtId="14" fontId="0" fillId="3" borderId="9" xfId="0" applyNumberFormat="1" applyFill="1" applyBorder="1" applyAlignment="1">
      <alignment horizontal="right" vertical="center"/>
    </xf>
    <xf numFmtId="0" fontId="0" fillId="4" borderId="1" xfId="0" applyFill="1" applyBorder="1"/>
    <xf numFmtId="164" fontId="0" fillId="4" borderId="1" xfId="0" applyNumberFormat="1" applyFill="1" applyBorder="1"/>
    <xf numFmtId="165" fontId="0" fillId="4" borderId="1" xfId="0" applyNumberFormat="1" applyFill="1" applyBorder="1"/>
    <xf numFmtId="165" fontId="0" fillId="4" borderId="1" xfId="1" applyNumberFormat="1" applyFont="1" applyFill="1" applyBorder="1" applyProtection="1"/>
    <xf numFmtId="165" fontId="0" fillId="4" borderId="12" xfId="0" applyNumberFormat="1" applyFill="1" applyBorder="1"/>
    <xf numFmtId="14" fontId="0" fillId="0" borderId="9" xfId="0" applyNumberFormat="1" applyBorder="1" applyAlignment="1">
      <alignment horizontal="right" vertical="center"/>
    </xf>
    <xf numFmtId="0" fontId="10" fillId="0" borderId="1" xfId="0" applyFont="1" applyBorder="1"/>
    <xf numFmtId="0" fontId="8" fillId="0" borderId="0" xfId="0" applyFont="1"/>
    <xf numFmtId="164" fontId="0" fillId="0" borderId="0" xfId="1" applyFont="1" applyBorder="1" applyProtection="1"/>
    <xf numFmtId="164" fontId="0" fillId="0" borderId="0" xfId="1" applyFont="1" applyFill="1" applyBorder="1" applyProtection="1"/>
    <xf numFmtId="10" fontId="0" fillId="0" borderId="0" xfId="2" applyNumberFormat="1" applyFont="1" applyFill="1" applyBorder="1" applyProtection="1"/>
    <xf numFmtId="10" fontId="0" fillId="0" borderId="0" xfId="2" applyNumberFormat="1" applyFont="1" applyFill="1" applyBorder="1"/>
    <xf numFmtId="0" fontId="11" fillId="0" borderId="14" xfId="0" applyFont="1" applyBorder="1"/>
    <xf numFmtId="0" fontId="11" fillId="0" borderId="15" xfId="0" applyFont="1" applyBorder="1"/>
    <xf numFmtId="0" fontId="12" fillId="0" borderId="15" xfId="0" applyFont="1" applyBorder="1"/>
    <xf numFmtId="0" fontId="11" fillId="0" borderId="13" xfId="0" applyFont="1" applyBorder="1"/>
    <xf numFmtId="0" fontId="11" fillId="0" borderId="0" xfId="0" applyFont="1"/>
    <xf numFmtId="0" fontId="12" fillId="0" borderId="0" xfId="0" applyFont="1"/>
    <xf numFmtId="0" fontId="16" fillId="0" borderId="13" xfId="0" applyFont="1" applyBorder="1"/>
    <xf numFmtId="0" fontId="17" fillId="0" borderId="0" xfId="0" applyFont="1"/>
    <xf numFmtId="0" fontId="17" fillId="0" borderId="17" xfId="0" applyFont="1" applyBorder="1"/>
    <xf numFmtId="0" fontId="16" fillId="0" borderId="0" xfId="0" applyFont="1"/>
    <xf numFmtId="0" fontId="17" fillId="0" borderId="13" xfId="0" applyFont="1" applyBorder="1"/>
    <xf numFmtId="0" fontId="11" fillId="0" borderId="18" xfId="0" applyFont="1" applyBorder="1"/>
    <xf numFmtId="0" fontId="12" fillId="0" borderId="18" xfId="0" applyFont="1" applyBorder="1"/>
    <xf numFmtId="0" fontId="11" fillId="0" borderId="19" xfId="0" applyFont="1" applyBorder="1" applyAlignment="1">
      <alignment horizontal="center" vertical="center"/>
    </xf>
    <xf numFmtId="0" fontId="11" fillId="0" borderId="19" xfId="0" applyFont="1" applyBorder="1" applyAlignment="1">
      <alignment vertical="center"/>
    </xf>
    <xf numFmtId="0" fontId="11" fillId="0" borderId="20" xfId="0" applyFont="1" applyBorder="1"/>
    <xf numFmtId="0" fontId="11" fillId="0" borderId="21" xfId="0" applyFont="1" applyBorder="1"/>
    <xf numFmtId="0" fontId="12" fillId="0" borderId="21" xfId="0" applyFont="1" applyBorder="1"/>
    <xf numFmtId="0" fontId="11" fillId="0" borderId="22" xfId="0" applyFont="1" applyBorder="1"/>
    <xf numFmtId="0" fontId="11" fillId="0" borderId="17" xfId="0" applyFont="1" applyBorder="1"/>
    <xf numFmtId="0" fontId="16" fillId="0" borderId="17" xfId="0" applyFont="1" applyBorder="1"/>
    <xf numFmtId="0" fontId="11" fillId="0" borderId="23" xfId="0" applyFont="1" applyBorder="1"/>
    <xf numFmtId="167" fontId="0" fillId="0" borderId="1" xfId="0" applyNumberFormat="1" applyBorder="1"/>
    <xf numFmtId="0" fontId="0" fillId="0" borderId="24" xfId="0" applyBorder="1"/>
    <xf numFmtId="0" fontId="0" fillId="2" borderId="0" xfId="0" applyFill="1"/>
    <xf numFmtId="0" fontId="0" fillId="6" borderId="0" xfId="0" applyFill="1"/>
    <xf numFmtId="0" fontId="22" fillId="0" borderId="0" xfId="0" applyFont="1"/>
    <xf numFmtId="164" fontId="0" fillId="2" borderId="0" xfId="1" applyFont="1" applyFill="1"/>
    <xf numFmtId="168" fontId="0" fillId="6" borderId="0" xfId="1" applyNumberFormat="1" applyFont="1" applyFill="1"/>
    <xf numFmtId="169" fontId="0" fillId="0" borderId="1" xfId="2" applyNumberFormat="1" applyFont="1" applyBorder="1"/>
    <xf numFmtId="165" fontId="0" fillId="0" borderId="0" xfId="1" applyNumberFormat="1" applyFont="1"/>
    <xf numFmtId="10" fontId="0" fillId="2" borderId="0" xfId="2" applyNumberFormat="1" applyFont="1" applyFill="1"/>
    <xf numFmtId="10" fontId="0" fillId="0" borderId="0" xfId="1" applyNumberFormat="1" applyFont="1"/>
    <xf numFmtId="170" fontId="0" fillId="0" borderId="0" xfId="1" applyNumberFormat="1" applyFont="1"/>
    <xf numFmtId="171" fontId="0" fillId="0" borderId="0" xfId="1" applyNumberFormat="1" applyFont="1"/>
    <xf numFmtId="0" fontId="0" fillId="7" borderId="0" xfId="0" applyFill="1"/>
    <xf numFmtId="168" fontId="0" fillId="7" borderId="0" xfId="1" applyNumberFormat="1" applyFont="1" applyFill="1"/>
    <xf numFmtId="164" fontId="0" fillId="0" borderId="0" xfId="1" applyFont="1" applyFill="1" applyBorder="1"/>
    <xf numFmtId="168" fontId="0" fillId="0" borderId="0" xfId="1" applyNumberFormat="1" applyFont="1" applyFill="1" applyBorder="1"/>
    <xf numFmtId="169" fontId="0" fillId="0" borderId="10" xfId="2" applyNumberFormat="1" applyFont="1" applyBorder="1"/>
    <xf numFmtId="169" fontId="0" fillId="0" borderId="0" xfId="2" applyNumberFormat="1" applyFont="1" applyFill="1" applyBorder="1"/>
    <xf numFmtId="165" fontId="0" fillId="0" borderId="0" xfId="1" applyNumberFormat="1" applyFont="1" applyFill="1" applyBorder="1"/>
    <xf numFmtId="10" fontId="0" fillId="0" borderId="0" xfId="1" applyNumberFormat="1" applyFont="1" applyFill="1" applyBorder="1"/>
    <xf numFmtId="170" fontId="0" fillId="0" borderId="0" xfId="1" applyNumberFormat="1" applyFont="1" applyFill="1" applyBorder="1"/>
    <xf numFmtId="171" fontId="0" fillId="0" borderId="0" xfId="1" applyNumberFormat="1" applyFont="1" applyFill="1" applyBorder="1"/>
    <xf numFmtId="0" fontId="0" fillId="0" borderId="0" xfId="0" applyAlignment="1">
      <alignment vertical="center"/>
    </xf>
    <xf numFmtId="168" fontId="0" fillId="0" borderId="0" xfId="1" applyNumberFormat="1" applyFont="1" applyFill="1"/>
    <xf numFmtId="165" fontId="0" fillId="0" borderId="0" xfId="1" applyNumberFormat="1" applyFont="1" applyFill="1"/>
    <xf numFmtId="10" fontId="0" fillId="0" borderId="0" xfId="1" applyNumberFormat="1" applyFont="1" applyFill="1"/>
    <xf numFmtId="170" fontId="0" fillId="0" borderId="0" xfId="1" applyNumberFormat="1" applyFont="1" applyFill="1"/>
    <xf numFmtId="171" fontId="0" fillId="0" borderId="0" xfId="1" applyNumberFormat="1" applyFont="1" applyFill="1"/>
    <xf numFmtId="164" fontId="0" fillId="0" borderId="0" xfId="1" applyFont="1" applyFill="1" applyAlignment="1">
      <alignment vertical="center"/>
    </xf>
    <xf numFmtId="0" fontId="24" fillId="0" borderId="0" xfId="0" applyFont="1" applyAlignment="1">
      <alignment horizontal="center" wrapText="1"/>
    </xf>
    <xf numFmtId="4" fontId="25" fillId="0" borderId="9" xfId="0" applyNumberFormat="1" applyFont="1" applyBorder="1"/>
    <xf numFmtId="164" fontId="25" fillId="0" borderId="1" xfId="1" applyFont="1" applyBorder="1"/>
    <xf numFmtId="4" fontId="25" fillId="0" borderId="1" xfId="0" applyNumberFormat="1" applyFont="1" applyBorder="1"/>
    <xf numFmtId="4" fontId="25" fillId="0" borderId="12" xfId="0" applyNumberFormat="1" applyFont="1" applyBorder="1"/>
    <xf numFmtId="4" fontId="25" fillId="0" borderId="0" xfId="0" applyNumberFormat="1" applyFont="1"/>
    <xf numFmtId="4" fontId="25" fillId="0" borderId="25" xfId="0" applyNumberFormat="1" applyFont="1" applyBorder="1"/>
    <xf numFmtId="164" fontId="25" fillId="0" borderId="24" xfId="1" applyFont="1" applyBorder="1"/>
    <xf numFmtId="4" fontId="25" fillId="0" borderId="24" xfId="0" applyNumberFormat="1" applyFont="1" applyBorder="1"/>
    <xf numFmtId="4" fontId="25" fillId="0" borderId="26" xfId="0" applyNumberFormat="1" applyFont="1" applyBorder="1"/>
    <xf numFmtId="4" fontId="0" fillId="0" borderId="0" xfId="0" applyNumberFormat="1"/>
    <xf numFmtId="0" fontId="0" fillId="2" borderId="1" xfId="0" applyFill="1" applyBorder="1"/>
    <xf numFmtId="0" fontId="0" fillId="0" borderId="1" xfId="0" applyBorder="1" applyAlignment="1">
      <alignment horizontal="center"/>
    </xf>
    <xf numFmtId="164" fontId="0" fillId="0" borderId="1" xfId="0" applyNumberFormat="1" applyBorder="1"/>
    <xf numFmtId="164" fontId="0" fillId="2" borderId="1" xfId="1" applyFont="1" applyFill="1" applyBorder="1"/>
    <xf numFmtId="164" fontId="0" fillId="0" borderId="1" xfId="1" applyFont="1" applyBorder="1"/>
    <xf numFmtId="10" fontId="0" fillId="0" borderId="1" xfId="2" applyNumberFormat="1" applyFont="1" applyBorder="1"/>
    <xf numFmtId="164" fontId="0" fillId="0" borderId="1" xfId="1" applyFont="1" applyFill="1" applyBorder="1"/>
    <xf numFmtId="165" fontId="21" fillId="0" borderId="16" xfId="1" applyNumberFormat="1" applyFont="1" applyBorder="1" applyAlignment="1">
      <alignment vertical="center"/>
    </xf>
    <xf numFmtId="10" fontId="0" fillId="0" borderId="0" xfId="0" applyNumberFormat="1"/>
    <xf numFmtId="0" fontId="12" fillId="0" borderId="0" xfId="0" applyFont="1" applyAlignment="1">
      <alignment vertical="center"/>
    </xf>
    <xf numFmtId="0" fontId="11" fillId="0" borderId="0" xfId="0" applyFont="1" applyAlignment="1">
      <alignment vertical="center"/>
    </xf>
    <xf numFmtId="0" fontId="16" fillId="0" borderId="0" xfId="0" applyFont="1" applyAlignment="1">
      <alignment vertical="center"/>
    </xf>
    <xf numFmtId="49" fontId="11" fillId="0" borderId="0" xfId="0" applyNumberFormat="1" applyFont="1" applyAlignment="1">
      <alignment horizontal="right" vertical="center"/>
    </xf>
    <xf numFmtId="0" fontId="11" fillId="0" borderId="0" xfId="0" applyFont="1" applyAlignment="1">
      <alignment horizontal="right" vertical="center"/>
    </xf>
    <xf numFmtId="0" fontId="17" fillId="0" borderId="0" xfId="0" applyFont="1" applyAlignment="1">
      <alignment vertical="center"/>
    </xf>
    <xf numFmtId="0" fontId="17" fillId="0" borderId="0" xfId="0" applyFont="1" applyAlignment="1">
      <alignment horizontal="right" vertical="center"/>
    </xf>
    <xf numFmtId="0" fontId="18" fillId="0" borderId="0" xfId="0" applyFont="1" applyAlignment="1">
      <alignment vertical="center"/>
    </xf>
    <xf numFmtId="0" fontId="0" fillId="0" borderId="17" xfId="0" applyBorder="1"/>
    <xf numFmtId="0" fontId="19" fillId="5" borderId="0" xfId="0" applyFont="1" applyFill="1" applyAlignment="1">
      <alignment horizontal="center" vertical="center"/>
    </xf>
    <xf numFmtId="0" fontId="28" fillId="0" borderId="0" xfId="0" applyFont="1" applyAlignment="1">
      <alignment vertical="center"/>
    </xf>
    <xf numFmtId="0" fontId="5" fillId="0" borderId="1" xfId="0" applyFont="1" applyBorder="1"/>
    <xf numFmtId="0" fontId="0" fillId="0" borderId="0" xfId="0" applyAlignment="1">
      <alignment horizontal="center"/>
    </xf>
    <xf numFmtId="0" fontId="0" fillId="0" borderId="0" xfId="0" applyAlignment="1">
      <alignment horizontal="left"/>
    </xf>
    <xf numFmtId="0" fontId="30" fillId="0" borderId="0" xfId="0" applyFont="1"/>
    <xf numFmtId="0" fontId="32" fillId="0" borderId="10" xfId="1" applyNumberFormat="1" applyFont="1" applyBorder="1" applyAlignment="1">
      <alignment vertical="center"/>
    </xf>
    <xf numFmtId="0" fontId="32" fillId="0" borderId="2" xfId="1" applyNumberFormat="1" applyFont="1" applyBorder="1" applyAlignment="1">
      <alignment vertical="center"/>
    </xf>
    <xf numFmtId="0" fontId="32" fillId="0" borderId="11" xfId="1" applyNumberFormat="1" applyFont="1" applyBorder="1" applyAlignment="1">
      <alignment vertical="center"/>
    </xf>
    <xf numFmtId="0" fontId="27" fillId="0" borderId="0" xfId="0" applyFont="1" applyAlignment="1">
      <alignment horizontal="center" vertical="top"/>
    </xf>
    <xf numFmtId="0" fontId="27" fillId="0" borderId="0" xfId="0" applyFont="1"/>
    <xf numFmtId="0" fontId="32" fillId="0" borderId="0" xfId="0" applyFont="1"/>
    <xf numFmtId="0" fontId="0" fillId="0" borderId="7" xfId="0" applyBorder="1"/>
    <xf numFmtId="0" fontId="27" fillId="0" borderId="28" xfId="0" applyFont="1" applyBorder="1" applyAlignment="1">
      <alignment vertical="top"/>
    </xf>
    <xf numFmtId="0" fontId="27" fillId="0" borderId="19" xfId="0" applyFont="1" applyBorder="1" applyAlignment="1">
      <alignment vertical="top"/>
    </xf>
    <xf numFmtId="0" fontId="27" fillId="0" borderId="0" xfId="0" applyFont="1" applyAlignment="1">
      <alignment vertical="top"/>
    </xf>
    <xf numFmtId="0" fontId="27" fillId="0" borderId="30" xfId="0" applyFont="1" applyBorder="1" applyAlignment="1">
      <alignment vertical="top"/>
    </xf>
    <xf numFmtId="0" fontId="27" fillId="0" borderId="16" xfId="0" applyFont="1" applyBorder="1" applyAlignment="1">
      <alignment vertical="top"/>
    </xf>
    <xf numFmtId="0" fontId="27" fillId="0" borderId="30" xfId="0" applyFont="1" applyBorder="1" applyAlignment="1">
      <alignment horizontal="left" vertical="center"/>
    </xf>
    <xf numFmtId="0" fontId="27" fillId="0" borderId="30" xfId="0" applyFont="1" applyBorder="1" applyAlignment="1">
      <alignment vertical="center"/>
    </xf>
    <xf numFmtId="0" fontId="27" fillId="0" borderId="10" xfId="0" applyFont="1" applyBorder="1" applyAlignment="1">
      <alignment vertical="center"/>
    </xf>
    <xf numFmtId="0" fontId="27" fillId="0" borderId="2" xfId="0" applyFont="1" applyBorder="1" applyAlignment="1">
      <alignment vertical="top"/>
    </xf>
    <xf numFmtId="0" fontId="27" fillId="0" borderId="28" xfId="0" applyFont="1" applyBorder="1" applyAlignment="1">
      <alignment horizontal="left" vertical="center"/>
    </xf>
    <xf numFmtId="0" fontId="27" fillId="0" borderId="1" xfId="0" applyFont="1" applyBorder="1"/>
    <xf numFmtId="0" fontId="0" fillId="0" borderId="19" xfId="0" applyBorder="1"/>
    <xf numFmtId="0" fontId="0" fillId="0" borderId="29" xfId="0" applyBorder="1"/>
    <xf numFmtId="0" fontId="0" fillId="0" borderId="32" xfId="0" applyBorder="1"/>
    <xf numFmtId="0" fontId="0" fillId="0" borderId="16" xfId="0" applyBorder="1"/>
    <xf numFmtId="0" fontId="0" fillId="0" borderId="31" xfId="0" applyBorder="1"/>
    <xf numFmtId="0" fontId="30" fillId="0" borderId="21" xfId="0" applyFont="1" applyBorder="1" applyAlignment="1">
      <alignment vertical="center"/>
    </xf>
    <xf numFmtId="0" fontId="27" fillId="0" borderId="0" xfId="0" applyFont="1" applyAlignment="1">
      <alignment horizontal="left"/>
    </xf>
    <xf numFmtId="164" fontId="32" fillId="0" borderId="0" xfId="1" quotePrefix="1" applyFont="1" applyBorder="1" applyAlignment="1">
      <alignment vertical="center"/>
    </xf>
    <xf numFmtId="164" fontId="32" fillId="0" borderId="0" xfId="1" applyFont="1" applyBorder="1" applyAlignment="1">
      <alignment vertical="center"/>
    </xf>
    <xf numFmtId="0" fontId="33" fillId="0" borderId="0" xfId="0" applyFont="1" applyAlignment="1">
      <alignment horizontal="center" vertical="top"/>
    </xf>
    <xf numFmtId="0" fontId="27" fillId="0" borderId="0" xfId="0" applyFont="1" applyAlignment="1">
      <alignment vertical="center"/>
    </xf>
    <xf numFmtId="0" fontId="27" fillId="0" borderId="1" xfId="0" applyFont="1" applyBorder="1" applyAlignment="1">
      <alignment horizontal="center" vertical="center"/>
    </xf>
    <xf numFmtId="165" fontId="27" fillId="0" borderId="1" xfId="1" applyNumberFormat="1" applyFont="1" applyBorder="1" applyAlignment="1">
      <alignment horizontal="center" vertical="center"/>
    </xf>
    <xf numFmtId="165" fontId="27" fillId="0" borderId="7" xfId="1" applyNumberFormat="1" applyFont="1" applyBorder="1" applyAlignment="1">
      <alignment horizontal="center" vertical="center"/>
    </xf>
    <xf numFmtId="49" fontId="30" fillId="0" borderId="0" xfId="1" applyNumberFormat="1" applyFont="1" applyAlignment="1">
      <alignment horizontal="center" vertical="center"/>
    </xf>
    <xf numFmtId="0" fontId="27" fillId="0" borderId="0" xfId="0" applyFont="1" applyAlignment="1">
      <alignment horizontal="left" vertical="center"/>
    </xf>
    <xf numFmtId="0" fontId="34" fillId="0" borderId="0" xfId="0" applyFont="1"/>
    <xf numFmtId="0" fontId="0" fillId="0" borderId="21" xfId="0" applyBorder="1"/>
    <xf numFmtId="0" fontId="27" fillId="0" borderId="21" xfId="0" applyFont="1" applyBorder="1"/>
    <xf numFmtId="0" fontId="27" fillId="0" borderId="0" xfId="0" applyFont="1" applyAlignment="1">
      <alignment horizontal="center"/>
    </xf>
    <xf numFmtId="0" fontId="35" fillId="0" borderId="0" xfId="0" applyFont="1"/>
    <xf numFmtId="0" fontId="27" fillId="0" borderId="33" xfId="0" applyFont="1" applyBorder="1" applyAlignment="1">
      <alignment horizontal="center"/>
    </xf>
    <xf numFmtId="0" fontId="27" fillId="0" borderId="34" xfId="0" applyFont="1" applyBorder="1" applyAlignment="1">
      <alignment horizontal="center"/>
    </xf>
    <xf numFmtId="0" fontId="0" fillId="0" borderId="33" xfId="0" applyBorder="1"/>
    <xf numFmtId="0" fontId="0" fillId="0" borderId="0" xfId="0" applyAlignment="1">
      <alignment wrapText="1"/>
    </xf>
    <xf numFmtId="0" fontId="0" fillId="0" borderId="21" xfId="0" applyBorder="1" applyAlignment="1">
      <alignment wrapText="1"/>
    </xf>
    <xf numFmtId="0" fontId="0" fillId="0" borderId="34" xfId="0" applyBorder="1" applyAlignment="1">
      <alignment horizontal="center"/>
    </xf>
    <xf numFmtId="0" fontId="0" fillId="0" borderId="34" xfId="0" applyBorder="1"/>
    <xf numFmtId="0" fontId="35" fillId="0" borderId="0" xfId="0" applyFont="1" applyAlignment="1">
      <alignment vertical="center"/>
    </xf>
    <xf numFmtId="164" fontId="30" fillId="0" borderId="0" xfId="1" applyFont="1" applyBorder="1" applyAlignment="1">
      <alignment vertical="center"/>
    </xf>
    <xf numFmtId="0" fontId="35" fillId="0" borderId="0" xfId="0" applyFont="1" applyAlignment="1">
      <alignment horizontal="left" vertical="center"/>
    </xf>
    <xf numFmtId="0" fontId="35" fillId="0" borderId="0" xfId="0" applyFont="1" applyAlignment="1">
      <alignment horizontal="right" vertical="center"/>
    </xf>
    <xf numFmtId="49" fontId="30" fillId="0" borderId="0" xfId="1" applyNumberFormat="1" applyFont="1" applyBorder="1" applyAlignment="1">
      <alignment vertical="center"/>
    </xf>
    <xf numFmtId="0" fontId="39" fillId="0" borderId="0" xfId="0" applyFont="1" applyAlignment="1">
      <alignment vertical="center"/>
    </xf>
    <xf numFmtId="0" fontId="39" fillId="0" borderId="0" xfId="0" applyFont="1" applyAlignment="1">
      <alignment horizontal="left" vertical="center"/>
    </xf>
    <xf numFmtId="0" fontId="35" fillId="0" borderId="0" xfId="0" applyFont="1" applyAlignment="1">
      <alignment vertical="top"/>
    </xf>
    <xf numFmtId="0" fontId="35" fillId="0" borderId="0" xfId="0" applyFont="1" applyAlignment="1">
      <alignment horizontal="center" vertical="center"/>
    </xf>
    <xf numFmtId="0" fontId="34" fillId="0" borderId="0" xfId="0" applyFont="1" applyAlignment="1">
      <alignment vertical="top"/>
    </xf>
    <xf numFmtId="0" fontId="34" fillId="0" borderId="1" xfId="0" applyFont="1" applyBorder="1"/>
    <xf numFmtId="0" fontId="40" fillId="0" borderId="0" xfId="0" applyFont="1"/>
    <xf numFmtId="0" fontId="34" fillId="0" borderId="21" xfId="0" applyFont="1" applyBorder="1"/>
    <xf numFmtId="0" fontId="34" fillId="0" borderId="35" xfId="0" applyFont="1" applyBorder="1"/>
    <xf numFmtId="0" fontId="42" fillId="0" borderId="0" xfId="0" applyFont="1" applyAlignment="1">
      <alignment horizontal="left" vertical="center"/>
    </xf>
    <xf numFmtId="0" fontId="34" fillId="0" borderId="0" xfId="0" applyFont="1" applyAlignment="1">
      <alignment vertical="center"/>
    </xf>
    <xf numFmtId="0" fontId="34" fillId="0" borderId="0" xfId="0" applyFont="1" applyAlignment="1">
      <alignment horizontal="left" vertical="center"/>
    </xf>
    <xf numFmtId="0" fontId="42" fillId="0" borderId="0" xfId="0" applyFont="1"/>
    <xf numFmtId="0" fontId="43" fillId="0" borderId="0" xfId="0" applyFont="1"/>
    <xf numFmtId="0" fontId="34" fillId="0" borderId="0" xfId="0" applyFont="1" applyAlignment="1">
      <alignment horizontal="center"/>
    </xf>
    <xf numFmtId="0" fontId="44" fillId="0" borderId="0" xfId="0" applyFont="1" applyAlignment="1">
      <alignment horizontal="center"/>
    </xf>
    <xf numFmtId="0" fontId="45" fillId="0" borderId="0" xfId="0" applyFont="1" applyAlignment="1">
      <alignment horizontal="center"/>
    </xf>
    <xf numFmtId="0" fontId="42" fillId="0" borderId="0" xfId="0" applyFont="1" applyAlignment="1">
      <alignment vertical="center"/>
    </xf>
    <xf numFmtId="0" fontId="34" fillId="0" borderId="21" xfId="0" applyFont="1" applyBorder="1" applyAlignment="1">
      <alignment vertical="center"/>
    </xf>
    <xf numFmtId="0" fontId="32" fillId="0" borderId="16" xfId="0" applyFont="1" applyBorder="1" applyAlignment="1">
      <alignment horizontal="center"/>
    </xf>
    <xf numFmtId="0" fontId="36" fillId="0" borderId="0" xfId="0" applyFont="1" applyAlignment="1">
      <alignment vertical="top" wrapText="1"/>
    </xf>
    <xf numFmtId="0" fontId="36" fillId="0" borderId="0" xfId="0" applyFont="1" applyAlignment="1">
      <alignment wrapText="1"/>
    </xf>
    <xf numFmtId="0" fontId="4" fillId="0" borderId="10" xfId="0" applyFont="1" applyBorder="1"/>
    <xf numFmtId="0" fontId="27" fillId="0" borderId="7" xfId="1" applyNumberFormat="1" applyFont="1" applyBorder="1" applyAlignment="1">
      <alignment horizontal="center" vertical="center"/>
    </xf>
    <xf numFmtId="0" fontId="32" fillId="0" borderId="21" xfId="0" applyFont="1" applyBorder="1"/>
    <xf numFmtId="0" fontId="3" fillId="0" borderId="10" xfId="0" applyFont="1" applyBorder="1"/>
    <xf numFmtId="14" fontId="3" fillId="0" borderId="10" xfId="0" applyNumberFormat="1" applyFont="1" applyBorder="1"/>
    <xf numFmtId="14" fontId="3" fillId="0" borderId="11" xfId="0" applyNumberFormat="1" applyFont="1" applyBorder="1"/>
    <xf numFmtId="164" fontId="3" fillId="2" borderId="1" xfId="1" applyFont="1" applyFill="1" applyBorder="1"/>
    <xf numFmtId="0" fontId="0" fillId="0" borderId="11" xfId="0" applyBorder="1" applyAlignment="1">
      <alignment horizontal="center"/>
    </xf>
    <xf numFmtId="0" fontId="2" fillId="0" borderId="10" xfId="0" applyFont="1" applyBorder="1"/>
    <xf numFmtId="14" fontId="2" fillId="0" borderId="10" xfId="0" applyNumberFormat="1" applyFont="1" applyBorder="1"/>
    <xf numFmtId="14" fontId="2" fillId="0" borderId="11" xfId="0" applyNumberFormat="1" applyFont="1" applyBorder="1"/>
    <xf numFmtId="174" fontId="0" fillId="0" borderId="1" xfId="0" applyNumberFormat="1" applyBorder="1"/>
    <xf numFmtId="43" fontId="0" fillId="0" borderId="0" xfId="0" applyNumberFormat="1"/>
    <xf numFmtId="0" fontId="0" fillId="10" borderId="1" xfId="0" applyFill="1" applyBorder="1"/>
    <xf numFmtId="165" fontId="0" fillId="10" borderId="1" xfId="0" applyNumberFormat="1" applyFill="1" applyBorder="1"/>
    <xf numFmtId="14" fontId="0" fillId="10" borderId="0" xfId="0" applyNumberFormat="1" applyFill="1"/>
    <xf numFmtId="14" fontId="0" fillId="10" borderId="0" xfId="0" applyNumberFormat="1" applyFill="1" applyAlignment="1">
      <alignment horizontal="right" vertical="center"/>
    </xf>
    <xf numFmtId="0" fontId="0" fillId="10" borderId="0" xfId="0" applyFill="1"/>
    <xf numFmtId="164" fontId="0" fillId="10" borderId="0" xfId="0" applyNumberFormat="1" applyFill="1"/>
    <xf numFmtId="165" fontId="0" fillId="10" borderId="0" xfId="0" applyNumberFormat="1" applyFill="1"/>
    <xf numFmtId="165" fontId="0" fillId="10" borderId="0" xfId="1" applyNumberFormat="1" applyFont="1" applyFill="1" applyBorder="1" applyProtection="1"/>
    <xf numFmtId="14" fontId="0" fillId="3" borderId="1" xfId="0" applyNumberFormat="1" applyFill="1" applyBorder="1" applyAlignment="1">
      <alignment horizontal="right" vertical="center"/>
    </xf>
    <xf numFmtId="14" fontId="0" fillId="0" borderId="1" xfId="0" applyNumberFormat="1" applyBorder="1" applyAlignment="1">
      <alignment horizontal="right" vertical="center"/>
    </xf>
    <xf numFmtId="14" fontId="0" fillId="10" borderId="1" xfId="0" applyNumberFormat="1" applyFill="1" applyBorder="1" applyAlignment="1">
      <alignment horizontal="right" vertical="center"/>
    </xf>
    <xf numFmtId="164" fontId="0" fillId="0" borderId="1" xfId="1" applyFont="1" applyFill="1" applyBorder="1" applyProtection="1"/>
    <xf numFmtId="0" fontId="49" fillId="0" borderId="1" xfId="0" applyFont="1" applyBorder="1"/>
    <xf numFmtId="0" fontId="1" fillId="0" borderId="10" xfId="0" applyFont="1" applyBorder="1"/>
    <xf numFmtId="14" fontId="1" fillId="0" borderId="11" xfId="0" applyNumberFormat="1" applyFont="1" applyBorder="1"/>
    <xf numFmtId="0" fontId="0" fillId="0" borderId="10" xfId="0" applyBorder="1"/>
    <xf numFmtId="0" fontId="50" fillId="0" borderId="0" xfId="0" applyFont="1" applyAlignment="1">
      <alignment wrapText="1"/>
    </xf>
    <xf numFmtId="0" fontId="0" fillId="0" borderId="10" xfId="0" applyBorder="1" applyAlignment="1">
      <alignment horizontal="center"/>
    </xf>
    <xf numFmtId="0" fontId="0" fillId="0" borderId="2" xfId="0" applyBorder="1" applyAlignment="1">
      <alignment horizontal="center"/>
    </xf>
    <xf numFmtId="0" fontId="0" fillId="0" borderId="11" xfId="0" applyBorder="1" applyAlignment="1">
      <alignment horizontal="center"/>
    </xf>
    <xf numFmtId="166" fontId="11" fillId="0" borderId="16" xfId="0" applyNumberFormat="1" applyFont="1" applyBorder="1" applyAlignment="1">
      <alignment horizontal="center" vertical="center"/>
    </xf>
    <xf numFmtId="10" fontId="9" fillId="0" borderId="3" xfId="2" applyNumberFormat="1" applyFont="1" applyBorder="1" applyAlignment="1" applyProtection="1">
      <alignment horizontal="center" vertical="center"/>
    </xf>
    <xf numFmtId="10" fontId="0" fillId="0" borderId="4" xfId="2" applyNumberFormat="1" applyFont="1" applyBorder="1" applyAlignment="1" applyProtection="1">
      <alignment horizontal="center" vertical="center"/>
    </xf>
    <xf numFmtId="10" fontId="0" fillId="0" borderId="5" xfId="2" applyNumberFormat="1" applyFont="1" applyBorder="1" applyAlignment="1" applyProtection="1">
      <alignment horizontal="center" vertical="center"/>
    </xf>
    <xf numFmtId="10" fontId="0" fillId="0" borderId="6" xfId="2" applyNumberFormat="1" applyFont="1" applyBorder="1" applyAlignment="1" applyProtection="1">
      <alignment horizontal="center" vertical="center"/>
    </xf>
    <xf numFmtId="10" fontId="0" fillId="0" borderId="7" xfId="2" applyNumberFormat="1" applyFont="1" applyBorder="1" applyAlignment="1" applyProtection="1">
      <alignment horizontal="center" vertical="center"/>
    </xf>
    <xf numFmtId="10" fontId="0" fillId="0" borderId="8" xfId="2" applyNumberFormat="1" applyFont="1" applyBorder="1" applyAlignment="1" applyProtection="1">
      <alignment horizontal="center" vertical="center"/>
    </xf>
    <xf numFmtId="0" fontId="0" fillId="2" borderId="9" xfId="0" applyFill="1" applyBorder="1" applyAlignment="1">
      <alignment horizontal="center" vertical="center" wrapText="1"/>
    </xf>
    <xf numFmtId="0" fontId="13" fillId="0" borderId="0" xfId="0" applyFont="1" applyAlignment="1">
      <alignment horizontal="center" vertical="center"/>
    </xf>
    <xf numFmtId="0" fontId="14" fillId="0" borderId="0" xfId="0" applyFont="1" applyAlignment="1">
      <alignment horizontal="center"/>
    </xf>
    <xf numFmtId="0" fontId="15" fillId="5" borderId="0" xfId="0" applyFont="1" applyFill="1" applyAlignment="1">
      <alignment horizontal="center" vertical="center"/>
    </xf>
    <xf numFmtId="164" fontId="21" fillId="0" borderId="2" xfId="1" applyFont="1" applyBorder="1" applyAlignment="1">
      <alignment horizontal="center" vertical="center"/>
    </xf>
    <xf numFmtId="49" fontId="11" fillId="0" borderId="2" xfId="0" applyNumberFormat="1" applyFont="1" applyBorder="1" applyAlignment="1">
      <alignment horizontal="center" vertical="center"/>
    </xf>
    <xf numFmtId="0" fontId="17" fillId="0" borderId="16" xfId="0" applyFont="1" applyBorder="1" applyAlignment="1">
      <alignment vertical="center"/>
    </xf>
    <xf numFmtId="14" fontId="17" fillId="0" borderId="2" xfId="0" applyNumberFormat="1" applyFont="1" applyBorder="1" applyAlignment="1">
      <alignment horizontal="left" vertical="center"/>
    </xf>
    <xf numFmtId="0" fontId="17" fillId="0" borderId="2" xfId="0" applyFont="1" applyBorder="1" applyAlignment="1">
      <alignment horizontal="left" vertical="center"/>
    </xf>
    <xf numFmtId="0" fontId="17" fillId="0" borderId="2" xfId="0" applyFont="1" applyBorder="1" applyAlignment="1">
      <alignment horizontal="left"/>
    </xf>
    <xf numFmtId="164" fontId="21" fillId="0" borderId="16" xfId="1" applyFont="1" applyBorder="1" applyAlignment="1">
      <alignment horizontal="center" vertical="center"/>
    </xf>
    <xf numFmtId="164" fontId="21" fillId="0" borderId="19" xfId="1" applyFont="1" applyBorder="1" applyAlignment="1">
      <alignment horizontal="center" vertical="center"/>
    </xf>
    <xf numFmtId="0" fontId="0" fillId="0" borderId="0" xfId="0" applyAlignment="1">
      <alignment horizontal="center"/>
    </xf>
    <xf numFmtId="0" fontId="11" fillId="0" borderId="19" xfId="0" applyFont="1" applyBorder="1" applyAlignment="1">
      <alignment horizontal="center" vertical="center"/>
    </xf>
    <xf numFmtId="0" fontId="27" fillId="0" borderId="16" xfId="0" applyFont="1" applyBorder="1" applyAlignment="1">
      <alignment horizontal="center"/>
    </xf>
    <xf numFmtId="0" fontId="0" fillId="0" borderId="16" xfId="0" applyBorder="1" applyAlignment="1">
      <alignment horizontal="center"/>
    </xf>
    <xf numFmtId="165" fontId="21" fillId="0" borderId="16" xfId="1" applyNumberFormat="1" applyFont="1" applyBorder="1" applyAlignment="1">
      <alignment horizontal="center" vertical="center"/>
    </xf>
    <xf numFmtId="164" fontId="21" fillId="0" borderId="2" xfId="1" applyFont="1" applyBorder="1" applyAlignment="1">
      <alignment horizontal="right" vertical="center"/>
    </xf>
    <xf numFmtId="14" fontId="21" fillId="0" borderId="2" xfId="1" applyNumberFormat="1" applyFont="1" applyBorder="1" applyAlignment="1">
      <alignment horizontal="right" vertical="center"/>
    </xf>
    <xf numFmtId="10" fontId="21" fillId="0" borderId="2" xfId="1" applyNumberFormat="1" applyFont="1" applyBorder="1" applyAlignment="1">
      <alignment horizontal="right" vertical="center"/>
    </xf>
    <xf numFmtId="0" fontId="20" fillId="0" borderId="16" xfId="0" applyFont="1" applyBorder="1" applyAlignment="1">
      <alignment horizontal="center" vertical="center"/>
    </xf>
    <xf numFmtId="0" fontId="6" fillId="0" borderId="0" xfId="0" applyFont="1" applyAlignment="1">
      <alignment horizontal="center"/>
    </xf>
    <xf numFmtId="0" fontId="24" fillId="0" borderId="0" xfId="0" applyFont="1" applyAlignment="1">
      <alignment horizontal="center" wrapText="1"/>
    </xf>
    <xf numFmtId="0" fontId="22" fillId="0" borderId="0" xfId="0" applyFont="1" applyAlignment="1">
      <alignment horizontal="center" vertical="center" wrapText="1"/>
    </xf>
    <xf numFmtId="0" fontId="23" fillId="8" borderId="0" xfId="0" applyFont="1" applyFill="1" applyAlignment="1">
      <alignment horizontal="center"/>
    </xf>
    <xf numFmtId="4" fontId="25" fillId="9" borderId="15" xfId="0" applyNumberFormat="1" applyFont="1" applyFill="1" applyBorder="1" applyAlignment="1">
      <alignment horizontal="center"/>
    </xf>
    <xf numFmtId="0" fontId="24" fillId="0" borderId="3" xfId="0" applyFont="1" applyBorder="1" applyAlignment="1">
      <alignment horizontal="center"/>
    </xf>
    <xf numFmtId="0" fontId="24" fillId="0" borderId="9" xfId="0" applyFont="1" applyBorder="1" applyAlignment="1">
      <alignment horizontal="center"/>
    </xf>
    <xf numFmtId="0" fontId="24" fillId="0" borderId="4" xfId="0" applyFont="1" applyBorder="1" applyAlignment="1">
      <alignment horizontal="center" wrapText="1"/>
    </xf>
    <xf numFmtId="0" fontId="24" fillId="0" borderId="1" xfId="0" applyFont="1" applyBorder="1" applyAlignment="1">
      <alignment horizontal="center" wrapText="1"/>
    </xf>
    <xf numFmtId="0" fontId="24" fillId="0" borderId="5" xfId="0" applyFont="1" applyBorder="1" applyAlignment="1">
      <alignment horizontal="center" wrapText="1"/>
    </xf>
    <xf numFmtId="0" fontId="24" fillId="0" borderId="12" xfId="0" applyFont="1" applyBorder="1" applyAlignment="1">
      <alignment horizontal="center" wrapText="1"/>
    </xf>
    <xf numFmtId="0" fontId="11" fillId="0" borderId="2" xfId="0" applyFont="1" applyBorder="1" applyAlignment="1">
      <alignment horizontal="center" vertical="center"/>
    </xf>
    <xf numFmtId="0" fontId="27" fillId="0" borderId="19" xfId="0" applyFont="1" applyBorder="1" applyAlignment="1">
      <alignment horizontal="center"/>
    </xf>
    <xf numFmtId="0" fontId="27" fillId="0" borderId="0" xfId="0" applyFont="1" applyAlignment="1">
      <alignment horizontal="center"/>
    </xf>
    <xf numFmtId="0" fontId="27" fillId="0" borderId="28" xfId="0" applyFont="1" applyBorder="1" applyAlignment="1">
      <alignment horizontal="center"/>
    </xf>
    <xf numFmtId="0" fontId="27" fillId="0" borderId="29" xfId="0" applyFont="1" applyBorder="1" applyAlignment="1">
      <alignment horizontal="center"/>
    </xf>
    <xf numFmtId="0" fontId="27" fillId="0" borderId="30" xfId="0" applyFont="1" applyBorder="1" applyAlignment="1">
      <alignment horizontal="center"/>
    </xf>
    <xf numFmtId="0" fontId="27" fillId="0" borderId="31" xfId="0" applyFont="1" applyBorder="1" applyAlignment="1">
      <alignment horizontal="center"/>
    </xf>
    <xf numFmtId="0" fontId="27" fillId="0" borderId="21" xfId="0" applyFont="1" applyBorder="1" applyAlignment="1">
      <alignment horizontal="center" wrapText="1"/>
    </xf>
    <xf numFmtId="0" fontId="0" fillId="0" borderId="21" xfId="0" applyBorder="1" applyAlignment="1">
      <alignment horizontal="center" wrapText="1"/>
    </xf>
    <xf numFmtId="0" fontId="27" fillId="0" borderId="21" xfId="0" applyFont="1" applyBorder="1" applyAlignment="1">
      <alignment horizontal="center"/>
    </xf>
    <xf numFmtId="172" fontId="32" fillId="0" borderId="30" xfId="0" applyNumberFormat="1" applyFont="1" applyBorder="1" applyAlignment="1">
      <alignment horizontal="center" vertical="center"/>
    </xf>
    <xf numFmtId="172" fontId="32" fillId="0" borderId="16" xfId="0" applyNumberFormat="1" applyFont="1" applyBorder="1" applyAlignment="1">
      <alignment horizontal="center" vertical="center"/>
    </xf>
    <xf numFmtId="172" fontId="32" fillId="0" borderId="31" xfId="0" applyNumberFormat="1" applyFont="1" applyBorder="1" applyAlignment="1">
      <alignment horizontal="center" vertical="center"/>
    </xf>
    <xf numFmtId="0" fontId="32" fillId="0" borderId="30" xfId="0" applyFont="1" applyBorder="1" applyAlignment="1">
      <alignment horizontal="center" vertical="center"/>
    </xf>
    <xf numFmtId="0" fontId="32" fillId="0" borderId="16" xfId="0" applyFont="1" applyBorder="1" applyAlignment="1">
      <alignment horizontal="center" vertical="center"/>
    </xf>
    <xf numFmtId="0" fontId="32" fillId="0" borderId="31" xfId="0" applyFont="1" applyBorder="1" applyAlignment="1">
      <alignment horizontal="center" vertical="center"/>
    </xf>
    <xf numFmtId="0" fontId="23" fillId="5" borderId="10" xfId="0" applyFont="1" applyFill="1" applyBorder="1" applyAlignment="1">
      <alignment horizontal="center"/>
    </xf>
    <xf numFmtId="0" fontId="29" fillId="5" borderId="2" xfId="0" applyFont="1" applyFill="1" applyBorder="1" applyAlignment="1">
      <alignment horizontal="center"/>
    </xf>
    <xf numFmtId="0" fontId="29" fillId="5" borderId="11" xfId="0" applyFont="1" applyFill="1" applyBorder="1" applyAlignment="1">
      <alignment horizontal="center"/>
    </xf>
    <xf numFmtId="0" fontId="27" fillId="0" borderId="28" xfId="0" applyFont="1" applyBorder="1" applyAlignment="1">
      <alignment horizontal="left" vertical="top"/>
    </xf>
    <xf numFmtId="0" fontId="27" fillId="0" borderId="19" xfId="0" applyFont="1" applyBorder="1" applyAlignment="1">
      <alignment horizontal="left" vertical="top"/>
    </xf>
    <xf numFmtId="0" fontId="27" fillId="0" borderId="29" xfId="0" applyFont="1" applyBorder="1" applyAlignment="1">
      <alignment horizontal="left" vertical="top"/>
    </xf>
    <xf numFmtId="0" fontId="32" fillId="0" borderId="1" xfId="0" applyFont="1" applyBorder="1" applyAlignment="1">
      <alignment horizontal="left" vertical="center"/>
    </xf>
    <xf numFmtId="172" fontId="32" fillId="0" borderId="1" xfId="1" applyNumberFormat="1" applyFont="1" applyBorder="1" applyAlignment="1">
      <alignment horizontal="left" vertical="center"/>
    </xf>
    <xf numFmtId="14" fontId="32" fillId="0" borderId="1" xfId="0" applyNumberFormat="1" applyFont="1" applyBorder="1" applyAlignment="1">
      <alignment horizontal="left" vertical="center"/>
    </xf>
    <xf numFmtId="14" fontId="32" fillId="0" borderId="10" xfId="0" applyNumberFormat="1" applyFont="1" applyBorder="1" applyAlignment="1">
      <alignment horizontal="left" vertical="center"/>
    </xf>
    <xf numFmtId="14" fontId="32" fillId="0" borderId="2" xfId="0" applyNumberFormat="1" applyFont="1" applyBorder="1" applyAlignment="1">
      <alignment horizontal="left" vertical="center"/>
    </xf>
    <xf numFmtId="14" fontId="32" fillId="0" borderId="11" xfId="0" applyNumberFormat="1" applyFont="1" applyBorder="1" applyAlignment="1">
      <alignment horizontal="left" vertical="center"/>
    </xf>
    <xf numFmtId="172" fontId="32" fillId="0" borderId="1" xfId="0" applyNumberFormat="1" applyFont="1" applyBorder="1" applyAlignment="1">
      <alignment horizontal="left" vertical="center"/>
    </xf>
    <xf numFmtId="0" fontId="23" fillId="5" borderId="2" xfId="0" applyFont="1" applyFill="1" applyBorder="1" applyAlignment="1">
      <alignment horizontal="center"/>
    </xf>
    <xf numFmtId="0" fontId="23" fillId="5" borderId="11" xfId="0" applyFont="1" applyFill="1" applyBorder="1" applyAlignment="1">
      <alignment horizontal="center"/>
    </xf>
    <xf numFmtId="0" fontId="27" fillId="0" borderId="1" xfId="0" applyFont="1" applyBorder="1" applyAlignment="1">
      <alignment horizontal="center"/>
    </xf>
    <xf numFmtId="0" fontId="32" fillId="0" borderId="10" xfId="0" applyFont="1" applyBorder="1" applyAlignment="1">
      <alignment horizontal="left" vertical="center" wrapText="1"/>
    </xf>
    <xf numFmtId="0" fontId="32" fillId="0" borderId="2" xfId="0" applyFont="1" applyBorder="1" applyAlignment="1">
      <alignment horizontal="left" vertical="center" wrapText="1"/>
    </xf>
    <xf numFmtId="0" fontId="32" fillId="0" borderId="11" xfId="0" applyFont="1" applyBorder="1" applyAlignment="1">
      <alignment horizontal="left" vertical="center" wrapText="1"/>
    </xf>
    <xf numFmtId="164" fontId="27" fillId="0" borderId="10" xfId="1" applyFont="1" applyBorder="1" applyAlignment="1">
      <alignment horizontal="left" vertical="center"/>
    </xf>
    <xf numFmtId="164" fontId="27" fillId="0" borderId="2" xfId="1" applyFont="1" applyBorder="1" applyAlignment="1">
      <alignment horizontal="left" vertical="center"/>
    </xf>
    <xf numFmtId="164" fontId="27" fillId="0" borderId="11" xfId="1" applyFont="1" applyBorder="1" applyAlignment="1">
      <alignment horizontal="left" vertical="center"/>
    </xf>
    <xf numFmtId="0" fontId="27" fillId="0" borderId="10" xfId="0" applyFont="1" applyBorder="1" applyAlignment="1">
      <alignment horizontal="left" vertical="center"/>
    </xf>
    <xf numFmtId="0" fontId="27" fillId="0" borderId="2" xfId="0" applyFont="1" applyBorder="1" applyAlignment="1">
      <alignment horizontal="left" vertical="center"/>
    </xf>
    <xf numFmtId="0" fontId="27" fillId="0" borderId="11" xfId="0" applyFont="1" applyBorder="1" applyAlignment="1">
      <alignment horizontal="left" vertical="center"/>
    </xf>
    <xf numFmtId="0" fontId="27" fillId="0" borderId="0" xfId="0" applyFont="1" applyAlignment="1">
      <alignment horizontal="left"/>
    </xf>
    <xf numFmtId="49" fontId="32" fillId="0" borderId="10" xfId="1" applyNumberFormat="1" applyFont="1" applyBorder="1" applyAlignment="1">
      <alignment horizontal="center" vertical="center"/>
    </xf>
    <xf numFmtId="49" fontId="32" fillId="0" borderId="2" xfId="1" applyNumberFormat="1" applyFont="1" applyBorder="1" applyAlignment="1">
      <alignment horizontal="center" vertical="center"/>
    </xf>
    <xf numFmtId="49" fontId="32" fillId="0" borderId="11" xfId="1" applyNumberFormat="1" applyFont="1" applyBorder="1" applyAlignment="1">
      <alignment horizontal="center" vertical="center"/>
    </xf>
    <xf numFmtId="173" fontId="32" fillId="0" borderId="10" xfId="0" applyNumberFormat="1" applyFont="1" applyBorder="1" applyAlignment="1">
      <alignment horizontal="center" vertical="center"/>
    </xf>
    <xf numFmtId="173" fontId="32" fillId="0" borderId="2" xfId="0" applyNumberFormat="1" applyFont="1" applyBorder="1" applyAlignment="1">
      <alignment horizontal="center" vertical="center"/>
    </xf>
    <xf numFmtId="173" fontId="32" fillId="0" borderId="11" xfId="0" applyNumberFormat="1" applyFont="1" applyBorder="1" applyAlignment="1">
      <alignment horizontal="center" vertical="center"/>
    </xf>
    <xf numFmtId="164" fontId="32" fillId="0" borderId="10" xfId="1" applyFont="1" applyBorder="1" applyAlignment="1">
      <alignment horizontal="left" vertical="center"/>
    </xf>
    <xf numFmtId="164" fontId="32" fillId="0" borderId="2" xfId="1" applyFont="1" applyBorder="1" applyAlignment="1">
      <alignment horizontal="left" vertical="center"/>
    </xf>
    <xf numFmtId="164" fontId="32" fillId="0" borderId="11" xfId="1" applyFont="1" applyBorder="1" applyAlignment="1">
      <alignment horizontal="left" vertical="center"/>
    </xf>
    <xf numFmtId="0" fontId="27" fillId="0" borderId="0" xfId="0" applyFont="1" applyAlignment="1">
      <alignment horizontal="left" vertical="top"/>
    </xf>
    <xf numFmtId="0" fontId="32" fillId="0" borderId="10" xfId="0" applyFont="1" applyBorder="1" applyAlignment="1">
      <alignment horizontal="center" vertical="center"/>
    </xf>
    <xf numFmtId="0" fontId="32" fillId="0" borderId="11" xfId="0" applyFont="1" applyBorder="1" applyAlignment="1">
      <alignment horizontal="center" vertical="center"/>
    </xf>
    <xf numFmtId="0" fontId="27" fillId="0" borderId="0" xfId="0" applyFont="1" applyAlignment="1">
      <alignment horizontal="right" vertical="center"/>
    </xf>
    <xf numFmtId="164" fontId="32" fillId="0" borderId="30" xfId="1" applyFont="1" applyBorder="1" applyAlignment="1">
      <alignment horizontal="center" vertical="center"/>
    </xf>
    <xf numFmtId="164" fontId="32" fillId="0" borderId="16" xfId="1" applyFont="1" applyBorder="1" applyAlignment="1">
      <alignment horizontal="center" vertical="center"/>
    </xf>
    <xf numFmtId="164" fontId="32" fillId="0" borderId="31" xfId="1" applyFont="1" applyBorder="1" applyAlignment="1">
      <alignment horizontal="center" vertical="center"/>
    </xf>
    <xf numFmtId="0" fontId="32" fillId="0" borderId="30" xfId="1" applyNumberFormat="1" applyFont="1" applyBorder="1" applyAlignment="1">
      <alignment horizontal="center" vertical="center"/>
    </xf>
    <xf numFmtId="0" fontId="32" fillId="0" borderId="16" xfId="1" applyNumberFormat="1" applyFont="1" applyBorder="1" applyAlignment="1">
      <alignment horizontal="center" vertical="center"/>
    </xf>
    <xf numFmtId="0" fontId="32" fillId="0" borderId="31" xfId="1" applyNumberFormat="1" applyFont="1" applyBorder="1" applyAlignment="1">
      <alignment horizontal="center" vertical="center"/>
    </xf>
    <xf numFmtId="0" fontId="32" fillId="0" borderId="2" xfId="1" applyNumberFormat="1" applyFont="1" applyBorder="1" applyAlignment="1">
      <alignment horizontal="center" vertical="center"/>
    </xf>
    <xf numFmtId="0" fontId="27" fillId="0" borderId="28" xfId="0" applyFont="1" applyBorder="1" applyAlignment="1">
      <alignment horizontal="left" vertical="center"/>
    </xf>
    <xf numFmtId="0" fontId="27" fillId="0" borderId="29" xfId="0" applyFont="1" applyBorder="1" applyAlignment="1">
      <alignment horizontal="left" vertical="center"/>
    </xf>
    <xf numFmtId="0" fontId="27" fillId="0" borderId="30" xfId="0" applyFont="1" applyBorder="1" applyAlignment="1">
      <alignment horizontal="left" vertical="center"/>
    </xf>
    <xf numFmtId="0" fontId="27" fillId="0" borderId="31" xfId="0" applyFont="1" applyBorder="1" applyAlignment="1">
      <alignment horizontal="left" vertical="center"/>
    </xf>
    <xf numFmtId="0" fontId="0" fillId="0" borderId="28" xfId="0" applyBorder="1" applyAlignment="1">
      <alignment horizontal="center" vertical="center"/>
    </xf>
    <xf numFmtId="0" fontId="0" fillId="0" borderId="19"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16" xfId="0" applyBorder="1" applyAlignment="1">
      <alignment horizontal="center" vertical="center"/>
    </xf>
    <xf numFmtId="0" fontId="0" fillId="0" borderId="31" xfId="0" applyBorder="1" applyAlignment="1">
      <alignment horizontal="center" vertical="center"/>
    </xf>
    <xf numFmtId="0" fontId="27" fillId="0" borderId="19" xfId="0" applyFont="1" applyBorder="1" applyAlignment="1">
      <alignment horizontal="left" vertical="center"/>
    </xf>
    <xf numFmtId="0" fontId="27" fillId="0" borderId="16" xfId="0" applyFont="1" applyBorder="1" applyAlignment="1">
      <alignment horizontal="left" vertical="center"/>
    </xf>
    <xf numFmtId="0" fontId="31" fillId="5" borderId="10" xfId="0" applyFont="1" applyFill="1" applyBorder="1" applyAlignment="1">
      <alignment horizontal="center" vertical="center"/>
    </xf>
    <xf numFmtId="0" fontId="31" fillId="5" borderId="2" xfId="0" applyFont="1" applyFill="1" applyBorder="1" applyAlignment="1">
      <alignment horizontal="center" vertical="center"/>
    </xf>
    <xf numFmtId="0" fontId="31" fillId="5" borderId="11" xfId="0" applyFont="1" applyFill="1" applyBorder="1" applyAlignment="1">
      <alignment horizontal="center" vertical="center"/>
    </xf>
    <xf numFmtId="0" fontId="27" fillId="0" borderId="28" xfId="0" applyFont="1" applyBorder="1" applyAlignment="1">
      <alignment horizontal="center" vertical="top"/>
    </xf>
    <xf numFmtId="0" fontId="27" fillId="0" borderId="19" xfId="0" applyFont="1" applyBorder="1" applyAlignment="1">
      <alignment horizontal="center" vertical="top"/>
    </xf>
    <xf numFmtId="0" fontId="27" fillId="0" borderId="29" xfId="0" applyFont="1" applyBorder="1" applyAlignment="1">
      <alignment horizontal="center" vertical="top"/>
    </xf>
    <xf numFmtId="0" fontId="27" fillId="0" borderId="10" xfId="0" applyFont="1" applyBorder="1" applyAlignment="1">
      <alignment horizontal="left"/>
    </xf>
    <xf numFmtId="0" fontId="27" fillId="0" borderId="2" xfId="0" applyFont="1" applyBorder="1" applyAlignment="1">
      <alignment horizontal="left"/>
    </xf>
    <xf numFmtId="0" fontId="27" fillId="0" borderId="11" xfId="0" applyFont="1" applyBorder="1" applyAlignment="1">
      <alignment horizontal="left"/>
    </xf>
    <xf numFmtId="0" fontId="0" fillId="0" borderId="21" xfId="0" applyBorder="1" applyAlignment="1">
      <alignment horizontal="left"/>
    </xf>
    <xf numFmtId="172" fontId="32" fillId="0" borderId="19" xfId="0" applyNumberFormat="1" applyFont="1" applyBorder="1" applyAlignment="1">
      <alignment horizontal="center" vertical="center"/>
    </xf>
    <xf numFmtId="172" fontId="32" fillId="0" borderId="0" xfId="0" applyNumberFormat="1" applyFont="1" applyAlignment="1">
      <alignment horizontal="center" vertical="center"/>
    </xf>
    <xf numFmtId="172" fontId="32" fillId="0" borderId="29" xfId="0" applyNumberFormat="1" applyFont="1" applyBorder="1" applyAlignment="1">
      <alignment horizontal="center" vertical="center"/>
    </xf>
    <xf numFmtId="0" fontId="27" fillId="0" borderId="2" xfId="0" applyFont="1" applyBorder="1" applyAlignment="1">
      <alignment horizontal="center" vertical="center"/>
    </xf>
    <xf numFmtId="0" fontId="27" fillId="0" borderId="11" xfId="0" applyFont="1" applyBorder="1" applyAlignment="1">
      <alignment horizontal="center" vertical="center"/>
    </xf>
    <xf numFmtId="0" fontId="32" fillId="0" borderId="0" xfId="0" applyFont="1" applyAlignment="1">
      <alignment horizontal="left"/>
    </xf>
    <xf numFmtId="0" fontId="32" fillId="0" borderId="21" xfId="0" applyFont="1" applyBorder="1" applyAlignment="1">
      <alignment horizontal="center"/>
    </xf>
    <xf numFmtId="0" fontId="32" fillId="0" borderId="27" xfId="0" applyFont="1" applyBorder="1" applyAlignment="1">
      <alignment horizontal="center"/>
    </xf>
    <xf numFmtId="0" fontId="16" fillId="0" borderId="0" xfId="0" applyFont="1" applyAlignment="1">
      <alignment horizontal="center" vertical="center"/>
    </xf>
    <xf numFmtId="0" fontId="0" fillId="0" borderId="0" xfId="0" applyAlignment="1">
      <alignment horizontal="right" vertical="center"/>
    </xf>
    <xf numFmtId="0" fontId="32" fillId="0" borderId="21" xfId="0" applyFont="1" applyBorder="1" applyAlignment="1">
      <alignment horizontal="left"/>
    </xf>
    <xf numFmtId="0" fontId="32" fillId="0" borderId="0" xfId="0" applyFont="1" applyAlignment="1">
      <alignment horizontal="center"/>
    </xf>
    <xf numFmtId="164" fontId="51" fillId="0" borderId="0" xfId="1" applyFont="1" applyAlignment="1">
      <alignment horizontal="center" wrapText="1"/>
    </xf>
    <xf numFmtId="0" fontId="35" fillId="0" borderId="35" xfId="0" applyFont="1" applyBorder="1" applyAlignment="1">
      <alignment horizontal="left" vertical="center"/>
    </xf>
    <xf numFmtId="0" fontId="31" fillId="5" borderId="1" xfId="0" applyFont="1" applyFill="1" applyBorder="1" applyAlignment="1">
      <alignment horizontal="center" vertical="center"/>
    </xf>
    <xf numFmtId="0" fontId="41" fillId="5" borderId="1" xfId="0" applyFont="1" applyFill="1" applyBorder="1" applyAlignment="1">
      <alignment horizontal="center" vertical="center"/>
    </xf>
    <xf numFmtId="0" fontId="32" fillId="0" borderId="21" xfId="0" applyFont="1" applyBorder="1" applyAlignment="1">
      <alignment horizontal="center" vertical="center"/>
    </xf>
    <xf numFmtId="4" fontId="32" fillId="0" borderId="21" xfId="0" applyNumberFormat="1" applyFont="1" applyBorder="1" applyAlignment="1">
      <alignment horizontal="left" vertical="center"/>
    </xf>
    <xf numFmtId="0" fontId="32" fillId="0" borderId="21" xfId="0" applyFont="1" applyBorder="1" applyAlignment="1">
      <alignment horizontal="left" vertical="center"/>
    </xf>
    <xf numFmtId="164" fontId="32" fillId="0" borderId="21" xfId="1" applyFont="1" applyBorder="1" applyAlignment="1">
      <alignment horizontal="center" vertical="center"/>
    </xf>
    <xf numFmtId="0" fontId="35" fillId="0" borderId="0" xfId="0" applyFont="1" applyAlignment="1">
      <alignment horizontal="center" vertical="top" wrapText="1"/>
    </xf>
    <xf numFmtId="0" fontId="35" fillId="0" borderId="0" xfId="0" applyFont="1" applyAlignment="1">
      <alignment horizontal="left" vertical="top" wrapText="1"/>
    </xf>
    <xf numFmtId="0" fontId="35" fillId="0" borderId="21" xfId="0" applyFont="1" applyBorder="1" applyAlignment="1">
      <alignment horizontal="left" vertical="center"/>
    </xf>
    <xf numFmtId="0" fontId="36" fillId="0" borderId="0" xfId="0" applyFont="1" applyAlignment="1">
      <alignment horizontal="left" vertical="top" wrapText="1"/>
    </xf>
    <xf numFmtId="0" fontId="34" fillId="0" borderId="28" xfId="0" applyFont="1" applyBorder="1" applyAlignment="1">
      <alignment horizontal="center" vertical="top"/>
    </xf>
    <xf numFmtId="0" fontId="34" fillId="0" borderId="19" xfId="0" applyFont="1" applyBorder="1" applyAlignment="1">
      <alignment horizontal="center" vertical="top"/>
    </xf>
    <xf numFmtId="0" fontId="34" fillId="0" borderId="29" xfId="0" applyFont="1" applyBorder="1" applyAlignment="1">
      <alignment horizontal="center" vertical="top"/>
    </xf>
    <xf numFmtId="0" fontId="34" fillId="0" borderId="33" xfId="0" applyFont="1" applyBorder="1" applyAlignment="1">
      <alignment horizontal="center" vertical="top"/>
    </xf>
    <xf numFmtId="0" fontId="34" fillId="0" borderId="0" xfId="0" applyFont="1" applyAlignment="1">
      <alignment horizontal="center" vertical="top"/>
    </xf>
    <xf numFmtId="0" fontId="34" fillId="0" borderId="34" xfId="0" applyFont="1" applyBorder="1" applyAlignment="1">
      <alignment horizontal="center" vertical="top"/>
    </xf>
    <xf numFmtId="0" fontId="34" fillId="0" borderId="30" xfId="0" applyFont="1" applyBorder="1" applyAlignment="1">
      <alignment horizontal="center" vertical="top"/>
    </xf>
    <xf numFmtId="0" fontId="34" fillId="0" borderId="16" xfId="0" applyFont="1" applyBorder="1" applyAlignment="1">
      <alignment horizontal="center" vertical="top"/>
    </xf>
    <xf numFmtId="0" fontId="34" fillId="0" borderId="31" xfId="0" applyFont="1" applyBorder="1" applyAlignment="1">
      <alignment horizontal="center" vertical="top"/>
    </xf>
    <xf numFmtId="0" fontId="32" fillId="0" borderId="0" xfId="0" applyFont="1" applyAlignment="1">
      <alignment horizontal="center" vertical="top"/>
    </xf>
    <xf numFmtId="0" fontId="32" fillId="0" borderId="19" xfId="0" applyFont="1" applyBorder="1" applyAlignment="1">
      <alignment horizontal="center" vertical="top"/>
    </xf>
    <xf numFmtId="0" fontId="16" fillId="0" borderId="21" xfId="0" applyFont="1" applyBorder="1" applyAlignment="1">
      <alignment horizontal="center"/>
    </xf>
    <xf numFmtId="0" fontId="32" fillId="0" borderId="2" xfId="0" applyFont="1" applyBorder="1" applyAlignment="1">
      <alignment horizontal="center" vertical="center"/>
    </xf>
    <xf numFmtId="17" fontId="48" fillId="0" borderId="0" xfId="0" applyNumberFormat="1" applyFont="1" applyAlignment="1">
      <alignment horizont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jpeg"/><Relationship Id="rId1" Type="http://schemas.openxmlformats.org/officeDocument/2006/relationships/image" Target="../media/image4.jpe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13</xdr:col>
      <xdr:colOff>514798</xdr:colOff>
      <xdr:row>19</xdr:row>
      <xdr:rowOff>114302</xdr:rowOff>
    </xdr:from>
    <xdr:to>
      <xdr:col>14</xdr:col>
      <xdr:colOff>682438</xdr:colOff>
      <xdr:row>22</xdr:row>
      <xdr:rowOff>74932</xdr:rowOff>
    </xdr:to>
    <xdr:pic>
      <xdr:nvPicPr>
        <xdr:cNvPr id="3" name="Picture 2">
          <a:extLst>
            <a:ext uri="{FF2B5EF4-FFF2-40B4-BE49-F238E27FC236}">
              <a16:creationId xmlns:a16="http://schemas.microsoft.com/office/drawing/2014/main" id="{2C9D6A8E-859F-46DB-9B05-6408ECFE96E7}"/>
            </a:ext>
          </a:extLst>
        </xdr:cNvPr>
        <xdr:cNvPicPr/>
      </xdr:nvPicPr>
      <xdr:blipFill>
        <a:blip xmlns:r="http://schemas.openxmlformats.org/officeDocument/2006/relationships" r:embed="rId1" cstate="print"/>
        <a:srcRect b="17620"/>
        <a:stretch>
          <a:fillRect/>
        </a:stretch>
      </xdr:blipFill>
      <xdr:spPr>
        <a:xfrm>
          <a:off x="12163873" y="3743327"/>
          <a:ext cx="1091565" cy="53213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514798</xdr:colOff>
      <xdr:row>19</xdr:row>
      <xdr:rowOff>114302</xdr:rowOff>
    </xdr:from>
    <xdr:to>
      <xdr:col>15</xdr:col>
      <xdr:colOff>139513</xdr:colOff>
      <xdr:row>22</xdr:row>
      <xdr:rowOff>74932</xdr:rowOff>
    </xdr:to>
    <xdr:pic>
      <xdr:nvPicPr>
        <xdr:cNvPr id="2" name="Picture 1">
          <a:extLst>
            <a:ext uri="{FF2B5EF4-FFF2-40B4-BE49-F238E27FC236}">
              <a16:creationId xmlns:a16="http://schemas.microsoft.com/office/drawing/2014/main" id="{99E28682-3A00-4E01-86F0-E097E6256EAA}"/>
            </a:ext>
          </a:extLst>
        </xdr:cNvPr>
        <xdr:cNvPicPr/>
      </xdr:nvPicPr>
      <xdr:blipFill>
        <a:blip xmlns:r="http://schemas.openxmlformats.org/officeDocument/2006/relationships" r:embed="rId1" cstate="print"/>
        <a:srcRect b="17620"/>
        <a:stretch>
          <a:fillRect/>
        </a:stretch>
      </xdr:blipFill>
      <xdr:spPr>
        <a:xfrm>
          <a:off x="12163873" y="3743327"/>
          <a:ext cx="1091565" cy="53213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514798</xdr:colOff>
      <xdr:row>19</xdr:row>
      <xdr:rowOff>114302</xdr:rowOff>
    </xdr:from>
    <xdr:to>
      <xdr:col>15</xdr:col>
      <xdr:colOff>177613</xdr:colOff>
      <xdr:row>22</xdr:row>
      <xdr:rowOff>74932</xdr:rowOff>
    </xdr:to>
    <xdr:pic>
      <xdr:nvPicPr>
        <xdr:cNvPr id="4" name="Picture 3">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cstate="print"/>
        <a:srcRect b="17620"/>
        <a:stretch>
          <a:fillRect/>
        </a:stretch>
      </xdr:blipFill>
      <xdr:spPr>
        <a:xfrm>
          <a:off x="12538710" y="16602075"/>
          <a:ext cx="1141095" cy="50927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514798</xdr:colOff>
      <xdr:row>19</xdr:row>
      <xdr:rowOff>114302</xdr:rowOff>
    </xdr:from>
    <xdr:to>
      <xdr:col>15</xdr:col>
      <xdr:colOff>177613</xdr:colOff>
      <xdr:row>22</xdr:row>
      <xdr:rowOff>74932</xdr:rowOff>
    </xdr:to>
    <xdr:pic>
      <xdr:nvPicPr>
        <xdr:cNvPr id="2" name="Picture 1">
          <a:extLst>
            <a:ext uri="{FF2B5EF4-FFF2-40B4-BE49-F238E27FC236}">
              <a16:creationId xmlns:a16="http://schemas.microsoft.com/office/drawing/2014/main" id="{8FDE89CB-A796-4317-A154-D54E5CD93445}"/>
            </a:ext>
          </a:extLst>
        </xdr:cNvPr>
        <xdr:cNvPicPr/>
      </xdr:nvPicPr>
      <xdr:blipFill>
        <a:blip xmlns:r="http://schemas.openxmlformats.org/officeDocument/2006/relationships" r:embed="rId1" cstate="print"/>
        <a:srcRect b="17620"/>
        <a:stretch>
          <a:fillRect/>
        </a:stretch>
      </xdr:blipFill>
      <xdr:spPr>
        <a:xfrm>
          <a:off x="12470578" y="3596642"/>
          <a:ext cx="1125855" cy="50927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oneCellAnchor>
    <xdr:from>
      <xdr:col>23</xdr:col>
      <xdr:colOff>91440</xdr:colOff>
      <xdr:row>44</xdr:row>
      <xdr:rowOff>9525</xdr:rowOff>
    </xdr:from>
    <xdr:ext cx="219075" cy="247650"/>
    <xdr:pic>
      <xdr:nvPicPr>
        <xdr:cNvPr id="2" name="Picture 1" descr="https://tse1.mm.bing.net/th?id=OIP.11IPUqok7qInEpcWmz9WawHaIZ&amp;pid=Api&amp;P=0">
          <a:extLst>
            <a:ext uri="{FF2B5EF4-FFF2-40B4-BE49-F238E27FC236}">
              <a16:creationId xmlns:a16="http://schemas.microsoft.com/office/drawing/2014/main" id="{4036C4C6-6960-4094-97E2-9F70D3F848CB}"/>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Lst>
        </a:blip>
        <a:srcRect/>
        <a:stretch>
          <a:fillRect/>
        </a:stretch>
      </xdr:blipFill>
      <xdr:spPr bwMode="auto">
        <a:xfrm>
          <a:off x="7539990" y="10906125"/>
          <a:ext cx="219075" cy="247650"/>
        </a:xfrm>
        <a:prstGeom prst="rect">
          <a:avLst/>
        </a:prstGeom>
        <a:noFill/>
        <a:ln w="9525">
          <a:noFill/>
          <a:miter lim="800000"/>
          <a:headEnd/>
          <a:tailEnd/>
        </a:ln>
      </xdr:spPr>
    </xdr:pic>
    <xdr:clientData/>
  </xdr:oneCellAnchor>
  <xdr:twoCellAnchor>
    <xdr:from>
      <xdr:col>0</xdr:col>
      <xdr:colOff>0</xdr:colOff>
      <xdr:row>0</xdr:row>
      <xdr:rowOff>19050</xdr:rowOff>
    </xdr:from>
    <xdr:to>
      <xdr:col>35</xdr:col>
      <xdr:colOff>0</xdr:colOff>
      <xdr:row>0</xdr:row>
      <xdr:rowOff>20731</xdr:rowOff>
    </xdr:to>
    <xdr:cxnSp macro="">
      <xdr:nvCxnSpPr>
        <xdr:cNvPr id="3" name="Straight Connector 2">
          <a:extLst>
            <a:ext uri="{FF2B5EF4-FFF2-40B4-BE49-F238E27FC236}">
              <a16:creationId xmlns:a16="http://schemas.microsoft.com/office/drawing/2014/main" id="{DC3BB7E8-7453-408C-9AB4-80F7893AC228}"/>
            </a:ext>
          </a:extLst>
        </xdr:cNvPr>
        <xdr:cNvCxnSpPr/>
      </xdr:nvCxnSpPr>
      <xdr:spPr>
        <a:xfrm flipV="1">
          <a:off x="0" y="19050"/>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20731</xdr:colOff>
      <xdr:row>0</xdr:row>
      <xdr:rowOff>1</xdr:rowOff>
    </xdr:from>
    <xdr:to>
      <xdr:col>0</xdr:col>
      <xdr:colOff>28575</xdr:colOff>
      <xdr:row>76</xdr:row>
      <xdr:rowOff>19053</xdr:rowOff>
    </xdr:to>
    <xdr:cxnSp macro="">
      <xdr:nvCxnSpPr>
        <xdr:cNvPr id="4" name="Straight Connector 3">
          <a:extLst>
            <a:ext uri="{FF2B5EF4-FFF2-40B4-BE49-F238E27FC236}">
              <a16:creationId xmlns:a16="http://schemas.microsoft.com/office/drawing/2014/main" id="{125F75C8-5EC8-4291-80AA-E5524CAEED30}"/>
            </a:ext>
          </a:extLst>
        </xdr:cNvPr>
        <xdr:cNvCxnSpPr/>
      </xdr:nvCxnSpPr>
      <xdr:spPr>
        <a:xfrm>
          <a:off x="20731" y="1"/>
          <a:ext cx="7844" cy="1884045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296958</xdr:colOff>
      <xdr:row>0</xdr:row>
      <xdr:rowOff>38100</xdr:rowOff>
    </xdr:from>
    <xdr:to>
      <xdr:col>35</xdr:col>
      <xdr:colOff>9525</xdr:colOff>
      <xdr:row>76</xdr:row>
      <xdr:rowOff>9525</xdr:rowOff>
    </xdr:to>
    <xdr:cxnSp macro="">
      <xdr:nvCxnSpPr>
        <xdr:cNvPr id="5" name="Straight Connector 4">
          <a:extLst>
            <a:ext uri="{FF2B5EF4-FFF2-40B4-BE49-F238E27FC236}">
              <a16:creationId xmlns:a16="http://schemas.microsoft.com/office/drawing/2014/main" id="{F4520EA0-948D-4D09-B7D4-E03C8407BC42}"/>
            </a:ext>
          </a:extLst>
        </xdr:cNvPr>
        <xdr:cNvCxnSpPr/>
      </xdr:nvCxnSpPr>
      <xdr:spPr>
        <a:xfrm>
          <a:off x="11307858" y="38100"/>
          <a:ext cx="36417" cy="187928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304800</xdr:colOff>
      <xdr:row>0</xdr:row>
      <xdr:rowOff>123826</xdr:rowOff>
    </xdr:from>
    <xdr:ext cx="1615441" cy="987576"/>
    <xdr:pic>
      <xdr:nvPicPr>
        <xdr:cNvPr id="6" name="Picture 5">
          <a:extLst>
            <a:ext uri="{FF2B5EF4-FFF2-40B4-BE49-F238E27FC236}">
              <a16:creationId xmlns:a16="http://schemas.microsoft.com/office/drawing/2014/main" id="{472D740A-DA64-475E-AA3A-66EC48E993FC}"/>
            </a:ext>
          </a:extLst>
        </xdr:cNvPr>
        <xdr:cNvPicPr/>
      </xdr:nvPicPr>
      <xdr:blipFill>
        <a:blip xmlns:r="http://schemas.openxmlformats.org/officeDocument/2006/relationships" r:embed="rId3" cstate="print"/>
        <a:srcRect/>
        <a:stretch>
          <a:fillRect/>
        </a:stretch>
      </xdr:blipFill>
      <xdr:spPr bwMode="auto">
        <a:xfrm>
          <a:off x="4838700" y="123826"/>
          <a:ext cx="1615441" cy="987576"/>
        </a:xfrm>
        <a:prstGeom prst="rect">
          <a:avLst/>
        </a:prstGeom>
        <a:noFill/>
        <a:ln w="9525">
          <a:noFill/>
          <a:miter lim="800000"/>
          <a:headEnd/>
          <a:tailEnd/>
        </a:ln>
      </xdr:spPr>
    </xdr:pic>
    <xdr:clientData/>
  </xdr:oneCellAnchor>
  <xdr:twoCellAnchor>
    <xdr:from>
      <xdr:col>0</xdr:col>
      <xdr:colOff>0</xdr:colOff>
      <xdr:row>30</xdr:row>
      <xdr:rowOff>0</xdr:rowOff>
    </xdr:from>
    <xdr:to>
      <xdr:col>35</xdr:col>
      <xdr:colOff>0</xdr:colOff>
      <xdr:row>30</xdr:row>
      <xdr:rowOff>1681</xdr:rowOff>
    </xdr:to>
    <xdr:cxnSp macro="">
      <xdr:nvCxnSpPr>
        <xdr:cNvPr id="7" name="Straight Connector 6">
          <a:extLst>
            <a:ext uri="{FF2B5EF4-FFF2-40B4-BE49-F238E27FC236}">
              <a16:creationId xmlns:a16="http://schemas.microsoft.com/office/drawing/2014/main" id="{97B25450-4542-406C-97B3-69065C726BDD}"/>
            </a:ext>
          </a:extLst>
        </xdr:cNvPr>
        <xdr:cNvCxnSpPr/>
      </xdr:nvCxnSpPr>
      <xdr:spPr>
        <a:xfrm flipV="1">
          <a:off x="0" y="7429500"/>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22860</xdr:colOff>
      <xdr:row>68</xdr:row>
      <xdr:rowOff>173131</xdr:rowOff>
    </xdr:from>
    <xdr:to>
      <xdr:col>35</xdr:col>
      <xdr:colOff>19050</xdr:colOff>
      <xdr:row>68</xdr:row>
      <xdr:rowOff>180975</xdr:rowOff>
    </xdr:to>
    <xdr:cxnSp macro="">
      <xdr:nvCxnSpPr>
        <xdr:cNvPr id="8" name="Straight Connector 7">
          <a:extLst>
            <a:ext uri="{FF2B5EF4-FFF2-40B4-BE49-F238E27FC236}">
              <a16:creationId xmlns:a16="http://schemas.microsoft.com/office/drawing/2014/main" id="{600A3120-BE10-434A-90D0-03B84C248369}"/>
            </a:ext>
          </a:extLst>
        </xdr:cNvPr>
        <xdr:cNvCxnSpPr/>
      </xdr:nvCxnSpPr>
      <xdr:spPr>
        <a:xfrm>
          <a:off x="22860" y="17013331"/>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15240</xdr:colOff>
      <xdr:row>76</xdr:row>
      <xdr:rowOff>9525</xdr:rowOff>
    </xdr:from>
    <xdr:to>
      <xdr:col>35</xdr:col>
      <xdr:colOff>19050</xdr:colOff>
      <xdr:row>76</xdr:row>
      <xdr:rowOff>11206</xdr:rowOff>
    </xdr:to>
    <xdr:cxnSp macro="">
      <xdr:nvCxnSpPr>
        <xdr:cNvPr id="9" name="Straight Connector 8">
          <a:extLst>
            <a:ext uri="{FF2B5EF4-FFF2-40B4-BE49-F238E27FC236}">
              <a16:creationId xmlns:a16="http://schemas.microsoft.com/office/drawing/2014/main" id="{FA1C7DAC-2E2D-4EA9-914C-195A291EAF3D}"/>
            </a:ext>
          </a:extLst>
        </xdr:cNvPr>
        <xdr:cNvCxnSpPr/>
      </xdr:nvCxnSpPr>
      <xdr:spPr>
        <a:xfrm flipV="1">
          <a:off x="15240" y="18830925"/>
          <a:ext cx="1133856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19050</xdr:rowOff>
    </xdr:from>
    <xdr:to>
      <xdr:col>35</xdr:col>
      <xdr:colOff>0</xdr:colOff>
      <xdr:row>0</xdr:row>
      <xdr:rowOff>20731</xdr:rowOff>
    </xdr:to>
    <xdr:cxnSp macro="">
      <xdr:nvCxnSpPr>
        <xdr:cNvPr id="10" name="Straight Connector 9">
          <a:extLst>
            <a:ext uri="{FF2B5EF4-FFF2-40B4-BE49-F238E27FC236}">
              <a16:creationId xmlns:a16="http://schemas.microsoft.com/office/drawing/2014/main" id="{EE854794-EC20-4507-9325-8B6A6B2E2ABF}"/>
            </a:ext>
          </a:extLst>
        </xdr:cNvPr>
        <xdr:cNvCxnSpPr/>
      </xdr:nvCxnSpPr>
      <xdr:spPr>
        <a:xfrm flipV="1">
          <a:off x="0" y="19050"/>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85725</xdr:colOff>
      <xdr:row>12</xdr:row>
      <xdr:rowOff>238125</xdr:rowOff>
    </xdr:from>
    <xdr:ext cx="219075" cy="247650"/>
    <xdr:pic>
      <xdr:nvPicPr>
        <xdr:cNvPr id="11" name="Picture 10" descr="https://tse1.mm.bing.net/th?id=OIP.11IPUqok7qInEpcWmz9WawHaIZ&amp;pid=Api&amp;P=0">
          <a:extLst>
            <a:ext uri="{FF2B5EF4-FFF2-40B4-BE49-F238E27FC236}">
              <a16:creationId xmlns:a16="http://schemas.microsoft.com/office/drawing/2014/main" id="{808BB6AB-5092-44D8-84DF-370CC4521B0C}"/>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Lst>
        </a:blip>
        <a:srcRect/>
        <a:stretch>
          <a:fillRect/>
        </a:stretch>
      </xdr:blipFill>
      <xdr:spPr bwMode="auto">
        <a:xfrm>
          <a:off x="409575" y="3209925"/>
          <a:ext cx="219075" cy="247650"/>
        </a:xfrm>
        <a:prstGeom prst="rect">
          <a:avLst/>
        </a:prstGeom>
        <a:noFill/>
        <a:ln w="9525">
          <a:noFill/>
          <a:miter lim="800000"/>
          <a:headEnd/>
          <a:tailEnd/>
        </a:ln>
      </xdr:spPr>
    </xdr:pic>
    <xdr:clientData/>
  </xdr:oneCellAnchor>
  <xdr:oneCellAnchor>
    <xdr:from>
      <xdr:col>8</xdr:col>
      <xdr:colOff>95250</xdr:colOff>
      <xdr:row>13</xdr:row>
      <xdr:rowOff>228600</xdr:rowOff>
    </xdr:from>
    <xdr:ext cx="219075" cy="247650"/>
    <xdr:pic>
      <xdr:nvPicPr>
        <xdr:cNvPr id="12" name="Picture 11" descr="https://tse1.mm.bing.net/th?id=OIP.11IPUqok7qInEpcWmz9WawHaIZ&amp;pid=Api&amp;P=0">
          <a:extLst>
            <a:ext uri="{FF2B5EF4-FFF2-40B4-BE49-F238E27FC236}">
              <a16:creationId xmlns:a16="http://schemas.microsoft.com/office/drawing/2014/main" id="{23DF38DA-2E36-4E60-95DA-E0BFF8AED842}"/>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Lst>
        </a:blip>
        <a:srcRect/>
        <a:stretch>
          <a:fillRect/>
        </a:stretch>
      </xdr:blipFill>
      <xdr:spPr bwMode="auto">
        <a:xfrm>
          <a:off x="2686050" y="3448050"/>
          <a:ext cx="219075" cy="247650"/>
        </a:xfrm>
        <a:prstGeom prst="rect">
          <a:avLst/>
        </a:prstGeom>
        <a:noFill/>
        <a:ln w="9525">
          <a:noFill/>
          <a:miter lim="800000"/>
          <a:headEnd/>
          <a:tailEnd/>
        </a:ln>
      </xdr:spPr>
    </xdr:pic>
    <xdr:clientData/>
  </xdr:oneCellAnchor>
  <xdr:oneCellAnchor>
    <xdr:from>
      <xdr:col>16</xdr:col>
      <xdr:colOff>78316</xdr:colOff>
      <xdr:row>14</xdr:row>
      <xdr:rowOff>19050</xdr:rowOff>
    </xdr:from>
    <xdr:ext cx="219075" cy="247650"/>
    <xdr:pic>
      <xdr:nvPicPr>
        <xdr:cNvPr id="13" name="Picture 12" descr="https://tse1.mm.bing.net/th?id=OIP.11IPUqok7qInEpcWmz9WawHaIZ&amp;pid=Api&amp;P=0">
          <a:extLst>
            <a:ext uri="{FF2B5EF4-FFF2-40B4-BE49-F238E27FC236}">
              <a16:creationId xmlns:a16="http://schemas.microsoft.com/office/drawing/2014/main" id="{055E2E62-0E67-4428-9C90-334B10CCE33D}"/>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Lst>
        </a:blip>
        <a:srcRect/>
        <a:stretch>
          <a:fillRect/>
        </a:stretch>
      </xdr:blipFill>
      <xdr:spPr bwMode="auto">
        <a:xfrm>
          <a:off x="5496983" y="3575050"/>
          <a:ext cx="219075" cy="247650"/>
        </a:xfrm>
        <a:prstGeom prst="rect">
          <a:avLst/>
        </a:prstGeom>
        <a:noFill/>
        <a:ln w="9525">
          <a:noFill/>
          <a:miter lim="800000"/>
          <a:headEnd/>
          <a:tailEnd/>
        </a:ln>
      </xdr:spPr>
    </xdr:pic>
    <xdr:clientData/>
  </xdr:oneCellAnchor>
  <xdr:oneCellAnchor>
    <xdr:from>
      <xdr:col>23</xdr:col>
      <xdr:colOff>114300</xdr:colOff>
      <xdr:row>13</xdr:row>
      <xdr:rowOff>9525</xdr:rowOff>
    </xdr:from>
    <xdr:ext cx="219075" cy="247650"/>
    <xdr:pic>
      <xdr:nvPicPr>
        <xdr:cNvPr id="14" name="Picture 13" descr="https://tse1.mm.bing.net/th?id=OIP.11IPUqok7qInEpcWmz9WawHaIZ&amp;pid=Api&amp;P=0">
          <a:extLst>
            <a:ext uri="{FF2B5EF4-FFF2-40B4-BE49-F238E27FC236}">
              <a16:creationId xmlns:a16="http://schemas.microsoft.com/office/drawing/2014/main" id="{74F91231-BA6D-4973-BE5C-E18DB58C5189}"/>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Lst>
        </a:blip>
        <a:srcRect/>
        <a:stretch>
          <a:fillRect/>
        </a:stretch>
      </xdr:blipFill>
      <xdr:spPr bwMode="auto">
        <a:xfrm>
          <a:off x="7562850" y="3228975"/>
          <a:ext cx="219075" cy="247650"/>
        </a:xfrm>
        <a:prstGeom prst="rect">
          <a:avLst/>
        </a:prstGeom>
        <a:noFill/>
        <a:ln w="9525">
          <a:noFill/>
          <a:miter lim="800000"/>
          <a:headEnd/>
          <a:tailEnd/>
        </a:ln>
      </xdr:spPr>
    </xdr:pic>
    <xdr:clientData/>
  </xdr:oneCellAnchor>
  <xdr:oneCellAnchor>
    <xdr:from>
      <xdr:col>9</xdr:col>
      <xdr:colOff>85725</xdr:colOff>
      <xdr:row>22</xdr:row>
      <xdr:rowOff>238125</xdr:rowOff>
    </xdr:from>
    <xdr:ext cx="219075" cy="247650"/>
    <xdr:pic>
      <xdr:nvPicPr>
        <xdr:cNvPr id="15" name="Picture 14" descr="https://tse1.mm.bing.net/th?id=OIP.11IPUqok7qInEpcWmz9WawHaIZ&amp;pid=Api&amp;P=0">
          <a:extLst>
            <a:ext uri="{FF2B5EF4-FFF2-40B4-BE49-F238E27FC236}">
              <a16:creationId xmlns:a16="http://schemas.microsoft.com/office/drawing/2014/main" id="{35C78589-3E4F-4A72-907D-3B9E28691FB3}"/>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Lst>
        </a:blip>
        <a:srcRect/>
        <a:stretch>
          <a:fillRect/>
        </a:stretch>
      </xdr:blipFill>
      <xdr:spPr bwMode="auto">
        <a:xfrm>
          <a:off x="3000375" y="5686425"/>
          <a:ext cx="219075" cy="247650"/>
        </a:xfrm>
        <a:prstGeom prst="rect">
          <a:avLst/>
        </a:prstGeom>
        <a:noFill/>
        <a:ln w="9525">
          <a:noFill/>
          <a:miter lim="800000"/>
          <a:headEnd/>
          <a:tailEnd/>
        </a:ln>
      </xdr:spPr>
    </xdr:pic>
    <xdr:clientData/>
  </xdr:oneCellAnchor>
  <xdr:oneCellAnchor>
    <xdr:from>
      <xdr:col>21</xdr:col>
      <xdr:colOff>95250</xdr:colOff>
      <xdr:row>23</xdr:row>
      <xdr:rowOff>9525</xdr:rowOff>
    </xdr:from>
    <xdr:ext cx="219075" cy="247650"/>
    <xdr:pic>
      <xdr:nvPicPr>
        <xdr:cNvPr id="16" name="Picture 15" descr="https://tse1.mm.bing.net/th?id=OIP.11IPUqok7qInEpcWmz9WawHaIZ&amp;pid=Api&amp;P=0">
          <a:extLst>
            <a:ext uri="{FF2B5EF4-FFF2-40B4-BE49-F238E27FC236}">
              <a16:creationId xmlns:a16="http://schemas.microsoft.com/office/drawing/2014/main" id="{C00209E9-942C-4698-AB2C-7D8C3FD162EE}"/>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Lst>
        </a:blip>
        <a:srcRect/>
        <a:stretch>
          <a:fillRect/>
        </a:stretch>
      </xdr:blipFill>
      <xdr:spPr bwMode="auto">
        <a:xfrm>
          <a:off x="6896100" y="5705475"/>
          <a:ext cx="219075" cy="247650"/>
        </a:xfrm>
        <a:prstGeom prst="rect">
          <a:avLst/>
        </a:prstGeom>
        <a:noFill/>
        <a:ln w="9525">
          <a:noFill/>
          <a:miter lim="800000"/>
          <a:headEnd/>
          <a:tailEnd/>
        </a:ln>
      </xdr:spPr>
    </xdr:pic>
    <xdr:clientData/>
  </xdr:oneCellAnchor>
  <xdr:oneCellAnchor>
    <xdr:from>
      <xdr:col>20</xdr:col>
      <xdr:colOff>66675</xdr:colOff>
      <xdr:row>31</xdr:row>
      <xdr:rowOff>238125</xdr:rowOff>
    </xdr:from>
    <xdr:ext cx="219075" cy="247650"/>
    <xdr:pic>
      <xdr:nvPicPr>
        <xdr:cNvPr id="17" name="Picture 16" descr="https://tse1.mm.bing.net/th?id=OIP.11IPUqok7qInEpcWmz9WawHaIZ&amp;pid=Api&amp;P=0">
          <a:extLst>
            <a:ext uri="{FF2B5EF4-FFF2-40B4-BE49-F238E27FC236}">
              <a16:creationId xmlns:a16="http://schemas.microsoft.com/office/drawing/2014/main" id="{9A75E800-39A7-4076-81F6-95C6581AA082}"/>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Lst>
        </a:blip>
        <a:srcRect/>
        <a:stretch>
          <a:fillRect/>
        </a:stretch>
      </xdr:blipFill>
      <xdr:spPr bwMode="auto">
        <a:xfrm>
          <a:off x="6543675" y="7915275"/>
          <a:ext cx="219075" cy="247650"/>
        </a:xfrm>
        <a:prstGeom prst="rect">
          <a:avLst/>
        </a:prstGeom>
        <a:noFill/>
        <a:ln w="9525">
          <a:noFill/>
          <a:miter lim="800000"/>
          <a:headEnd/>
          <a:tailEnd/>
        </a:ln>
      </xdr:spPr>
    </xdr:pic>
    <xdr:clientData/>
  </xdr:one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18917</xdr:rowOff>
    </xdr:from>
    <xdr:to>
      <xdr:col>37</xdr:col>
      <xdr:colOff>294821</xdr:colOff>
      <xdr:row>0</xdr:row>
      <xdr:rowOff>22679</xdr:rowOff>
    </xdr:to>
    <xdr:cxnSp macro="">
      <xdr:nvCxnSpPr>
        <xdr:cNvPr id="2" name="Straight Connector 1">
          <a:extLst>
            <a:ext uri="{FF2B5EF4-FFF2-40B4-BE49-F238E27FC236}">
              <a16:creationId xmlns:a16="http://schemas.microsoft.com/office/drawing/2014/main" id="{966B0065-628C-4B9B-A7DE-30AC3072828F}"/>
            </a:ext>
          </a:extLst>
        </xdr:cNvPr>
        <xdr:cNvCxnSpPr/>
      </xdr:nvCxnSpPr>
      <xdr:spPr>
        <a:xfrm>
          <a:off x="0" y="18917"/>
          <a:ext cx="10496096" cy="376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9393</xdr:colOff>
      <xdr:row>0</xdr:row>
      <xdr:rowOff>47622</xdr:rowOff>
    </xdr:from>
    <xdr:to>
      <xdr:col>0</xdr:col>
      <xdr:colOff>17237</xdr:colOff>
      <xdr:row>66</xdr:row>
      <xdr:rowOff>9524</xdr:rowOff>
    </xdr:to>
    <xdr:cxnSp macro="">
      <xdr:nvCxnSpPr>
        <xdr:cNvPr id="3" name="Straight Connector 2">
          <a:extLst>
            <a:ext uri="{FF2B5EF4-FFF2-40B4-BE49-F238E27FC236}">
              <a16:creationId xmlns:a16="http://schemas.microsoft.com/office/drawing/2014/main" id="{F0095125-1564-4DCF-99D4-EC2145DD33C5}"/>
            </a:ext>
          </a:extLst>
        </xdr:cNvPr>
        <xdr:cNvCxnSpPr/>
      </xdr:nvCxnSpPr>
      <xdr:spPr>
        <a:xfrm rot="16200000" flipH="1">
          <a:off x="-8206761" y="8263776"/>
          <a:ext cx="16440152"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2202</xdr:colOff>
      <xdr:row>0</xdr:row>
      <xdr:rowOff>10365</xdr:rowOff>
    </xdr:from>
    <xdr:to>
      <xdr:col>38</xdr:col>
      <xdr:colOff>2202</xdr:colOff>
      <xdr:row>66</xdr:row>
      <xdr:rowOff>10363</xdr:rowOff>
    </xdr:to>
    <xdr:cxnSp macro="">
      <xdr:nvCxnSpPr>
        <xdr:cNvPr id="4" name="Straight Connector 3">
          <a:extLst>
            <a:ext uri="{FF2B5EF4-FFF2-40B4-BE49-F238E27FC236}">
              <a16:creationId xmlns:a16="http://schemas.microsoft.com/office/drawing/2014/main" id="{1F5990E8-3695-46ED-8F65-D9AE1413FC96}"/>
            </a:ext>
          </a:extLst>
        </xdr:cNvPr>
        <xdr:cNvCxnSpPr/>
      </xdr:nvCxnSpPr>
      <xdr:spPr>
        <a:xfrm rot="16200000" flipH="1">
          <a:off x="2250103" y="8249489"/>
          <a:ext cx="16478248"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29</xdr:row>
      <xdr:rowOff>235032</xdr:rowOff>
    </xdr:from>
    <xdr:to>
      <xdr:col>38</xdr:col>
      <xdr:colOff>12371</xdr:colOff>
      <xdr:row>30</xdr:row>
      <xdr:rowOff>0</xdr:rowOff>
    </xdr:to>
    <xdr:cxnSp macro="">
      <xdr:nvCxnSpPr>
        <xdr:cNvPr id="5" name="Straight Connector 4">
          <a:extLst>
            <a:ext uri="{FF2B5EF4-FFF2-40B4-BE49-F238E27FC236}">
              <a16:creationId xmlns:a16="http://schemas.microsoft.com/office/drawing/2014/main" id="{B2F43814-0B24-4AF5-8D32-8C1BE78B1432}"/>
            </a:ext>
          </a:extLst>
        </xdr:cNvPr>
        <xdr:cNvCxnSpPr/>
      </xdr:nvCxnSpPr>
      <xdr:spPr>
        <a:xfrm flipV="1">
          <a:off x="0" y="7550232"/>
          <a:ext cx="10508921" cy="1261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28575</xdr:colOff>
      <xdr:row>66</xdr:row>
      <xdr:rowOff>114300</xdr:rowOff>
    </xdr:from>
    <xdr:ext cx="226695" cy="3810"/>
    <xdr:pic>
      <xdr:nvPicPr>
        <xdr:cNvPr id="6" name="Picture 5" descr="https://tse1.mm.bing.net/th?id=OIP.11IPUqok7qInEpcWmz9WawHaIZ&amp;pid=Api&amp;P=0">
          <a:extLst>
            <a:ext uri="{FF2B5EF4-FFF2-40B4-BE49-F238E27FC236}">
              <a16:creationId xmlns:a16="http://schemas.microsoft.com/office/drawing/2014/main" id="{B2297DF0-04A7-4DC6-A0CD-7528401DD043}"/>
            </a:ext>
          </a:extLst>
        </xdr:cNvPr>
        <xdr:cNvPicPr/>
      </xdr:nvPicPr>
      <xdr:blipFill>
        <a:blip xmlns:r="http://schemas.openxmlformats.org/officeDocument/2006/relationships" r:embed="rId1" cstate="print"/>
        <a:srcRect/>
        <a:stretch>
          <a:fillRect/>
        </a:stretch>
      </xdr:blipFill>
      <xdr:spPr bwMode="auto">
        <a:xfrm>
          <a:off x="6381750" y="16592550"/>
          <a:ext cx="226695" cy="3810"/>
        </a:xfrm>
        <a:prstGeom prst="rect">
          <a:avLst/>
        </a:prstGeom>
        <a:noFill/>
        <a:ln w="9525">
          <a:noFill/>
          <a:miter lim="800000"/>
          <a:headEnd/>
          <a:tailEnd/>
        </a:ln>
      </xdr:spPr>
    </xdr:pic>
    <xdr:clientData/>
  </xdr:oneCellAnchor>
  <xdr:oneCellAnchor>
    <xdr:from>
      <xdr:col>19</xdr:col>
      <xdr:colOff>234315</xdr:colOff>
      <xdr:row>73</xdr:row>
      <xdr:rowOff>135255</xdr:rowOff>
    </xdr:from>
    <xdr:ext cx="219075" cy="6350"/>
    <xdr:pic>
      <xdr:nvPicPr>
        <xdr:cNvPr id="7" name="Picture 6" descr="https://tse1.mm.bing.net/th?id=OIP.11IPUqok7qInEpcWmz9WawHaIZ&amp;pid=Api&amp;P=0">
          <a:extLst>
            <a:ext uri="{FF2B5EF4-FFF2-40B4-BE49-F238E27FC236}">
              <a16:creationId xmlns:a16="http://schemas.microsoft.com/office/drawing/2014/main" id="{87C3C596-4E49-4F43-A143-08DF676A95E4}"/>
            </a:ext>
          </a:extLst>
        </xdr:cNvPr>
        <xdr:cNvPicPr/>
      </xdr:nvPicPr>
      <xdr:blipFill>
        <a:blip xmlns:r="http://schemas.openxmlformats.org/officeDocument/2006/relationships" r:embed="rId2" cstate="print"/>
        <a:srcRect/>
        <a:stretch>
          <a:fillRect/>
        </a:stretch>
      </xdr:blipFill>
      <xdr:spPr bwMode="auto">
        <a:xfrm>
          <a:off x="5482590" y="18347055"/>
          <a:ext cx="219075" cy="6350"/>
        </a:xfrm>
        <a:prstGeom prst="rect">
          <a:avLst/>
        </a:prstGeom>
        <a:noFill/>
        <a:ln w="9525">
          <a:noFill/>
          <a:miter lim="800000"/>
          <a:headEnd/>
          <a:tailEnd/>
        </a:ln>
      </xdr:spPr>
    </xdr:pic>
    <xdr:clientData/>
  </xdr:oneCellAnchor>
  <xdr:twoCellAnchor>
    <xdr:from>
      <xdr:col>0</xdr:col>
      <xdr:colOff>15527</xdr:colOff>
      <xdr:row>66</xdr:row>
      <xdr:rowOff>0</xdr:rowOff>
    </xdr:from>
    <xdr:to>
      <xdr:col>38</xdr:col>
      <xdr:colOff>11339</xdr:colOff>
      <xdr:row>66</xdr:row>
      <xdr:rowOff>1255</xdr:rowOff>
    </xdr:to>
    <xdr:cxnSp macro="">
      <xdr:nvCxnSpPr>
        <xdr:cNvPr id="8" name="Straight Connector 7">
          <a:extLst>
            <a:ext uri="{FF2B5EF4-FFF2-40B4-BE49-F238E27FC236}">
              <a16:creationId xmlns:a16="http://schemas.microsoft.com/office/drawing/2014/main" id="{41AE70CC-27E5-410D-A5CA-D3DED51A0879}"/>
            </a:ext>
          </a:extLst>
        </xdr:cNvPr>
        <xdr:cNvCxnSpPr/>
      </xdr:nvCxnSpPr>
      <xdr:spPr>
        <a:xfrm flipV="1">
          <a:off x="15527" y="16478250"/>
          <a:ext cx="10492362" cy="125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78441</xdr:colOff>
      <xdr:row>27</xdr:row>
      <xdr:rowOff>33617</xdr:rowOff>
    </xdr:from>
    <xdr:ext cx="219075" cy="247650"/>
    <xdr:pic>
      <xdr:nvPicPr>
        <xdr:cNvPr id="9" name="Picture 8" descr="https://tse1.mm.bing.net/th?id=OIP.11IPUqok7qInEpcWmz9WawHaIZ&amp;pid=Api&amp;P=0">
          <a:extLst>
            <a:ext uri="{FF2B5EF4-FFF2-40B4-BE49-F238E27FC236}">
              <a16:creationId xmlns:a16="http://schemas.microsoft.com/office/drawing/2014/main" id="{1ABA0848-D936-45C1-8D42-28F0D169CD0B}"/>
            </a:ext>
          </a:extLst>
        </xdr:cNvPr>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Lst>
        </a:blip>
        <a:srcRect/>
        <a:stretch>
          <a:fillRect/>
        </a:stretch>
      </xdr:blipFill>
      <xdr:spPr bwMode="auto">
        <a:xfrm>
          <a:off x="6707841" y="6853517"/>
          <a:ext cx="219075" cy="247650"/>
        </a:xfrm>
        <a:prstGeom prst="rect">
          <a:avLst/>
        </a:prstGeom>
        <a:noFill/>
        <a:ln w="9525">
          <a:noFill/>
          <a:miter lim="800000"/>
          <a:headEnd/>
          <a:tailEnd/>
        </a:ln>
      </xdr:spPr>
    </xdr:pic>
    <xdr:clientData/>
  </xdr:oneCellAnchor>
  <xdr:oneCellAnchor>
    <xdr:from>
      <xdr:col>30</xdr:col>
      <xdr:colOff>73958</xdr:colOff>
      <xdr:row>26</xdr:row>
      <xdr:rowOff>230841</xdr:rowOff>
    </xdr:from>
    <xdr:ext cx="219075" cy="247650"/>
    <xdr:pic>
      <xdr:nvPicPr>
        <xdr:cNvPr id="10" name="Picture 9" descr="https://tse1.mm.bing.net/th?id=OIP.11IPUqok7qInEpcWmz9WawHaIZ&amp;pid=Api&amp;P=0">
          <a:extLst>
            <a:ext uri="{FF2B5EF4-FFF2-40B4-BE49-F238E27FC236}">
              <a16:creationId xmlns:a16="http://schemas.microsoft.com/office/drawing/2014/main" id="{956D9B48-30DE-46CD-8168-A409B242AD86}"/>
            </a:ext>
          </a:extLst>
        </xdr:cNvPr>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Lst>
        </a:blip>
        <a:srcRect/>
        <a:stretch>
          <a:fillRect/>
        </a:stretch>
      </xdr:blipFill>
      <xdr:spPr bwMode="auto">
        <a:xfrm>
          <a:off x="8360708" y="6803091"/>
          <a:ext cx="219075" cy="247650"/>
        </a:xfrm>
        <a:prstGeom prst="rect">
          <a:avLst/>
        </a:prstGeom>
        <a:noFill/>
        <a:ln w="9525">
          <a:noFill/>
          <a:miter lim="800000"/>
          <a:headEnd/>
          <a:tailEnd/>
        </a:ln>
      </xdr:spPr>
    </xdr:pic>
    <xdr:clientData/>
  </xdr:oneCellAnchor>
  <xdr:oneCellAnchor>
    <xdr:from>
      <xdr:col>2</xdr:col>
      <xdr:colOff>78441</xdr:colOff>
      <xdr:row>24</xdr:row>
      <xdr:rowOff>0</xdr:rowOff>
    </xdr:from>
    <xdr:ext cx="219075" cy="247650"/>
    <xdr:pic>
      <xdr:nvPicPr>
        <xdr:cNvPr id="11" name="Picture 10" descr="https://tse1.mm.bing.net/th?id=OIP.11IPUqok7qInEpcWmz9WawHaIZ&amp;pid=Api&amp;P=0">
          <a:extLst>
            <a:ext uri="{FF2B5EF4-FFF2-40B4-BE49-F238E27FC236}">
              <a16:creationId xmlns:a16="http://schemas.microsoft.com/office/drawing/2014/main" id="{9F921DEC-5BCB-4431-93FB-2D5F4B3E9ABB}"/>
            </a:ext>
          </a:extLst>
        </xdr:cNvPr>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Lst>
        </a:blip>
        <a:srcRect/>
        <a:stretch>
          <a:fillRect/>
        </a:stretch>
      </xdr:blipFill>
      <xdr:spPr bwMode="auto">
        <a:xfrm>
          <a:off x="630891" y="6076950"/>
          <a:ext cx="219075" cy="247650"/>
        </a:xfrm>
        <a:prstGeom prst="rect">
          <a:avLst/>
        </a:prstGeom>
        <a:noFill/>
        <a:ln w="9525">
          <a:noFill/>
          <a:miter lim="800000"/>
          <a:headEnd/>
          <a:tailEnd/>
        </a:ln>
      </xdr:spPr>
    </xdr:pic>
    <xdr:clientData/>
  </xdr:oneCellAnchor>
  <xdr:oneCellAnchor>
    <xdr:from>
      <xdr:col>12</xdr:col>
      <xdr:colOff>0</xdr:colOff>
      <xdr:row>55</xdr:row>
      <xdr:rowOff>0</xdr:rowOff>
    </xdr:from>
    <xdr:ext cx="219075" cy="247650"/>
    <xdr:pic>
      <xdr:nvPicPr>
        <xdr:cNvPr id="12" name="Picture 11" descr="https://tse1.mm.bing.net/th?id=OIP.11IPUqok7qInEpcWmz9WawHaIZ&amp;pid=Api&amp;P=0">
          <a:extLst>
            <a:ext uri="{FF2B5EF4-FFF2-40B4-BE49-F238E27FC236}">
              <a16:creationId xmlns:a16="http://schemas.microsoft.com/office/drawing/2014/main" id="{C0062472-618B-45BC-BF8A-ED672D7AF7F9}"/>
            </a:ext>
          </a:extLst>
        </xdr:cNvPr>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Lst>
        </a:blip>
        <a:srcRect/>
        <a:stretch>
          <a:fillRect/>
        </a:stretch>
      </xdr:blipFill>
      <xdr:spPr bwMode="auto">
        <a:xfrm>
          <a:off x="3314700" y="13754100"/>
          <a:ext cx="219075" cy="247650"/>
        </a:xfrm>
        <a:prstGeom prst="rect">
          <a:avLst/>
        </a:prstGeom>
        <a:noFill/>
        <a:ln w="9525">
          <a:noFill/>
          <a:miter lim="800000"/>
          <a:headEnd/>
          <a:tailEnd/>
        </a:ln>
      </xdr:spPr>
    </xdr:pic>
    <xdr:clientData/>
  </xdr:oneCellAnchor>
  <xdr:oneCellAnchor>
    <xdr:from>
      <xdr:col>15</xdr:col>
      <xdr:colOff>63201</xdr:colOff>
      <xdr:row>20</xdr:row>
      <xdr:rowOff>246977</xdr:rowOff>
    </xdr:from>
    <xdr:ext cx="219075" cy="247650"/>
    <xdr:pic>
      <xdr:nvPicPr>
        <xdr:cNvPr id="13" name="Picture 12" descr="https://tse1.mm.bing.net/th?id=OIP.11IPUqok7qInEpcWmz9WawHaIZ&amp;pid=Api&amp;P=0">
          <a:extLst>
            <a:ext uri="{FF2B5EF4-FFF2-40B4-BE49-F238E27FC236}">
              <a16:creationId xmlns:a16="http://schemas.microsoft.com/office/drawing/2014/main" id="{2B17C9C2-AA80-AFF9-E88D-5935F337C25E}"/>
            </a:ext>
          </a:extLst>
        </xdr:cNvPr>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Lst>
        </a:blip>
        <a:srcRect/>
        <a:stretch>
          <a:fillRect/>
        </a:stretch>
      </xdr:blipFill>
      <xdr:spPr bwMode="auto">
        <a:xfrm>
          <a:off x="5069541" y="5405717"/>
          <a:ext cx="219075" cy="247650"/>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7"/>
  <sheetViews>
    <sheetView tabSelected="1" workbookViewId="0">
      <selection activeCell="H6" sqref="H6"/>
    </sheetView>
  </sheetViews>
  <sheetFormatPr defaultColWidth="8.88671875" defaultRowHeight="14.4"/>
  <cols>
    <col min="2" max="2" width="21.109375" customWidth="1"/>
    <col min="3" max="7" width="15.6640625" customWidth="1"/>
    <col min="11" max="11" width="21" bestFit="1" customWidth="1"/>
    <col min="12" max="12" width="13.33203125" bestFit="1" customWidth="1"/>
    <col min="13" max="13" width="19.109375" customWidth="1"/>
  </cols>
  <sheetData>
    <row r="1" spans="2:13">
      <c r="B1" t="s">
        <v>0</v>
      </c>
      <c r="C1" s="102"/>
    </row>
    <row r="3" spans="2:13">
      <c r="B3" s="2"/>
      <c r="C3" s="103" t="s">
        <v>1</v>
      </c>
      <c r="D3" s="103" t="s">
        <v>2</v>
      </c>
      <c r="E3" s="103" t="s">
        <v>3</v>
      </c>
      <c r="F3" s="103" t="s">
        <v>4</v>
      </c>
      <c r="G3" s="103" t="s">
        <v>5</v>
      </c>
      <c r="K3" s="2"/>
      <c r="L3" s="206" t="s">
        <v>5</v>
      </c>
      <c r="M3" s="123"/>
    </row>
    <row r="4" spans="2:13">
      <c r="B4" s="2" t="s">
        <v>6</v>
      </c>
      <c r="C4" s="104">
        <f>'Computation Table'!C108</f>
        <v>29373.409537059757</v>
      </c>
      <c r="D4" s="104">
        <f>'Computation Table'!C82</f>
        <v>22799.94860170356</v>
      </c>
      <c r="E4" s="104">
        <f>'Computation Table'!C56</f>
        <v>31566.880046133749</v>
      </c>
      <c r="F4" s="104">
        <f>'Computation Table'!C29</f>
        <v>40936.741813278582</v>
      </c>
      <c r="G4" s="104">
        <f>'Computation Table'!C3</f>
        <v>92480.963536033407</v>
      </c>
      <c r="K4" s="146" t="s">
        <v>6</v>
      </c>
      <c r="L4" s="104">
        <f>G4</f>
        <v>92480.963536033407</v>
      </c>
      <c r="M4" s="1"/>
    </row>
    <row r="5" spans="2:13">
      <c r="B5" s="2" t="s">
        <v>7</v>
      </c>
      <c r="C5" s="105">
        <v>25000</v>
      </c>
      <c r="D5" s="105">
        <v>15979.6</v>
      </c>
      <c r="E5" s="105">
        <v>25000</v>
      </c>
      <c r="F5" s="205">
        <v>25000</v>
      </c>
      <c r="G5" s="105">
        <v>37000</v>
      </c>
      <c r="K5" s="2" t="s">
        <v>7</v>
      </c>
      <c r="L5" s="105">
        <v>1000000</v>
      </c>
      <c r="M5" s="76"/>
    </row>
    <row r="6" spans="2:13">
      <c r="B6" s="2" t="s">
        <v>8</v>
      </c>
      <c r="C6" s="106"/>
      <c r="D6" s="106"/>
      <c r="E6" s="106"/>
      <c r="F6" s="106"/>
      <c r="G6" s="106"/>
      <c r="K6" s="2" t="s">
        <v>8</v>
      </c>
      <c r="L6" s="106"/>
      <c r="M6" s="76"/>
    </row>
    <row r="7" spans="2:13">
      <c r="B7" s="122" t="s">
        <v>92</v>
      </c>
      <c r="C7" s="106"/>
      <c r="D7" s="106"/>
      <c r="E7" s="106"/>
      <c r="F7" s="106"/>
      <c r="G7" s="106"/>
      <c r="K7" s="122" t="s">
        <v>92</v>
      </c>
      <c r="L7" s="106"/>
      <c r="M7" s="76"/>
    </row>
    <row r="8" spans="2:13">
      <c r="B8" s="2" t="s">
        <v>9</v>
      </c>
      <c r="C8" s="106">
        <f>'Computation Table'!C110</f>
        <v>1750.0000000000002</v>
      </c>
      <c r="D8" s="106">
        <f>'Computation Table'!C84</f>
        <v>1198.47</v>
      </c>
      <c r="E8" s="106">
        <f>'Computation Table'!E58</f>
        <v>2000</v>
      </c>
      <c r="F8" s="106">
        <f>'Computation Table'!C31</f>
        <v>2550</v>
      </c>
      <c r="G8" s="106">
        <f>'Computation Table'!C5</f>
        <v>4477</v>
      </c>
      <c r="K8" s="2" t="s">
        <v>9</v>
      </c>
      <c r="L8" s="106">
        <f>G8</f>
        <v>4477</v>
      </c>
      <c r="M8" s="76"/>
    </row>
    <row r="9" spans="2:13">
      <c r="B9" s="2" t="s">
        <v>10</v>
      </c>
      <c r="C9" s="106">
        <f>'Computation Table'!C111</f>
        <v>300</v>
      </c>
      <c r="D9" s="106">
        <f>'Computation Table'!C85</f>
        <v>383.5104</v>
      </c>
      <c r="E9" s="106">
        <f>'Computation Table'!C59</f>
        <v>900</v>
      </c>
      <c r="F9" s="106">
        <f>'Computation Table'!C32</f>
        <v>1200</v>
      </c>
      <c r="G9" s="106">
        <f>'Computation Table'!C6</f>
        <v>2220</v>
      </c>
      <c r="K9" s="2" t="s">
        <v>10</v>
      </c>
      <c r="L9" s="106">
        <f>G9</f>
        <v>2220</v>
      </c>
      <c r="M9" s="76"/>
    </row>
    <row r="10" spans="2:13">
      <c r="B10" s="2" t="s">
        <v>11</v>
      </c>
      <c r="C10" s="105"/>
      <c r="D10" s="105">
        <v>2000</v>
      </c>
      <c r="E10" s="105"/>
      <c r="F10" s="105">
        <v>5000</v>
      </c>
      <c r="G10" s="105">
        <v>30000</v>
      </c>
      <c r="K10" s="2" t="s">
        <v>11</v>
      </c>
      <c r="L10" s="105">
        <v>30000</v>
      </c>
      <c r="M10" s="76"/>
    </row>
    <row r="11" spans="2:13">
      <c r="B11" s="2" t="s">
        <v>12</v>
      </c>
      <c r="C11" s="105"/>
      <c r="D11" s="105">
        <v>300</v>
      </c>
      <c r="E11" s="105"/>
      <c r="F11" s="105">
        <v>300</v>
      </c>
      <c r="G11" s="105"/>
      <c r="K11" s="2" t="s">
        <v>12</v>
      </c>
      <c r="L11" s="105"/>
      <c r="M11" s="76"/>
    </row>
    <row r="12" spans="2:13">
      <c r="B12" s="2" t="s">
        <v>13</v>
      </c>
      <c r="C12" s="106">
        <f>'Computation Table'!C114</f>
        <v>500</v>
      </c>
      <c r="D12" s="106">
        <f>'Computation Table'!C88</f>
        <v>319.59200000000004</v>
      </c>
      <c r="E12" s="106">
        <f>'Computation Table'!C62</f>
        <v>500</v>
      </c>
      <c r="F12" s="106">
        <f>'Computation Table'!C35</f>
        <v>365.83333333333331</v>
      </c>
      <c r="G12" s="106">
        <f>'Computation Table'!C9</f>
        <v>555</v>
      </c>
      <c r="K12" s="2" t="s">
        <v>13</v>
      </c>
      <c r="L12" s="106">
        <f>G12</f>
        <v>555</v>
      </c>
      <c r="M12" s="76"/>
    </row>
    <row r="13" spans="2:13">
      <c r="B13" s="2" t="s">
        <v>14</v>
      </c>
      <c r="C13" s="106">
        <f>SUM(C5:C11)</f>
        <v>27050</v>
      </c>
      <c r="D13" s="106">
        <f t="shared" ref="D13:F13" si="0">SUM(D5:D12)</f>
        <v>20181.172399999999</v>
      </c>
      <c r="E13" s="106">
        <f t="shared" si="0"/>
        <v>28400</v>
      </c>
      <c r="F13" s="106">
        <f t="shared" si="0"/>
        <v>34415.833333333336</v>
      </c>
      <c r="G13" s="106">
        <f>SUM(G5:G12)</f>
        <v>74252</v>
      </c>
      <c r="K13" s="2" t="s">
        <v>14</v>
      </c>
      <c r="L13" s="106">
        <f>SUM(L5:L12)</f>
        <v>1037252</v>
      </c>
      <c r="M13" s="76"/>
    </row>
    <row r="14" spans="2:13">
      <c r="B14" s="2" t="s">
        <v>15</v>
      </c>
      <c r="C14" s="107">
        <f>'Computation Table'!C116</f>
        <v>0.12</v>
      </c>
      <c r="D14" s="107">
        <f>'Computation Table'!C90</f>
        <v>0.12</v>
      </c>
      <c r="E14" s="107">
        <f>'Computation Table'!C64</f>
        <v>0.12</v>
      </c>
      <c r="F14" s="107">
        <f>'Computation Table'!C37</f>
        <v>8.7800000000000003E-2</v>
      </c>
      <c r="G14" s="107">
        <f>'Computation Table'!C11</f>
        <v>0.09</v>
      </c>
      <c r="K14" s="2" t="s">
        <v>15</v>
      </c>
      <c r="L14" s="107">
        <f>'Computation Table'!H11</f>
        <v>0.09</v>
      </c>
      <c r="M14" s="38"/>
    </row>
    <row r="15" spans="2:13">
      <c r="B15" s="2" t="s">
        <v>16</v>
      </c>
      <c r="C15" s="107">
        <f>'Computation Table'!C117</f>
        <v>0.12682503013196977</v>
      </c>
      <c r="D15" s="107">
        <f>'Computation Table'!F91</f>
        <v>0.12715977620538776</v>
      </c>
      <c r="E15" s="107">
        <f>'Computation Table'!F65</f>
        <v>0.12727187451791488</v>
      </c>
      <c r="F15" s="107">
        <f>'Computation Table'!C38</f>
        <v>9.1682186949581634E-2</v>
      </c>
      <c r="G15" s="107">
        <f>'Computation Table'!C12</f>
        <v>9.4100503202476204E-2</v>
      </c>
      <c r="K15" s="2" t="s">
        <v>16</v>
      </c>
      <c r="L15" s="107">
        <f>'Computation Table'!H12</f>
        <v>9.4100503202476204E-2</v>
      </c>
      <c r="M15" s="38"/>
    </row>
    <row r="16" spans="2:13">
      <c r="B16" s="2" t="s">
        <v>17</v>
      </c>
      <c r="C16" s="108">
        <f>'Computation Table'!C126</f>
        <v>2447.7841280883131</v>
      </c>
      <c r="D16" s="108">
        <f>'Computation Table'!C100</f>
        <v>949.99785840431502</v>
      </c>
      <c r="E16" s="108">
        <f>'Computation Table'!C74</f>
        <v>876.8577790592708</v>
      </c>
      <c r="F16" s="108">
        <f>'Computation Table'!C47</f>
        <v>852.8487877766371</v>
      </c>
      <c r="G16" s="108">
        <f>'Computation Table'!C21</f>
        <v>1541.3493922672235</v>
      </c>
      <c r="K16" s="2" t="s">
        <v>17</v>
      </c>
      <c r="L16" s="108">
        <f>G16</f>
        <v>1541.3493922672235</v>
      </c>
      <c r="M16" s="76"/>
    </row>
    <row r="17" spans="2:7">
      <c r="B17" s="229"/>
      <c r="C17" s="230"/>
      <c r="D17" s="230"/>
      <c r="E17" s="230"/>
      <c r="F17" s="230"/>
      <c r="G17" s="231"/>
    </row>
  </sheetData>
  <protectedRanges>
    <protectedRange sqref="C10:G10 L10:M10" name="Range3"/>
    <protectedRange sqref="C11:G11 L11:M11" name="Range2"/>
    <protectedRange sqref="C5:G5 L5:M5" name="Range1" securityDescriptor="O:WDG:WDD:"/>
  </protectedRanges>
  <mergeCells count="1">
    <mergeCell ref="B17:G17"/>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A1538-D215-4476-803C-F78916A42694}">
  <dimension ref="B1:BK136"/>
  <sheetViews>
    <sheetView workbookViewId="0">
      <selection activeCell="E25" sqref="E25"/>
    </sheetView>
  </sheetViews>
  <sheetFormatPr defaultColWidth="8.88671875" defaultRowHeight="14.4"/>
  <cols>
    <col min="1" max="1" width="2.88671875" customWidth="1"/>
    <col min="2" max="2" width="27.33203125" customWidth="1"/>
    <col min="3" max="3" width="13.44140625" customWidth="1"/>
    <col min="4" max="9" width="15.6640625" customWidth="1"/>
    <col min="10" max="10" width="4.6640625" customWidth="1"/>
    <col min="11" max="12" width="10.6640625" customWidth="1"/>
    <col min="13" max="13" width="14.5546875" customWidth="1"/>
    <col min="14" max="14" width="13.33203125" bestFit="1" customWidth="1"/>
    <col min="15" max="15" width="10.6640625" customWidth="1"/>
    <col min="16" max="16" width="13.33203125" bestFit="1" customWidth="1"/>
    <col min="17" max="17" width="11.109375" customWidth="1"/>
    <col min="18" max="18" width="21.6640625" customWidth="1"/>
    <col min="19" max="19" width="12.5546875" customWidth="1"/>
    <col min="20" max="20" width="10.33203125" customWidth="1"/>
    <col min="21" max="21" width="3.33203125" customWidth="1"/>
    <col min="22" max="63" width="15.6640625" customWidth="1"/>
  </cols>
  <sheetData>
    <row r="1" spans="2:63">
      <c r="B1" t="s">
        <v>37</v>
      </c>
      <c r="C1" s="1">
        <f>'DATA ENTRY'!G16</f>
        <v>1541.3493922672235</v>
      </c>
    </row>
    <row r="2" spans="2:63">
      <c r="B2" s="2" t="s">
        <v>38</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3">
        <v>37</v>
      </c>
      <c r="AO2" s="3">
        <v>38</v>
      </c>
      <c r="AP2" s="3">
        <v>39</v>
      </c>
      <c r="AQ2" s="3">
        <v>40</v>
      </c>
      <c r="AR2" s="3">
        <v>41</v>
      </c>
      <c r="AS2" s="3">
        <v>42</v>
      </c>
      <c r="AT2" s="3">
        <v>43</v>
      </c>
      <c r="AU2" s="3">
        <v>44</v>
      </c>
      <c r="AV2" s="3">
        <v>45</v>
      </c>
      <c r="AW2" s="3">
        <v>46</v>
      </c>
      <c r="AX2" s="3">
        <v>47</v>
      </c>
      <c r="AY2" s="3">
        <v>48</v>
      </c>
      <c r="AZ2" s="3">
        <v>49</v>
      </c>
      <c r="BA2" s="3">
        <v>50</v>
      </c>
      <c r="BB2" s="3">
        <v>51</v>
      </c>
      <c r="BC2" s="3">
        <v>52</v>
      </c>
      <c r="BD2" s="3">
        <v>53</v>
      </c>
      <c r="BE2" s="3">
        <v>54</v>
      </c>
      <c r="BF2" s="3">
        <v>55</v>
      </c>
      <c r="BG2" s="3">
        <v>56</v>
      </c>
      <c r="BH2" s="3">
        <v>57</v>
      </c>
      <c r="BI2" s="3">
        <v>58</v>
      </c>
      <c r="BJ2" s="3">
        <v>59</v>
      </c>
      <c r="BK2" s="3">
        <v>60</v>
      </c>
    </row>
    <row r="3" spans="2:63">
      <c r="B3" s="2" t="s">
        <v>6</v>
      </c>
      <c r="C3" s="4">
        <f>'DATA ENTRY'!G4</f>
        <v>92480.963536033407</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2:63">
      <c r="B4" s="2" t="s">
        <v>14</v>
      </c>
      <c r="C4" s="4">
        <f>'DATA ENTRY'!G13</f>
        <v>74252</v>
      </c>
      <c r="D4" s="6">
        <v>-25449.74350750988</v>
      </c>
      <c r="E4" s="6">
        <v>-25449.74350750988</v>
      </c>
      <c r="F4" s="6">
        <v>-25449.74350750988</v>
      </c>
      <c r="G4" s="6">
        <v>-25449.74350750988</v>
      </c>
      <c r="H4" s="6">
        <v>-25449.74350750988</v>
      </c>
      <c r="I4" s="6">
        <v>-25449.74350750988</v>
      </c>
      <c r="J4" s="6">
        <v>-25449.74350750988</v>
      </c>
      <c r="K4" s="6">
        <v>-25449.74350750988</v>
      </c>
      <c r="L4" s="6">
        <v>-25449.74350750988</v>
      </c>
      <c r="M4" s="6">
        <v>-25449.74350750988</v>
      </c>
      <c r="N4" s="6">
        <v>-25449.74350750988</v>
      </c>
      <c r="O4" s="6">
        <v>-25449.74350750988</v>
      </c>
      <c r="P4" s="6">
        <v>-25449.74350750988</v>
      </c>
      <c r="Q4" s="6">
        <v>-25449.74350750988</v>
      </c>
      <c r="R4" s="6">
        <v>-25449.74350750988</v>
      </c>
      <c r="S4" s="6">
        <v>-25449.74350750988</v>
      </c>
      <c r="T4" s="6">
        <v>-25449.74350750988</v>
      </c>
      <c r="U4" s="6">
        <v>-25449.74350750988</v>
      </c>
      <c r="V4" s="6">
        <v>-25449.74350750988</v>
      </c>
      <c r="W4" s="6">
        <v>-25449.74350750988</v>
      </c>
      <c r="X4" s="6">
        <v>-25449.74350750988</v>
      </c>
      <c r="Y4" s="6">
        <v>-25449.74350750988</v>
      </c>
      <c r="Z4" s="6">
        <v>-25449.74350750988</v>
      </c>
      <c r="AA4" s="6">
        <v>-25449.74350750988</v>
      </c>
      <c r="AB4" s="6">
        <v>-25449.74350750988</v>
      </c>
      <c r="AC4" s="6">
        <v>-25449.74350750988</v>
      </c>
      <c r="AD4" s="6">
        <v>-25449.74350750988</v>
      </c>
      <c r="AE4" s="6">
        <v>-25449.74350750988</v>
      </c>
      <c r="AF4" s="6">
        <v>-25449.74350750988</v>
      </c>
      <c r="AG4" s="6">
        <v>-25449.74350750988</v>
      </c>
      <c r="AH4" s="6">
        <v>-25449.74350750988</v>
      </c>
      <c r="AI4" s="6">
        <v>-25449.74350750988</v>
      </c>
      <c r="AJ4" s="6">
        <v>-25449.74350750988</v>
      </c>
      <c r="AK4" s="6">
        <v>-25449.74350750988</v>
      </c>
      <c r="AL4" s="6">
        <v>-25449.74350750988</v>
      </c>
      <c r="AM4" s="6">
        <v>-25449.74350750988</v>
      </c>
      <c r="AN4" s="6">
        <v>-25449.74350750988</v>
      </c>
      <c r="AO4" s="6">
        <v>-25449.74350750988</v>
      </c>
      <c r="AP4" s="6">
        <v>-25449.74350750988</v>
      </c>
      <c r="AQ4" s="6">
        <v>-25449.74350750988</v>
      </c>
      <c r="AR4" s="6">
        <v>-25449.74350750988</v>
      </c>
      <c r="AS4" s="6">
        <v>-25449.74350750988</v>
      </c>
      <c r="AT4" s="6">
        <v>-25449.74350750988</v>
      </c>
      <c r="AU4" s="6">
        <v>-25449.74350750988</v>
      </c>
      <c r="AV4" s="6">
        <v>-25449.74350750988</v>
      </c>
      <c r="AW4" s="6">
        <v>-25449.74350750988</v>
      </c>
      <c r="AX4" s="6">
        <v>-25449.74350750988</v>
      </c>
      <c r="AY4" s="6">
        <v>-25449.74350750988</v>
      </c>
      <c r="AZ4" s="6">
        <v>-25449.74350750988</v>
      </c>
      <c r="BA4" s="6">
        <v>-25449.74350750988</v>
      </c>
      <c r="BB4" s="6">
        <v>-25449.74350750988</v>
      </c>
      <c r="BC4" s="6">
        <v>-25449.74350750988</v>
      </c>
      <c r="BD4" s="6">
        <v>-25449.74350750988</v>
      </c>
      <c r="BE4" s="6">
        <v>-25449.74350750988</v>
      </c>
      <c r="BF4" s="6">
        <v>-25449.74350750988</v>
      </c>
      <c r="BG4" s="6">
        <v>-25449.74350750988</v>
      </c>
      <c r="BH4" s="6">
        <v>-25449.74350750988</v>
      </c>
      <c r="BI4" s="6">
        <v>-25449.74350750988</v>
      </c>
      <c r="BJ4" s="6">
        <v>-25449.74350750988</v>
      </c>
      <c r="BK4" s="6">
        <v>-25449.74350750988</v>
      </c>
    </row>
    <row r="5" spans="2:63">
      <c r="B5" s="2" t="s">
        <v>9</v>
      </c>
      <c r="C5" s="4">
        <f>'DATA ENTRY'!G8</f>
        <v>4477</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2:63">
      <c r="B6" s="2" t="s">
        <v>10</v>
      </c>
      <c r="C6" s="4">
        <f>'DATA ENTRY'!G9</f>
        <v>2220</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2:63">
      <c r="B7" s="2" t="s">
        <v>11</v>
      </c>
      <c r="C7" s="4">
        <f>'DATA ENTRY'!G10</f>
        <v>30000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2:63">
      <c r="B8" s="2" t="s">
        <v>12</v>
      </c>
      <c r="C8" s="4">
        <f>'DATA ENTRY'!G11</f>
        <v>0</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2:63">
      <c r="B9" s="2" t="s">
        <v>13</v>
      </c>
      <c r="C9" s="4">
        <f>'DATA ENTRY'!G12</f>
        <v>555</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row>
    <row r="10" spans="2:63">
      <c r="B10" s="5" t="s">
        <v>39</v>
      </c>
      <c r="C10" s="6">
        <f>C4-C5-C6-C7-C8-C9</f>
        <v>37000</v>
      </c>
      <c r="D10" s="6">
        <f t="shared" ref="D10:BK10" si="0">-$C1</f>
        <v>-1541.3493922672235</v>
      </c>
      <c r="E10" s="6">
        <f t="shared" si="0"/>
        <v>-1541.3493922672235</v>
      </c>
      <c r="F10" s="6">
        <f t="shared" si="0"/>
        <v>-1541.3493922672235</v>
      </c>
      <c r="G10" s="6">
        <f t="shared" si="0"/>
        <v>-1541.3493922672235</v>
      </c>
      <c r="H10" s="6">
        <f t="shared" si="0"/>
        <v>-1541.3493922672235</v>
      </c>
      <c r="I10" s="6">
        <f t="shared" si="0"/>
        <v>-1541.3493922672235</v>
      </c>
      <c r="J10" s="6">
        <f t="shared" si="0"/>
        <v>-1541.3493922672235</v>
      </c>
      <c r="K10" s="6">
        <f t="shared" si="0"/>
        <v>-1541.3493922672235</v>
      </c>
      <c r="L10" s="6">
        <f t="shared" si="0"/>
        <v>-1541.3493922672235</v>
      </c>
      <c r="M10" s="6">
        <f t="shared" si="0"/>
        <v>-1541.3493922672235</v>
      </c>
      <c r="N10" s="6">
        <f t="shared" si="0"/>
        <v>-1541.3493922672235</v>
      </c>
      <c r="O10" s="6">
        <f t="shared" si="0"/>
        <v>-1541.3493922672235</v>
      </c>
      <c r="P10" s="6">
        <f t="shared" si="0"/>
        <v>-1541.3493922672235</v>
      </c>
      <c r="Q10" s="6">
        <f t="shared" si="0"/>
        <v>-1541.3493922672235</v>
      </c>
      <c r="R10" s="6">
        <f t="shared" si="0"/>
        <v>-1541.3493922672235</v>
      </c>
      <c r="S10" s="6">
        <f t="shared" si="0"/>
        <v>-1541.3493922672235</v>
      </c>
      <c r="T10" s="6">
        <f t="shared" si="0"/>
        <v>-1541.3493922672235</v>
      </c>
      <c r="U10" s="6">
        <f t="shared" si="0"/>
        <v>-1541.3493922672235</v>
      </c>
      <c r="V10" s="6">
        <f t="shared" si="0"/>
        <v>-1541.3493922672235</v>
      </c>
      <c r="W10" s="6">
        <f t="shared" si="0"/>
        <v>-1541.3493922672235</v>
      </c>
      <c r="X10" s="6">
        <f t="shared" si="0"/>
        <v>-1541.3493922672235</v>
      </c>
      <c r="Y10" s="6">
        <f t="shared" si="0"/>
        <v>-1541.3493922672235</v>
      </c>
      <c r="Z10" s="6">
        <f t="shared" si="0"/>
        <v>-1541.3493922672235</v>
      </c>
      <c r="AA10" s="6">
        <f t="shared" si="0"/>
        <v>-1541.3493922672235</v>
      </c>
      <c r="AB10" s="6">
        <f t="shared" si="0"/>
        <v>-1541.3493922672235</v>
      </c>
      <c r="AC10" s="6">
        <f t="shared" si="0"/>
        <v>-1541.3493922672235</v>
      </c>
      <c r="AD10" s="6">
        <f t="shared" si="0"/>
        <v>-1541.3493922672235</v>
      </c>
      <c r="AE10" s="6">
        <f t="shared" si="0"/>
        <v>-1541.3493922672235</v>
      </c>
      <c r="AF10" s="6">
        <f t="shared" si="0"/>
        <v>-1541.3493922672235</v>
      </c>
      <c r="AG10" s="6">
        <f t="shared" si="0"/>
        <v>-1541.3493922672235</v>
      </c>
      <c r="AH10" s="6">
        <f t="shared" si="0"/>
        <v>-1541.3493922672235</v>
      </c>
      <c r="AI10" s="6">
        <f t="shared" si="0"/>
        <v>-1541.3493922672235</v>
      </c>
      <c r="AJ10" s="6">
        <f t="shared" si="0"/>
        <v>-1541.3493922672235</v>
      </c>
      <c r="AK10" s="6">
        <f t="shared" si="0"/>
        <v>-1541.3493922672235</v>
      </c>
      <c r="AL10" s="6">
        <f t="shared" si="0"/>
        <v>-1541.3493922672235</v>
      </c>
      <c r="AM10" s="6">
        <f t="shared" si="0"/>
        <v>-1541.3493922672235</v>
      </c>
      <c r="AN10" s="6">
        <f t="shared" si="0"/>
        <v>-1541.3493922672235</v>
      </c>
      <c r="AO10" s="6">
        <f t="shared" si="0"/>
        <v>-1541.3493922672235</v>
      </c>
      <c r="AP10" s="6">
        <f t="shared" si="0"/>
        <v>-1541.3493922672235</v>
      </c>
      <c r="AQ10" s="6">
        <f t="shared" si="0"/>
        <v>-1541.3493922672235</v>
      </c>
      <c r="AR10" s="6">
        <f t="shared" si="0"/>
        <v>-1541.3493922672235</v>
      </c>
      <c r="AS10" s="6">
        <f t="shared" si="0"/>
        <v>-1541.3493922672235</v>
      </c>
      <c r="AT10" s="6">
        <f t="shared" si="0"/>
        <v>-1541.3493922672235</v>
      </c>
      <c r="AU10" s="6">
        <f t="shared" si="0"/>
        <v>-1541.3493922672235</v>
      </c>
      <c r="AV10" s="6">
        <f t="shared" si="0"/>
        <v>-1541.3493922672235</v>
      </c>
      <c r="AW10" s="6">
        <f t="shared" si="0"/>
        <v>-1541.3493922672235</v>
      </c>
      <c r="AX10" s="6">
        <f t="shared" si="0"/>
        <v>-1541.3493922672235</v>
      </c>
      <c r="AY10" s="6">
        <f t="shared" si="0"/>
        <v>-1541.3493922672235</v>
      </c>
      <c r="AZ10" s="6">
        <f t="shared" si="0"/>
        <v>-1541.3493922672235</v>
      </c>
      <c r="BA10" s="6">
        <f t="shared" si="0"/>
        <v>-1541.3493922672235</v>
      </c>
      <c r="BB10" s="6">
        <f t="shared" si="0"/>
        <v>-1541.3493922672235</v>
      </c>
      <c r="BC10" s="6">
        <f t="shared" si="0"/>
        <v>-1541.3493922672235</v>
      </c>
      <c r="BD10" s="6">
        <f t="shared" si="0"/>
        <v>-1541.3493922672235</v>
      </c>
      <c r="BE10" s="6">
        <f t="shared" si="0"/>
        <v>-1541.3493922672235</v>
      </c>
      <c r="BF10" s="6">
        <f t="shared" si="0"/>
        <v>-1541.3493922672235</v>
      </c>
      <c r="BG10" s="6">
        <f t="shared" si="0"/>
        <v>-1541.3493922672235</v>
      </c>
      <c r="BH10" s="6">
        <f t="shared" si="0"/>
        <v>-1541.3493922672235</v>
      </c>
      <c r="BI10" s="6">
        <f t="shared" si="0"/>
        <v>-1541.3493922672235</v>
      </c>
      <c r="BJ10" s="6">
        <f t="shared" si="0"/>
        <v>-1541.3493922672235</v>
      </c>
      <c r="BK10" s="6">
        <f t="shared" si="0"/>
        <v>-1541.3493922672235</v>
      </c>
    </row>
    <row r="12" spans="2:63">
      <c r="B12" t="s">
        <v>40</v>
      </c>
      <c r="C12" s="7">
        <f>IRR(C4:BK4)</f>
        <v>0.34274824887399835</v>
      </c>
    </row>
    <row r="13" spans="2:63">
      <c r="C13" s="8"/>
    </row>
    <row r="14" spans="2:63">
      <c r="B14" t="s">
        <v>86</v>
      </c>
      <c r="C14" s="9"/>
    </row>
    <row r="15" spans="2:63">
      <c r="B15" t="s">
        <v>32</v>
      </c>
      <c r="C15" s="10">
        <f>'DATA ENTRY'!G14</f>
        <v>0.09</v>
      </c>
    </row>
    <row r="16" spans="2:63">
      <c r="B16" t="s">
        <v>16</v>
      </c>
      <c r="C16" s="110">
        <f>'DATA ENTRY'!G15</f>
        <v>9.4100503202476204E-2</v>
      </c>
    </row>
    <row r="19" spans="2:21" ht="15" thickBot="1">
      <c r="H19" s="11"/>
    </row>
    <row r="20" spans="2:21">
      <c r="B20" s="1"/>
      <c r="C20" s="233" t="s">
        <v>41</v>
      </c>
      <c r="D20" s="234"/>
      <c r="E20" s="234"/>
      <c r="F20" s="234"/>
      <c r="G20" s="234"/>
      <c r="H20" s="235"/>
      <c r="I20" s="34"/>
      <c r="J20" s="39"/>
      <c r="K20" s="40"/>
      <c r="L20" s="40"/>
      <c r="M20" s="40"/>
      <c r="N20" s="40"/>
      <c r="O20" s="41"/>
      <c r="P20" s="40"/>
      <c r="Q20" s="40"/>
      <c r="R20" s="40"/>
      <c r="S20" s="40"/>
      <c r="T20" s="40"/>
      <c r="U20" s="57"/>
    </row>
    <row r="21" spans="2:21">
      <c r="C21" s="236"/>
      <c r="D21" s="237"/>
      <c r="E21" s="237"/>
      <c r="F21" s="237"/>
      <c r="G21" s="237"/>
      <c r="H21" s="238"/>
      <c r="J21" s="42"/>
      <c r="K21" s="43"/>
      <c r="L21" s="43"/>
      <c r="M21" s="43"/>
      <c r="N21" s="43"/>
      <c r="O21" s="111"/>
      <c r="P21" s="43"/>
      <c r="Q21" s="43"/>
      <c r="R21" s="43"/>
      <c r="S21" s="43"/>
      <c r="T21" s="43"/>
      <c r="U21" s="58"/>
    </row>
    <row r="22" spans="2:21">
      <c r="C22" s="12" t="s">
        <v>42</v>
      </c>
      <c r="D22" s="207" t="s">
        <v>246</v>
      </c>
      <c r="E22" s="13"/>
      <c r="F22" s="14"/>
      <c r="G22" s="2" t="s">
        <v>43</v>
      </c>
      <c r="H22" s="15"/>
      <c r="J22" s="42"/>
      <c r="K22" s="43"/>
      <c r="L22" s="43"/>
      <c r="M22" s="43"/>
      <c r="N22" s="43"/>
      <c r="O22" s="44"/>
      <c r="P22" s="43"/>
      <c r="Q22" s="43"/>
      <c r="R22" s="43"/>
      <c r="S22" s="43"/>
      <c r="T22" s="43"/>
      <c r="U22" s="58"/>
    </row>
    <row r="23" spans="2:21">
      <c r="C23" s="16" t="s">
        <v>44</v>
      </c>
      <c r="D23" s="208" t="s">
        <v>247</v>
      </c>
      <c r="E23" s="18" t="s">
        <v>45</v>
      </c>
      <c r="F23" s="209" t="s">
        <v>248</v>
      </c>
      <c r="G23" s="2" t="s">
        <v>46</v>
      </c>
      <c r="H23" s="20">
        <f>C3</f>
        <v>92480.963536033407</v>
      </c>
      <c r="J23" s="42"/>
      <c r="K23" s="43"/>
      <c r="L23" s="43"/>
      <c r="M23" s="43"/>
      <c r="N23" s="43"/>
      <c r="O23" s="44"/>
      <c r="P23" s="43"/>
      <c r="Q23" s="43"/>
      <c r="R23" s="43"/>
      <c r="S23" s="43"/>
      <c r="T23" s="43"/>
      <c r="U23" s="58"/>
    </row>
    <row r="24" spans="2:21" ht="21">
      <c r="C24" s="239" t="s">
        <v>47</v>
      </c>
      <c r="D24" s="12" t="s">
        <v>48</v>
      </c>
      <c r="E24" s="210">
        <v>45847</v>
      </c>
      <c r="F24" s="2" t="s">
        <v>49</v>
      </c>
      <c r="G24" s="210">
        <f>B87</f>
        <v>47704</v>
      </c>
      <c r="H24" s="15"/>
      <c r="J24" s="42"/>
      <c r="K24" s="240" t="s">
        <v>58</v>
      </c>
      <c r="L24" s="240"/>
      <c r="M24" s="240"/>
      <c r="N24" s="240"/>
      <c r="O24" s="240"/>
      <c r="P24" s="240"/>
      <c r="Q24" s="240"/>
      <c r="R24" s="240"/>
      <c r="S24" s="240"/>
      <c r="T24" s="240"/>
      <c r="U24" s="58"/>
    </row>
    <row r="25" spans="2:21">
      <c r="C25" s="239"/>
      <c r="D25" s="2" t="s">
        <v>50</v>
      </c>
      <c r="E25" s="2">
        <v>60</v>
      </c>
      <c r="F25" s="2" t="s">
        <v>51</v>
      </c>
      <c r="G25" s="2"/>
      <c r="H25" s="15"/>
      <c r="J25" s="42"/>
      <c r="K25" s="241" t="s">
        <v>59</v>
      </c>
      <c r="L25" s="241"/>
      <c r="M25" s="241"/>
      <c r="N25" s="241"/>
      <c r="O25" s="241"/>
      <c r="P25" s="241"/>
      <c r="Q25" s="241"/>
      <c r="R25" s="241"/>
      <c r="S25" s="241"/>
      <c r="T25" s="241"/>
      <c r="U25" s="58"/>
    </row>
    <row r="26" spans="2:21">
      <c r="C26" s="239"/>
      <c r="D26" s="2" t="s">
        <v>52</v>
      </c>
      <c r="E26" s="22" t="s">
        <v>53</v>
      </c>
      <c r="F26" s="22" t="s">
        <v>54</v>
      </c>
      <c r="G26" s="22" t="s">
        <v>55</v>
      </c>
      <c r="H26" s="23" t="s">
        <v>56</v>
      </c>
      <c r="J26" s="42"/>
      <c r="K26" s="43"/>
      <c r="L26" s="43"/>
      <c r="M26" s="43"/>
      <c r="N26" s="43"/>
      <c r="O26" s="44"/>
      <c r="P26" s="43"/>
      <c r="Q26" s="43"/>
      <c r="R26" s="43"/>
      <c r="S26" s="43"/>
      <c r="T26" s="43"/>
      <c r="U26" s="58"/>
    </row>
    <row r="27" spans="2:21" ht="17.399999999999999">
      <c r="C27" s="239"/>
      <c r="D27" s="2" t="s">
        <v>57</v>
      </c>
      <c r="E27" s="2"/>
      <c r="F27" s="2"/>
      <c r="G27" s="2"/>
      <c r="H27" s="24">
        <f>C4</f>
        <v>74252</v>
      </c>
      <c r="J27" s="42"/>
      <c r="K27" s="242" t="s">
        <v>60</v>
      </c>
      <c r="L27" s="242"/>
      <c r="M27" s="242"/>
      <c r="N27" s="242"/>
      <c r="O27" s="242"/>
      <c r="P27" s="242"/>
      <c r="Q27" s="242"/>
      <c r="R27" s="242"/>
      <c r="S27" s="242"/>
      <c r="T27" s="242"/>
      <c r="U27" s="58"/>
    </row>
    <row r="28" spans="2:21">
      <c r="B28" s="25">
        <f>DATE(YEAR(E$24),MONTH(E$24)+D28+1,DAY(E$24))</f>
        <v>45909</v>
      </c>
      <c r="C28" s="26" t="str">
        <f t="shared" ref="C28:C87" si="1">TEXT(B28,"mmm-yyyy")</f>
        <v>Sep-2025</v>
      </c>
      <c r="D28" s="27">
        <v>1</v>
      </c>
      <c r="E28" s="28">
        <f t="shared" ref="E28:E87" si="2">C$1</f>
        <v>1541.3493922672235</v>
      </c>
      <c r="F28" s="29">
        <f>E28-G28</f>
        <v>-23908.3935831249</v>
      </c>
      <c r="G28" s="30">
        <f t="shared" ref="G28:G87" si="3">H27*C$12</f>
        <v>25449.742975392124</v>
      </c>
      <c r="H28" s="31">
        <f>H27-F28</f>
        <v>98160.393583124896</v>
      </c>
      <c r="J28" s="42"/>
      <c r="K28" s="112"/>
      <c r="L28" s="112"/>
      <c r="M28" s="112"/>
      <c r="N28" s="112"/>
      <c r="O28" s="111"/>
      <c r="P28" s="112"/>
      <c r="Q28" s="43"/>
      <c r="R28" s="43"/>
      <c r="S28" s="43"/>
      <c r="T28" s="43"/>
      <c r="U28" s="58"/>
    </row>
    <row r="29" spans="2:21" ht="15.6">
      <c r="B29" s="25">
        <f t="shared" ref="B29:B87" si="4">DATE(YEAR(E$24),MONTH(E$24)+D29+1,DAY(E$24))</f>
        <v>45939</v>
      </c>
      <c r="C29" s="26" t="str">
        <f t="shared" si="1"/>
        <v>Oct-2025</v>
      </c>
      <c r="D29" s="27">
        <v>2</v>
      </c>
      <c r="E29" s="28">
        <f t="shared" si="2"/>
        <v>1541.3493922672235</v>
      </c>
      <c r="F29" s="29">
        <f t="shared" ref="F29:F87" si="5">E29-G29</f>
        <v>-32102.953617131298</v>
      </c>
      <c r="G29" s="30">
        <f t="shared" si="3"/>
        <v>33644.303009398522</v>
      </c>
      <c r="H29" s="31">
        <f t="shared" ref="H29:H87" si="6">H28-F29</f>
        <v>130263.34720025619</v>
      </c>
      <c r="J29" s="42"/>
      <c r="K29" s="112"/>
      <c r="L29" s="112"/>
      <c r="M29" s="112"/>
      <c r="N29" s="112"/>
      <c r="O29" s="111"/>
      <c r="P29" s="112"/>
      <c r="Q29" s="43"/>
      <c r="R29" s="113" t="s">
        <v>61</v>
      </c>
      <c r="S29" s="232">
        <f>E24</f>
        <v>45847</v>
      </c>
      <c r="T29" s="232"/>
      <c r="U29" s="58"/>
    </row>
    <row r="30" spans="2:21" ht="15.6">
      <c r="B30" s="25">
        <f t="shared" si="4"/>
        <v>45970</v>
      </c>
      <c r="C30" s="26" t="str">
        <f t="shared" si="1"/>
        <v>Nov-2025</v>
      </c>
      <c r="D30" s="27">
        <v>3</v>
      </c>
      <c r="E30" s="28">
        <f t="shared" si="2"/>
        <v>1541.3493922672235</v>
      </c>
      <c r="F30" s="29">
        <f t="shared" si="5"/>
        <v>-43106.184753086243</v>
      </c>
      <c r="G30" s="30">
        <f t="shared" si="3"/>
        <v>44647.534145353464</v>
      </c>
      <c r="H30" s="31">
        <f t="shared" si="6"/>
        <v>173369.53195334243</v>
      </c>
      <c r="J30" s="42"/>
      <c r="K30" s="112"/>
      <c r="L30" s="112"/>
      <c r="M30" s="112"/>
      <c r="N30" s="112"/>
      <c r="O30" s="111"/>
      <c r="P30" s="112"/>
      <c r="Q30" s="43"/>
      <c r="R30" s="113" t="s">
        <v>62</v>
      </c>
      <c r="S30" s="244" t="s">
        <v>63</v>
      </c>
      <c r="T30" s="244"/>
      <c r="U30" s="58"/>
    </row>
    <row r="31" spans="2:21" ht="15.6">
      <c r="B31" s="25">
        <f t="shared" si="4"/>
        <v>46000</v>
      </c>
      <c r="C31" s="32" t="str">
        <f t="shared" si="1"/>
        <v>Dec-2025</v>
      </c>
      <c r="D31" s="33">
        <v>4</v>
      </c>
      <c r="E31" s="28">
        <f t="shared" si="2"/>
        <v>1541.3493922672235</v>
      </c>
      <c r="F31" s="29">
        <f t="shared" si="5"/>
        <v>-57880.7540928456</v>
      </c>
      <c r="G31" s="30">
        <f t="shared" si="3"/>
        <v>59422.103485112821</v>
      </c>
      <c r="H31" s="31">
        <f t="shared" si="6"/>
        <v>231250.28604618803</v>
      </c>
      <c r="J31" s="42"/>
      <c r="K31" s="112"/>
      <c r="L31" s="112"/>
      <c r="M31" s="112"/>
      <c r="N31" s="112"/>
      <c r="O31" s="111"/>
      <c r="P31" s="112"/>
      <c r="Q31" s="43"/>
      <c r="R31" s="113"/>
      <c r="S31" s="114"/>
      <c r="T31" s="43"/>
      <c r="U31" s="58"/>
    </row>
    <row r="32" spans="2:21" ht="15.6">
      <c r="B32" s="25">
        <f t="shared" si="4"/>
        <v>46031</v>
      </c>
      <c r="C32" s="32" t="str">
        <f t="shared" si="1"/>
        <v>Jan-2026</v>
      </c>
      <c r="D32" s="2">
        <v>5</v>
      </c>
      <c r="E32" s="28">
        <f t="shared" si="2"/>
        <v>1541.3493922672235</v>
      </c>
      <c r="F32" s="29">
        <f t="shared" si="5"/>
        <v>-77719.281201674938</v>
      </c>
      <c r="G32" s="30">
        <f t="shared" si="3"/>
        <v>79260.630593942158</v>
      </c>
      <c r="H32" s="31">
        <f t="shared" si="6"/>
        <v>308969.56724786299</v>
      </c>
      <c r="J32" s="45"/>
      <c r="K32" s="113" t="s">
        <v>64</v>
      </c>
      <c r="L32" s="113"/>
      <c r="M32" s="113"/>
      <c r="N32" s="245" t="str">
        <f>D22</f>
        <v>Del Rosario, Isagani Sioson</v>
      </c>
      <c r="O32" s="245"/>
      <c r="P32" s="245"/>
      <c r="Q32" s="245"/>
      <c r="R32" s="245"/>
      <c r="S32" s="245"/>
      <c r="T32" s="48"/>
      <c r="U32" s="59"/>
    </row>
    <row r="33" spans="2:21" ht="15.6">
      <c r="B33" s="25">
        <f t="shared" si="4"/>
        <v>46062</v>
      </c>
      <c r="C33" s="32" t="str">
        <f t="shared" si="1"/>
        <v>Feb-2026</v>
      </c>
      <c r="D33" s="2">
        <v>6</v>
      </c>
      <c r="E33" s="28">
        <f t="shared" si="2"/>
        <v>1541.3493922672235</v>
      </c>
      <c r="F33" s="29">
        <f t="shared" si="5"/>
        <v>-104357.42873729489</v>
      </c>
      <c r="G33" s="30">
        <f t="shared" si="3"/>
        <v>105898.77812956211</v>
      </c>
      <c r="H33" s="31">
        <f t="shared" si="6"/>
        <v>413326.9959851579</v>
      </c>
      <c r="J33" s="45"/>
      <c r="K33" s="113" t="s">
        <v>65</v>
      </c>
      <c r="L33" s="113"/>
      <c r="M33" s="113"/>
      <c r="N33" s="246" t="str">
        <f>D23</f>
        <v>O-13567</v>
      </c>
      <c r="O33" s="247"/>
      <c r="P33" s="247"/>
      <c r="Q33" s="247"/>
      <c r="R33" s="247"/>
      <c r="S33" s="247"/>
      <c r="T33" s="48"/>
      <c r="U33" s="59"/>
    </row>
    <row r="34" spans="2:21" ht="15.6">
      <c r="B34" s="25">
        <f t="shared" si="4"/>
        <v>46090</v>
      </c>
      <c r="C34" s="32" t="str">
        <f t="shared" si="1"/>
        <v>Mar-2026</v>
      </c>
      <c r="D34" s="2">
        <v>7</v>
      </c>
      <c r="E34" s="28">
        <f t="shared" si="2"/>
        <v>1541.3493922672235</v>
      </c>
      <c r="F34" s="29">
        <f t="shared" si="5"/>
        <v>-140125.75469399578</v>
      </c>
      <c r="G34" s="30">
        <f t="shared" si="3"/>
        <v>141667.10408626302</v>
      </c>
      <c r="H34" s="31">
        <f t="shared" si="6"/>
        <v>553452.75067915372</v>
      </c>
      <c r="J34" s="45"/>
      <c r="K34" s="113" t="s">
        <v>45</v>
      </c>
      <c r="L34" s="113"/>
      <c r="M34" s="113"/>
      <c r="N34" s="248" t="str">
        <f>F23</f>
        <v xml:space="preserve">Blk 16 Lot 15 City Homes Subd. Alibagu, Ilagan Isabela </v>
      </c>
      <c r="O34" s="248"/>
      <c r="P34" s="248"/>
      <c r="Q34" s="248"/>
      <c r="R34" s="248"/>
      <c r="S34" s="248"/>
      <c r="T34" s="48"/>
      <c r="U34" s="59"/>
    </row>
    <row r="35" spans="2:21" ht="15.6">
      <c r="B35" s="25">
        <f t="shared" si="4"/>
        <v>46121</v>
      </c>
      <c r="C35" s="32" t="str">
        <f t="shared" si="1"/>
        <v>Apr-2026</v>
      </c>
      <c r="D35" s="2">
        <v>8</v>
      </c>
      <c r="E35" s="28">
        <f t="shared" si="2"/>
        <v>1541.3493922672235</v>
      </c>
      <c r="F35" s="29">
        <f t="shared" si="5"/>
        <v>-188153.61173751031</v>
      </c>
      <c r="G35" s="30">
        <f t="shared" si="3"/>
        <v>189694.96112977754</v>
      </c>
      <c r="H35" s="31">
        <f t="shared" si="6"/>
        <v>741606.36241666402</v>
      </c>
      <c r="J35" s="42"/>
      <c r="K35" s="112"/>
      <c r="L35" s="112"/>
      <c r="M35" s="112"/>
      <c r="N35" s="46"/>
      <c r="O35" s="48"/>
      <c r="P35" s="48"/>
      <c r="Q35" s="43"/>
      <c r="R35" s="43"/>
      <c r="S35" s="43"/>
      <c r="T35" s="43"/>
      <c r="U35" s="58"/>
    </row>
    <row r="36" spans="2:21" ht="15.6">
      <c r="B36" s="25">
        <f t="shared" si="4"/>
        <v>46151</v>
      </c>
      <c r="C36" s="32" t="str">
        <f t="shared" si="1"/>
        <v>May-2026</v>
      </c>
      <c r="D36" s="2">
        <v>9</v>
      </c>
      <c r="E36" s="28">
        <f t="shared" si="2"/>
        <v>1541.3493922672235</v>
      </c>
      <c r="F36" s="29">
        <f t="shared" si="5"/>
        <v>-252642.93267986015</v>
      </c>
      <c r="G36" s="30">
        <f t="shared" si="3"/>
        <v>254184.28207212739</v>
      </c>
      <c r="H36" s="31">
        <f t="shared" si="6"/>
        <v>994249.29509652418</v>
      </c>
      <c r="J36" s="42"/>
      <c r="K36" s="112"/>
      <c r="L36" s="113" t="s">
        <v>66</v>
      </c>
      <c r="M36" s="112"/>
      <c r="N36" s="112"/>
      <c r="O36" s="111"/>
      <c r="P36" s="112"/>
      <c r="Q36" s="115"/>
      <c r="R36" s="249">
        <f>C4</f>
        <v>74252</v>
      </c>
      <c r="S36" s="249"/>
      <c r="T36" s="249"/>
      <c r="U36" s="58"/>
    </row>
    <row r="37" spans="2:21" ht="15.6">
      <c r="B37" s="25">
        <f t="shared" si="4"/>
        <v>46182</v>
      </c>
      <c r="C37" s="32" t="str">
        <f t="shared" si="1"/>
        <v>Jun-2026</v>
      </c>
      <c r="D37" s="2">
        <v>10</v>
      </c>
      <c r="E37" s="28">
        <f t="shared" si="2"/>
        <v>1541.3493922672235</v>
      </c>
      <c r="F37" s="29">
        <f t="shared" si="5"/>
        <v>-339235.85544627364</v>
      </c>
      <c r="G37" s="30">
        <f t="shared" si="3"/>
        <v>340777.20483854087</v>
      </c>
      <c r="H37" s="31">
        <f t="shared" si="6"/>
        <v>1333485.1505427978</v>
      </c>
      <c r="J37" s="42"/>
      <c r="K37" s="112"/>
      <c r="L37" s="113"/>
      <c r="M37" s="112"/>
      <c r="N37" s="112"/>
      <c r="O37" s="111"/>
      <c r="P37" s="112"/>
      <c r="Q37" s="115"/>
      <c r="R37" s="250"/>
      <c r="S37" s="250"/>
      <c r="T37" s="250"/>
      <c r="U37" s="58"/>
    </row>
    <row r="38" spans="2:21" ht="15.6">
      <c r="B38" s="25">
        <f t="shared" si="4"/>
        <v>46212</v>
      </c>
      <c r="C38" s="32" t="str">
        <f t="shared" si="1"/>
        <v>Jul-2026</v>
      </c>
      <c r="D38" s="2">
        <v>11</v>
      </c>
      <c r="E38" s="28">
        <f t="shared" si="2"/>
        <v>1541.3493922672235</v>
      </c>
      <c r="F38" s="29">
        <f t="shared" si="5"/>
        <v>-455508.35085575678</v>
      </c>
      <c r="G38" s="30">
        <f t="shared" si="3"/>
        <v>457049.70024802402</v>
      </c>
      <c r="H38" s="31">
        <f t="shared" si="6"/>
        <v>1788993.5013985545</v>
      </c>
      <c r="J38" s="49"/>
      <c r="K38" s="116"/>
      <c r="L38" s="117" t="s">
        <v>67</v>
      </c>
      <c r="M38" s="116" t="s">
        <v>68</v>
      </c>
      <c r="N38" s="116"/>
      <c r="O38" s="118"/>
      <c r="P38" s="116"/>
      <c r="Q38" s="46"/>
      <c r="R38" s="249">
        <f>-C14</f>
        <v>0</v>
      </c>
      <c r="S38" s="249"/>
      <c r="T38" s="249"/>
      <c r="U38" s="47"/>
    </row>
    <row r="39" spans="2:21" ht="15.6">
      <c r="B39" s="25">
        <f t="shared" si="4"/>
        <v>46243</v>
      </c>
      <c r="C39" s="32" t="str">
        <f t="shared" si="1"/>
        <v>Aug-2026</v>
      </c>
      <c r="D39" s="2">
        <v>12</v>
      </c>
      <c r="E39" s="28">
        <f t="shared" si="2"/>
        <v>1541.3493922672235</v>
      </c>
      <c r="F39" s="29">
        <f t="shared" si="5"/>
        <v>-611633.04045905033</v>
      </c>
      <c r="G39" s="30">
        <f t="shared" si="3"/>
        <v>613174.38985131751</v>
      </c>
      <c r="H39" s="31">
        <f t="shared" si="6"/>
        <v>2400626.5418576049</v>
      </c>
      <c r="J39" s="49"/>
      <c r="K39" s="116"/>
      <c r="L39" s="117" t="s">
        <v>67</v>
      </c>
      <c r="M39" s="116" t="s">
        <v>69</v>
      </c>
      <c r="N39" s="116"/>
      <c r="O39" s="118"/>
      <c r="P39" s="116"/>
      <c r="Q39" s="46"/>
      <c r="R39" s="249">
        <f>-C8</f>
        <v>0</v>
      </c>
      <c r="S39" s="249"/>
      <c r="T39" s="249"/>
      <c r="U39" s="47"/>
    </row>
    <row r="40" spans="2:21" ht="15.6">
      <c r="B40" s="25">
        <f t="shared" si="4"/>
        <v>46274</v>
      </c>
      <c r="C40" s="32" t="str">
        <f t="shared" si="1"/>
        <v>Sep-2026</v>
      </c>
      <c r="D40" s="2">
        <v>13</v>
      </c>
      <c r="E40" s="28">
        <f t="shared" si="2"/>
        <v>1541.3493922672235</v>
      </c>
      <c r="F40" s="29">
        <f t="shared" si="5"/>
        <v>-821269.19402986916</v>
      </c>
      <c r="G40" s="30">
        <f t="shared" si="3"/>
        <v>822810.54342213634</v>
      </c>
      <c r="H40" s="31">
        <f t="shared" si="6"/>
        <v>3221895.7358874739</v>
      </c>
      <c r="J40" s="49"/>
      <c r="K40" s="116"/>
      <c r="L40" s="117" t="s">
        <v>67</v>
      </c>
      <c r="M40" s="116" t="s">
        <v>70</v>
      </c>
      <c r="N40" s="116"/>
      <c r="O40" s="118"/>
      <c r="P40" s="116"/>
      <c r="Q40" s="46"/>
      <c r="R40" s="243">
        <f>-C7</f>
        <v>-30000</v>
      </c>
      <c r="S40" s="243"/>
      <c r="T40" s="243"/>
      <c r="U40" s="47"/>
    </row>
    <row r="41" spans="2:21" ht="15.6">
      <c r="B41" s="25">
        <f t="shared" si="4"/>
        <v>46304</v>
      </c>
      <c r="C41" s="32" t="str">
        <f t="shared" si="1"/>
        <v>Oct-2026</v>
      </c>
      <c r="D41" s="2">
        <v>14</v>
      </c>
      <c r="E41" s="28">
        <f t="shared" si="2"/>
        <v>1541.3493922672235</v>
      </c>
      <c r="F41" s="29">
        <f t="shared" si="5"/>
        <v>-1102757.7721377667</v>
      </c>
      <c r="G41" s="30">
        <f t="shared" si="3"/>
        <v>1104299.1215300339</v>
      </c>
      <c r="H41" s="31">
        <f t="shared" si="6"/>
        <v>4324653.5080252402</v>
      </c>
      <c r="J41" s="49"/>
      <c r="K41" s="116"/>
      <c r="L41" s="117" t="s">
        <v>67</v>
      </c>
      <c r="M41" s="116" t="s">
        <v>9</v>
      </c>
      <c r="N41" s="116"/>
      <c r="O41" s="118"/>
      <c r="P41" s="116"/>
      <c r="Q41" s="46"/>
      <c r="R41" s="243">
        <f>-C5</f>
        <v>-4477</v>
      </c>
      <c r="S41" s="243"/>
      <c r="T41" s="243"/>
      <c r="U41" s="47"/>
    </row>
    <row r="42" spans="2:21" ht="15.6">
      <c r="B42" s="25">
        <f t="shared" si="4"/>
        <v>46335</v>
      </c>
      <c r="C42" s="32" t="str">
        <f t="shared" si="1"/>
        <v>Nov-2026</v>
      </c>
      <c r="D42" s="2">
        <v>15</v>
      </c>
      <c r="E42" s="28">
        <f t="shared" si="2"/>
        <v>1541.3493922672235</v>
      </c>
      <c r="F42" s="29">
        <f t="shared" si="5"/>
        <v>-1480726.0674701778</v>
      </c>
      <c r="G42" s="30">
        <f t="shared" si="3"/>
        <v>1482267.416862445</v>
      </c>
      <c r="H42" s="31">
        <f t="shared" si="6"/>
        <v>5805379.5754954182</v>
      </c>
      <c r="J42" s="49"/>
      <c r="K42" s="116"/>
      <c r="L42" s="117" t="s">
        <v>67</v>
      </c>
      <c r="M42" s="116" t="s">
        <v>71</v>
      </c>
      <c r="N42" s="116"/>
      <c r="O42" s="118"/>
      <c r="P42" s="116"/>
      <c r="Q42" s="46"/>
      <c r="R42" s="243">
        <f>-C6</f>
        <v>-2220</v>
      </c>
      <c r="S42" s="243"/>
      <c r="T42" s="243"/>
      <c r="U42" s="47"/>
    </row>
    <row r="43" spans="2:21" ht="15">
      <c r="B43" s="25">
        <f t="shared" si="4"/>
        <v>46365</v>
      </c>
      <c r="C43" s="32" t="str">
        <f t="shared" si="1"/>
        <v>Dec-2026</v>
      </c>
      <c r="D43" s="2">
        <v>16</v>
      </c>
      <c r="E43" s="28">
        <f t="shared" si="2"/>
        <v>1541.3493922672235</v>
      </c>
      <c r="F43" s="29">
        <f t="shared" si="5"/>
        <v>-1988242.3341576634</v>
      </c>
      <c r="G43" s="30">
        <f t="shared" si="3"/>
        <v>1989783.6835499306</v>
      </c>
      <c r="H43" s="31">
        <f t="shared" si="6"/>
        <v>7793621.9096530816</v>
      </c>
      <c r="J43" s="16"/>
      <c r="L43" s="117" t="s">
        <v>67</v>
      </c>
      <c r="M43" s="116" t="s">
        <v>13</v>
      </c>
      <c r="R43" s="243">
        <f>-C9</f>
        <v>-555</v>
      </c>
      <c r="S43" s="243"/>
      <c r="T43" s="243"/>
      <c r="U43" s="119"/>
    </row>
    <row r="44" spans="2:21" ht="15.6">
      <c r="B44" s="25">
        <f t="shared" si="4"/>
        <v>46396</v>
      </c>
      <c r="C44" s="32" t="str">
        <f t="shared" si="1"/>
        <v>Jan-2027</v>
      </c>
      <c r="D44" s="2">
        <v>17</v>
      </c>
      <c r="E44" s="28">
        <f t="shared" si="2"/>
        <v>1541.3493922672235</v>
      </c>
      <c r="F44" s="29">
        <f t="shared" si="5"/>
        <v>-2669708.9125273535</v>
      </c>
      <c r="G44" s="30">
        <f t="shared" si="3"/>
        <v>2671250.2619196209</v>
      </c>
      <c r="H44" s="31">
        <f t="shared" si="6"/>
        <v>10463330.822180435</v>
      </c>
      <c r="J44" s="42"/>
      <c r="K44" s="112"/>
      <c r="L44" s="113" t="s">
        <v>72</v>
      </c>
      <c r="M44" s="112"/>
      <c r="N44" s="112"/>
      <c r="O44" s="111"/>
      <c r="P44" s="112"/>
      <c r="Q44" s="43"/>
      <c r="R44" s="249">
        <f>SUM(R36:T43)</f>
        <v>37000</v>
      </c>
      <c r="S44" s="249"/>
      <c r="T44" s="249"/>
      <c r="U44" s="58"/>
    </row>
    <row r="45" spans="2:21">
      <c r="B45" s="25">
        <f t="shared" si="4"/>
        <v>46427</v>
      </c>
      <c r="C45" s="32" t="str">
        <f t="shared" si="1"/>
        <v>Feb-2027</v>
      </c>
      <c r="D45" s="2">
        <v>18</v>
      </c>
      <c r="E45" s="28">
        <f t="shared" si="2"/>
        <v>1541.3493922672235</v>
      </c>
      <c r="F45" s="29">
        <f t="shared" si="5"/>
        <v>-3584746.9672994101</v>
      </c>
      <c r="G45" s="30">
        <f t="shared" si="3"/>
        <v>3586288.3166916776</v>
      </c>
      <c r="H45" s="31">
        <f t="shared" si="6"/>
        <v>14048077.789479844</v>
      </c>
      <c r="J45" s="42"/>
      <c r="K45" s="43"/>
      <c r="L45" s="43"/>
      <c r="M45" s="43"/>
      <c r="N45" s="43"/>
      <c r="O45" s="44"/>
      <c r="P45" s="43"/>
      <c r="Q45" s="43"/>
      <c r="R45" s="43"/>
      <c r="S45" s="43"/>
      <c r="T45" s="43"/>
      <c r="U45" s="58"/>
    </row>
    <row r="46" spans="2:21">
      <c r="B46" s="25">
        <f t="shared" si="4"/>
        <v>46455</v>
      </c>
      <c r="C46" s="32" t="str">
        <f t="shared" si="1"/>
        <v>Mar-2027</v>
      </c>
      <c r="D46" s="2">
        <v>19</v>
      </c>
      <c r="E46" s="28">
        <f t="shared" si="2"/>
        <v>1541.3493922672235</v>
      </c>
      <c r="F46" s="29">
        <f t="shared" si="5"/>
        <v>-4813412.7129976591</v>
      </c>
      <c r="G46" s="30">
        <f t="shared" si="3"/>
        <v>4814954.0623899261</v>
      </c>
      <c r="H46" s="31">
        <f t="shared" si="6"/>
        <v>18861490.502477504</v>
      </c>
      <c r="J46" s="42"/>
      <c r="K46" s="120" t="s">
        <v>73</v>
      </c>
      <c r="L46" s="120"/>
      <c r="M46" s="120"/>
      <c r="N46" s="120"/>
      <c r="O46" s="120"/>
      <c r="P46" s="120"/>
      <c r="Q46" s="120"/>
      <c r="R46" s="120"/>
      <c r="S46" s="120"/>
      <c r="T46" s="120"/>
      <c r="U46" s="58"/>
    </row>
    <row r="47" spans="2:21">
      <c r="B47" s="25">
        <f t="shared" si="4"/>
        <v>46486</v>
      </c>
      <c r="C47" s="32" t="str">
        <f t="shared" si="1"/>
        <v>Apr-2027</v>
      </c>
      <c r="D47" s="2">
        <v>20</v>
      </c>
      <c r="E47" s="28">
        <f t="shared" si="2"/>
        <v>1541.3493922672235</v>
      </c>
      <c r="F47" s="29">
        <f t="shared" si="5"/>
        <v>-6463201.4914854486</v>
      </c>
      <c r="G47" s="30">
        <f t="shared" si="3"/>
        <v>6464742.8408777155</v>
      </c>
      <c r="H47" s="31">
        <f t="shared" si="6"/>
        <v>25324691.993962951</v>
      </c>
      <c r="J47" s="42"/>
      <c r="K47" s="43"/>
      <c r="L47" s="43"/>
      <c r="M47" s="43"/>
      <c r="N47" s="43"/>
      <c r="O47" s="44"/>
      <c r="P47" s="43"/>
      <c r="Q47" s="43"/>
      <c r="R47" s="43"/>
      <c r="S47" s="43"/>
      <c r="T47" s="43"/>
      <c r="U47" s="58"/>
    </row>
    <row r="48" spans="2:21" ht="15">
      <c r="B48" s="25">
        <f t="shared" si="4"/>
        <v>46516</v>
      </c>
      <c r="C48" s="32" t="str">
        <f t="shared" si="1"/>
        <v>May-2027</v>
      </c>
      <c r="D48" s="2">
        <v>21</v>
      </c>
      <c r="E48" s="28">
        <f t="shared" si="2"/>
        <v>1541.3493922672235</v>
      </c>
      <c r="F48" s="29">
        <f t="shared" si="5"/>
        <v>-8678452.4848119002</v>
      </c>
      <c r="G48" s="30">
        <f t="shared" si="3"/>
        <v>8679993.8342041671</v>
      </c>
      <c r="H48" s="31">
        <f t="shared" si="6"/>
        <v>34003144.478774853</v>
      </c>
      <c r="J48" s="42"/>
      <c r="K48" s="43"/>
      <c r="L48" s="121" t="s">
        <v>91</v>
      </c>
      <c r="M48" s="116"/>
      <c r="N48" s="116"/>
      <c r="O48" s="116"/>
      <c r="P48" s="116"/>
      <c r="Q48" s="116"/>
      <c r="R48" s="255">
        <f>E25</f>
        <v>60</v>
      </c>
      <c r="S48" s="255"/>
      <c r="T48" s="109" t="s">
        <v>85</v>
      </c>
      <c r="U48" s="58"/>
    </row>
    <row r="49" spans="2:21" ht="15">
      <c r="B49" s="25">
        <f t="shared" si="4"/>
        <v>46547</v>
      </c>
      <c r="C49" s="32" t="str">
        <f t="shared" si="1"/>
        <v>Jun-2027</v>
      </c>
      <c r="D49" s="2">
        <v>22</v>
      </c>
      <c r="E49" s="28">
        <f t="shared" si="2"/>
        <v>1541.3493922672235</v>
      </c>
      <c r="F49" s="29">
        <f t="shared" si="5"/>
        <v>-11652976.876917379</v>
      </c>
      <c r="G49" s="30">
        <f t="shared" si="3"/>
        <v>11654518.226309646</v>
      </c>
      <c r="H49" s="31">
        <f t="shared" si="6"/>
        <v>45656121.35569223</v>
      </c>
      <c r="J49" s="42"/>
      <c r="K49" s="43"/>
      <c r="L49" s="116" t="s">
        <v>87</v>
      </c>
      <c r="M49" s="116"/>
      <c r="N49" s="116"/>
      <c r="O49" s="116"/>
      <c r="P49" s="116"/>
      <c r="Q49" s="116"/>
      <c r="R49" s="256">
        <f>C1</f>
        <v>1541.3493922672235</v>
      </c>
      <c r="S49" s="256"/>
      <c r="T49" s="256"/>
      <c r="U49" s="58"/>
    </row>
    <row r="50" spans="2:21" ht="15">
      <c r="B50" s="25">
        <f t="shared" si="4"/>
        <v>46577</v>
      </c>
      <c r="C50" s="32" t="str">
        <f t="shared" si="1"/>
        <v>Jul-2027</v>
      </c>
      <c r="D50" s="2">
        <v>23</v>
      </c>
      <c r="E50" s="28">
        <f t="shared" si="2"/>
        <v>1541.3493922672235</v>
      </c>
      <c r="F50" s="29">
        <f t="shared" si="5"/>
        <v>-15647014.295650005</v>
      </c>
      <c r="G50" s="30">
        <f t="shared" si="3"/>
        <v>15648555.645042272</v>
      </c>
      <c r="H50" s="31">
        <f t="shared" si="6"/>
        <v>61303135.651342236</v>
      </c>
      <c r="J50" s="42"/>
      <c r="K50" s="43"/>
      <c r="L50" s="116" t="s">
        <v>74</v>
      </c>
      <c r="M50" s="116"/>
      <c r="N50" s="116"/>
      <c r="O50" s="116"/>
      <c r="P50" s="116"/>
      <c r="Q50" s="116"/>
      <c r="R50" s="257">
        <f>B28</f>
        <v>45909</v>
      </c>
      <c r="S50" s="257"/>
      <c r="T50" s="257"/>
      <c r="U50" s="58"/>
    </row>
    <row r="51" spans="2:21" ht="15">
      <c r="B51" s="25">
        <f t="shared" si="4"/>
        <v>46608</v>
      </c>
      <c r="C51" s="32" t="str">
        <f t="shared" si="1"/>
        <v>Aug-2027</v>
      </c>
      <c r="D51" s="2">
        <v>24</v>
      </c>
      <c r="E51" s="28">
        <f t="shared" si="2"/>
        <v>1541.3493922672235</v>
      </c>
      <c r="F51" s="29">
        <f t="shared" si="5"/>
        <v>-21010001.04559046</v>
      </c>
      <c r="G51" s="30">
        <f t="shared" si="3"/>
        <v>21011542.394982729</v>
      </c>
      <c r="H51" s="31">
        <f t="shared" si="6"/>
        <v>82313136.696932703</v>
      </c>
      <c r="J51" s="42"/>
      <c r="K51" s="43"/>
      <c r="L51" s="116" t="s">
        <v>75</v>
      </c>
      <c r="M51" s="116"/>
      <c r="N51" s="116"/>
      <c r="O51" s="116"/>
      <c r="P51" s="116"/>
      <c r="Q51" s="116"/>
      <c r="R51" s="257">
        <f>G24</f>
        <v>47704</v>
      </c>
      <c r="S51" s="257"/>
      <c r="T51" s="257"/>
      <c r="U51" s="58"/>
    </row>
    <row r="52" spans="2:21" ht="15">
      <c r="B52" s="25">
        <f t="shared" si="4"/>
        <v>46639</v>
      </c>
      <c r="C52" s="32" t="str">
        <f t="shared" si="1"/>
        <v>Sep-2027</v>
      </c>
      <c r="D52" s="2">
        <v>25</v>
      </c>
      <c r="E52" s="28">
        <f t="shared" si="2"/>
        <v>1541.3493922672235</v>
      </c>
      <c r="F52" s="29">
        <f t="shared" si="5"/>
        <v>-28211142.112807468</v>
      </c>
      <c r="G52" s="30">
        <f t="shared" si="3"/>
        <v>28212683.462199736</v>
      </c>
      <c r="H52" s="31">
        <f t="shared" si="6"/>
        <v>110524278.80974017</v>
      </c>
      <c r="J52" s="42"/>
      <c r="K52" s="43"/>
      <c r="L52" s="116" t="s">
        <v>76</v>
      </c>
      <c r="M52" s="116"/>
      <c r="N52" s="116"/>
      <c r="O52" s="116"/>
      <c r="P52" s="116"/>
      <c r="Q52" s="116"/>
      <c r="R52" s="258">
        <f>C16</f>
        <v>9.4100503202476204E-2</v>
      </c>
      <c r="S52" s="258"/>
      <c r="T52" s="258"/>
      <c r="U52" s="58"/>
    </row>
    <row r="53" spans="2:21" ht="15">
      <c r="B53" s="25">
        <f t="shared" si="4"/>
        <v>46669</v>
      </c>
      <c r="C53" s="32" t="str">
        <f t="shared" si="1"/>
        <v>Oct-2027</v>
      </c>
      <c r="D53" s="2">
        <v>26</v>
      </c>
      <c r="E53" s="28">
        <f t="shared" si="2"/>
        <v>1541.3493922672235</v>
      </c>
      <c r="F53" s="29">
        <f t="shared" si="5"/>
        <v>-37880461.67070774</v>
      </c>
      <c r="G53" s="30">
        <f t="shared" si="3"/>
        <v>37882003.020100005</v>
      </c>
      <c r="H53" s="31">
        <f t="shared" si="6"/>
        <v>148404740.48044792</v>
      </c>
      <c r="J53" s="42"/>
      <c r="K53" s="43"/>
      <c r="L53" s="116" t="s">
        <v>77</v>
      </c>
      <c r="M53" s="116"/>
      <c r="N53" s="116"/>
      <c r="O53" s="116"/>
      <c r="P53" s="116"/>
      <c r="Q53" s="116"/>
      <c r="R53" s="258">
        <f>C15</f>
        <v>0.09</v>
      </c>
      <c r="S53" s="258"/>
      <c r="T53" s="258"/>
      <c r="U53" s="58"/>
    </row>
    <row r="54" spans="2:21" ht="15" thickBot="1">
      <c r="B54" s="25">
        <f t="shared" si="4"/>
        <v>46700</v>
      </c>
      <c r="C54" s="32" t="str">
        <f t="shared" si="1"/>
        <v>Nov-2027</v>
      </c>
      <c r="D54" s="2">
        <v>27</v>
      </c>
      <c r="E54" s="28">
        <f t="shared" si="2"/>
        <v>1541.3493922672235</v>
      </c>
      <c r="F54" s="29">
        <f t="shared" si="5"/>
        <v>-50863923.574881434</v>
      </c>
      <c r="G54" s="30">
        <f t="shared" si="3"/>
        <v>50865464.9242737</v>
      </c>
      <c r="H54" s="31">
        <f t="shared" si="6"/>
        <v>199268664.05532935</v>
      </c>
      <c r="J54" s="42"/>
      <c r="K54" s="50"/>
      <c r="L54" s="50"/>
      <c r="M54" s="50"/>
      <c r="N54" s="50"/>
      <c r="O54" s="51"/>
      <c r="P54" s="50"/>
      <c r="Q54" s="50"/>
      <c r="R54" s="50"/>
      <c r="S54" s="50"/>
      <c r="T54" s="50"/>
      <c r="U54" s="58"/>
    </row>
    <row r="55" spans="2:21" ht="15" thickTop="1">
      <c r="B55" s="25">
        <f t="shared" si="4"/>
        <v>46730</v>
      </c>
      <c r="C55" s="32" t="str">
        <f t="shared" si="1"/>
        <v>Dec-2027</v>
      </c>
      <c r="D55" s="2">
        <v>28</v>
      </c>
      <c r="E55" s="28">
        <f t="shared" si="2"/>
        <v>1541.3493922672235</v>
      </c>
      <c r="F55" s="29">
        <f t="shared" si="5"/>
        <v>-68297444.311032936</v>
      </c>
      <c r="G55" s="30">
        <f t="shared" si="3"/>
        <v>68298985.660425201</v>
      </c>
      <c r="H55" s="31">
        <f t="shared" si="6"/>
        <v>267566108.36636227</v>
      </c>
      <c r="J55" s="42"/>
      <c r="K55" s="43"/>
      <c r="L55" s="43"/>
      <c r="M55" s="43"/>
      <c r="N55" s="43"/>
      <c r="O55" s="44"/>
      <c r="P55" s="43"/>
      <c r="Q55" s="43"/>
      <c r="R55" s="43"/>
      <c r="S55" s="43"/>
      <c r="T55" s="43"/>
      <c r="U55" s="58"/>
    </row>
    <row r="56" spans="2:21">
      <c r="B56" s="25">
        <f t="shared" si="4"/>
        <v>46761</v>
      </c>
      <c r="C56" s="32" t="str">
        <f t="shared" si="1"/>
        <v>Jan-2028</v>
      </c>
      <c r="D56" s="2">
        <v>29</v>
      </c>
      <c r="E56" s="28">
        <f t="shared" si="2"/>
        <v>1541.3493922672235</v>
      </c>
      <c r="F56" s="29">
        <f t="shared" si="5"/>
        <v>-91706273.751208887</v>
      </c>
      <c r="G56" s="30">
        <f t="shared" si="3"/>
        <v>91707815.100601152</v>
      </c>
      <c r="H56" s="31">
        <f t="shared" si="6"/>
        <v>359272382.11757118</v>
      </c>
      <c r="J56" s="42"/>
      <c r="K56" s="43" t="s">
        <v>78</v>
      </c>
      <c r="L56" s="43"/>
      <c r="M56" s="43"/>
      <c r="O56" s="43"/>
      <c r="P56" s="43"/>
      <c r="R56" s="43" t="s">
        <v>89</v>
      </c>
      <c r="S56" s="43"/>
      <c r="T56" s="43"/>
      <c r="U56" s="58"/>
    </row>
    <row r="57" spans="2:21" ht="15.75" customHeight="1">
      <c r="B57" s="25">
        <f t="shared" si="4"/>
        <v>46792</v>
      </c>
      <c r="C57" s="32" t="str">
        <f t="shared" si="1"/>
        <v>Feb-2028</v>
      </c>
      <c r="D57" s="2">
        <v>30</v>
      </c>
      <c r="E57" s="28">
        <f t="shared" si="2"/>
        <v>1541.3493922672235</v>
      </c>
      <c r="F57" s="29">
        <f t="shared" si="5"/>
        <v>-123138438.49019526</v>
      </c>
      <c r="G57" s="30">
        <f t="shared" si="3"/>
        <v>123139979.83958752</v>
      </c>
      <c r="H57" s="31">
        <f t="shared" si="6"/>
        <v>482410820.60776645</v>
      </c>
      <c r="J57" s="42"/>
      <c r="K57" s="43"/>
      <c r="L57" s="43"/>
      <c r="M57" s="43"/>
      <c r="N57" s="43"/>
      <c r="O57" s="43"/>
      <c r="P57" s="43"/>
      <c r="Q57" s="43"/>
      <c r="R57" s="43"/>
      <c r="S57" s="43"/>
      <c r="T57" s="43"/>
      <c r="U57" s="58"/>
    </row>
    <row r="58" spans="2:21">
      <c r="B58" s="25">
        <f t="shared" si="4"/>
        <v>46821</v>
      </c>
      <c r="C58" s="32" t="str">
        <f t="shared" si="1"/>
        <v>Mar-2028</v>
      </c>
      <c r="D58" s="2">
        <v>31</v>
      </c>
      <c r="E58" s="28">
        <f t="shared" si="2"/>
        <v>1541.3493922672235</v>
      </c>
      <c r="F58" s="29">
        <f t="shared" si="5"/>
        <v>-165343922.65178823</v>
      </c>
      <c r="G58" s="30">
        <f t="shared" si="3"/>
        <v>165345464.0011805</v>
      </c>
      <c r="H58" s="31">
        <f t="shared" si="6"/>
        <v>647754743.25955462</v>
      </c>
      <c r="J58" s="16"/>
      <c r="U58" s="119"/>
    </row>
    <row r="59" spans="2:21">
      <c r="B59" s="25">
        <f t="shared" si="4"/>
        <v>46852</v>
      </c>
      <c r="C59" s="32" t="str">
        <f t="shared" si="1"/>
        <v>Apr-2028</v>
      </c>
      <c r="D59" s="2">
        <v>32</v>
      </c>
      <c r="E59" s="28">
        <f t="shared" si="2"/>
        <v>1541.3493922672235</v>
      </c>
      <c r="F59" s="29">
        <f t="shared" si="5"/>
        <v>-222015262.60264647</v>
      </c>
      <c r="G59" s="30">
        <f t="shared" si="3"/>
        <v>222016803.95203874</v>
      </c>
      <c r="H59" s="31">
        <f t="shared" si="6"/>
        <v>869770005.86220109</v>
      </c>
      <c r="J59" s="16"/>
      <c r="U59" s="119"/>
    </row>
    <row r="60" spans="2:21">
      <c r="B60" s="25">
        <f t="shared" si="4"/>
        <v>46882</v>
      </c>
      <c r="C60" s="32" t="str">
        <f t="shared" si="1"/>
        <v>May-2028</v>
      </c>
      <c r="D60" s="2">
        <v>33</v>
      </c>
      <c r="E60" s="28">
        <f t="shared" si="2"/>
        <v>1541.3493922672235</v>
      </c>
      <c r="F60" s="29">
        <f t="shared" si="5"/>
        <v>-298110605.08300442</v>
      </c>
      <c r="G60" s="30">
        <f t="shared" si="3"/>
        <v>298112146.43239671</v>
      </c>
      <c r="H60" s="31">
        <f t="shared" si="6"/>
        <v>1167880610.9452055</v>
      </c>
      <c r="J60" s="42"/>
      <c r="K60" s="259" t="s">
        <v>249</v>
      </c>
      <c r="L60" s="259"/>
      <c r="M60" s="259"/>
      <c r="N60" s="112"/>
      <c r="O60" s="112"/>
      <c r="P60" s="112"/>
      <c r="R60" s="253" t="s">
        <v>80</v>
      </c>
      <c r="S60" s="253"/>
      <c r="T60" s="253"/>
      <c r="U60" s="58"/>
    </row>
    <row r="61" spans="2:21">
      <c r="B61" s="25">
        <f t="shared" si="4"/>
        <v>46913</v>
      </c>
      <c r="C61" s="32" t="str">
        <f t="shared" si="1"/>
        <v>Jun-2028</v>
      </c>
      <c r="D61" s="2">
        <v>34</v>
      </c>
      <c r="E61" s="28">
        <f t="shared" si="2"/>
        <v>1541.3493922672235</v>
      </c>
      <c r="F61" s="29">
        <f t="shared" si="5"/>
        <v>-400287492.9459722</v>
      </c>
      <c r="G61" s="30">
        <f t="shared" si="3"/>
        <v>400289034.2953645</v>
      </c>
      <c r="H61" s="31">
        <f t="shared" si="6"/>
        <v>1568168103.8911777</v>
      </c>
      <c r="J61" s="42"/>
      <c r="K61" s="52" t="s">
        <v>81</v>
      </c>
      <c r="L61" s="52"/>
      <c r="M61" s="52"/>
      <c r="N61" s="43"/>
      <c r="O61" s="44"/>
      <c r="P61" s="43"/>
      <c r="R61" s="260" t="s">
        <v>90</v>
      </c>
      <c r="S61" s="251"/>
      <c r="T61" s="251"/>
      <c r="U61" s="58"/>
    </row>
    <row r="62" spans="2:21">
      <c r="B62" s="25">
        <f t="shared" si="4"/>
        <v>46943</v>
      </c>
      <c r="C62" s="32" t="str">
        <f t="shared" si="1"/>
        <v>Jul-2028</v>
      </c>
      <c r="D62" s="2">
        <v>35</v>
      </c>
      <c r="E62" s="28">
        <f t="shared" si="2"/>
        <v>1541.3493922672235</v>
      </c>
      <c r="F62" s="29">
        <f t="shared" si="5"/>
        <v>-537485330.19936717</v>
      </c>
      <c r="G62" s="30">
        <f t="shared" si="3"/>
        <v>537486871.54875946</v>
      </c>
      <c r="H62" s="31">
        <f t="shared" si="6"/>
        <v>2105653434.0905447</v>
      </c>
      <c r="J62" s="16"/>
      <c r="U62" s="119"/>
    </row>
    <row r="63" spans="2:21">
      <c r="B63" s="25">
        <f t="shared" si="4"/>
        <v>46974</v>
      </c>
      <c r="C63" s="32" t="str">
        <f t="shared" si="1"/>
        <v>Aug-2028</v>
      </c>
      <c r="D63" s="2">
        <v>36</v>
      </c>
      <c r="E63" s="28">
        <f t="shared" si="2"/>
        <v>1541.3493922672235</v>
      </c>
      <c r="F63" s="29">
        <f t="shared" si="5"/>
        <v>-721707485.920663</v>
      </c>
      <c r="G63" s="30">
        <f t="shared" si="3"/>
        <v>721709027.27005529</v>
      </c>
      <c r="H63" s="31">
        <f t="shared" si="6"/>
        <v>2827360920.0112076</v>
      </c>
      <c r="J63" s="16"/>
      <c r="U63" s="119"/>
    </row>
    <row r="64" spans="2:21">
      <c r="B64" s="25">
        <f t="shared" si="4"/>
        <v>47005</v>
      </c>
      <c r="C64" s="32" t="str">
        <f t="shared" si="1"/>
        <v>Sep-2028</v>
      </c>
      <c r="D64" s="2">
        <v>37</v>
      </c>
      <c r="E64" s="28">
        <f t="shared" si="2"/>
        <v>1541.3493922672235</v>
      </c>
      <c r="F64" s="29">
        <f t="shared" si="5"/>
        <v>-969071462.91922605</v>
      </c>
      <c r="G64" s="30">
        <f t="shared" si="3"/>
        <v>969073004.26861835</v>
      </c>
      <c r="H64" s="31">
        <f t="shared" si="6"/>
        <v>3796432382.9304338</v>
      </c>
      <c r="J64" s="16"/>
      <c r="U64" s="119"/>
    </row>
    <row r="65" spans="2:21">
      <c r="B65" s="25">
        <f t="shared" si="4"/>
        <v>47035</v>
      </c>
      <c r="C65" s="32" t="str">
        <f t="shared" si="1"/>
        <v>Oct-2028</v>
      </c>
      <c r="D65" s="2">
        <v>38</v>
      </c>
      <c r="E65" s="28">
        <f t="shared" si="2"/>
        <v>1541.3493922672235</v>
      </c>
      <c r="F65" s="29">
        <f t="shared" si="5"/>
        <v>-1301219009.8685548</v>
      </c>
      <c r="G65" s="30">
        <f t="shared" si="3"/>
        <v>1301220551.217947</v>
      </c>
      <c r="H65" s="31">
        <f t="shared" si="6"/>
        <v>5097651392.7989883</v>
      </c>
      <c r="J65" s="42"/>
      <c r="K65" s="43"/>
      <c r="L65" s="43"/>
      <c r="M65" s="43"/>
      <c r="N65" s="43"/>
      <c r="O65" s="44"/>
      <c r="P65" s="43"/>
      <c r="Q65" s="43"/>
      <c r="R65" s="43"/>
      <c r="S65" s="43"/>
      <c r="T65" s="43"/>
      <c r="U65" s="58"/>
    </row>
    <row r="66" spans="2:21">
      <c r="B66" s="25">
        <f t="shared" si="4"/>
        <v>47066</v>
      </c>
      <c r="C66" s="32" t="str">
        <f t="shared" si="1"/>
        <v>Nov-2028</v>
      </c>
      <c r="D66" s="2">
        <v>39</v>
      </c>
      <c r="E66" s="28">
        <f t="shared" si="2"/>
        <v>1541.3493922672235</v>
      </c>
      <c r="F66" s="29">
        <f t="shared" si="5"/>
        <v>-1747209546.9025598</v>
      </c>
      <c r="G66" s="30">
        <f t="shared" si="3"/>
        <v>1747211088.2519519</v>
      </c>
      <c r="H66" s="31">
        <f t="shared" si="6"/>
        <v>6844860939.7015476</v>
      </c>
      <c r="J66" s="42"/>
      <c r="K66" s="43" t="s">
        <v>83</v>
      </c>
      <c r="L66" s="43"/>
      <c r="M66" s="43"/>
      <c r="N66" s="43"/>
      <c r="O66" s="44"/>
      <c r="P66" s="43"/>
      <c r="Q66" s="43"/>
      <c r="R66" s="43" t="s">
        <v>79</v>
      </c>
      <c r="S66" s="43"/>
      <c r="T66" s="43"/>
      <c r="U66" s="58"/>
    </row>
    <row r="67" spans="2:21">
      <c r="B67" s="25">
        <f t="shared" si="4"/>
        <v>47096</v>
      </c>
      <c r="C67" s="32" t="str">
        <f t="shared" si="1"/>
        <v>Dec-2028</v>
      </c>
      <c r="D67" s="2">
        <v>40</v>
      </c>
      <c r="E67" s="28">
        <f t="shared" si="2"/>
        <v>1541.3493922672235</v>
      </c>
      <c r="F67" s="29">
        <f t="shared" si="5"/>
        <v>-2346062559.5193439</v>
      </c>
      <c r="G67" s="30">
        <f t="shared" si="3"/>
        <v>2346064100.8687363</v>
      </c>
      <c r="H67" s="31">
        <f t="shared" si="6"/>
        <v>9190923499.220892</v>
      </c>
      <c r="J67" s="42"/>
      <c r="K67" s="43"/>
      <c r="L67" s="43"/>
      <c r="M67" s="43"/>
      <c r="N67" s="43"/>
      <c r="O67" s="44"/>
      <c r="P67" s="43"/>
      <c r="Q67" s="43"/>
      <c r="R67" s="43"/>
      <c r="S67" s="43"/>
      <c r="T67" s="43"/>
      <c r="U67" s="58"/>
    </row>
    <row r="68" spans="2:21">
      <c r="B68" s="25">
        <f t="shared" si="4"/>
        <v>47127</v>
      </c>
      <c r="C68" s="32" t="str">
        <f t="shared" si="1"/>
        <v>Jan-2029</v>
      </c>
      <c r="D68" s="2">
        <v>41</v>
      </c>
      <c r="E68" s="28">
        <f t="shared" si="2"/>
        <v>1541.3493922672235</v>
      </c>
      <c r="F68" s="29">
        <f t="shared" si="5"/>
        <v>-3150171393.5434499</v>
      </c>
      <c r="G68" s="30">
        <f t="shared" si="3"/>
        <v>3150172934.8928423</v>
      </c>
      <c r="H68" s="31">
        <f t="shared" si="6"/>
        <v>12341094892.764341</v>
      </c>
      <c r="J68" s="16"/>
      <c r="U68" s="119"/>
    </row>
    <row r="69" spans="2:21">
      <c r="B69" s="25">
        <f t="shared" si="4"/>
        <v>47158</v>
      </c>
      <c r="C69" s="32" t="str">
        <f t="shared" si="1"/>
        <v>Feb-2029</v>
      </c>
      <c r="D69" s="2">
        <v>42</v>
      </c>
      <c r="E69" s="28">
        <f t="shared" si="2"/>
        <v>1541.3493922672235</v>
      </c>
      <c r="F69" s="29">
        <f t="shared" si="5"/>
        <v>-4229887122.3334298</v>
      </c>
      <c r="G69" s="30">
        <f t="shared" si="3"/>
        <v>4229888663.6828222</v>
      </c>
      <c r="H69" s="31">
        <f t="shared" si="6"/>
        <v>16570982015.097771</v>
      </c>
      <c r="J69" s="16"/>
      <c r="K69" s="253" t="s">
        <v>250</v>
      </c>
      <c r="L69" s="254"/>
      <c r="M69" s="254"/>
      <c r="R69" s="259" t="s">
        <v>242</v>
      </c>
      <c r="S69" s="259"/>
      <c r="U69" s="119"/>
    </row>
    <row r="70" spans="2:21">
      <c r="B70" s="25">
        <f t="shared" si="4"/>
        <v>47186</v>
      </c>
      <c r="C70" s="32" t="str">
        <f t="shared" si="1"/>
        <v>Mar-2029</v>
      </c>
      <c r="D70" s="2">
        <v>43</v>
      </c>
      <c r="E70" s="28">
        <f t="shared" si="2"/>
        <v>1541.3493922672235</v>
      </c>
      <c r="F70" s="29">
        <f t="shared" si="5"/>
        <v>-5679673526.4478893</v>
      </c>
      <c r="G70" s="30">
        <f t="shared" si="3"/>
        <v>5679675067.7972813</v>
      </c>
      <c r="H70" s="31">
        <f t="shared" si="6"/>
        <v>22250655541.545662</v>
      </c>
      <c r="J70" s="42"/>
      <c r="K70" s="53" t="s">
        <v>84</v>
      </c>
      <c r="L70" s="53"/>
      <c r="M70" s="53"/>
      <c r="N70" s="43"/>
      <c r="O70" s="44"/>
      <c r="P70" s="43"/>
      <c r="Q70" s="43"/>
      <c r="R70" s="252" t="s">
        <v>82</v>
      </c>
      <c r="S70" s="252"/>
      <c r="T70" s="43"/>
      <c r="U70" s="58"/>
    </row>
    <row r="71" spans="2:21" ht="15" thickBot="1">
      <c r="B71" s="25">
        <f t="shared" si="4"/>
        <v>47217</v>
      </c>
      <c r="C71" s="32" t="str">
        <f t="shared" si="1"/>
        <v>Apr-2029</v>
      </c>
      <c r="D71" s="2">
        <v>44</v>
      </c>
      <c r="E71" s="28">
        <f t="shared" si="2"/>
        <v>1541.3493922672235</v>
      </c>
      <c r="F71" s="29">
        <f t="shared" si="5"/>
        <v>-7626371681.8139114</v>
      </c>
      <c r="G71" s="30">
        <f t="shared" si="3"/>
        <v>7626373223.1633034</v>
      </c>
      <c r="H71" s="31">
        <f t="shared" si="6"/>
        <v>29877027223.359573</v>
      </c>
      <c r="J71" s="54"/>
      <c r="K71" s="55"/>
      <c r="L71" s="55"/>
      <c r="M71" s="55"/>
      <c r="N71" s="55"/>
      <c r="O71" s="56"/>
      <c r="P71" s="55"/>
      <c r="Q71" s="55"/>
      <c r="R71" s="55"/>
      <c r="S71" s="55"/>
      <c r="T71" s="55"/>
      <c r="U71" s="60"/>
    </row>
    <row r="72" spans="2:21">
      <c r="B72" s="25">
        <f t="shared" si="4"/>
        <v>47247</v>
      </c>
      <c r="C72" s="32" t="str">
        <f t="shared" si="1"/>
        <v>May-2029</v>
      </c>
      <c r="D72" s="2">
        <v>45</v>
      </c>
      <c r="E72" s="28">
        <f t="shared" si="2"/>
        <v>1541.3493922672235</v>
      </c>
      <c r="F72" s="29">
        <f t="shared" si="5"/>
        <v>-10240297221.017879</v>
      </c>
      <c r="G72" s="30">
        <f t="shared" si="3"/>
        <v>10240298762.367271</v>
      </c>
      <c r="H72" s="31">
        <f t="shared" si="6"/>
        <v>40117324444.377457</v>
      </c>
    </row>
    <row r="73" spans="2:21">
      <c r="B73" s="25">
        <f t="shared" si="4"/>
        <v>47278</v>
      </c>
      <c r="C73" s="32" t="str">
        <f t="shared" si="1"/>
        <v>Jun-2029</v>
      </c>
      <c r="D73" s="2">
        <v>46</v>
      </c>
      <c r="E73" s="28">
        <f t="shared" si="2"/>
        <v>1541.3493922672235</v>
      </c>
      <c r="F73" s="29">
        <f t="shared" si="5"/>
        <v>-13750141161.471029</v>
      </c>
      <c r="G73" s="30">
        <f t="shared" si="3"/>
        <v>13750142702.820421</v>
      </c>
      <c r="H73" s="31">
        <f t="shared" si="6"/>
        <v>53867465605.848488</v>
      </c>
    </row>
    <row r="74" spans="2:21">
      <c r="B74" s="25">
        <f t="shared" si="4"/>
        <v>47308</v>
      </c>
      <c r="C74" s="32" t="str">
        <f t="shared" si="1"/>
        <v>Jul-2029</v>
      </c>
      <c r="D74" s="2">
        <v>47</v>
      </c>
      <c r="E74" s="28">
        <f t="shared" si="2"/>
        <v>1541.3493922672235</v>
      </c>
      <c r="F74" s="29">
        <f t="shared" si="5"/>
        <v>-18462977966.33551</v>
      </c>
      <c r="G74" s="30">
        <f t="shared" si="3"/>
        <v>18462979507.684902</v>
      </c>
      <c r="H74" s="31">
        <f t="shared" si="6"/>
        <v>72330443572.18399</v>
      </c>
    </row>
    <row r="75" spans="2:21">
      <c r="B75" s="25">
        <f t="shared" si="4"/>
        <v>47339</v>
      </c>
      <c r="C75" s="32" t="str">
        <f t="shared" si="1"/>
        <v>Aug-2029</v>
      </c>
      <c r="D75" s="2">
        <v>48</v>
      </c>
      <c r="E75" s="28">
        <f t="shared" si="2"/>
        <v>1541.3493922672235</v>
      </c>
      <c r="F75" s="29">
        <f t="shared" si="5"/>
        <v>-24791131333.296219</v>
      </c>
      <c r="G75" s="30">
        <f t="shared" si="3"/>
        <v>24791132874.645611</v>
      </c>
      <c r="H75" s="31">
        <f t="shared" si="6"/>
        <v>97121574905.480209</v>
      </c>
    </row>
    <row r="76" spans="2:21">
      <c r="B76" s="25">
        <f t="shared" si="4"/>
        <v>47370</v>
      </c>
      <c r="C76" s="32" t="str">
        <f t="shared" si="1"/>
        <v>Sep-2029</v>
      </c>
      <c r="D76" s="2">
        <v>49</v>
      </c>
      <c r="E76" s="28">
        <f t="shared" si="2"/>
        <v>1541.3493922672235</v>
      </c>
      <c r="F76" s="29">
        <f t="shared" si="5"/>
        <v>-33288248185.388813</v>
      </c>
      <c r="G76" s="30">
        <f t="shared" si="3"/>
        <v>33288249726.738205</v>
      </c>
      <c r="H76" s="31">
        <f t="shared" si="6"/>
        <v>130409823090.86902</v>
      </c>
    </row>
    <row r="77" spans="2:21">
      <c r="B77" s="25">
        <f t="shared" si="4"/>
        <v>47400</v>
      </c>
      <c r="C77" s="32" t="str">
        <f t="shared" si="1"/>
        <v>Oct-2029</v>
      </c>
      <c r="D77" s="2">
        <v>50</v>
      </c>
      <c r="E77" s="28">
        <f t="shared" si="2"/>
        <v>1541.3493922672235</v>
      </c>
      <c r="F77" s="29">
        <f t="shared" si="5"/>
        <v>-44697736959.013878</v>
      </c>
      <c r="G77" s="30">
        <f t="shared" si="3"/>
        <v>44697738500.363274</v>
      </c>
      <c r="H77" s="31">
        <f t="shared" si="6"/>
        <v>175107560049.8829</v>
      </c>
    </row>
    <row r="78" spans="2:21">
      <c r="B78" s="25">
        <f t="shared" si="4"/>
        <v>47431</v>
      </c>
      <c r="C78" s="32" t="str">
        <f t="shared" si="1"/>
        <v>Nov-2029</v>
      </c>
      <c r="D78" s="2">
        <v>51</v>
      </c>
      <c r="E78" s="28">
        <f t="shared" si="2"/>
        <v>1541.3493922672235</v>
      </c>
      <c r="F78" s="29">
        <f t="shared" si="5"/>
        <v>-60017808030.346481</v>
      </c>
      <c r="G78" s="30">
        <f t="shared" si="3"/>
        <v>60017809571.695877</v>
      </c>
      <c r="H78" s="31">
        <f t="shared" si="6"/>
        <v>235125368080.22937</v>
      </c>
    </row>
    <row r="79" spans="2:21">
      <c r="B79" s="25">
        <f t="shared" si="4"/>
        <v>47461</v>
      </c>
      <c r="C79" s="32" t="str">
        <f t="shared" si="1"/>
        <v>Dec-2029</v>
      </c>
      <c r="D79" s="2">
        <v>52</v>
      </c>
      <c r="E79" s="28">
        <f t="shared" si="2"/>
        <v>1541.3493922672235</v>
      </c>
      <c r="F79" s="29">
        <f t="shared" si="5"/>
        <v>-80588806634.003525</v>
      </c>
      <c r="G79" s="30">
        <f t="shared" si="3"/>
        <v>80588808175.352921</v>
      </c>
      <c r="H79" s="31">
        <f t="shared" si="6"/>
        <v>315714174714.23291</v>
      </c>
    </row>
    <row r="80" spans="2:21">
      <c r="B80" s="25">
        <f t="shared" si="4"/>
        <v>47492</v>
      </c>
      <c r="C80" s="32" t="str">
        <f t="shared" si="1"/>
        <v>Jan-2030</v>
      </c>
      <c r="D80" s="2">
        <v>53</v>
      </c>
      <c r="E80" s="28">
        <f t="shared" si="2"/>
        <v>1541.3493922672235</v>
      </c>
      <c r="F80" s="29">
        <f t="shared" si="5"/>
        <v>-108210478986.6535</v>
      </c>
      <c r="G80" s="30">
        <f t="shared" si="3"/>
        <v>108210480528.0029</v>
      </c>
      <c r="H80" s="31">
        <f t="shared" si="6"/>
        <v>423924653700.88641</v>
      </c>
    </row>
    <row r="81" spans="2:22">
      <c r="B81" s="25">
        <f t="shared" si="4"/>
        <v>47523</v>
      </c>
      <c r="C81" s="32" t="str">
        <f t="shared" si="1"/>
        <v>Feb-2030</v>
      </c>
      <c r="D81" s="2">
        <v>54</v>
      </c>
      <c r="E81" s="28">
        <f t="shared" si="2"/>
        <v>1541.3493922672235</v>
      </c>
      <c r="F81" s="29">
        <f t="shared" si="5"/>
        <v>-145299431169.1456</v>
      </c>
      <c r="G81" s="30">
        <f t="shared" si="3"/>
        <v>145299432710.495</v>
      </c>
      <c r="H81" s="31">
        <f t="shared" si="6"/>
        <v>569224084870.03198</v>
      </c>
    </row>
    <row r="82" spans="2:22">
      <c r="B82" s="25">
        <f t="shared" si="4"/>
        <v>47551</v>
      </c>
      <c r="C82" s="32" t="str">
        <f t="shared" si="1"/>
        <v>Mar-2030</v>
      </c>
      <c r="D82" s="2">
        <v>55</v>
      </c>
      <c r="E82" s="28">
        <f t="shared" si="2"/>
        <v>1541.3493922672235</v>
      </c>
      <c r="F82" s="29">
        <f t="shared" si="5"/>
        <v>-195100556764.7583</v>
      </c>
      <c r="G82" s="30">
        <f t="shared" si="3"/>
        <v>195100558306.1077</v>
      </c>
      <c r="H82" s="31">
        <f t="shared" si="6"/>
        <v>764324641634.79028</v>
      </c>
    </row>
    <row r="83" spans="2:22">
      <c r="B83" s="25">
        <f t="shared" si="4"/>
        <v>47582</v>
      </c>
      <c r="C83" s="32" t="str">
        <f t="shared" si="1"/>
        <v>Apr-2030</v>
      </c>
      <c r="D83" s="2">
        <v>56</v>
      </c>
      <c r="E83" s="28">
        <f t="shared" si="2"/>
        <v>1541.3493922672235</v>
      </c>
      <c r="F83" s="29">
        <f t="shared" si="5"/>
        <v>-261970930950.22131</v>
      </c>
      <c r="G83" s="30">
        <f t="shared" si="3"/>
        <v>261970932491.57071</v>
      </c>
      <c r="H83" s="31">
        <f t="shared" si="6"/>
        <v>1026295572585.0116</v>
      </c>
    </row>
    <row r="84" spans="2:22">
      <c r="B84" s="25">
        <f t="shared" si="4"/>
        <v>47612</v>
      </c>
      <c r="C84" s="32" t="str">
        <f t="shared" si="1"/>
        <v>May-2030</v>
      </c>
      <c r="D84" s="2">
        <v>57</v>
      </c>
      <c r="E84" s="28">
        <f t="shared" si="2"/>
        <v>1541.3493922672235</v>
      </c>
      <c r="F84" s="29">
        <f t="shared" si="5"/>
        <v>-351761008789.30084</v>
      </c>
      <c r="G84" s="30">
        <f t="shared" si="3"/>
        <v>351761010330.65021</v>
      </c>
      <c r="H84" s="31">
        <f t="shared" si="6"/>
        <v>1378056581374.3125</v>
      </c>
    </row>
    <row r="85" spans="2:22">
      <c r="B85" s="25">
        <f t="shared" si="4"/>
        <v>47643</v>
      </c>
      <c r="C85" s="32" t="str">
        <f t="shared" si="1"/>
        <v>Jun-2030</v>
      </c>
      <c r="D85" s="2">
        <v>58</v>
      </c>
      <c r="E85" s="28">
        <f t="shared" si="2"/>
        <v>1541.3493922672235</v>
      </c>
      <c r="F85" s="29">
        <f t="shared" si="5"/>
        <v>-472326478573.98486</v>
      </c>
      <c r="G85" s="30">
        <f t="shared" si="3"/>
        <v>472326480115.33423</v>
      </c>
      <c r="H85" s="31">
        <f t="shared" si="6"/>
        <v>1850383059948.2974</v>
      </c>
    </row>
    <row r="86" spans="2:22">
      <c r="B86" s="25">
        <f t="shared" si="4"/>
        <v>47673</v>
      </c>
      <c r="C86" s="32" t="str">
        <f t="shared" si="1"/>
        <v>Jul-2030</v>
      </c>
      <c r="D86" s="2">
        <v>59</v>
      </c>
      <c r="E86" s="28">
        <f t="shared" si="2"/>
        <v>1541.3493922672235</v>
      </c>
      <c r="F86" s="29">
        <f t="shared" si="5"/>
        <v>-634215552002.04028</v>
      </c>
      <c r="G86" s="30">
        <f t="shared" si="3"/>
        <v>634215553543.38965</v>
      </c>
      <c r="H86" s="31">
        <f t="shared" si="6"/>
        <v>2484598611950.3379</v>
      </c>
    </row>
    <row r="87" spans="2:22" ht="15" thickBot="1">
      <c r="B87" s="25">
        <f t="shared" si="4"/>
        <v>47704</v>
      </c>
      <c r="C87" s="32" t="str">
        <f t="shared" si="1"/>
        <v>Aug-2030</v>
      </c>
      <c r="D87" s="62">
        <v>60</v>
      </c>
      <c r="E87" s="28">
        <f t="shared" si="2"/>
        <v>1541.3493922672235</v>
      </c>
      <c r="F87" s="29">
        <f t="shared" si="5"/>
        <v>-851591821859.39587</v>
      </c>
      <c r="G87" s="30">
        <f t="shared" si="3"/>
        <v>851591823400.74524</v>
      </c>
      <c r="H87" s="31">
        <f t="shared" si="6"/>
        <v>3336190433809.7339</v>
      </c>
    </row>
    <row r="88" spans="2:22">
      <c r="C88" s="35"/>
      <c r="D88" s="36"/>
      <c r="E88" s="36">
        <f t="shared" ref="E88:G88" si="7">SUM(E28:E87)</f>
        <v>92480.963536033305</v>
      </c>
      <c r="F88" s="36">
        <f t="shared" si="7"/>
        <v>-3336190359557.7339</v>
      </c>
      <c r="G88" s="36">
        <f t="shared" si="7"/>
        <v>3336190452038.6968</v>
      </c>
      <c r="H88" s="37"/>
      <c r="I88" s="38"/>
      <c r="J88" s="38"/>
    </row>
    <row r="91" spans="2:22">
      <c r="V91" s="43"/>
    </row>
    <row r="92" spans="2:22" ht="15.75" customHeight="1">
      <c r="V92" s="43"/>
    </row>
    <row r="93" spans="2:22" ht="15" customHeight="1">
      <c r="V93" s="43"/>
    </row>
    <row r="94" spans="2:22" ht="15" customHeight="1">
      <c r="V94" s="43"/>
    </row>
    <row r="95" spans="2:22">
      <c r="V95" s="43"/>
    </row>
    <row r="96" spans="2:22">
      <c r="V96" s="43"/>
    </row>
    <row r="97" spans="3:22">
      <c r="K97" t="s">
        <v>260</v>
      </c>
      <c r="V97" s="43"/>
    </row>
    <row r="98" spans="3:22">
      <c r="E98" t="s">
        <v>259</v>
      </c>
      <c r="J98" t="s">
        <v>261</v>
      </c>
      <c r="M98" s="1">
        <f>SUM(N99:N102)</f>
        <v>37252</v>
      </c>
      <c r="P98" s="251" t="s">
        <v>263</v>
      </c>
      <c r="Q98" s="251"/>
      <c r="V98" s="43"/>
    </row>
    <row r="99" spans="3:22">
      <c r="C99" t="s">
        <v>256</v>
      </c>
      <c r="F99" s="1">
        <f>F88</f>
        <v>-3336190359557.7339</v>
      </c>
      <c r="K99" t="str">
        <f>D102</f>
        <v>Service Fee</v>
      </c>
      <c r="N99" s="1">
        <f>G102</f>
        <v>4477</v>
      </c>
      <c r="P99" s="211">
        <f>M104+M109</f>
        <v>1037252</v>
      </c>
      <c r="V99" s="43"/>
    </row>
    <row r="100" spans="3:22">
      <c r="C100" t="s">
        <v>258</v>
      </c>
      <c r="F100" s="1">
        <f>G88</f>
        <v>3336190452038.6968</v>
      </c>
      <c r="K100" t="str">
        <f>D103</f>
        <v>Insurance Premium Payable</v>
      </c>
      <c r="N100" s="1">
        <f>G103</f>
        <v>2220</v>
      </c>
      <c r="V100" s="43"/>
    </row>
    <row r="101" spans="3:22">
      <c r="D101" t="s">
        <v>254</v>
      </c>
      <c r="G101" s="4">
        <v>1000000</v>
      </c>
      <c r="K101" t="str">
        <f>D104</f>
        <v>Interest Income from Loans</v>
      </c>
      <c r="N101" s="1">
        <f>G104</f>
        <v>555</v>
      </c>
      <c r="V101" s="43"/>
    </row>
    <row r="102" spans="3:22">
      <c r="D102" t="s">
        <v>9</v>
      </c>
      <c r="G102" s="1">
        <f>C5</f>
        <v>4477</v>
      </c>
      <c r="K102" t="str">
        <f>D105</f>
        <v>Share Capital - Preferred</v>
      </c>
      <c r="N102" s="1">
        <f>G105</f>
        <v>30000</v>
      </c>
      <c r="V102" s="43"/>
    </row>
    <row r="103" spans="3:22" ht="15.6">
      <c r="D103" t="s">
        <v>253</v>
      </c>
      <c r="G103" s="1">
        <f>C6</f>
        <v>2220</v>
      </c>
      <c r="V103" s="48"/>
    </row>
    <row r="104" spans="3:22" ht="15.6">
      <c r="D104" t="s">
        <v>252</v>
      </c>
      <c r="G104" s="1">
        <f>C9</f>
        <v>555</v>
      </c>
      <c r="J104" t="str">
        <f>C99</f>
        <v>Loans Receivable</v>
      </c>
      <c r="M104" s="4">
        <f>M98</f>
        <v>37252</v>
      </c>
      <c r="N104" s="4"/>
      <c r="V104" s="48"/>
    </row>
    <row r="105" spans="3:22" ht="15.6">
      <c r="D105" t="s">
        <v>257</v>
      </c>
      <c r="G105" s="1">
        <f>C7</f>
        <v>30000</v>
      </c>
      <c r="K105" t="s">
        <v>261</v>
      </c>
      <c r="M105" s="4"/>
      <c r="N105" s="4">
        <f>M98</f>
        <v>37252</v>
      </c>
      <c r="V105" s="48"/>
    </row>
    <row r="106" spans="3:22" ht="15.6">
      <c r="D106" t="s">
        <v>255</v>
      </c>
      <c r="G106" s="1">
        <f>G88</f>
        <v>3336190452038.6968</v>
      </c>
      <c r="V106" s="48"/>
    </row>
    <row r="107" spans="3:22">
      <c r="F107" s="1">
        <f>SUM(F99:F105)</f>
        <v>92480.962890625</v>
      </c>
      <c r="G107" s="1">
        <f>SUM(G99:G106)</f>
        <v>3336191489290.6968</v>
      </c>
      <c r="K107" t="s">
        <v>262</v>
      </c>
      <c r="V107" s="43"/>
    </row>
    <row r="108" spans="3:22">
      <c r="V108" s="43"/>
    </row>
    <row r="109" spans="3:22">
      <c r="J109" t="str">
        <f>J104</f>
        <v>Loans Receivable</v>
      </c>
      <c r="M109" s="4">
        <v>1000000</v>
      </c>
      <c r="V109" s="43"/>
    </row>
    <row r="110" spans="3:22" ht="15.6">
      <c r="C110" t="s">
        <v>255</v>
      </c>
      <c r="F110" s="4">
        <v>10000</v>
      </c>
      <c r="K110" t="s">
        <v>254</v>
      </c>
      <c r="N110" s="4">
        <v>1000000</v>
      </c>
      <c r="V110" s="46"/>
    </row>
    <row r="111" spans="3:22" ht="15.6">
      <c r="D111" t="s">
        <v>258</v>
      </c>
      <c r="G111" s="4">
        <v>10000</v>
      </c>
      <c r="V111" s="46"/>
    </row>
    <row r="112" spans="3:22" ht="15.75" customHeight="1">
      <c r="V112" s="46"/>
    </row>
    <row r="113" spans="22:22" ht="15.6">
      <c r="V113" s="46"/>
    </row>
    <row r="114" spans="22:22" ht="15.6">
      <c r="V114" s="46"/>
    </row>
    <row r="115" spans="22:22">
      <c r="V115" s="43"/>
    </row>
    <row r="116" spans="22:22">
      <c r="V116" s="43"/>
    </row>
    <row r="117" spans="22:22">
      <c r="V117" s="43"/>
    </row>
    <row r="118" spans="22:22">
      <c r="V118" s="43"/>
    </row>
    <row r="119" spans="22:22">
      <c r="V119" s="43"/>
    </row>
    <row r="120" spans="22:22">
      <c r="V120" s="43"/>
    </row>
    <row r="121" spans="22:22">
      <c r="V121" s="43"/>
    </row>
    <row r="122" spans="22:22">
      <c r="V122" s="43"/>
    </row>
    <row r="123" spans="22:22">
      <c r="V123" s="43"/>
    </row>
    <row r="124" spans="22:22">
      <c r="V124" s="43"/>
    </row>
    <row r="125" spans="22:22">
      <c r="V125" s="43"/>
    </row>
    <row r="126" spans="22:22">
      <c r="V126" s="43"/>
    </row>
    <row r="127" spans="22:22">
      <c r="V127" s="43"/>
    </row>
    <row r="128" spans="22:22">
      <c r="V128" s="43"/>
    </row>
    <row r="129" spans="10:22">
      <c r="V129" s="43"/>
    </row>
    <row r="130" spans="10:22">
      <c r="V130" s="43"/>
    </row>
    <row r="131" spans="10:22">
      <c r="V131" s="43"/>
    </row>
    <row r="132" spans="10:22">
      <c r="V132" s="43"/>
    </row>
    <row r="133" spans="10:22">
      <c r="V133" s="43"/>
    </row>
    <row r="134" spans="10:22">
      <c r="V134" s="43"/>
    </row>
    <row r="135" spans="10:22">
      <c r="V135" s="43"/>
    </row>
    <row r="136" spans="10:22">
      <c r="J136" s="43"/>
      <c r="K136" s="43"/>
      <c r="L136" s="43"/>
      <c r="M136" s="43"/>
      <c r="N136" s="43"/>
      <c r="O136" s="44"/>
      <c r="P136" s="43"/>
      <c r="Q136" s="43"/>
      <c r="R136" s="43"/>
      <c r="S136" s="43"/>
      <c r="T136" s="43"/>
      <c r="U136" s="43"/>
      <c r="V136" s="43"/>
    </row>
  </sheetData>
  <protectedRanges>
    <protectedRange sqref="E25" name="Range20"/>
    <protectedRange sqref="G24" name="Range19"/>
    <protectedRange sqref="E24" name="Range18"/>
    <protectedRange sqref="D23" name="Range17"/>
    <protectedRange sqref="F23" name="Range16"/>
    <protectedRange sqref="G24" name="Range15"/>
    <protectedRange sqref="H22" name="Range14"/>
    <protectedRange sqref="D22" name="Range13"/>
    <protectedRange sqref="C1" name="Range12"/>
    <protectedRange sqref="C3:C9" name="Range11"/>
    <protectedRange sqref="C10:BK10 D4:BK4" name="Range21"/>
    <protectedRange sqref="C12" name="Range22"/>
    <protectedRange sqref="B28:C87" name="Range23"/>
  </protectedRanges>
  <mergeCells count="32">
    <mergeCell ref="P98:Q98"/>
    <mergeCell ref="R70:S70"/>
    <mergeCell ref="K69:M69"/>
    <mergeCell ref="R44:T44"/>
    <mergeCell ref="R48:S48"/>
    <mergeCell ref="R49:T49"/>
    <mergeCell ref="R50:T50"/>
    <mergeCell ref="R51:T51"/>
    <mergeCell ref="R52:T52"/>
    <mergeCell ref="R53:T53"/>
    <mergeCell ref="K60:M60"/>
    <mergeCell ref="R60:T60"/>
    <mergeCell ref="R61:T61"/>
    <mergeCell ref="R69:S69"/>
    <mergeCell ref="R43:T43"/>
    <mergeCell ref="S30:T30"/>
    <mergeCell ref="N32:S32"/>
    <mergeCell ref="N33:S33"/>
    <mergeCell ref="N34:S34"/>
    <mergeCell ref="R36:T36"/>
    <mergeCell ref="R37:T37"/>
    <mergeCell ref="R38:T38"/>
    <mergeCell ref="R39:T39"/>
    <mergeCell ref="R40:T40"/>
    <mergeCell ref="R41:T41"/>
    <mergeCell ref="R42:T42"/>
    <mergeCell ref="S29:T29"/>
    <mergeCell ref="C20:H21"/>
    <mergeCell ref="C24:C27"/>
    <mergeCell ref="K24:T24"/>
    <mergeCell ref="K25:T25"/>
    <mergeCell ref="K27:T27"/>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37"/>
  <sheetViews>
    <sheetView topLeftCell="A4" workbookViewId="0">
      <selection activeCell="I12" sqref="I12"/>
    </sheetView>
  </sheetViews>
  <sheetFormatPr defaultColWidth="9" defaultRowHeight="14.4"/>
  <cols>
    <col min="1" max="1" width="3.33203125" customWidth="1"/>
    <col min="2" max="7" width="12.6640625" customWidth="1"/>
    <col min="8" max="8" width="6.33203125" customWidth="1"/>
    <col min="9" max="9" width="14.109375" customWidth="1"/>
  </cols>
  <sheetData>
    <row r="1" spans="2:9" ht="15" customHeight="1">
      <c r="B1" s="262" t="s">
        <v>18</v>
      </c>
      <c r="C1" s="262"/>
      <c r="D1" s="262"/>
      <c r="E1" s="262"/>
      <c r="F1" s="262"/>
      <c r="G1" s="262"/>
    </row>
    <row r="2" spans="2:9" ht="15" customHeight="1">
      <c r="B2" s="262"/>
      <c r="C2" s="262"/>
      <c r="D2" s="262"/>
      <c r="E2" s="262"/>
      <c r="F2" s="262"/>
      <c r="G2" s="262"/>
    </row>
    <row r="3" spans="2:9">
      <c r="B3" s="262"/>
      <c r="C3" s="262"/>
      <c r="D3" s="262"/>
      <c r="E3" s="262"/>
      <c r="F3" s="262"/>
      <c r="G3" s="262"/>
    </row>
    <row r="4" spans="2:9" ht="15" thickBot="1">
      <c r="B4" s="263" t="s">
        <v>251</v>
      </c>
      <c r="C4" s="263"/>
      <c r="D4" s="263"/>
      <c r="E4" s="263"/>
      <c r="F4" s="263"/>
      <c r="G4" s="263"/>
    </row>
    <row r="5" spans="2:9" ht="15" customHeight="1">
      <c r="B5" s="265" t="s">
        <v>19</v>
      </c>
      <c r="C5" s="267" t="s">
        <v>20</v>
      </c>
      <c r="D5" s="267" t="s">
        <v>21</v>
      </c>
      <c r="E5" s="267" t="s">
        <v>22</v>
      </c>
      <c r="F5" s="267" t="s">
        <v>23</v>
      </c>
      <c r="G5" s="269" t="s">
        <v>24</v>
      </c>
      <c r="H5" s="261"/>
      <c r="I5" s="261"/>
    </row>
    <row r="6" spans="2:9" ht="23.25" customHeight="1">
      <c r="B6" s="266"/>
      <c r="C6" s="268"/>
      <c r="D6" s="268"/>
      <c r="E6" s="268"/>
      <c r="F6" s="268"/>
      <c r="G6" s="270"/>
      <c r="H6" s="261"/>
      <c r="I6" s="261"/>
    </row>
    <row r="7" spans="2:9" ht="15" customHeight="1">
      <c r="B7" s="92">
        <v>25000</v>
      </c>
      <c r="C7" s="93">
        <f>'Computation Table'!E126</f>
        <v>2918.6827080835237</v>
      </c>
      <c r="D7" s="94">
        <f>'Computation Table'!E100</f>
        <v>1566.369788229131</v>
      </c>
      <c r="E7" s="94">
        <f>'Computation Table'!E74</f>
        <v>1119.3222406930843</v>
      </c>
      <c r="F7" s="94">
        <f>'Computation Table'!E47</f>
        <v>852.8487877766371</v>
      </c>
      <c r="G7" s="95">
        <f>'Computation Table'!E21</f>
        <v>730.69410396765431</v>
      </c>
      <c r="H7" s="91"/>
      <c r="I7" s="91"/>
    </row>
    <row r="8" spans="2:9" ht="15" customHeight="1">
      <c r="B8" s="92">
        <v>50000</v>
      </c>
      <c r="C8" s="93">
        <f>'Computation Table'!F126</f>
        <v>5366.4668361718368</v>
      </c>
      <c r="D8" s="94">
        <f>'Computation Table'!F100</f>
        <v>2883.2501736749591</v>
      </c>
      <c r="E8" s="94">
        <f>'Computation Table'!F74</f>
        <v>2054.3050619248447</v>
      </c>
      <c r="F8" s="94">
        <f>'Computation Table'!F47</f>
        <v>1574.3598121628913</v>
      </c>
      <c r="G8" s="95">
        <f>'Computation Table'!F21</f>
        <v>1351.3689252356335</v>
      </c>
      <c r="H8" s="91"/>
      <c r="I8" s="91"/>
    </row>
    <row r="9" spans="2:9" ht="14.4" customHeight="1">
      <c r="B9" s="92">
        <v>75000</v>
      </c>
      <c r="C9" s="93">
        <f>'Computation Table'!G126</f>
        <v>7814.2509642601499</v>
      </c>
      <c r="D9" s="94">
        <f>'Computation Table'!G100</f>
        <v>4200.1305591207874</v>
      </c>
      <c r="E9" s="94">
        <f>'Computation Table'!G74</f>
        <v>2993.4396718832113</v>
      </c>
      <c r="F9" s="94">
        <f>'Computation Table'!G47</f>
        <v>2295.8708365491457</v>
      </c>
      <c r="G9" s="95">
        <f>'Computation Table'!G21</f>
        <v>1972.0437465036125</v>
      </c>
      <c r="H9" s="91"/>
      <c r="I9" s="91"/>
    </row>
    <row r="10" spans="2:9">
      <c r="B10" s="92">
        <v>100000</v>
      </c>
      <c r="C10" s="93">
        <f>'Computation Table'!H126</f>
        <v>10262.035092348464</v>
      </c>
      <c r="D10" s="94">
        <f>'Computation Table'!H100</f>
        <v>5517.0109445666158</v>
      </c>
      <c r="E10" s="94">
        <f>'Computation Table'!H74</f>
        <v>3932.5742818415779</v>
      </c>
      <c r="F10" s="94">
        <f>'Computation Table'!H47</f>
        <v>3017.3818609353998</v>
      </c>
      <c r="G10" s="95">
        <f>'Computation Table'!H21</f>
        <v>2592.7185677715916</v>
      </c>
      <c r="H10" s="96"/>
      <c r="I10" s="96"/>
    </row>
    <row r="11" spans="2:9">
      <c r="B11" s="92">
        <v>150000</v>
      </c>
      <c r="C11" s="93">
        <f>'Computation Table'!J126</f>
        <v>15157.60334852509</v>
      </c>
      <c r="D11" s="94">
        <f>'Computation Table'!J100</f>
        <v>8150.7717154582724</v>
      </c>
      <c r="E11" s="94">
        <f>'Computation Table'!J74</f>
        <v>5810.8435017583115</v>
      </c>
      <c r="F11" s="94">
        <f>'Computation Table'!J47</f>
        <v>4460.4039097079085</v>
      </c>
      <c r="G11" s="95">
        <f>'Computation Table'!J21</f>
        <v>3834.0682103075501</v>
      </c>
      <c r="H11" s="96"/>
      <c r="I11" s="96"/>
    </row>
    <row r="12" spans="2:9">
      <c r="B12" s="92">
        <v>200000</v>
      </c>
      <c r="C12" s="93">
        <f>'Computation Table'!L126</f>
        <v>20053.171604701714</v>
      </c>
      <c r="D12" s="94">
        <f>'Computation Table'!L100</f>
        <v>10784.53248634993</v>
      </c>
      <c r="E12" s="94">
        <f>'Computation Table'!L74</f>
        <v>7689.1127216750447</v>
      </c>
      <c r="F12" s="94">
        <f>'Computation Table'!L47</f>
        <v>5903.4259584804176</v>
      </c>
      <c r="G12" s="95">
        <f>'Computation Table'!L21</f>
        <v>5075.4178528435086</v>
      </c>
      <c r="H12" s="96"/>
      <c r="I12" s="96"/>
    </row>
    <row r="13" spans="2:9">
      <c r="B13" s="92">
        <v>250000</v>
      </c>
      <c r="C13" s="93">
        <f>'Computation Table'!N126</f>
        <v>24948.739860878341</v>
      </c>
      <c r="D13" s="94">
        <f>'Computation Table'!N100</f>
        <v>13418.293257241587</v>
      </c>
      <c r="E13" s="94">
        <f>'Computation Table'!N74</f>
        <v>9567.3819415917787</v>
      </c>
      <c r="F13" s="94">
        <f>'Computation Table'!N47</f>
        <v>7346.4480072529259</v>
      </c>
      <c r="G13" s="95">
        <f>'Computation Table'!N21</f>
        <v>6316.7674953794667</v>
      </c>
      <c r="H13" s="96"/>
      <c r="I13" s="96"/>
    </row>
    <row r="14" spans="2:9">
      <c r="B14" s="92">
        <v>300000</v>
      </c>
      <c r="C14" s="93">
        <f>'Computation Table'!P126</f>
        <v>29844.308117054967</v>
      </c>
      <c r="D14" s="94">
        <f>'Computation Table'!P100</f>
        <v>16052.054028133243</v>
      </c>
      <c r="E14" s="94">
        <f>'Computation Table'!P74</f>
        <v>11445.651161508511</v>
      </c>
      <c r="F14" s="94">
        <f>'Computation Table'!P47</f>
        <v>8789.470056025435</v>
      </c>
      <c r="G14" s="95">
        <f>'Computation Table'!P21</f>
        <v>7558.1171379154248</v>
      </c>
      <c r="H14" s="96"/>
      <c r="I14" s="96"/>
    </row>
    <row r="15" spans="2:9">
      <c r="B15" s="92">
        <v>350000</v>
      </c>
      <c r="C15" s="93">
        <f>'Computation Table'!R126</f>
        <v>34739.876373231593</v>
      </c>
      <c r="D15" s="94">
        <f>'Computation Table'!R100</f>
        <v>18685.814799024898</v>
      </c>
      <c r="E15" s="94">
        <f>'Computation Table'!R74</f>
        <v>13323.920381425245</v>
      </c>
      <c r="F15" s="94">
        <f>'Computation Table'!R47</f>
        <v>10232.492104797944</v>
      </c>
      <c r="G15" s="95">
        <f>'Computation Table'!R21</f>
        <v>8799.4667804513829</v>
      </c>
      <c r="H15" s="96"/>
      <c r="I15" s="96"/>
    </row>
    <row r="16" spans="2:9">
      <c r="B16" s="92">
        <v>400000</v>
      </c>
      <c r="C16" s="93">
        <f>'Computation Table'!T126</f>
        <v>39635.444629408223</v>
      </c>
      <c r="D16" s="94">
        <f>'Computation Table'!T100</f>
        <v>21319.575569916557</v>
      </c>
      <c r="E16" s="94">
        <f>'Computation Table'!T74</f>
        <v>15202.189601341979</v>
      </c>
      <c r="F16" s="94">
        <f>'Computation Table'!T47</f>
        <v>11675.514153570452</v>
      </c>
      <c r="G16" s="95">
        <f>'Computation Table'!T21</f>
        <v>10040.816422987342</v>
      </c>
      <c r="H16" s="96"/>
      <c r="I16" s="96"/>
    </row>
    <row r="17" spans="2:9">
      <c r="B17" s="92">
        <v>450000</v>
      </c>
      <c r="C17" s="93">
        <f>'Computation Table'!V126</f>
        <v>44531.012885584845</v>
      </c>
      <c r="D17" s="94">
        <f>'Computation Table'!V100</f>
        <v>23953.336340808211</v>
      </c>
      <c r="E17" s="94">
        <f>'Computation Table'!V74</f>
        <v>17080.458821258711</v>
      </c>
      <c r="F17" s="94">
        <f>'Computation Table'!V47</f>
        <v>13118.536202342961</v>
      </c>
      <c r="G17" s="95">
        <f>'Computation Table'!V21</f>
        <v>11282.166065523299</v>
      </c>
      <c r="H17" s="96"/>
      <c r="I17" s="96"/>
    </row>
    <row r="18" spans="2:9">
      <c r="B18" s="92">
        <v>500000</v>
      </c>
      <c r="C18" s="93">
        <f>'Computation Table'!X126</f>
        <v>49426.581141761475</v>
      </c>
      <c r="D18" s="94">
        <f>'Computation Table'!X100</f>
        <v>26587.09711169987</v>
      </c>
      <c r="E18" s="94">
        <f>'Computation Table'!X74</f>
        <v>18958.728041175444</v>
      </c>
      <c r="F18" s="94">
        <f>'Computation Table'!X47</f>
        <v>14561.55825111547</v>
      </c>
      <c r="G18" s="95">
        <f>'Computation Table'!X21</f>
        <v>12409.344754314312</v>
      </c>
      <c r="H18" s="96"/>
      <c r="I18" s="96"/>
    </row>
    <row r="19" spans="2:9">
      <c r="B19" s="92">
        <v>550000</v>
      </c>
      <c r="C19" s="93">
        <f>'Computation Table'!Z126</f>
        <v>54322.149397938098</v>
      </c>
      <c r="D19" s="94">
        <f>'Computation Table'!Z100</f>
        <v>29220.857882591525</v>
      </c>
      <c r="E19" s="94">
        <f>'Computation Table'!Z74</f>
        <v>20836.99726109218</v>
      </c>
      <c r="F19" s="94">
        <f>'Computation Table'!Z47</f>
        <v>16004.580299887979</v>
      </c>
      <c r="G19" s="95">
        <f>'Computation Table'!Z21</f>
        <v>13764.865350595215</v>
      </c>
      <c r="H19" s="96"/>
      <c r="I19" s="96"/>
    </row>
    <row r="20" spans="2:9">
      <c r="B20" s="92">
        <v>600000</v>
      </c>
      <c r="C20" s="93">
        <f>'Computation Table'!AB126</f>
        <v>59217.717654114727</v>
      </c>
      <c r="D20" s="94">
        <f>'Computation Table'!AB100</f>
        <v>31854.618653483183</v>
      </c>
      <c r="E20" s="94">
        <f>'Computation Table'!AB74</f>
        <v>22715.266481008912</v>
      </c>
      <c r="F20" s="94">
        <f>'Computation Table'!AB47</f>
        <v>17447.602348660486</v>
      </c>
      <c r="G20" s="95">
        <f>'Computation Table'!AB21</f>
        <v>15006.214993131174</v>
      </c>
      <c r="H20" s="96"/>
      <c r="I20" s="96"/>
    </row>
    <row r="21" spans="2:9">
      <c r="B21" s="92">
        <v>650000</v>
      </c>
      <c r="C21" s="93">
        <f>'Computation Table'!AD126</f>
        <v>64113.28591029135</v>
      </c>
      <c r="D21" s="94">
        <f>'Computation Table'!AD100</f>
        <v>34488.379424374842</v>
      </c>
      <c r="E21" s="94">
        <f>'Computation Table'!AD74</f>
        <v>24593.535700925644</v>
      </c>
      <c r="F21" s="94">
        <f>'Computation Table'!AD47</f>
        <v>18890.624397432995</v>
      </c>
      <c r="G21" s="95">
        <f>'Computation Table'!AD21</f>
        <v>16247.564635667133</v>
      </c>
      <c r="H21" s="96"/>
      <c r="I21" s="96"/>
    </row>
    <row r="22" spans="2:9">
      <c r="B22" s="92">
        <v>700000</v>
      </c>
      <c r="C22" s="93">
        <f>'Computation Table'!AF126</f>
        <v>69008.85416646798</v>
      </c>
      <c r="D22" s="94">
        <f>'Computation Table'!AF100</f>
        <v>37122.140195266496</v>
      </c>
      <c r="E22" s="94">
        <f>'Computation Table'!AF74</f>
        <v>26471.80492084238</v>
      </c>
      <c r="F22" s="94">
        <f>'Computation Table'!AF47</f>
        <v>20333.646446205505</v>
      </c>
      <c r="G22" s="95">
        <f>'Computation Table'!AF21</f>
        <v>17488.91427820309</v>
      </c>
      <c r="H22" s="96"/>
      <c r="I22" s="96"/>
    </row>
    <row r="23" spans="2:9">
      <c r="B23" s="92">
        <v>750000</v>
      </c>
      <c r="C23" s="93">
        <f>'Computation Table'!AH126</f>
        <v>73904.422422644609</v>
      </c>
      <c r="D23" s="94">
        <f>'Computation Table'!AH100</f>
        <v>39755.900966158151</v>
      </c>
      <c r="E23" s="94">
        <f>'Computation Table'!AH74</f>
        <v>28350.074140759112</v>
      </c>
      <c r="F23" s="94">
        <f>'Computation Table'!AH47</f>
        <v>21776.668494978014</v>
      </c>
      <c r="G23" s="95">
        <f>'Computation Table'!AH21</f>
        <v>18730.263920739049</v>
      </c>
      <c r="H23" s="96"/>
      <c r="I23" s="96"/>
    </row>
    <row r="24" spans="2:9">
      <c r="B24" s="92">
        <v>800000</v>
      </c>
      <c r="C24" s="93">
        <f>'Computation Table'!AJ126</f>
        <v>78799.990678821225</v>
      </c>
      <c r="D24" s="94">
        <f>'Computation Table'!AJ100</f>
        <v>42389.661737049806</v>
      </c>
      <c r="E24" s="94">
        <f>'Computation Table'!AJ74</f>
        <v>30228.343360675844</v>
      </c>
      <c r="F24" s="94">
        <f>'Computation Table'!AJ47</f>
        <v>23219.690543750523</v>
      </c>
      <c r="G24" s="95">
        <f>'Computation Table'!AJ21</f>
        <v>19971.613563275008</v>
      </c>
      <c r="H24" s="96"/>
      <c r="I24" s="96"/>
    </row>
    <row r="25" spans="2:9">
      <c r="B25" s="92">
        <v>850000</v>
      </c>
      <c r="C25" s="93">
        <f>'Computation Table'!AL126</f>
        <v>83695.558934997855</v>
      </c>
      <c r="D25" s="94">
        <f>'Computation Table'!AL100</f>
        <v>45023.422507941468</v>
      </c>
      <c r="E25" s="94">
        <f>'Computation Table'!AL74</f>
        <v>32106.61258059258</v>
      </c>
      <c r="F25" s="94">
        <f>'Computation Table'!AL47</f>
        <v>24662.712592523032</v>
      </c>
      <c r="G25" s="95">
        <f>'Computation Table'!AL21</f>
        <v>21212.963205810964</v>
      </c>
      <c r="H25" s="96"/>
      <c r="I25" s="96"/>
    </row>
    <row r="26" spans="2:9">
      <c r="B26" s="92">
        <v>900000</v>
      </c>
      <c r="C26" s="93">
        <f>'Computation Table'!AN126</f>
        <v>88591.127191174484</v>
      </c>
      <c r="D26" s="94">
        <f>'Computation Table'!AN100</f>
        <v>47657.183278833123</v>
      </c>
      <c r="E26" s="94">
        <f>'Computation Table'!AN74</f>
        <v>33984.881800509313</v>
      </c>
      <c r="F26" s="94">
        <f>'Computation Table'!AN47</f>
        <v>26105.734641295541</v>
      </c>
      <c r="G26" s="95">
        <f>'Computation Table'!AN21</f>
        <v>22454.312848346923</v>
      </c>
      <c r="H26" s="96"/>
      <c r="I26" s="96"/>
    </row>
    <row r="27" spans="2:9">
      <c r="B27" s="92">
        <v>950000</v>
      </c>
      <c r="C27" s="93">
        <f>'Computation Table'!AP126</f>
        <v>93486.695447351114</v>
      </c>
      <c r="D27" s="94">
        <f>'Computation Table'!AP100</f>
        <v>50290.944049724778</v>
      </c>
      <c r="E27" s="94">
        <f>'Computation Table'!AP74</f>
        <v>35863.151020426048</v>
      </c>
      <c r="F27" s="94">
        <f>'Computation Table'!AP47</f>
        <v>27548.75669006805</v>
      </c>
      <c r="G27" s="95">
        <f>'Computation Table'!AP21</f>
        <v>23695.662490882882</v>
      </c>
      <c r="H27" s="96"/>
      <c r="I27" s="96"/>
    </row>
    <row r="28" spans="2:9">
      <c r="B28" s="97">
        <v>1000000</v>
      </c>
      <c r="C28" s="98">
        <f>'Computation Table'!AR126</f>
        <v>98382.263703527729</v>
      </c>
      <c r="D28" s="99">
        <f>'Computation Table'!AR100</f>
        <v>52924.704820616433</v>
      </c>
      <c r="E28" s="99">
        <f>'Computation Table'!AR74</f>
        <v>37741.420240342777</v>
      </c>
      <c r="F28" s="99">
        <f>'Computation Table'!AR47</f>
        <v>28991.778738840556</v>
      </c>
      <c r="G28" s="100">
        <f>'Computation Table'!AR21</f>
        <v>24708.670225928949</v>
      </c>
      <c r="H28" s="96"/>
      <c r="I28" s="96"/>
    </row>
    <row r="29" spans="2:9">
      <c r="B29" s="264"/>
      <c r="C29" s="264"/>
      <c r="D29" s="264"/>
      <c r="E29" s="264"/>
      <c r="F29" s="264"/>
      <c r="G29" s="264"/>
      <c r="H29" s="96"/>
      <c r="I29" s="96"/>
    </row>
    <row r="30" spans="2:9">
      <c r="B30" s="101"/>
    </row>
    <row r="31" spans="2:9">
      <c r="B31" s="101"/>
    </row>
    <row r="32" spans="2:9">
      <c r="B32" s="101"/>
    </row>
    <row r="33" spans="2:2">
      <c r="B33" s="101"/>
    </row>
    <row r="34" spans="2:2">
      <c r="B34" s="101"/>
    </row>
    <row r="35" spans="2:2">
      <c r="B35" s="101"/>
    </row>
    <row r="36" spans="2:2">
      <c r="B36" s="101"/>
    </row>
    <row r="37" spans="2:2">
      <c r="B37" s="101"/>
    </row>
  </sheetData>
  <mergeCells count="11">
    <mergeCell ref="H5:H6"/>
    <mergeCell ref="I5:I6"/>
    <mergeCell ref="B1:G3"/>
    <mergeCell ref="B4:G4"/>
    <mergeCell ref="B29:G29"/>
    <mergeCell ref="B5:B6"/>
    <mergeCell ref="C5:C6"/>
    <mergeCell ref="D5:D6"/>
    <mergeCell ref="E5:E6"/>
    <mergeCell ref="F5:F6"/>
    <mergeCell ref="G5:G6"/>
  </mergeCells>
  <pageMargins left="0.7" right="0.7" top="0.75" bottom="0.75" header="0.3" footer="0.3"/>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U153"/>
  <sheetViews>
    <sheetView topLeftCell="A78" zoomScale="85" zoomScaleNormal="85" workbookViewId="0">
      <selection activeCell="K83" sqref="K83"/>
    </sheetView>
  </sheetViews>
  <sheetFormatPr defaultColWidth="9" defaultRowHeight="14.4"/>
  <cols>
    <col min="1" max="1" width="11.88671875" customWidth="1"/>
    <col min="2" max="2" width="36.6640625" customWidth="1"/>
    <col min="3" max="7" width="15.6640625" customWidth="1"/>
    <col min="8" max="11" width="15.5546875" customWidth="1"/>
    <col min="12" max="13" width="15.6640625" customWidth="1"/>
    <col min="14" max="27" width="15.6640625" style="4" customWidth="1"/>
    <col min="28" max="47" width="15.6640625" customWidth="1"/>
  </cols>
  <sheetData>
    <row r="2" spans="1:47" ht="21">
      <c r="B2" s="65" t="s">
        <v>5</v>
      </c>
      <c r="C2" s="65"/>
      <c r="D2" s="65"/>
      <c r="E2" s="65"/>
      <c r="F2" s="65"/>
      <c r="G2" s="65"/>
    </row>
    <row r="3" spans="1:47">
      <c r="B3" t="s">
        <v>25</v>
      </c>
      <c r="C3" s="4">
        <f>C21*C15</f>
        <v>92480.963536033407</v>
      </c>
      <c r="D3" s="4"/>
      <c r="E3" s="4">
        <f>E21*E15</f>
        <v>43841.646238059257</v>
      </c>
      <c r="F3" s="4">
        <f>F21*F15</f>
        <v>81082.135514138005</v>
      </c>
      <c r="G3" s="4">
        <f>G21*G15</f>
        <v>118322.62479021675</v>
      </c>
      <c r="H3" s="4">
        <f>H21*H15</f>
        <v>155563.1140662955</v>
      </c>
      <c r="I3" s="4">
        <f t="shared" ref="I3:W3" si="0">I21*I15</f>
        <v>192803.60334237426</v>
      </c>
      <c r="J3" s="4">
        <f t="shared" si="0"/>
        <v>230044.092618453</v>
      </c>
      <c r="K3" s="4">
        <f t="shared" si="0"/>
        <v>267284.58189453173</v>
      </c>
      <c r="L3" s="4">
        <f t="shared" si="0"/>
        <v>304525.07117061049</v>
      </c>
      <c r="M3" s="4">
        <f t="shared" si="0"/>
        <v>341765.56044668925</v>
      </c>
      <c r="N3" s="4">
        <f t="shared" si="0"/>
        <v>379006.04972276802</v>
      </c>
      <c r="O3" s="4">
        <f t="shared" si="0"/>
        <v>416246.53899884672</v>
      </c>
      <c r="P3" s="4">
        <f t="shared" si="0"/>
        <v>453487.02827492548</v>
      </c>
      <c r="Q3" s="4">
        <f t="shared" si="0"/>
        <v>490727.51755100419</v>
      </c>
      <c r="R3" s="4">
        <f t="shared" si="0"/>
        <v>527968.00682708295</v>
      </c>
      <c r="S3" s="4">
        <f t="shared" si="0"/>
        <v>565208.49610316171</v>
      </c>
      <c r="T3" s="4">
        <f t="shared" si="0"/>
        <v>602448.98537924048</v>
      </c>
      <c r="U3" s="4">
        <f t="shared" si="0"/>
        <v>639689.47465531912</v>
      </c>
      <c r="V3" s="4">
        <f t="shared" si="0"/>
        <v>676929.963931398</v>
      </c>
      <c r="W3" s="4">
        <f t="shared" si="0"/>
        <v>714170.45320747676</v>
      </c>
      <c r="X3" s="4">
        <f t="shared" ref="X3:AR3" si="1">X21*X15</f>
        <v>744560.68525885872</v>
      </c>
      <c r="Y3" s="4">
        <f t="shared" ref="Y3:AA3" si="2">Y21*Y15</f>
        <v>788651.43175963429</v>
      </c>
      <c r="Z3" s="4">
        <f t="shared" si="2"/>
        <v>825891.92103571293</v>
      </c>
      <c r="AA3" s="4">
        <f t="shared" si="2"/>
        <v>863132.4103117917</v>
      </c>
      <c r="AB3" s="4">
        <f t="shared" si="1"/>
        <v>900372.89958787046</v>
      </c>
      <c r="AC3" s="4">
        <f t="shared" ref="AC3:AE3" si="3">AC21*AC15</f>
        <v>937613.38886394922</v>
      </c>
      <c r="AD3" s="4">
        <f t="shared" si="3"/>
        <v>974853.87814002798</v>
      </c>
      <c r="AE3" s="4">
        <f t="shared" si="3"/>
        <v>1012094.3674161067</v>
      </c>
      <c r="AF3" s="4">
        <f t="shared" si="1"/>
        <v>1049334.8566921854</v>
      </c>
      <c r="AG3" s="4">
        <f t="shared" ref="AG3:AI3" si="4">AG21*AG15</f>
        <v>1086575.3459682642</v>
      </c>
      <c r="AH3" s="4">
        <f t="shared" si="4"/>
        <v>1123815.8352443429</v>
      </c>
      <c r="AI3" s="4">
        <f t="shared" si="4"/>
        <v>1161056.3245204217</v>
      </c>
      <c r="AJ3" s="4">
        <f t="shared" si="1"/>
        <v>1198296.8137965004</v>
      </c>
      <c r="AK3" s="4">
        <f t="shared" ref="AK3:AM3" si="5">AK21*AK15</f>
        <v>1235537.3030725792</v>
      </c>
      <c r="AL3" s="4">
        <f t="shared" si="5"/>
        <v>1272777.7923486577</v>
      </c>
      <c r="AM3" s="4">
        <f t="shared" si="5"/>
        <v>1310018.2816247367</v>
      </c>
      <c r="AN3" s="4">
        <f t="shared" si="1"/>
        <v>1347258.7709008153</v>
      </c>
      <c r="AO3" s="4">
        <f t="shared" ref="AO3:AQ3" si="6">AO21*AO15</f>
        <v>1384499.2601768943</v>
      </c>
      <c r="AP3" s="4">
        <f t="shared" si="6"/>
        <v>1421739.7494529728</v>
      </c>
      <c r="AQ3" s="4">
        <f t="shared" si="6"/>
        <v>1458980.2387290515</v>
      </c>
      <c r="AR3" s="4">
        <f t="shared" si="1"/>
        <v>1482520.2135557369</v>
      </c>
      <c r="AS3" s="76"/>
      <c r="AT3" s="76"/>
      <c r="AU3" s="76"/>
    </row>
    <row r="4" spans="1:47" s="63" customFormat="1">
      <c r="B4" s="63" t="s">
        <v>26</v>
      </c>
      <c r="C4" s="66">
        <f>'DATA ENTRY'!G5</f>
        <v>37000</v>
      </c>
      <c r="D4" s="66"/>
      <c r="E4" s="66">
        <v>25000</v>
      </c>
      <c r="F4" s="66">
        <v>50000</v>
      </c>
      <c r="G4" s="66">
        <v>75000</v>
      </c>
      <c r="H4" s="66">
        <v>100000</v>
      </c>
      <c r="I4" s="66">
        <v>125000</v>
      </c>
      <c r="J4" s="66">
        <v>150000</v>
      </c>
      <c r="K4" s="66">
        <v>175000</v>
      </c>
      <c r="L4" s="66">
        <v>200000</v>
      </c>
      <c r="M4" s="66">
        <v>225000</v>
      </c>
      <c r="N4" s="66">
        <v>250000</v>
      </c>
      <c r="O4" s="66">
        <v>275000</v>
      </c>
      <c r="P4" s="66">
        <v>300000</v>
      </c>
      <c r="Q4" s="66">
        <v>325000</v>
      </c>
      <c r="R4" s="66">
        <v>350000</v>
      </c>
      <c r="S4" s="66">
        <v>375000</v>
      </c>
      <c r="T4" s="66">
        <v>400000</v>
      </c>
      <c r="U4" s="66">
        <v>425000</v>
      </c>
      <c r="V4" s="66">
        <v>450000</v>
      </c>
      <c r="W4" s="66">
        <v>475000</v>
      </c>
      <c r="X4" s="66">
        <v>500000</v>
      </c>
      <c r="Y4" s="66">
        <v>525000</v>
      </c>
      <c r="Z4" s="66">
        <v>550000</v>
      </c>
      <c r="AA4" s="66">
        <v>575000</v>
      </c>
      <c r="AB4" s="66">
        <v>600000</v>
      </c>
      <c r="AC4" s="66">
        <v>625000</v>
      </c>
      <c r="AD4" s="66">
        <v>650000</v>
      </c>
      <c r="AE4" s="66">
        <v>675000</v>
      </c>
      <c r="AF4" s="66">
        <v>700000</v>
      </c>
      <c r="AG4" s="66">
        <v>725000</v>
      </c>
      <c r="AH4" s="66">
        <v>750000</v>
      </c>
      <c r="AI4" s="66">
        <v>775000</v>
      </c>
      <c r="AJ4" s="66">
        <v>800000</v>
      </c>
      <c r="AK4" s="66">
        <v>825000</v>
      </c>
      <c r="AL4" s="66">
        <v>850000</v>
      </c>
      <c r="AM4" s="66">
        <v>875000</v>
      </c>
      <c r="AN4" s="66">
        <v>900000</v>
      </c>
      <c r="AO4" s="66">
        <v>925000</v>
      </c>
      <c r="AP4" s="66">
        <v>950000</v>
      </c>
      <c r="AQ4" s="66">
        <v>975000</v>
      </c>
      <c r="AR4" s="66">
        <v>1000000</v>
      </c>
      <c r="AS4" s="76"/>
      <c r="AT4" s="76"/>
      <c r="AU4" s="76"/>
    </row>
    <row r="5" spans="1:47">
      <c r="B5" t="s">
        <v>27</v>
      </c>
      <c r="C5" s="4">
        <f>C4*0.121</f>
        <v>4477</v>
      </c>
      <c r="D5" s="4"/>
      <c r="E5" s="4">
        <f t="shared" ref="E5:AQ5" si="7">E4*0.121</f>
        <v>3025</v>
      </c>
      <c r="F5" s="4">
        <f t="shared" si="7"/>
        <v>6050</v>
      </c>
      <c r="G5" s="4">
        <f t="shared" si="7"/>
        <v>9075</v>
      </c>
      <c r="H5" s="4">
        <f t="shared" si="7"/>
        <v>12100</v>
      </c>
      <c r="I5" s="4">
        <f t="shared" si="7"/>
        <v>15125</v>
      </c>
      <c r="J5" s="4">
        <f t="shared" si="7"/>
        <v>18150</v>
      </c>
      <c r="K5" s="4">
        <f t="shared" si="7"/>
        <v>21175</v>
      </c>
      <c r="L5" s="4">
        <f t="shared" si="7"/>
        <v>24200</v>
      </c>
      <c r="M5" s="4">
        <f t="shared" si="7"/>
        <v>27225</v>
      </c>
      <c r="N5" s="4">
        <f t="shared" si="7"/>
        <v>30250</v>
      </c>
      <c r="O5" s="4">
        <f t="shared" si="7"/>
        <v>33275</v>
      </c>
      <c r="P5" s="4">
        <f t="shared" si="7"/>
        <v>36300</v>
      </c>
      <c r="Q5" s="4">
        <f t="shared" si="7"/>
        <v>39325</v>
      </c>
      <c r="R5" s="4">
        <f t="shared" si="7"/>
        <v>42350</v>
      </c>
      <c r="S5" s="4">
        <f t="shared" si="7"/>
        <v>45375</v>
      </c>
      <c r="T5" s="4">
        <f t="shared" si="7"/>
        <v>48400</v>
      </c>
      <c r="U5" s="4">
        <f t="shared" si="7"/>
        <v>51425</v>
      </c>
      <c r="V5" s="4">
        <f t="shared" si="7"/>
        <v>54450</v>
      </c>
      <c r="W5" s="4">
        <f t="shared" si="7"/>
        <v>57475</v>
      </c>
      <c r="X5" s="4">
        <f>X4*0.11</f>
        <v>55000</v>
      </c>
      <c r="Y5" s="4">
        <f t="shared" si="7"/>
        <v>63525</v>
      </c>
      <c r="Z5" s="4">
        <f t="shared" si="7"/>
        <v>66550</v>
      </c>
      <c r="AA5" s="4">
        <f t="shared" si="7"/>
        <v>69575</v>
      </c>
      <c r="AB5" s="4">
        <f t="shared" si="7"/>
        <v>72600</v>
      </c>
      <c r="AC5" s="4">
        <f t="shared" si="7"/>
        <v>75625</v>
      </c>
      <c r="AD5" s="4">
        <f t="shared" si="7"/>
        <v>78650</v>
      </c>
      <c r="AE5" s="4">
        <f t="shared" si="7"/>
        <v>81675</v>
      </c>
      <c r="AF5" s="4">
        <f t="shared" si="7"/>
        <v>84700</v>
      </c>
      <c r="AG5" s="4">
        <f t="shared" si="7"/>
        <v>87725</v>
      </c>
      <c r="AH5" s="4">
        <f t="shared" si="7"/>
        <v>90750</v>
      </c>
      <c r="AI5" s="4">
        <f t="shared" si="7"/>
        <v>93775</v>
      </c>
      <c r="AJ5" s="4">
        <f t="shared" si="7"/>
        <v>96800</v>
      </c>
      <c r="AK5" s="4">
        <f t="shared" si="7"/>
        <v>99825</v>
      </c>
      <c r="AL5" s="4">
        <f t="shared" si="7"/>
        <v>102850</v>
      </c>
      <c r="AM5" s="4">
        <f t="shared" si="7"/>
        <v>105875</v>
      </c>
      <c r="AN5" s="4">
        <f t="shared" si="7"/>
        <v>108900</v>
      </c>
      <c r="AO5" s="4">
        <f t="shared" si="7"/>
        <v>111925</v>
      </c>
      <c r="AP5" s="4">
        <f t="shared" si="7"/>
        <v>114950</v>
      </c>
      <c r="AQ5" s="4">
        <f t="shared" si="7"/>
        <v>117975</v>
      </c>
      <c r="AR5" s="4">
        <f>AR4*0.11</f>
        <v>110000</v>
      </c>
      <c r="AS5" s="76"/>
      <c r="AT5" s="76"/>
      <c r="AU5" s="76"/>
    </row>
    <row r="6" spans="1:47">
      <c r="B6" t="s">
        <v>10</v>
      </c>
      <c r="C6" s="4">
        <f>(C4/1000)*C15</f>
        <v>2220</v>
      </c>
      <c r="D6" s="4"/>
      <c r="E6" s="4">
        <f>(E4/1000)*E15</f>
        <v>1500</v>
      </c>
      <c r="F6" s="4">
        <f>(F4/1000)*F15</f>
        <v>3000</v>
      </c>
      <c r="G6" s="4">
        <f>(G4/1000)*G15</f>
        <v>4500</v>
      </c>
      <c r="H6" s="4">
        <f>(H4/1000)*H15</f>
        <v>6000</v>
      </c>
      <c r="I6" s="4">
        <f t="shared" ref="I6:AG6" si="8">(I4/1000)*I15</f>
        <v>7500</v>
      </c>
      <c r="J6" s="4">
        <f t="shared" si="8"/>
        <v>9000</v>
      </c>
      <c r="K6" s="4">
        <f t="shared" si="8"/>
        <v>10500</v>
      </c>
      <c r="L6" s="4">
        <f t="shared" si="8"/>
        <v>12000</v>
      </c>
      <c r="M6" s="4">
        <f t="shared" si="8"/>
        <v>13500</v>
      </c>
      <c r="N6" s="4">
        <f t="shared" si="8"/>
        <v>15000</v>
      </c>
      <c r="O6" s="4">
        <f t="shared" si="8"/>
        <v>16500</v>
      </c>
      <c r="P6" s="4">
        <f t="shared" si="8"/>
        <v>18000</v>
      </c>
      <c r="Q6" s="4">
        <f t="shared" si="8"/>
        <v>19500</v>
      </c>
      <c r="R6" s="4">
        <f t="shared" si="8"/>
        <v>21000</v>
      </c>
      <c r="S6" s="4">
        <f t="shared" si="8"/>
        <v>22500</v>
      </c>
      <c r="T6" s="4">
        <f t="shared" si="8"/>
        <v>24000</v>
      </c>
      <c r="U6" s="4">
        <f t="shared" si="8"/>
        <v>25500</v>
      </c>
      <c r="V6" s="4">
        <f t="shared" si="8"/>
        <v>27000</v>
      </c>
      <c r="W6" s="4">
        <f t="shared" si="8"/>
        <v>28500</v>
      </c>
      <c r="X6" s="4">
        <f t="shared" si="8"/>
        <v>30000</v>
      </c>
      <c r="Y6" s="4">
        <f t="shared" si="8"/>
        <v>31500</v>
      </c>
      <c r="Z6" s="4">
        <f t="shared" si="8"/>
        <v>33000</v>
      </c>
      <c r="AA6" s="4">
        <f t="shared" si="8"/>
        <v>34500</v>
      </c>
      <c r="AB6" s="4">
        <f t="shared" si="8"/>
        <v>36000</v>
      </c>
      <c r="AC6" s="4">
        <f t="shared" si="8"/>
        <v>37500</v>
      </c>
      <c r="AD6" s="4">
        <f t="shared" si="8"/>
        <v>39000</v>
      </c>
      <c r="AE6" s="4">
        <f t="shared" si="8"/>
        <v>40500</v>
      </c>
      <c r="AF6" s="4">
        <f t="shared" si="8"/>
        <v>42000</v>
      </c>
      <c r="AG6" s="4">
        <f t="shared" si="8"/>
        <v>43500</v>
      </c>
      <c r="AH6" s="4">
        <f t="shared" ref="AH6:AJ6" si="9">(AH4/1000)*AH15</f>
        <v>45000</v>
      </c>
      <c r="AI6" s="4">
        <f t="shared" si="9"/>
        <v>46500</v>
      </c>
      <c r="AJ6" s="4">
        <f t="shared" si="9"/>
        <v>48000</v>
      </c>
      <c r="AK6" s="4">
        <f t="shared" ref="AK6:AN6" si="10">(AK4/1000)*AK15</f>
        <v>49500</v>
      </c>
      <c r="AL6" s="4">
        <f t="shared" si="10"/>
        <v>51000</v>
      </c>
      <c r="AM6" s="4">
        <f t="shared" si="10"/>
        <v>52500</v>
      </c>
      <c r="AN6" s="4">
        <f t="shared" si="10"/>
        <v>54000</v>
      </c>
      <c r="AO6" s="4">
        <f t="shared" ref="AO6:AR6" si="11">(AO4/1000)*AO15</f>
        <v>55500</v>
      </c>
      <c r="AP6" s="4">
        <f t="shared" si="11"/>
        <v>57000</v>
      </c>
      <c r="AQ6" s="4">
        <f t="shared" si="11"/>
        <v>58500</v>
      </c>
      <c r="AR6" s="4">
        <f t="shared" si="11"/>
        <v>60000</v>
      </c>
      <c r="AS6" s="76"/>
      <c r="AT6" s="76"/>
      <c r="AU6" s="76"/>
    </row>
    <row r="7" spans="1:47">
      <c r="B7" t="s">
        <v>11</v>
      </c>
      <c r="C7" s="4">
        <f>'DATA ENTRY'!G10</f>
        <v>30000</v>
      </c>
      <c r="D7" s="4"/>
      <c r="E7" s="4">
        <v>5000</v>
      </c>
      <c r="F7" s="4">
        <v>5000</v>
      </c>
      <c r="G7" s="4">
        <v>5000</v>
      </c>
      <c r="H7" s="4">
        <v>5000</v>
      </c>
      <c r="I7" s="4">
        <v>5000</v>
      </c>
      <c r="J7" s="4">
        <v>5000</v>
      </c>
      <c r="K7" s="4">
        <v>5000</v>
      </c>
      <c r="L7" s="4">
        <v>5000</v>
      </c>
      <c r="M7" s="4">
        <v>5000</v>
      </c>
      <c r="N7" s="4">
        <v>5000</v>
      </c>
      <c r="O7" s="4">
        <v>5000</v>
      </c>
      <c r="P7" s="4">
        <v>5000</v>
      </c>
      <c r="Q7" s="4">
        <f t="shared" ref="Q7:AR7" si="12">O7</f>
        <v>5000</v>
      </c>
      <c r="R7" s="4">
        <f t="shared" si="12"/>
        <v>5000</v>
      </c>
      <c r="S7" s="4">
        <f t="shared" si="12"/>
        <v>5000</v>
      </c>
      <c r="T7" s="4">
        <f t="shared" si="12"/>
        <v>5000</v>
      </c>
      <c r="U7" s="4">
        <f t="shared" si="12"/>
        <v>5000</v>
      </c>
      <c r="V7" s="4">
        <f t="shared" si="12"/>
        <v>5000</v>
      </c>
      <c r="W7" s="4">
        <f t="shared" si="12"/>
        <v>5000</v>
      </c>
      <c r="X7" s="4">
        <f t="shared" si="12"/>
        <v>5000</v>
      </c>
      <c r="Y7" s="4">
        <f t="shared" si="12"/>
        <v>5000</v>
      </c>
      <c r="Z7" s="4">
        <f t="shared" si="12"/>
        <v>5000</v>
      </c>
      <c r="AA7" s="4">
        <f t="shared" si="12"/>
        <v>5000</v>
      </c>
      <c r="AB7" s="4">
        <f t="shared" si="12"/>
        <v>5000</v>
      </c>
      <c r="AC7" s="4">
        <f t="shared" si="12"/>
        <v>5000</v>
      </c>
      <c r="AD7" s="4">
        <f t="shared" si="12"/>
        <v>5000</v>
      </c>
      <c r="AE7" s="4">
        <f t="shared" si="12"/>
        <v>5000</v>
      </c>
      <c r="AF7" s="4">
        <f t="shared" si="12"/>
        <v>5000</v>
      </c>
      <c r="AG7" s="4">
        <f t="shared" si="12"/>
        <v>5000</v>
      </c>
      <c r="AH7" s="4">
        <f t="shared" si="12"/>
        <v>5000</v>
      </c>
      <c r="AI7" s="4">
        <f t="shared" si="12"/>
        <v>5000</v>
      </c>
      <c r="AJ7" s="4">
        <f t="shared" si="12"/>
        <v>5000</v>
      </c>
      <c r="AK7" s="4">
        <f t="shared" si="12"/>
        <v>5000</v>
      </c>
      <c r="AL7" s="4">
        <f t="shared" si="12"/>
        <v>5000</v>
      </c>
      <c r="AM7" s="4">
        <f t="shared" si="12"/>
        <v>5000</v>
      </c>
      <c r="AN7" s="4">
        <f t="shared" si="12"/>
        <v>5000</v>
      </c>
      <c r="AO7" s="4">
        <f t="shared" si="12"/>
        <v>5000</v>
      </c>
      <c r="AP7" s="4">
        <f t="shared" si="12"/>
        <v>5000</v>
      </c>
      <c r="AQ7" s="4">
        <f t="shared" si="12"/>
        <v>5000</v>
      </c>
      <c r="AR7" s="4">
        <f t="shared" si="12"/>
        <v>5000</v>
      </c>
      <c r="AS7" s="76"/>
      <c r="AT7" s="76"/>
      <c r="AU7" s="76"/>
    </row>
    <row r="8" spans="1:47">
      <c r="B8" t="s">
        <v>12</v>
      </c>
      <c r="C8" s="4">
        <f>'DATA ENTRY'!G11</f>
        <v>0</v>
      </c>
      <c r="D8" s="4"/>
      <c r="E8" s="4">
        <v>300</v>
      </c>
      <c r="F8" s="4">
        <v>300</v>
      </c>
      <c r="G8" s="4">
        <v>300</v>
      </c>
      <c r="H8" s="4">
        <v>300</v>
      </c>
      <c r="I8" s="4">
        <v>300</v>
      </c>
      <c r="J8" s="4">
        <v>300</v>
      </c>
      <c r="K8" s="4">
        <v>300</v>
      </c>
      <c r="L8" s="4">
        <v>300</v>
      </c>
      <c r="M8" s="4">
        <v>300</v>
      </c>
      <c r="N8" s="4">
        <v>300</v>
      </c>
      <c r="O8" s="4">
        <v>300</v>
      </c>
      <c r="P8" s="4">
        <v>300</v>
      </c>
      <c r="Q8" s="4">
        <f t="shared" ref="Q8:AR8" si="13">O8</f>
        <v>300</v>
      </c>
      <c r="R8" s="4">
        <f t="shared" si="13"/>
        <v>300</v>
      </c>
      <c r="S8" s="4">
        <f t="shared" si="13"/>
        <v>300</v>
      </c>
      <c r="T8" s="4">
        <f t="shared" si="13"/>
        <v>300</v>
      </c>
      <c r="U8" s="4">
        <f t="shared" si="13"/>
        <v>300</v>
      </c>
      <c r="V8" s="4">
        <f t="shared" si="13"/>
        <v>300</v>
      </c>
      <c r="W8" s="4">
        <f t="shared" si="13"/>
        <v>300</v>
      </c>
      <c r="X8" s="4">
        <f t="shared" si="13"/>
        <v>300</v>
      </c>
      <c r="Y8" s="4">
        <f t="shared" si="13"/>
        <v>300</v>
      </c>
      <c r="Z8" s="4">
        <f t="shared" si="13"/>
        <v>300</v>
      </c>
      <c r="AA8" s="4">
        <f t="shared" si="13"/>
        <v>300</v>
      </c>
      <c r="AB8" s="4">
        <f t="shared" si="13"/>
        <v>300</v>
      </c>
      <c r="AC8" s="4">
        <f t="shared" si="13"/>
        <v>300</v>
      </c>
      <c r="AD8" s="4">
        <f t="shared" si="13"/>
        <v>300</v>
      </c>
      <c r="AE8" s="4">
        <f t="shared" si="13"/>
        <v>300</v>
      </c>
      <c r="AF8" s="4">
        <f t="shared" si="13"/>
        <v>300</v>
      </c>
      <c r="AG8" s="4">
        <f t="shared" si="13"/>
        <v>300</v>
      </c>
      <c r="AH8" s="4">
        <f t="shared" si="13"/>
        <v>300</v>
      </c>
      <c r="AI8" s="4">
        <f t="shared" si="13"/>
        <v>300</v>
      </c>
      <c r="AJ8" s="4">
        <f t="shared" si="13"/>
        <v>300</v>
      </c>
      <c r="AK8" s="4">
        <f t="shared" si="13"/>
        <v>300</v>
      </c>
      <c r="AL8" s="4">
        <f t="shared" si="13"/>
        <v>300</v>
      </c>
      <c r="AM8" s="4">
        <f t="shared" si="13"/>
        <v>300</v>
      </c>
      <c r="AN8" s="4">
        <f t="shared" si="13"/>
        <v>300</v>
      </c>
      <c r="AO8" s="4">
        <f t="shared" si="13"/>
        <v>300</v>
      </c>
      <c r="AP8" s="4">
        <f t="shared" si="13"/>
        <v>300</v>
      </c>
      <c r="AQ8" s="4">
        <f t="shared" si="13"/>
        <v>300</v>
      </c>
      <c r="AR8" s="4">
        <f t="shared" si="13"/>
        <v>300</v>
      </c>
      <c r="AS8" s="76"/>
      <c r="AT8" s="76"/>
      <c r="AU8" s="76"/>
    </row>
    <row r="9" spans="1:47">
      <c r="B9" t="s">
        <v>13</v>
      </c>
      <c r="C9" s="4">
        <f>C14*C4*2</f>
        <v>555</v>
      </c>
      <c r="D9" s="4"/>
      <c r="E9" s="4">
        <f>E14*E4*2</f>
        <v>375</v>
      </c>
      <c r="F9" s="4">
        <f t="shared" ref="F9:AR9" si="14">F14*F4*2</f>
        <v>750</v>
      </c>
      <c r="G9" s="4">
        <f t="shared" si="14"/>
        <v>1125</v>
      </c>
      <c r="H9" s="4">
        <f t="shared" si="14"/>
        <v>1500</v>
      </c>
      <c r="I9" s="4">
        <f t="shared" si="14"/>
        <v>1875</v>
      </c>
      <c r="J9" s="4">
        <f t="shared" si="14"/>
        <v>2250</v>
      </c>
      <c r="K9" s="4">
        <f t="shared" si="14"/>
        <v>2625</v>
      </c>
      <c r="L9" s="4">
        <f t="shared" si="14"/>
        <v>3000</v>
      </c>
      <c r="M9" s="4">
        <f t="shared" si="14"/>
        <v>3375</v>
      </c>
      <c r="N9" s="4">
        <f t="shared" si="14"/>
        <v>3750</v>
      </c>
      <c r="O9" s="4">
        <f t="shared" si="14"/>
        <v>4125</v>
      </c>
      <c r="P9" s="4">
        <f t="shared" si="14"/>
        <v>4500</v>
      </c>
      <c r="Q9" s="4">
        <f t="shared" si="14"/>
        <v>4875</v>
      </c>
      <c r="R9" s="4">
        <f t="shared" si="14"/>
        <v>5250</v>
      </c>
      <c r="S9" s="4">
        <f t="shared" si="14"/>
        <v>5625</v>
      </c>
      <c r="T9" s="4">
        <f t="shared" si="14"/>
        <v>6000</v>
      </c>
      <c r="U9" s="4">
        <f t="shared" si="14"/>
        <v>6375</v>
      </c>
      <c r="V9" s="4">
        <f t="shared" si="14"/>
        <v>6750</v>
      </c>
      <c r="W9" s="4">
        <f t="shared" si="14"/>
        <v>7125</v>
      </c>
      <c r="X9" s="4">
        <f t="shared" si="14"/>
        <v>7500</v>
      </c>
      <c r="Y9" s="4">
        <f t="shared" si="14"/>
        <v>7875</v>
      </c>
      <c r="Z9" s="4">
        <f t="shared" si="14"/>
        <v>8250</v>
      </c>
      <c r="AA9" s="4">
        <f t="shared" si="14"/>
        <v>8625</v>
      </c>
      <c r="AB9" s="4">
        <f t="shared" si="14"/>
        <v>9000</v>
      </c>
      <c r="AC9" s="4">
        <f t="shared" si="14"/>
        <v>9375</v>
      </c>
      <c r="AD9" s="4">
        <f t="shared" si="14"/>
        <v>9750</v>
      </c>
      <c r="AE9" s="4">
        <f t="shared" si="14"/>
        <v>10125</v>
      </c>
      <c r="AF9" s="4">
        <f t="shared" si="14"/>
        <v>10500</v>
      </c>
      <c r="AG9" s="4">
        <f t="shared" si="14"/>
        <v>10875</v>
      </c>
      <c r="AH9" s="4">
        <f t="shared" si="14"/>
        <v>11250</v>
      </c>
      <c r="AI9" s="4">
        <f t="shared" si="14"/>
        <v>11625</v>
      </c>
      <c r="AJ9" s="4">
        <f t="shared" si="14"/>
        <v>12000</v>
      </c>
      <c r="AK9" s="4">
        <f t="shared" si="14"/>
        <v>12375</v>
      </c>
      <c r="AL9" s="4">
        <f t="shared" si="14"/>
        <v>12750</v>
      </c>
      <c r="AM9" s="4">
        <f t="shared" si="14"/>
        <v>13125</v>
      </c>
      <c r="AN9" s="4">
        <f t="shared" si="14"/>
        <v>13500</v>
      </c>
      <c r="AO9" s="4">
        <f t="shared" si="14"/>
        <v>13875</v>
      </c>
      <c r="AP9" s="4">
        <f t="shared" si="14"/>
        <v>14250</v>
      </c>
      <c r="AQ9" s="4">
        <f t="shared" si="14"/>
        <v>14625</v>
      </c>
      <c r="AR9" s="4">
        <f t="shared" si="14"/>
        <v>15000</v>
      </c>
      <c r="AS9" s="76"/>
      <c r="AT9" s="76"/>
      <c r="AU9" s="76"/>
    </row>
    <row r="10" spans="1:47">
      <c r="B10" t="s">
        <v>28</v>
      </c>
      <c r="C10" s="11">
        <f>SUM(C4:C9)</f>
        <v>74252</v>
      </c>
      <c r="D10" s="11"/>
      <c r="E10" s="11">
        <f>SUM(E4:E9)</f>
        <v>35200</v>
      </c>
      <c r="F10" s="11">
        <f>SUM(F4:F9)</f>
        <v>65100</v>
      </c>
      <c r="G10" s="11">
        <f>SUM(G4:G9)</f>
        <v>95000</v>
      </c>
      <c r="H10" s="11">
        <f>SUM(H4:H9)</f>
        <v>124900</v>
      </c>
      <c r="I10" s="11">
        <f t="shared" ref="I10:AG10" si="15">SUM(I4:I9)</f>
        <v>154800</v>
      </c>
      <c r="J10" s="11">
        <f t="shared" si="15"/>
        <v>184700</v>
      </c>
      <c r="K10" s="11">
        <f t="shared" si="15"/>
        <v>214600</v>
      </c>
      <c r="L10" s="11">
        <f t="shared" si="15"/>
        <v>244500</v>
      </c>
      <c r="M10" s="11">
        <f t="shared" si="15"/>
        <v>274400</v>
      </c>
      <c r="N10" s="11">
        <f t="shared" si="15"/>
        <v>304300</v>
      </c>
      <c r="O10" s="11">
        <f t="shared" si="15"/>
        <v>334200</v>
      </c>
      <c r="P10" s="11">
        <f t="shared" si="15"/>
        <v>364100</v>
      </c>
      <c r="Q10" s="11">
        <f t="shared" si="15"/>
        <v>394000</v>
      </c>
      <c r="R10" s="11">
        <f t="shared" si="15"/>
        <v>423900</v>
      </c>
      <c r="S10" s="11">
        <f t="shared" si="15"/>
        <v>453800</v>
      </c>
      <c r="T10" s="11">
        <f t="shared" si="15"/>
        <v>483700</v>
      </c>
      <c r="U10" s="11">
        <f t="shared" si="15"/>
        <v>513600</v>
      </c>
      <c r="V10" s="11">
        <f t="shared" si="15"/>
        <v>543500</v>
      </c>
      <c r="W10" s="11">
        <f t="shared" si="15"/>
        <v>573400</v>
      </c>
      <c r="X10" s="11">
        <f t="shared" si="15"/>
        <v>597800</v>
      </c>
      <c r="Y10" s="11">
        <f t="shared" si="15"/>
        <v>633200</v>
      </c>
      <c r="Z10" s="11">
        <f t="shared" si="15"/>
        <v>663100</v>
      </c>
      <c r="AA10" s="11">
        <f t="shared" si="15"/>
        <v>693000</v>
      </c>
      <c r="AB10" s="11">
        <f t="shared" si="15"/>
        <v>722900</v>
      </c>
      <c r="AC10" s="11">
        <f t="shared" si="15"/>
        <v>752800</v>
      </c>
      <c r="AD10" s="11">
        <f t="shared" si="15"/>
        <v>782700</v>
      </c>
      <c r="AE10" s="11">
        <f t="shared" si="15"/>
        <v>812600</v>
      </c>
      <c r="AF10" s="11">
        <f t="shared" si="15"/>
        <v>842500</v>
      </c>
      <c r="AG10" s="11">
        <f t="shared" si="15"/>
        <v>872400</v>
      </c>
      <c r="AH10" s="11">
        <f t="shared" ref="AH10:AJ10" si="16">SUM(AH4:AH9)</f>
        <v>902300</v>
      </c>
      <c r="AI10" s="11">
        <f t="shared" si="16"/>
        <v>932200</v>
      </c>
      <c r="AJ10" s="11">
        <f t="shared" si="16"/>
        <v>962100</v>
      </c>
      <c r="AK10" s="11">
        <f t="shared" ref="AK10:AN10" si="17">SUM(AK4:AK9)</f>
        <v>992000</v>
      </c>
      <c r="AL10" s="11">
        <f t="shared" si="17"/>
        <v>1021900</v>
      </c>
      <c r="AM10" s="11">
        <f t="shared" si="17"/>
        <v>1051800</v>
      </c>
      <c r="AN10" s="11">
        <f t="shared" si="17"/>
        <v>1081700</v>
      </c>
      <c r="AO10" s="11">
        <f t="shared" ref="AO10:AR10" si="18">SUM(AO4:AO9)</f>
        <v>1111600</v>
      </c>
      <c r="AP10" s="11">
        <f t="shared" si="18"/>
        <v>1141500</v>
      </c>
      <c r="AQ10" s="11">
        <f t="shared" si="18"/>
        <v>1171400</v>
      </c>
      <c r="AR10" s="11">
        <f t="shared" si="18"/>
        <v>1190300</v>
      </c>
      <c r="AS10" s="76"/>
      <c r="AT10" s="76"/>
      <c r="AU10" s="76"/>
    </row>
    <row r="11" spans="1:47" s="64" customFormat="1">
      <c r="A11"/>
      <c r="B11" s="64" t="s">
        <v>29</v>
      </c>
      <c r="C11" s="67">
        <v>0.09</v>
      </c>
      <c r="D11" s="67"/>
      <c r="E11" s="67">
        <f>C11</f>
        <v>0.09</v>
      </c>
      <c r="F11" s="67">
        <f>C11</f>
        <v>0.09</v>
      </c>
      <c r="G11" s="67">
        <f t="shared" ref="G11:AQ11" si="19">F11</f>
        <v>0.09</v>
      </c>
      <c r="H11" s="67">
        <f t="shared" si="19"/>
        <v>0.09</v>
      </c>
      <c r="I11" s="67">
        <f t="shared" si="19"/>
        <v>0.09</v>
      </c>
      <c r="J11" s="67">
        <f t="shared" si="19"/>
        <v>0.09</v>
      </c>
      <c r="K11" s="67">
        <f t="shared" si="19"/>
        <v>0.09</v>
      </c>
      <c r="L11" s="67">
        <f t="shared" si="19"/>
        <v>0.09</v>
      </c>
      <c r="M11" s="67">
        <f t="shared" si="19"/>
        <v>0.09</v>
      </c>
      <c r="N11" s="67">
        <f t="shared" si="19"/>
        <v>0.09</v>
      </c>
      <c r="O11" s="67">
        <f t="shared" si="19"/>
        <v>0.09</v>
      </c>
      <c r="P11" s="67">
        <f t="shared" si="19"/>
        <v>0.09</v>
      </c>
      <c r="Q11" s="67">
        <f t="shared" si="19"/>
        <v>0.09</v>
      </c>
      <c r="R11" s="67">
        <f t="shared" si="19"/>
        <v>0.09</v>
      </c>
      <c r="S11" s="67">
        <f t="shared" si="19"/>
        <v>0.09</v>
      </c>
      <c r="T11" s="67">
        <f t="shared" si="19"/>
        <v>0.09</v>
      </c>
      <c r="U11" s="67">
        <f t="shared" si="19"/>
        <v>0.09</v>
      </c>
      <c r="V11" s="67">
        <f t="shared" si="19"/>
        <v>0.09</v>
      </c>
      <c r="W11" s="67">
        <f t="shared" si="19"/>
        <v>0.09</v>
      </c>
      <c r="X11" s="67">
        <v>0.09</v>
      </c>
      <c r="Y11" s="67">
        <f>W11</f>
        <v>0.09</v>
      </c>
      <c r="Z11" s="67">
        <f t="shared" si="19"/>
        <v>0.09</v>
      </c>
      <c r="AA11" s="67">
        <f t="shared" si="19"/>
        <v>0.09</v>
      </c>
      <c r="AB11" s="67">
        <f t="shared" si="19"/>
        <v>0.09</v>
      </c>
      <c r="AC11" s="67">
        <f t="shared" si="19"/>
        <v>0.09</v>
      </c>
      <c r="AD11" s="67">
        <f t="shared" si="19"/>
        <v>0.09</v>
      </c>
      <c r="AE11" s="67">
        <f t="shared" si="19"/>
        <v>0.09</v>
      </c>
      <c r="AF11" s="67">
        <f t="shared" si="19"/>
        <v>0.09</v>
      </c>
      <c r="AG11" s="67">
        <f t="shared" si="19"/>
        <v>0.09</v>
      </c>
      <c r="AH11" s="67">
        <f t="shared" si="19"/>
        <v>0.09</v>
      </c>
      <c r="AI11" s="67">
        <f t="shared" si="19"/>
        <v>0.09</v>
      </c>
      <c r="AJ11" s="67">
        <f t="shared" si="19"/>
        <v>0.09</v>
      </c>
      <c r="AK11" s="67">
        <f t="shared" si="19"/>
        <v>0.09</v>
      </c>
      <c r="AL11" s="67">
        <f t="shared" si="19"/>
        <v>0.09</v>
      </c>
      <c r="AM11" s="67">
        <f t="shared" si="19"/>
        <v>0.09</v>
      </c>
      <c r="AN11" s="67">
        <f t="shared" si="19"/>
        <v>0.09</v>
      </c>
      <c r="AO11" s="67">
        <f t="shared" si="19"/>
        <v>0.09</v>
      </c>
      <c r="AP11" s="67">
        <f t="shared" si="19"/>
        <v>0.09</v>
      </c>
      <c r="AQ11" s="67">
        <f t="shared" si="19"/>
        <v>0.09</v>
      </c>
      <c r="AR11" s="67">
        <v>0.09</v>
      </c>
      <c r="AS11" s="77"/>
      <c r="AT11" s="77"/>
      <c r="AU11" s="77"/>
    </row>
    <row r="12" spans="1:47">
      <c r="B12" s="68" t="s">
        <v>30</v>
      </c>
      <c r="C12" s="68">
        <f>(1+C11/C15)^C15-1</f>
        <v>9.4100503202476204E-2</v>
      </c>
      <c r="D12" s="68"/>
      <c r="E12" s="68">
        <f>(1+E11/E15)^E15-1</f>
        <v>9.4100503202476204E-2</v>
      </c>
      <c r="F12" s="68">
        <f>(1+F11/F15)^F15-1</f>
        <v>9.4100503202476204E-2</v>
      </c>
      <c r="G12" s="68">
        <f>(1+G11/G15)^G15-1</f>
        <v>9.4100503202476204E-2</v>
      </c>
      <c r="H12" s="68">
        <f>(1+H11/H15)^H15-1</f>
        <v>9.4100503202476204E-2</v>
      </c>
      <c r="I12" s="68">
        <f t="shared" ref="I12:AR12" si="20">(1+I11/I15)^I15-1</f>
        <v>9.4100503202476204E-2</v>
      </c>
      <c r="J12" s="68">
        <f t="shared" si="20"/>
        <v>9.4100503202476204E-2</v>
      </c>
      <c r="K12" s="68">
        <f t="shared" si="20"/>
        <v>9.4100503202476204E-2</v>
      </c>
      <c r="L12" s="68">
        <f t="shared" si="20"/>
        <v>9.4100503202476204E-2</v>
      </c>
      <c r="M12" s="68">
        <f t="shared" si="20"/>
        <v>9.4100503202476204E-2</v>
      </c>
      <c r="N12" s="68">
        <f t="shared" si="20"/>
        <v>9.4100503202476204E-2</v>
      </c>
      <c r="O12" s="68">
        <f t="shared" si="20"/>
        <v>9.4100503202476204E-2</v>
      </c>
      <c r="P12" s="68">
        <f t="shared" si="20"/>
        <v>9.4100503202476204E-2</v>
      </c>
      <c r="Q12" s="68">
        <f t="shared" si="20"/>
        <v>9.4100503202476204E-2</v>
      </c>
      <c r="R12" s="68">
        <f t="shared" si="20"/>
        <v>9.4100503202476204E-2</v>
      </c>
      <c r="S12" s="68">
        <f t="shared" si="20"/>
        <v>9.4100503202476204E-2</v>
      </c>
      <c r="T12" s="68">
        <f t="shared" si="20"/>
        <v>9.4100503202476204E-2</v>
      </c>
      <c r="U12" s="68">
        <f t="shared" si="20"/>
        <v>9.4100503202476204E-2</v>
      </c>
      <c r="V12" s="68">
        <f t="shared" si="20"/>
        <v>9.4100503202476204E-2</v>
      </c>
      <c r="W12" s="68">
        <f t="shared" si="20"/>
        <v>9.4100503202476204E-2</v>
      </c>
      <c r="X12" s="68">
        <f t="shared" si="20"/>
        <v>9.4100503202476204E-2</v>
      </c>
      <c r="Y12" s="68">
        <f t="shared" si="20"/>
        <v>9.4100503202476204E-2</v>
      </c>
      <c r="Z12" s="68">
        <f t="shared" si="20"/>
        <v>9.4100503202476204E-2</v>
      </c>
      <c r="AA12" s="68">
        <f t="shared" si="20"/>
        <v>9.4100503202476204E-2</v>
      </c>
      <c r="AB12" s="68">
        <f t="shared" si="20"/>
        <v>9.4100503202476204E-2</v>
      </c>
      <c r="AC12" s="68">
        <f t="shared" si="20"/>
        <v>9.4100503202476204E-2</v>
      </c>
      <c r="AD12" s="68">
        <f t="shared" si="20"/>
        <v>9.4100503202476204E-2</v>
      </c>
      <c r="AE12" s="68">
        <f t="shared" si="20"/>
        <v>9.4100503202476204E-2</v>
      </c>
      <c r="AF12" s="68">
        <f t="shared" si="20"/>
        <v>9.4100503202476204E-2</v>
      </c>
      <c r="AG12" s="68">
        <f t="shared" si="20"/>
        <v>9.4100503202476204E-2</v>
      </c>
      <c r="AH12" s="68">
        <f t="shared" si="20"/>
        <v>9.4100503202476204E-2</v>
      </c>
      <c r="AI12" s="68">
        <f t="shared" si="20"/>
        <v>9.4100503202476204E-2</v>
      </c>
      <c r="AJ12" s="68">
        <f t="shared" si="20"/>
        <v>9.4100503202476204E-2</v>
      </c>
      <c r="AK12" s="68">
        <f t="shared" si="20"/>
        <v>9.4100503202476204E-2</v>
      </c>
      <c r="AL12" s="68">
        <f t="shared" si="20"/>
        <v>9.4100503202476204E-2</v>
      </c>
      <c r="AM12" s="68">
        <f t="shared" si="20"/>
        <v>9.4100503202476204E-2</v>
      </c>
      <c r="AN12" s="68">
        <f t="shared" si="20"/>
        <v>9.4100503202476204E-2</v>
      </c>
      <c r="AO12" s="68">
        <f t="shared" si="20"/>
        <v>9.4100503202476204E-2</v>
      </c>
      <c r="AP12" s="68">
        <f t="shared" si="20"/>
        <v>9.4100503202476204E-2</v>
      </c>
      <c r="AQ12" s="68">
        <f t="shared" si="20"/>
        <v>9.4100503202476204E-2</v>
      </c>
      <c r="AR12" s="78">
        <f t="shared" si="20"/>
        <v>9.4100503202476204E-2</v>
      </c>
      <c r="AS12" s="79"/>
      <c r="AT12" s="79"/>
      <c r="AU12" s="79"/>
    </row>
    <row r="13" spans="1:47">
      <c r="B13" t="s">
        <v>31</v>
      </c>
      <c r="C13" s="69">
        <v>5</v>
      </c>
      <c r="D13" s="69"/>
      <c r="E13" s="69">
        <v>5</v>
      </c>
      <c r="F13" s="69">
        <v>5</v>
      </c>
      <c r="G13" s="69">
        <v>5</v>
      </c>
      <c r="H13" s="69">
        <v>5</v>
      </c>
      <c r="I13" s="69">
        <v>5</v>
      </c>
      <c r="J13" s="69">
        <v>5</v>
      </c>
      <c r="K13" s="69">
        <v>5</v>
      </c>
      <c r="L13" s="69">
        <v>5</v>
      </c>
      <c r="M13" s="69">
        <v>5</v>
      </c>
      <c r="N13" s="69">
        <v>5</v>
      </c>
      <c r="O13" s="69">
        <v>5</v>
      </c>
      <c r="P13" s="69">
        <v>5</v>
      </c>
      <c r="Q13" s="69">
        <v>5</v>
      </c>
      <c r="R13" s="69">
        <v>5</v>
      </c>
      <c r="S13" s="69">
        <v>5</v>
      </c>
      <c r="T13" s="69">
        <f t="shared" ref="T13:AE13" si="21">P13</f>
        <v>5</v>
      </c>
      <c r="U13" s="69">
        <f t="shared" si="21"/>
        <v>5</v>
      </c>
      <c r="V13" s="69">
        <f t="shared" si="21"/>
        <v>5</v>
      </c>
      <c r="W13" s="69">
        <f t="shared" si="21"/>
        <v>5</v>
      </c>
      <c r="X13" s="69">
        <f t="shared" si="21"/>
        <v>5</v>
      </c>
      <c r="Y13" s="69">
        <f t="shared" si="21"/>
        <v>5</v>
      </c>
      <c r="Z13" s="69">
        <f t="shared" si="21"/>
        <v>5</v>
      </c>
      <c r="AA13" s="69">
        <f t="shared" si="21"/>
        <v>5</v>
      </c>
      <c r="AB13" s="69">
        <f t="shared" si="21"/>
        <v>5</v>
      </c>
      <c r="AC13" s="69">
        <f t="shared" si="21"/>
        <v>5</v>
      </c>
      <c r="AD13" s="69">
        <f t="shared" si="21"/>
        <v>5</v>
      </c>
      <c r="AE13" s="69">
        <f t="shared" si="21"/>
        <v>5</v>
      </c>
      <c r="AF13" s="69">
        <f t="shared" ref="AF13:AG13" si="22">AB13</f>
        <v>5</v>
      </c>
      <c r="AG13" s="69">
        <f t="shared" si="22"/>
        <v>5</v>
      </c>
      <c r="AH13" s="69">
        <f t="shared" ref="AH13" si="23">AD13</f>
        <v>5</v>
      </c>
      <c r="AI13" s="69">
        <f t="shared" ref="AI13:AJ13" si="24">AE13</f>
        <v>5</v>
      </c>
      <c r="AJ13" s="69">
        <f t="shared" si="24"/>
        <v>5</v>
      </c>
      <c r="AK13" s="69">
        <f t="shared" ref="AK13:AN13" si="25">AG13</f>
        <v>5</v>
      </c>
      <c r="AL13" s="69">
        <f t="shared" si="25"/>
        <v>5</v>
      </c>
      <c r="AM13" s="69">
        <f t="shared" si="25"/>
        <v>5</v>
      </c>
      <c r="AN13" s="69">
        <f t="shared" si="25"/>
        <v>5</v>
      </c>
      <c r="AO13" s="69">
        <f t="shared" ref="AO13:AR13" si="26">AK13</f>
        <v>5</v>
      </c>
      <c r="AP13" s="69">
        <f t="shared" si="26"/>
        <v>5</v>
      </c>
      <c r="AQ13" s="69">
        <f t="shared" si="26"/>
        <v>5</v>
      </c>
      <c r="AR13" s="69">
        <f t="shared" si="26"/>
        <v>5</v>
      </c>
      <c r="AS13" s="80"/>
      <c r="AT13" s="80"/>
      <c r="AU13" s="80"/>
    </row>
    <row r="14" spans="1:47" s="63" customFormat="1">
      <c r="B14" s="63" t="s">
        <v>32</v>
      </c>
      <c r="C14" s="70">
        <f>C11/12</f>
        <v>7.4999999999999997E-3</v>
      </c>
      <c r="D14" s="70"/>
      <c r="E14" s="70">
        <f>E11/12</f>
        <v>7.4999999999999997E-3</v>
      </c>
      <c r="F14" s="70">
        <f>F11/12</f>
        <v>7.4999999999999997E-3</v>
      </c>
      <c r="G14" s="70">
        <f>G11/12</f>
        <v>7.4999999999999997E-3</v>
      </c>
      <c r="H14" s="70">
        <f>H11/12</f>
        <v>7.4999999999999997E-3</v>
      </c>
      <c r="I14" s="70">
        <f t="shared" ref="I14:J14" si="27">I11/12</f>
        <v>7.4999999999999997E-3</v>
      </c>
      <c r="J14" s="70">
        <f t="shared" si="27"/>
        <v>7.4999999999999997E-3</v>
      </c>
      <c r="K14" s="70">
        <f t="shared" ref="K14" si="28">K11/12</f>
        <v>7.4999999999999997E-3</v>
      </c>
      <c r="L14" s="70">
        <f t="shared" ref="L14:S14" si="29">L11/12</f>
        <v>7.4999999999999997E-3</v>
      </c>
      <c r="M14" s="70">
        <f t="shared" si="29"/>
        <v>7.4999999999999997E-3</v>
      </c>
      <c r="N14" s="70">
        <f t="shared" si="29"/>
        <v>7.4999999999999997E-3</v>
      </c>
      <c r="O14" s="70">
        <f t="shared" si="29"/>
        <v>7.4999999999999997E-3</v>
      </c>
      <c r="P14" s="70">
        <f t="shared" si="29"/>
        <v>7.4999999999999997E-3</v>
      </c>
      <c r="Q14" s="70">
        <f t="shared" si="29"/>
        <v>7.4999999999999997E-3</v>
      </c>
      <c r="R14" s="70">
        <f t="shared" si="29"/>
        <v>7.4999999999999997E-3</v>
      </c>
      <c r="S14" s="70">
        <f t="shared" si="29"/>
        <v>7.4999999999999997E-3</v>
      </c>
      <c r="T14" s="70">
        <f t="shared" ref="T14:U14" si="30">T11/12</f>
        <v>7.4999999999999997E-3</v>
      </c>
      <c r="U14" s="70">
        <f t="shared" si="30"/>
        <v>7.4999999999999997E-3</v>
      </c>
      <c r="V14" s="70">
        <f t="shared" ref="V14:W14" si="31">V11/12</f>
        <v>7.4999999999999997E-3</v>
      </c>
      <c r="W14" s="70">
        <f t="shared" si="31"/>
        <v>7.4999999999999997E-3</v>
      </c>
      <c r="X14" s="70">
        <f t="shared" ref="X14:AF14" si="32">X11/12</f>
        <v>7.4999999999999997E-3</v>
      </c>
      <c r="Y14" s="70">
        <f t="shared" ref="Y14:AA14" si="33">Y11/12</f>
        <v>7.4999999999999997E-3</v>
      </c>
      <c r="Z14" s="70">
        <f t="shared" si="33"/>
        <v>7.4999999999999997E-3</v>
      </c>
      <c r="AA14" s="70">
        <f t="shared" si="33"/>
        <v>7.4999999999999997E-3</v>
      </c>
      <c r="AB14" s="70">
        <f t="shared" si="32"/>
        <v>7.4999999999999997E-3</v>
      </c>
      <c r="AC14" s="70">
        <f t="shared" ref="AC14:AE14" si="34">AC11/12</f>
        <v>7.4999999999999997E-3</v>
      </c>
      <c r="AD14" s="70">
        <f t="shared" si="34"/>
        <v>7.4999999999999997E-3</v>
      </c>
      <c r="AE14" s="70">
        <f t="shared" si="34"/>
        <v>7.4999999999999997E-3</v>
      </c>
      <c r="AF14" s="70">
        <f t="shared" si="32"/>
        <v>7.4999999999999997E-3</v>
      </c>
      <c r="AG14" s="70">
        <f t="shared" ref="AG14:AI14" si="35">AG11/12</f>
        <v>7.4999999999999997E-3</v>
      </c>
      <c r="AH14" s="70">
        <f t="shared" si="35"/>
        <v>7.4999999999999997E-3</v>
      </c>
      <c r="AI14" s="70">
        <f t="shared" si="35"/>
        <v>7.4999999999999997E-3</v>
      </c>
      <c r="AJ14" s="70">
        <f t="shared" ref="AJ14:AR14" si="36">AJ11/12</f>
        <v>7.4999999999999997E-3</v>
      </c>
      <c r="AK14" s="70">
        <f t="shared" ref="AK14:AM14" si="37">AK11/12</f>
        <v>7.4999999999999997E-3</v>
      </c>
      <c r="AL14" s="70">
        <f t="shared" si="37"/>
        <v>7.4999999999999997E-3</v>
      </c>
      <c r="AM14" s="70">
        <f t="shared" si="37"/>
        <v>7.4999999999999997E-3</v>
      </c>
      <c r="AN14" s="70">
        <f t="shared" si="36"/>
        <v>7.4999999999999997E-3</v>
      </c>
      <c r="AO14" s="70">
        <f t="shared" ref="AO14:AQ14" si="38">AO11/12</f>
        <v>7.4999999999999997E-3</v>
      </c>
      <c r="AP14" s="70">
        <f t="shared" si="38"/>
        <v>7.4999999999999997E-3</v>
      </c>
      <c r="AQ14" s="70">
        <f t="shared" si="38"/>
        <v>7.4999999999999997E-3</v>
      </c>
      <c r="AR14" s="70">
        <f t="shared" si="36"/>
        <v>7.4999999999999997E-3</v>
      </c>
      <c r="AS14" s="38"/>
      <c r="AT14" s="38"/>
      <c r="AU14" s="38"/>
    </row>
    <row r="15" spans="1:47">
      <c r="B15" t="s">
        <v>33</v>
      </c>
      <c r="C15" s="69">
        <f>C13*12</f>
        <v>60</v>
      </c>
      <c r="D15" s="69"/>
      <c r="E15" s="69">
        <f>E13*12</f>
        <v>60</v>
      </c>
      <c r="F15" s="69">
        <f>F13*12</f>
        <v>60</v>
      </c>
      <c r="G15" s="69">
        <f>G13*12</f>
        <v>60</v>
      </c>
      <c r="H15" s="69">
        <f>H13*12</f>
        <v>60</v>
      </c>
      <c r="I15" s="69">
        <f t="shared" ref="I15:J15" si="39">I13*12</f>
        <v>60</v>
      </c>
      <c r="J15" s="69">
        <f t="shared" si="39"/>
        <v>60</v>
      </c>
      <c r="K15" s="69">
        <f t="shared" ref="K15" si="40">K13*12</f>
        <v>60</v>
      </c>
      <c r="L15" s="69">
        <f t="shared" ref="L15:T15" si="41">L13*12</f>
        <v>60</v>
      </c>
      <c r="M15" s="69">
        <f t="shared" ref="M15:O15" si="42">M13*12</f>
        <v>60</v>
      </c>
      <c r="N15" s="69">
        <f t="shared" si="42"/>
        <v>60</v>
      </c>
      <c r="O15" s="69">
        <f t="shared" si="42"/>
        <v>60</v>
      </c>
      <c r="P15" s="69">
        <f t="shared" si="41"/>
        <v>60</v>
      </c>
      <c r="Q15" s="69">
        <f t="shared" ref="Q15:R15" si="43">Q13*12</f>
        <v>60</v>
      </c>
      <c r="R15" s="69">
        <f t="shared" si="43"/>
        <v>60</v>
      </c>
      <c r="S15" s="69">
        <f t="shared" ref="S15" si="44">S13*12</f>
        <v>60</v>
      </c>
      <c r="T15" s="69">
        <f t="shared" si="41"/>
        <v>60</v>
      </c>
      <c r="U15" s="69">
        <f t="shared" ref="U15:W15" si="45">U13*12</f>
        <v>60</v>
      </c>
      <c r="V15" s="69">
        <f t="shared" si="45"/>
        <v>60</v>
      </c>
      <c r="W15" s="69">
        <f t="shared" si="45"/>
        <v>60</v>
      </c>
      <c r="X15" s="69">
        <f t="shared" ref="X15:AF15" si="46">X13*12</f>
        <v>60</v>
      </c>
      <c r="Y15" s="69">
        <f t="shared" ref="Y15:AA15" si="47">Y13*12</f>
        <v>60</v>
      </c>
      <c r="Z15" s="69">
        <f t="shared" si="47"/>
        <v>60</v>
      </c>
      <c r="AA15" s="69">
        <f t="shared" si="47"/>
        <v>60</v>
      </c>
      <c r="AB15" s="69">
        <f t="shared" si="46"/>
        <v>60</v>
      </c>
      <c r="AC15" s="69">
        <f t="shared" ref="AC15:AE15" si="48">AC13*12</f>
        <v>60</v>
      </c>
      <c r="AD15" s="69">
        <f t="shared" si="48"/>
        <v>60</v>
      </c>
      <c r="AE15" s="69">
        <f t="shared" si="48"/>
        <v>60</v>
      </c>
      <c r="AF15" s="69">
        <f t="shared" si="46"/>
        <v>60</v>
      </c>
      <c r="AG15" s="69">
        <f t="shared" ref="AG15:AI15" si="49">AG13*12</f>
        <v>60</v>
      </c>
      <c r="AH15" s="69">
        <f t="shared" si="49"/>
        <v>60</v>
      </c>
      <c r="AI15" s="69">
        <f t="shared" si="49"/>
        <v>60</v>
      </c>
      <c r="AJ15" s="69">
        <f t="shared" ref="AJ15:AR15" si="50">AJ13*12</f>
        <v>60</v>
      </c>
      <c r="AK15" s="69">
        <f t="shared" ref="AK15:AM15" si="51">AK13*12</f>
        <v>60</v>
      </c>
      <c r="AL15" s="69">
        <f t="shared" si="51"/>
        <v>60</v>
      </c>
      <c r="AM15" s="69">
        <f t="shared" si="51"/>
        <v>60</v>
      </c>
      <c r="AN15" s="69">
        <f t="shared" si="50"/>
        <v>60</v>
      </c>
      <c r="AO15" s="69">
        <f t="shared" ref="AO15:AQ15" si="52">AO13*12</f>
        <v>60</v>
      </c>
      <c r="AP15" s="69">
        <f t="shared" si="52"/>
        <v>60</v>
      </c>
      <c r="AQ15" s="69">
        <f t="shared" si="52"/>
        <v>60</v>
      </c>
      <c r="AR15" s="69">
        <f t="shared" si="50"/>
        <v>60</v>
      </c>
      <c r="AS15" s="80"/>
      <c r="AT15" s="80"/>
      <c r="AU15" s="80"/>
    </row>
    <row r="16" spans="1:47">
      <c r="C16" s="4"/>
      <c r="D16" s="4"/>
      <c r="E16" s="4"/>
      <c r="F16" s="4"/>
      <c r="G16" s="4"/>
      <c r="H16" s="4"/>
      <c r="I16" s="4"/>
      <c r="J16" s="4"/>
      <c r="K16" s="4"/>
      <c r="L16" s="4"/>
      <c r="M16" s="4"/>
      <c r="AB16" s="4"/>
      <c r="AC16" s="4"/>
      <c r="AD16" s="4"/>
      <c r="AE16" s="4"/>
      <c r="AF16" s="4"/>
      <c r="AG16" s="4"/>
      <c r="AH16" s="4"/>
      <c r="AI16" s="4"/>
      <c r="AJ16" s="4"/>
      <c r="AK16" s="4"/>
      <c r="AL16" s="4"/>
      <c r="AM16" s="4"/>
      <c r="AN16" s="4"/>
      <c r="AO16" s="4"/>
      <c r="AP16" s="4"/>
      <c r="AQ16" s="4"/>
      <c r="AR16" s="4"/>
      <c r="AS16" s="76"/>
      <c r="AT16" s="76"/>
      <c r="AU16" s="76"/>
    </row>
    <row r="17" spans="2:47">
      <c r="B17" t="s">
        <v>17</v>
      </c>
      <c r="C17" s="71">
        <f>(1+C14)^C15</f>
        <v>1.5656810269415731</v>
      </c>
      <c r="D17" s="71"/>
      <c r="E17" s="71">
        <f>(1+E14)^E15</f>
        <v>1.5656810269415731</v>
      </c>
      <c r="F17" s="71">
        <f t="shared" ref="F17:K17" si="53">(1+F14)^F15</f>
        <v>1.5656810269415731</v>
      </c>
      <c r="G17" s="71">
        <f t="shared" si="53"/>
        <v>1.5656810269415731</v>
      </c>
      <c r="H17" s="71">
        <f t="shared" si="53"/>
        <v>1.5656810269415731</v>
      </c>
      <c r="I17" s="71">
        <f t="shared" si="53"/>
        <v>1.5656810269415731</v>
      </c>
      <c r="J17" s="71">
        <f t="shared" si="53"/>
        <v>1.5656810269415731</v>
      </c>
      <c r="K17" s="71">
        <f t="shared" si="53"/>
        <v>1.5656810269415731</v>
      </c>
      <c r="L17" s="71">
        <f t="shared" ref="L17:T17" si="54">(1+L14)^L15</f>
        <v>1.5656810269415731</v>
      </c>
      <c r="M17" s="71">
        <f t="shared" ref="M17" si="55">(1+M14)^M15</f>
        <v>1.5656810269415731</v>
      </c>
      <c r="N17" s="71">
        <f t="shared" ref="N17:S17" si="56">(1+N14)^N15</f>
        <v>1.5656810269415731</v>
      </c>
      <c r="O17" s="71">
        <f t="shared" si="56"/>
        <v>1.5656810269415731</v>
      </c>
      <c r="P17" s="71">
        <f t="shared" si="56"/>
        <v>1.5656810269415731</v>
      </c>
      <c r="Q17" s="71">
        <f t="shared" si="56"/>
        <v>1.5656810269415731</v>
      </c>
      <c r="R17" s="71">
        <f t="shared" si="56"/>
        <v>1.5656810269415731</v>
      </c>
      <c r="S17" s="71">
        <f t="shared" si="56"/>
        <v>1.5656810269415731</v>
      </c>
      <c r="T17" s="71">
        <f t="shared" si="54"/>
        <v>1.5656810269415731</v>
      </c>
      <c r="U17" s="71">
        <f t="shared" ref="U17:W17" si="57">(1+U14)^U15</f>
        <v>1.5656810269415731</v>
      </c>
      <c r="V17" s="71">
        <f t="shared" si="57"/>
        <v>1.5656810269415731</v>
      </c>
      <c r="W17" s="71">
        <f t="shared" si="57"/>
        <v>1.5656810269415731</v>
      </c>
      <c r="X17" s="71">
        <f t="shared" ref="X17:AF17" si="58">(1+X14)^X15</f>
        <v>1.5656810269415731</v>
      </c>
      <c r="Y17" s="71">
        <f t="shared" ref="Y17:AA17" si="59">(1+Y14)^Y15</f>
        <v>1.5656810269415731</v>
      </c>
      <c r="Z17" s="71">
        <f t="shared" si="59"/>
        <v>1.5656810269415731</v>
      </c>
      <c r="AA17" s="71">
        <f t="shared" si="59"/>
        <v>1.5656810269415731</v>
      </c>
      <c r="AB17" s="71">
        <f t="shared" si="58"/>
        <v>1.5656810269415731</v>
      </c>
      <c r="AC17" s="71">
        <f t="shared" ref="AC17:AE17" si="60">(1+AC14)^AC15</f>
        <v>1.5656810269415731</v>
      </c>
      <c r="AD17" s="71">
        <f t="shared" si="60"/>
        <v>1.5656810269415731</v>
      </c>
      <c r="AE17" s="71">
        <f t="shared" si="60"/>
        <v>1.5656810269415731</v>
      </c>
      <c r="AF17" s="71">
        <f t="shared" si="58"/>
        <v>1.5656810269415731</v>
      </c>
      <c r="AG17" s="71">
        <f t="shared" ref="AG17:AI17" si="61">(1+AG14)^AG15</f>
        <v>1.5656810269415731</v>
      </c>
      <c r="AH17" s="71">
        <f t="shared" si="61"/>
        <v>1.5656810269415731</v>
      </c>
      <c r="AI17" s="71">
        <f t="shared" si="61"/>
        <v>1.5656810269415731</v>
      </c>
      <c r="AJ17" s="71">
        <f t="shared" ref="AJ17:AR17" si="62">(1+AJ14)^AJ15</f>
        <v>1.5656810269415731</v>
      </c>
      <c r="AK17" s="71">
        <f t="shared" ref="AK17:AM17" si="63">(1+AK14)^AK15</f>
        <v>1.5656810269415731</v>
      </c>
      <c r="AL17" s="71">
        <f t="shared" si="63"/>
        <v>1.5656810269415731</v>
      </c>
      <c r="AM17" s="71">
        <f t="shared" si="63"/>
        <v>1.5656810269415731</v>
      </c>
      <c r="AN17" s="71">
        <f t="shared" si="62"/>
        <v>1.5656810269415731</v>
      </c>
      <c r="AO17" s="71">
        <f t="shared" ref="AO17:AQ17" si="64">(1+AO14)^AO15</f>
        <v>1.5656810269415731</v>
      </c>
      <c r="AP17" s="71">
        <f t="shared" si="64"/>
        <v>1.5656810269415731</v>
      </c>
      <c r="AQ17" s="71">
        <f t="shared" si="64"/>
        <v>1.5656810269415731</v>
      </c>
      <c r="AR17" s="71">
        <f t="shared" si="62"/>
        <v>1.5656810269415731</v>
      </c>
      <c r="AS17" s="81"/>
      <c r="AT17" s="81"/>
      <c r="AU17" s="81"/>
    </row>
    <row r="18" spans="2:47">
      <c r="C18" s="72">
        <f>C17*C14</f>
        <v>1.1742607702061798E-2</v>
      </c>
      <c r="D18" s="72"/>
      <c r="E18" s="72">
        <f>E17*E14</f>
        <v>1.1742607702061798E-2</v>
      </c>
      <c r="F18" s="72">
        <f>F17*F14</f>
        <v>1.1742607702061798E-2</v>
      </c>
      <c r="G18" s="72">
        <f>G17*G14</f>
        <v>1.1742607702061798E-2</v>
      </c>
      <c r="H18" s="72">
        <f>H17*H14</f>
        <v>1.1742607702061798E-2</v>
      </c>
      <c r="I18" s="72">
        <f t="shared" ref="I18:J18" si="65">I17*I14</f>
        <v>1.1742607702061798E-2</v>
      </c>
      <c r="J18" s="72">
        <f t="shared" si="65"/>
        <v>1.1742607702061798E-2</v>
      </c>
      <c r="K18" s="72">
        <f t="shared" ref="K18" si="66">K17*K14</f>
        <v>1.1742607702061798E-2</v>
      </c>
      <c r="L18" s="72">
        <f t="shared" ref="L18:T18" si="67">L17*L14</f>
        <v>1.1742607702061798E-2</v>
      </c>
      <c r="M18" s="72">
        <f t="shared" ref="M18:O18" si="68">M17*M14</f>
        <v>1.1742607702061798E-2</v>
      </c>
      <c r="N18" s="72">
        <f t="shared" si="68"/>
        <v>1.1742607702061798E-2</v>
      </c>
      <c r="O18" s="72">
        <f t="shared" si="68"/>
        <v>1.1742607702061798E-2</v>
      </c>
      <c r="P18" s="72">
        <f t="shared" si="67"/>
        <v>1.1742607702061798E-2</v>
      </c>
      <c r="Q18" s="72">
        <f t="shared" ref="Q18:R18" si="69">Q17*Q14</f>
        <v>1.1742607702061798E-2</v>
      </c>
      <c r="R18" s="72">
        <f t="shared" si="69"/>
        <v>1.1742607702061798E-2</v>
      </c>
      <c r="S18" s="72">
        <f t="shared" ref="S18" si="70">S17*S14</f>
        <v>1.1742607702061798E-2</v>
      </c>
      <c r="T18" s="72">
        <f t="shared" si="67"/>
        <v>1.1742607702061798E-2</v>
      </c>
      <c r="U18" s="72">
        <f t="shared" ref="U18:W18" si="71">U17*U14</f>
        <v>1.1742607702061798E-2</v>
      </c>
      <c r="V18" s="72">
        <f t="shared" si="71"/>
        <v>1.1742607702061798E-2</v>
      </c>
      <c r="W18" s="72">
        <f t="shared" si="71"/>
        <v>1.1742607702061798E-2</v>
      </c>
      <c r="X18" s="72">
        <f t="shared" ref="X18:AF18" si="72">X17*X14</f>
        <v>1.1742607702061798E-2</v>
      </c>
      <c r="Y18" s="72">
        <f t="shared" ref="Y18:AA18" si="73">Y17*Y14</f>
        <v>1.1742607702061798E-2</v>
      </c>
      <c r="Z18" s="72">
        <f t="shared" si="73"/>
        <v>1.1742607702061798E-2</v>
      </c>
      <c r="AA18" s="72">
        <f t="shared" si="73"/>
        <v>1.1742607702061798E-2</v>
      </c>
      <c r="AB18" s="72">
        <f t="shared" si="72"/>
        <v>1.1742607702061798E-2</v>
      </c>
      <c r="AC18" s="72">
        <f t="shared" ref="AC18:AE18" si="74">AC17*AC14</f>
        <v>1.1742607702061798E-2</v>
      </c>
      <c r="AD18" s="72">
        <f t="shared" si="74"/>
        <v>1.1742607702061798E-2</v>
      </c>
      <c r="AE18" s="72">
        <f t="shared" si="74"/>
        <v>1.1742607702061798E-2</v>
      </c>
      <c r="AF18" s="72">
        <f t="shared" si="72"/>
        <v>1.1742607702061798E-2</v>
      </c>
      <c r="AG18" s="72">
        <f t="shared" ref="AG18:AI18" si="75">AG17*AG14</f>
        <v>1.1742607702061798E-2</v>
      </c>
      <c r="AH18" s="72">
        <f t="shared" si="75"/>
        <v>1.1742607702061798E-2</v>
      </c>
      <c r="AI18" s="72">
        <f t="shared" si="75"/>
        <v>1.1742607702061798E-2</v>
      </c>
      <c r="AJ18" s="72">
        <f t="shared" ref="AJ18:AM18" si="76">AJ17*AJ14</f>
        <v>1.1742607702061798E-2</v>
      </c>
      <c r="AK18" s="72">
        <f t="shared" si="76"/>
        <v>1.1742607702061798E-2</v>
      </c>
      <c r="AL18" s="72">
        <f t="shared" si="76"/>
        <v>1.1742607702061798E-2</v>
      </c>
      <c r="AM18" s="72">
        <f t="shared" si="76"/>
        <v>1.1742607702061798E-2</v>
      </c>
      <c r="AN18" s="72">
        <f t="shared" ref="AN18:AQ18" si="77">AN17*AN14</f>
        <v>1.1742607702061798E-2</v>
      </c>
      <c r="AO18" s="72">
        <f t="shared" si="77"/>
        <v>1.1742607702061798E-2</v>
      </c>
      <c r="AP18" s="72">
        <f t="shared" si="77"/>
        <v>1.1742607702061798E-2</v>
      </c>
      <c r="AQ18" s="72">
        <f t="shared" si="77"/>
        <v>1.1742607702061798E-2</v>
      </c>
      <c r="AR18" s="72">
        <f t="shared" ref="AR18" si="78">AR17*AR14</f>
        <v>1.1742607702061798E-2</v>
      </c>
      <c r="AS18" s="82"/>
      <c r="AT18" s="82"/>
      <c r="AU18" s="82"/>
    </row>
    <row r="19" spans="2:47">
      <c r="C19" s="73">
        <f>C17-1</f>
        <v>0.56568102694157307</v>
      </c>
      <c r="D19" s="73"/>
      <c r="E19" s="73">
        <f>E17-1</f>
        <v>0.56568102694157307</v>
      </c>
      <c r="F19" s="73">
        <f>F17-1</f>
        <v>0.56568102694157307</v>
      </c>
      <c r="G19" s="73">
        <f>G17-1</f>
        <v>0.56568102694157307</v>
      </c>
      <c r="H19" s="73">
        <f>H17-1</f>
        <v>0.56568102694157307</v>
      </c>
      <c r="I19" s="73">
        <f t="shared" ref="I19:J19" si="79">I17-1</f>
        <v>0.56568102694157307</v>
      </c>
      <c r="J19" s="73">
        <f t="shared" si="79"/>
        <v>0.56568102694157307</v>
      </c>
      <c r="K19" s="73">
        <f t="shared" ref="K19" si="80">K17-1</f>
        <v>0.56568102694157307</v>
      </c>
      <c r="L19" s="73">
        <f t="shared" ref="L19:T19" si="81">L17-1</f>
        <v>0.56568102694157307</v>
      </c>
      <c r="M19" s="73">
        <f t="shared" ref="M19:O19" si="82">M17-1</f>
        <v>0.56568102694157307</v>
      </c>
      <c r="N19" s="73">
        <f t="shared" si="82"/>
        <v>0.56568102694157307</v>
      </c>
      <c r="O19" s="73">
        <f t="shared" si="82"/>
        <v>0.56568102694157307</v>
      </c>
      <c r="P19" s="73">
        <f t="shared" si="81"/>
        <v>0.56568102694157307</v>
      </c>
      <c r="Q19" s="73">
        <f t="shared" ref="Q19:R19" si="83">Q17-1</f>
        <v>0.56568102694157307</v>
      </c>
      <c r="R19" s="73">
        <f t="shared" si="83"/>
        <v>0.56568102694157307</v>
      </c>
      <c r="S19" s="73">
        <f t="shared" ref="S19" si="84">S17-1</f>
        <v>0.56568102694157307</v>
      </c>
      <c r="T19" s="73">
        <f t="shared" si="81"/>
        <v>0.56568102694157307</v>
      </c>
      <c r="U19" s="73">
        <f t="shared" ref="U19:W19" si="85">U17-1</f>
        <v>0.56568102694157307</v>
      </c>
      <c r="V19" s="73">
        <f t="shared" si="85"/>
        <v>0.56568102694157307</v>
      </c>
      <c r="W19" s="73">
        <f t="shared" si="85"/>
        <v>0.56568102694157307</v>
      </c>
      <c r="X19" s="73">
        <f t="shared" ref="X19:AF19" si="86">X17-1</f>
        <v>0.56568102694157307</v>
      </c>
      <c r="Y19" s="73">
        <f t="shared" ref="Y19:AA19" si="87">Y17-1</f>
        <v>0.56568102694157307</v>
      </c>
      <c r="Z19" s="73">
        <f t="shared" si="87"/>
        <v>0.56568102694157307</v>
      </c>
      <c r="AA19" s="73">
        <f t="shared" si="87"/>
        <v>0.56568102694157307</v>
      </c>
      <c r="AB19" s="73">
        <f t="shared" si="86"/>
        <v>0.56568102694157307</v>
      </c>
      <c r="AC19" s="73">
        <f t="shared" ref="AC19:AE19" si="88">AC17-1</f>
        <v>0.56568102694157307</v>
      </c>
      <c r="AD19" s="73">
        <f t="shared" si="88"/>
        <v>0.56568102694157307</v>
      </c>
      <c r="AE19" s="73">
        <f t="shared" si="88"/>
        <v>0.56568102694157307</v>
      </c>
      <c r="AF19" s="73">
        <f t="shared" si="86"/>
        <v>0.56568102694157307</v>
      </c>
      <c r="AG19" s="73">
        <f t="shared" ref="AG19:AI19" si="89">AG17-1</f>
        <v>0.56568102694157307</v>
      </c>
      <c r="AH19" s="73">
        <f t="shared" si="89"/>
        <v>0.56568102694157307</v>
      </c>
      <c r="AI19" s="73">
        <f t="shared" si="89"/>
        <v>0.56568102694157307</v>
      </c>
      <c r="AJ19" s="73">
        <f t="shared" ref="AJ19:AR19" si="90">AJ17-1</f>
        <v>0.56568102694157307</v>
      </c>
      <c r="AK19" s="73">
        <f t="shared" ref="AK19:AM19" si="91">AK17-1</f>
        <v>0.56568102694157307</v>
      </c>
      <c r="AL19" s="73">
        <f t="shared" si="91"/>
        <v>0.56568102694157307</v>
      </c>
      <c r="AM19" s="73">
        <f t="shared" si="91"/>
        <v>0.56568102694157307</v>
      </c>
      <c r="AN19" s="73">
        <f t="shared" si="90"/>
        <v>0.56568102694157307</v>
      </c>
      <c r="AO19" s="73">
        <f t="shared" ref="AO19:AQ19" si="92">AO17-1</f>
        <v>0.56568102694157307</v>
      </c>
      <c r="AP19" s="73">
        <f t="shared" si="92"/>
        <v>0.56568102694157307</v>
      </c>
      <c r="AQ19" s="73">
        <f t="shared" si="92"/>
        <v>0.56568102694157307</v>
      </c>
      <c r="AR19" s="73">
        <f t="shared" si="90"/>
        <v>0.56568102694157307</v>
      </c>
      <c r="AS19" s="83"/>
      <c r="AT19" s="83"/>
      <c r="AU19" s="83"/>
    </row>
    <row r="20" spans="2:47">
      <c r="C20" s="73">
        <f>C18/C19</f>
        <v>2.0758355226353817E-2</v>
      </c>
      <c r="D20" s="73"/>
      <c r="E20" s="73">
        <f>E18/E19</f>
        <v>2.0758355226353817E-2</v>
      </c>
      <c r="F20" s="73">
        <f>F18/F19</f>
        <v>2.0758355226353817E-2</v>
      </c>
      <c r="G20" s="73">
        <f>G18/G19</f>
        <v>2.0758355226353817E-2</v>
      </c>
      <c r="H20" s="73">
        <f>H18/H19</f>
        <v>2.0758355226353817E-2</v>
      </c>
      <c r="I20" s="73">
        <f t="shared" ref="I20:J20" si="93">I18/I19</f>
        <v>2.0758355226353817E-2</v>
      </c>
      <c r="J20" s="73">
        <f t="shared" si="93"/>
        <v>2.0758355226353817E-2</v>
      </c>
      <c r="K20" s="73">
        <f t="shared" ref="K20" si="94">K18/K19</f>
        <v>2.0758355226353817E-2</v>
      </c>
      <c r="L20" s="73">
        <f t="shared" ref="L20:T20" si="95">L18/L19</f>
        <v>2.0758355226353817E-2</v>
      </c>
      <c r="M20" s="73">
        <f t="shared" ref="M20:O20" si="96">M18/M19</f>
        <v>2.0758355226353817E-2</v>
      </c>
      <c r="N20" s="73">
        <f t="shared" si="96"/>
        <v>2.0758355226353817E-2</v>
      </c>
      <c r="O20" s="73">
        <f t="shared" si="96"/>
        <v>2.0758355226353817E-2</v>
      </c>
      <c r="P20" s="73">
        <f t="shared" si="95"/>
        <v>2.0758355226353817E-2</v>
      </c>
      <c r="Q20" s="73">
        <f t="shared" ref="Q20:R20" si="97">Q18/Q19</f>
        <v>2.0758355226353817E-2</v>
      </c>
      <c r="R20" s="73">
        <f t="shared" si="97"/>
        <v>2.0758355226353817E-2</v>
      </c>
      <c r="S20" s="73">
        <f t="shared" ref="S20" si="98">S18/S19</f>
        <v>2.0758355226353817E-2</v>
      </c>
      <c r="T20" s="73">
        <f t="shared" si="95"/>
        <v>2.0758355226353817E-2</v>
      </c>
      <c r="U20" s="73">
        <f t="shared" ref="U20:W20" si="99">U18/U19</f>
        <v>2.0758355226353817E-2</v>
      </c>
      <c r="V20" s="73">
        <f t="shared" si="99"/>
        <v>2.0758355226353817E-2</v>
      </c>
      <c r="W20" s="73">
        <f t="shared" si="99"/>
        <v>2.0758355226353817E-2</v>
      </c>
      <c r="X20" s="73">
        <f t="shared" ref="X20:AF20" si="100">X18/X19</f>
        <v>2.0758355226353817E-2</v>
      </c>
      <c r="Y20" s="73">
        <f t="shared" ref="Y20:AA20" si="101">Y18/Y19</f>
        <v>2.0758355226353817E-2</v>
      </c>
      <c r="Z20" s="73">
        <f t="shared" si="101"/>
        <v>2.0758355226353817E-2</v>
      </c>
      <c r="AA20" s="73">
        <f t="shared" si="101"/>
        <v>2.0758355226353817E-2</v>
      </c>
      <c r="AB20" s="73">
        <f t="shared" si="100"/>
        <v>2.0758355226353817E-2</v>
      </c>
      <c r="AC20" s="73">
        <f t="shared" ref="AC20:AE20" si="102">AC18/AC19</f>
        <v>2.0758355226353817E-2</v>
      </c>
      <c r="AD20" s="73">
        <f t="shared" si="102"/>
        <v>2.0758355226353817E-2</v>
      </c>
      <c r="AE20" s="73">
        <f t="shared" si="102"/>
        <v>2.0758355226353817E-2</v>
      </c>
      <c r="AF20" s="73">
        <f t="shared" si="100"/>
        <v>2.0758355226353817E-2</v>
      </c>
      <c r="AG20" s="73">
        <f t="shared" ref="AG20:AI20" si="103">AG18/AG19</f>
        <v>2.0758355226353817E-2</v>
      </c>
      <c r="AH20" s="73">
        <f t="shared" si="103"/>
        <v>2.0758355226353817E-2</v>
      </c>
      <c r="AI20" s="73">
        <f t="shared" si="103"/>
        <v>2.0758355226353817E-2</v>
      </c>
      <c r="AJ20" s="73">
        <f t="shared" ref="AJ20:AM20" si="104">AJ18/AJ19</f>
        <v>2.0758355226353817E-2</v>
      </c>
      <c r="AK20" s="73">
        <f t="shared" si="104"/>
        <v>2.0758355226353817E-2</v>
      </c>
      <c r="AL20" s="73">
        <f t="shared" si="104"/>
        <v>2.0758355226353817E-2</v>
      </c>
      <c r="AM20" s="73">
        <f t="shared" si="104"/>
        <v>2.0758355226353817E-2</v>
      </c>
      <c r="AN20" s="73">
        <f t="shared" ref="AN20:AQ20" si="105">AN18/AN19</f>
        <v>2.0758355226353817E-2</v>
      </c>
      <c r="AO20" s="73">
        <f t="shared" si="105"/>
        <v>2.0758355226353817E-2</v>
      </c>
      <c r="AP20" s="73">
        <f t="shared" si="105"/>
        <v>2.0758355226353817E-2</v>
      </c>
      <c r="AQ20" s="73">
        <f t="shared" si="105"/>
        <v>2.0758355226353817E-2</v>
      </c>
      <c r="AR20" s="73">
        <f t="shared" ref="AR20" si="106">AR18/AR19</f>
        <v>2.0758355226353817E-2</v>
      </c>
      <c r="AS20" s="83"/>
      <c r="AT20" s="83"/>
      <c r="AU20" s="83"/>
    </row>
    <row r="21" spans="2:47" s="63" customFormat="1">
      <c r="B21" s="63" t="s">
        <v>17</v>
      </c>
      <c r="C21" s="66">
        <f>C20*C10</f>
        <v>1541.3493922672235</v>
      </c>
      <c r="D21" s="66"/>
      <c r="E21" s="66">
        <f>E20*E10</f>
        <v>730.69410396765431</v>
      </c>
      <c r="F21" s="66">
        <f>F20*F10</f>
        <v>1351.3689252356335</v>
      </c>
      <c r="G21" s="66">
        <f>G20*G10</f>
        <v>1972.0437465036125</v>
      </c>
      <c r="H21" s="66">
        <f>H20*H10</f>
        <v>2592.7185677715916</v>
      </c>
      <c r="I21" s="66">
        <f t="shared" ref="I21:AG21" si="107">I20*I10</f>
        <v>3213.393389039571</v>
      </c>
      <c r="J21" s="66">
        <f t="shared" si="107"/>
        <v>3834.0682103075501</v>
      </c>
      <c r="K21" s="66">
        <f t="shared" si="107"/>
        <v>4454.7430315755291</v>
      </c>
      <c r="L21" s="66">
        <f t="shared" si="107"/>
        <v>5075.4178528435086</v>
      </c>
      <c r="M21" s="66">
        <f t="shared" si="107"/>
        <v>5696.0926741114872</v>
      </c>
      <c r="N21" s="66">
        <f t="shared" si="107"/>
        <v>6316.7674953794667</v>
      </c>
      <c r="O21" s="66">
        <f t="shared" si="107"/>
        <v>6937.4423166474453</v>
      </c>
      <c r="P21" s="66">
        <f t="shared" si="107"/>
        <v>7558.1171379154248</v>
      </c>
      <c r="Q21" s="66">
        <f t="shared" si="107"/>
        <v>8178.7919591834034</v>
      </c>
      <c r="R21" s="66">
        <f t="shared" si="107"/>
        <v>8799.4667804513829</v>
      </c>
      <c r="S21" s="66">
        <f t="shared" si="107"/>
        <v>9420.1416017193624</v>
      </c>
      <c r="T21" s="66">
        <f t="shared" si="107"/>
        <v>10040.816422987342</v>
      </c>
      <c r="U21" s="66">
        <f t="shared" si="107"/>
        <v>10661.49124425532</v>
      </c>
      <c r="V21" s="66">
        <f t="shared" si="107"/>
        <v>11282.166065523299</v>
      </c>
      <c r="W21" s="66">
        <f t="shared" si="107"/>
        <v>11902.840886791279</v>
      </c>
      <c r="X21" s="66">
        <f t="shared" si="107"/>
        <v>12409.344754314312</v>
      </c>
      <c r="Y21" s="66">
        <f t="shared" si="107"/>
        <v>13144.190529327238</v>
      </c>
      <c r="Z21" s="66">
        <f t="shared" si="107"/>
        <v>13764.865350595215</v>
      </c>
      <c r="AA21" s="66">
        <f t="shared" si="107"/>
        <v>14385.540171863195</v>
      </c>
      <c r="AB21" s="66">
        <f t="shared" si="107"/>
        <v>15006.214993131174</v>
      </c>
      <c r="AC21" s="66">
        <f t="shared" si="107"/>
        <v>15626.889814399154</v>
      </c>
      <c r="AD21" s="66">
        <f t="shared" si="107"/>
        <v>16247.564635667133</v>
      </c>
      <c r="AE21" s="66">
        <f t="shared" si="107"/>
        <v>16868.239456935113</v>
      </c>
      <c r="AF21" s="66">
        <f t="shared" si="107"/>
        <v>17488.91427820309</v>
      </c>
      <c r="AG21" s="66">
        <f t="shared" si="107"/>
        <v>18109.589099471068</v>
      </c>
      <c r="AH21" s="66">
        <f t="shared" ref="AH21:AJ21" si="108">AH20*AH10</f>
        <v>18730.263920739049</v>
      </c>
      <c r="AI21" s="66">
        <f t="shared" si="108"/>
        <v>19350.938742007027</v>
      </c>
      <c r="AJ21" s="66">
        <f t="shared" si="108"/>
        <v>19971.613563275008</v>
      </c>
      <c r="AK21" s="66">
        <f t="shared" ref="AK21:AN21" si="109">AK20*AK10</f>
        <v>20592.288384542986</v>
      </c>
      <c r="AL21" s="66">
        <f t="shared" si="109"/>
        <v>21212.963205810964</v>
      </c>
      <c r="AM21" s="66">
        <f t="shared" si="109"/>
        <v>21833.638027078945</v>
      </c>
      <c r="AN21" s="66">
        <f t="shared" si="109"/>
        <v>22454.312848346923</v>
      </c>
      <c r="AO21" s="66">
        <f t="shared" ref="AO21:AR21" si="110">AO20*AO10</f>
        <v>23074.987669614904</v>
      </c>
      <c r="AP21" s="66">
        <f t="shared" si="110"/>
        <v>23695.662490882882</v>
      </c>
      <c r="AQ21" s="66">
        <f t="shared" si="110"/>
        <v>24316.337312150859</v>
      </c>
      <c r="AR21" s="66">
        <f t="shared" si="110"/>
        <v>24708.670225928949</v>
      </c>
      <c r="AS21" s="76"/>
      <c r="AT21" s="76"/>
      <c r="AU21" s="76"/>
    </row>
    <row r="22" spans="2:47">
      <c r="C22" s="4"/>
      <c r="D22" s="4"/>
      <c r="E22" s="4"/>
      <c r="F22" s="4"/>
      <c r="G22" s="4"/>
      <c r="H22" s="4"/>
      <c r="I22" s="4"/>
      <c r="J22" s="4"/>
      <c r="K22" s="4"/>
      <c r="L22" s="4"/>
      <c r="M22" s="4"/>
      <c r="AB22" s="4"/>
      <c r="AC22" s="4"/>
      <c r="AD22" s="4"/>
      <c r="AE22" s="4"/>
      <c r="AF22" s="4"/>
      <c r="AG22" s="4"/>
      <c r="AH22" s="4"/>
      <c r="AI22" s="4"/>
      <c r="AJ22" s="4"/>
      <c r="AK22" s="4"/>
      <c r="AL22" s="4"/>
      <c r="AM22" s="4"/>
      <c r="AN22" s="4"/>
      <c r="AO22" s="4"/>
      <c r="AP22" s="4"/>
      <c r="AQ22" s="4"/>
      <c r="AR22" s="4"/>
      <c r="AS22" s="76"/>
      <c r="AT22" s="76"/>
      <c r="AU22" s="76"/>
    </row>
    <row r="23" spans="2:47">
      <c r="B23" t="s">
        <v>34</v>
      </c>
      <c r="C23" s="4">
        <f>C3-C4</f>
        <v>55480.963536033407</v>
      </c>
      <c r="D23" s="4"/>
      <c r="E23" s="4">
        <f>E3-E4</f>
        <v>18841.646238059257</v>
      </c>
      <c r="F23" s="4">
        <f>F3-F4</f>
        <v>31082.135514138005</v>
      </c>
      <c r="G23" s="4">
        <f>G3-G4</f>
        <v>43322.624790216752</v>
      </c>
      <c r="H23" s="4">
        <f>H3-H4</f>
        <v>55563.1140662955</v>
      </c>
      <c r="I23" s="4">
        <f t="shared" ref="I23:AR23" si="111">I3-I4</f>
        <v>67803.603342374263</v>
      </c>
      <c r="J23" s="4">
        <f t="shared" si="111"/>
        <v>80044.092618452996</v>
      </c>
      <c r="K23" s="4">
        <f t="shared" si="111"/>
        <v>92284.58189453173</v>
      </c>
      <c r="L23" s="4">
        <f t="shared" si="111"/>
        <v>104525.07117061049</v>
      </c>
      <c r="M23" s="4">
        <f t="shared" si="111"/>
        <v>116765.56044668925</v>
      </c>
      <c r="N23" s="4">
        <f t="shared" si="111"/>
        <v>129006.04972276802</v>
      </c>
      <c r="O23" s="4">
        <f t="shared" si="111"/>
        <v>141246.53899884672</v>
      </c>
      <c r="P23" s="4">
        <f t="shared" si="111"/>
        <v>153487.02827492548</v>
      </c>
      <c r="Q23" s="4">
        <f t="shared" si="111"/>
        <v>165727.51755100419</v>
      </c>
      <c r="R23" s="4">
        <f t="shared" si="111"/>
        <v>177968.00682708295</v>
      </c>
      <c r="S23" s="4">
        <f t="shared" si="111"/>
        <v>190208.49610316171</v>
      </c>
      <c r="T23" s="4">
        <f t="shared" si="111"/>
        <v>202448.98537924048</v>
      </c>
      <c r="U23" s="4">
        <f t="shared" si="111"/>
        <v>214689.47465531912</v>
      </c>
      <c r="V23" s="4">
        <f t="shared" si="111"/>
        <v>226929.963931398</v>
      </c>
      <c r="W23" s="4">
        <f t="shared" si="111"/>
        <v>239170.45320747676</v>
      </c>
      <c r="X23" s="4">
        <f t="shared" si="111"/>
        <v>244560.68525885872</v>
      </c>
      <c r="Y23" s="4">
        <f t="shared" si="111"/>
        <v>263651.43175963429</v>
      </c>
      <c r="Z23" s="4">
        <f t="shared" si="111"/>
        <v>275891.92103571293</v>
      </c>
      <c r="AA23" s="4">
        <f t="shared" si="111"/>
        <v>288132.4103117917</v>
      </c>
      <c r="AB23" s="4">
        <f t="shared" si="111"/>
        <v>300372.89958787046</v>
      </c>
      <c r="AC23" s="4">
        <f t="shared" si="111"/>
        <v>312613.38886394922</v>
      </c>
      <c r="AD23" s="4">
        <f t="shared" si="111"/>
        <v>324853.87814002798</v>
      </c>
      <c r="AE23" s="4">
        <f t="shared" si="111"/>
        <v>337094.36741610675</v>
      </c>
      <c r="AF23" s="4">
        <f t="shared" si="111"/>
        <v>349334.85669218539</v>
      </c>
      <c r="AG23" s="4">
        <f t="shared" si="111"/>
        <v>361575.34596826416</v>
      </c>
      <c r="AH23" s="4">
        <f t="shared" si="111"/>
        <v>373815.83524434292</v>
      </c>
      <c r="AI23" s="4">
        <f t="shared" si="111"/>
        <v>386056.32452042168</v>
      </c>
      <c r="AJ23" s="4">
        <f t="shared" si="111"/>
        <v>398296.81379650044</v>
      </c>
      <c r="AK23" s="4">
        <f t="shared" si="111"/>
        <v>410537.30307257921</v>
      </c>
      <c r="AL23" s="4">
        <f t="shared" si="111"/>
        <v>422777.79234865773</v>
      </c>
      <c r="AM23" s="4">
        <f t="shared" si="111"/>
        <v>435018.28162473673</v>
      </c>
      <c r="AN23" s="4">
        <f t="shared" si="111"/>
        <v>447258.77090081526</v>
      </c>
      <c r="AO23" s="4">
        <f t="shared" si="111"/>
        <v>459499.26017689425</v>
      </c>
      <c r="AP23" s="4">
        <f t="shared" si="111"/>
        <v>471739.74945297278</v>
      </c>
      <c r="AQ23" s="4">
        <f t="shared" si="111"/>
        <v>483980.23872905155</v>
      </c>
      <c r="AR23" s="4">
        <f t="shared" si="111"/>
        <v>482520.21355573693</v>
      </c>
      <c r="AS23" s="76"/>
      <c r="AT23" s="76"/>
      <c r="AU23" s="76"/>
    </row>
    <row r="24" spans="2:47">
      <c r="B24" t="s">
        <v>35</v>
      </c>
      <c r="C24" s="7">
        <f>C23/C3</f>
        <v>0.59991766321094098</v>
      </c>
      <c r="D24" s="7"/>
      <c r="E24" s="7">
        <f>E23/E3</f>
        <v>0.42976593843555727</v>
      </c>
      <c r="F24" s="7">
        <f>F23/F3</f>
        <v>0.38334135277823711</v>
      </c>
      <c r="G24" s="7">
        <f>G23/G3</f>
        <v>0.36613982209257739</v>
      </c>
      <c r="H24" s="7">
        <f>H23/H3</f>
        <v>0.35717409232767394</v>
      </c>
      <c r="I24" s="7">
        <f t="shared" ref="I24:AR24" si="112">I23/I3</f>
        <v>0.35167186798874744</v>
      </c>
      <c r="J24" s="7">
        <f t="shared" si="112"/>
        <v>0.34795108932100549</v>
      </c>
      <c r="K24" s="7">
        <f t="shared" si="112"/>
        <v>0.34526713527735936</v>
      </c>
      <c r="L24" s="7">
        <f t="shared" si="112"/>
        <v>0.34323962479939857</v>
      </c>
      <c r="M24" s="7">
        <f t="shared" si="112"/>
        <v>0.34165396973901085</v>
      </c>
      <c r="N24" s="7">
        <f t="shared" si="112"/>
        <v>0.34037992221267238</v>
      </c>
      <c r="O24" s="7">
        <f t="shared" si="112"/>
        <v>0.33933384608691741</v>
      </c>
      <c r="P24" s="7">
        <f t="shared" si="112"/>
        <v>0.33845957812463451</v>
      </c>
      <c r="Q24" s="7">
        <f t="shared" si="112"/>
        <v>0.33771800362464727</v>
      </c>
      <c r="R24" s="7">
        <f t="shared" si="112"/>
        <v>0.33708104378637094</v>
      </c>
      <c r="S24" s="7">
        <f t="shared" si="112"/>
        <v>0.33652802003960836</v>
      </c>
      <c r="T24" s="7">
        <f t="shared" si="112"/>
        <v>0.33604336681187907</v>
      </c>
      <c r="U24" s="7">
        <f t="shared" si="112"/>
        <v>0.33561514322398261</v>
      </c>
      <c r="V24" s="7">
        <f t="shared" si="112"/>
        <v>0.33523403604925328</v>
      </c>
      <c r="W24" s="7">
        <f t="shared" si="112"/>
        <v>0.33489267461754585</v>
      </c>
      <c r="X24" s="7">
        <f t="shared" si="112"/>
        <v>0.32846306567185074</v>
      </c>
      <c r="Y24" s="7">
        <f t="shared" si="112"/>
        <v>0.3343066672324132</v>
      </c>
      <c r="Z24" s="7">
        <f t="shared" si="112"/>
        <v>0.33405329923766491</v>
      </c>
      <c r="AA24" s="7">
        <f t="shared" si="112"/>
        <v>0.33382179474376222</v>
      </c>
      <c r="AB24" s="7">
        <f t="shared" si="112"/>
        <v>0.33360944084985317</v>
      </c>
      <c r="AC24" s="7">
        <f t="shared" si="112"/>
        <v>0.33341395566324455</v>
      </c>
      <c r="AD24" s="7">
        <f t="shared" si="112"/>
        <v>0.33323340597447565</v>
      </c>
      <c r="AE24" s="7">
        <f t="shared" si="112"/>
        <v>0.33306614310749905</v>
      </c>
      <c r="AF24" s="7">
        <f t="shared" si="112"/>
        <v>0.33291075242977486</v>
      </c>
      <c r="AG24" s="7">
        <f t="shared" si="112"/>
        <v>0.33276601324509048</v>
      </c>
      <c r="AH24" s="7">
        <f t="shared" si="112"/>
        <v>0.33263086666069885</v>
      </c>
      <c r="AI24" s="7">
        <f t="shared" si="112"/>
        <v>0.33250438963836104</v>
      </c>
      <c r="AJ24" s="7">
        <f t="shared" si="112"/>
        <v>0.33238577388401602</v>
      </c>
      <c r="AK24" s="7">
        <f t="shared" si="112"/>
        <v>0.33227430855518492</v>
      </c>
      <c r="AL24" s="7">
        <f t="shared" si="112"/>
        <v>0.33216936600418334</v>
      </c>
      <c r="AM24" s="7">
        <f t="shared" si="112"/>
        <v>0.33207038995303928</v>
      </c>
      <c r="AN24" s="7">
        <f t="shared" si="112"/>
        <v>0.33197688562959987</v>
      </c>
      <c r="AO24" s="7">
        <f t="shared" si="112"/>
        <v>0.33188841149556492</v>
      </c>
      <c r="AP24" s="7">
        <f t="shared" si="112"/>
        <v>0.33180457227455229</v>
      </c>
      <c r="AQ24" s="7">
        <f t="shared" si="112"/>
        <v>0.33172501304791963</v>
      </c>
      <c r="AR24" s="7">
        <f t="shared" si="112"/>
        <v>0.32547294070172628</v>
      </c>
      <c r="AS24" s="38"/>
      <c r="AT24" s="38"/>
      <c r="AU24" s="38"/>
    </row>
    <row r="28" spans="2:47" ht="21">
      <c r="B28" s="65" t="s">
        <v>36</v>
      </c>
    </row>
    <row r="29" spans="2:47">
      <c r="B29" t="s">
        <v>25</v>
      </c>
      <c r="C29" s="4">
        <f>C47*C41</f>
        <v>40936.741813278582</v>
      </c>
      <c r="D29" s="4"/>
      <c r="E29" s="4">
        <f>E47*E41</f>
        <v>40936.741813278582</v>
      </c>
      <c r="F29" s="4">
        <f>F47*F41</f>
        <v>75569.270983818787</v>
      </c>
      <c r="G29" s="4">
        <f>G47*G41</f>
        <v>110201.80015435899</v>
      </c>
      <c r="H29" s="4">
        <f>H47*H41</f>
        <v>144834.32932489918</v>
      </c>
      <c r="I29" s="4">
        <f t="shared" ref="I29:J29" si="113">I47*I41</f>
        <v>179466.8584954394</v>
      </c>
      <c r="J29" s="4">
        <f t="shared" si="113"/>
        <v>214099.38766597962</v>
      </c>
      <c r="K29" s="4">
        <f t="shared" ref="K29" si="114">K47*K41</f>
        <v>248731.91683651984</v>
      </c>
      <c r="L29" s="4">
        <f t="shared" ref="L29:T29" si="115">L47*L41</f>
        <v>283364.44600706006</v>
      </c>
      <c r="M29" s="4">
        <f t="shared" ref="M29:O29" si="116">M47*M41</f>
        <v>317996.97517760028</v>
      </c>
      <c r="N29" s="4">
        <f t="shared" si="116"/>
        <v>352629.50434814044</v>
      </c>
      <c r="O29" s="4">
        <f t="shared" si="116"/>
        <v>387262.03351868072</v>
      </c>
      <c r="P29" s="4">
        <f t="shared" si="115"/>
        <v>421894.56268922088</v>
      </c>
      <c r="Q29" s="4">
        <f t="shared" ref="Q29:R29" si="117">Q47*Q41</f>
        <v>456527.0918597611</v>
      </c>
      <c r="R29" s="4">
        <f t="shared" si="117"/>
        <v>491159.62103030132</v>
      </c>
      <c r="S29" s="4">
        <f t="shared" ref="S29" si="118">S47*S41</f>
        <v>525792.15020084148</v>
      </c>
      <c r="T29" s="4">
        <f t="shared" si="115"/>
        <v>560424.67937138164</v>
      </c>
      <c r="U29" s="4">
        <f t="shared" ref="U29:W29" si="119">U47*U41</f>
        <v>595057.20854192204</v>
      </c>
      <c r="V29" s="4">
        <f t="shared" si="119"/>
        <v>629689.73771246208</v>
      </c>
      <c r="W29" s="4">
        <f t="shared" si="119"/>
        <v>664322.26688300236</v>
      </c>
      <c r="X29" s="4">
        <f t="shared" ref="X29:AR29" si="120">X47*X41</f>
        <v>698954.79605354252</v>
      </c>
      <c r="Y29" s="4">
        <f t="shared" ref="Y29:AA29" si="121">Y47*Y41</f>
        <v>733587.3252240828</v>
      </c>
      <c r="Z29" s="4">
        <f t="shared" si="121"/>
        <v>768219.85439462296</v>
      </c>
      <c r="AA29" s="4">
        <f t="shared" si="121"/>
        <v>802852.38356516312</v>
      </c>
      <c r="AB29" s="4">
        <f t="shared" si="120"/>
        <v>837484.9127357034</v>
      </c>
      <c r="AC29" s="4">
        <f t="shared" ref="AC29:AE29" si="122">AC47*AC41</f>
        <v>872117.4419062438</v>
      </c>
      <c r="AD29" s="4">
        <f t="shared" si="122"/>
        <v>906749.97107678372</v>
      </c>
      <c r="AE29" s="4">
        <f t="shared" si="122"/>
        <v>941382.500247324</v>
      </c>
      <c r="AF29" s="4">
        <f t="shared" si="120"/>
        <v>976015.02941786428</v>
      </c>
      <c r="AG29" s="4">
        <f t="shared" ref="AG29:AI29" si="123">AG47*AG41</f>
        <v>1010647.5585884044</v>
      </c>
      <c r="AH29" s="4">
        <f t="shared" si="123"/>
        <v>1045280.0877589446</v>
      </c>
      <c r="AI29" s="4">
        <f t="shared" si="123"/>
        <v>1079912.616929485</v>
      </c>
      <c r="AJ29" s="4">
        <f t="shared" si="120"/>
        <v>1114545.1461000252</v>
      </c>
      <c r="AK29" s="4">
        <f t="shared" ref="AK29:AM29" si="124">AK47*AK41</f>
        <v>1149177.6752705653</v>
      </c>
      <c r="AL29" s="4">
        <f t="shared" si="124"/>
        <v>1183810.2044411055</v>
      </c>
      <c r="AM29" s="4">
        <f t="shared" si="124"/>
        <v>1218442.7336116456</v>
      </c>
      <c r="AN29" s="4">
        <f t="shared" si="120"/>
        <v>1253075.262782186</v>
      </c>
      <c r="AO29" s="4">
        <f t="shared" ref="AO29:AQ29" si="125">AO47*AO41</f>
        <v>1287707.791952726</v>
      </c>
      <c r="AP29" s="4">
        <f t="shared" si="125"/>
        <v>1322340.3211232664</v>
      </c>
      <c r="AQ29" s="4">
        <f t="shared" si="125"/>
        <v>1356972.8502938068</v>
      </c>
      <c r="AR29" s="4">
        <f t="shared" si="120"/>
        <v>1391605.3794643467</v>
      </c>
      <c r="AS29" s="76"/>
      <c r="AT29" s="76"/>
      <c r="AU29" s="76"/>
    </row>
    <row r="30" spans="2:47" s="63" customFormat="1">
      <c r="B30" s="63" t="s">
        <v>26</v>
      </c>
      <c r="C30" s="66">
        <f>'DATA ENTRY'!F5</f>
        <v>25000</v>
      </c>
      <c r="D30" s="66"/>
      <c r="E30" s="66">
        <v>25000</v>
      </c>
      <c r="F30" s="66">
        <v>50000</v>
      </c>
      <c r="G30" s="66">
        <v>75000</v>
      </c>
      <c r="H30" s="66">
        <v>100000</v>
      </c>
      <c r="I30" s="66">
        <v>125000</v>
      </c>
      <c r="J30" s="66">
        <v>150000</v>
      </c>
      <c r="K30" s="66">
        <v>175000</v>
      </c>
      <c r="L30" s="66">
        <v>200000</v>
      </c>
      <c r="M30" s="66">
        <v>225000</v>
      </c>
      <c r="N30" s="66">
        <v>250000</v>
      </c>
      <c r="O30" s="66">
        <v>275000</v>
      </c>
      <c r="P30" s="66">
        <v>300000</v>
      </c>
      <c r="Q30" s="66">
        <v>325000</v>
      </c>
      <c r="R30" s="66">
        <v>350000</v>
      </c>
      <c r="S30" s="66">
        <v>375000</v>
      </c>
      <c r="T30" s="66">
        <v>400000</v>
      </c>
      <c r="U30" s="66">
        <v>425000</v>
      </c>
      <c r="V30" s="66">
        <v>450000</v>
      </c>
      <c r="W30" s="66">
        <v>475000</v>
      </c>
      <c r="X30" s="66">
        <v>500000</v>
      </c>
      <c r="Y30" s="66">
        <v>525000</v>
      </c>
      <c r="Z30" s="66">
        <v>550000</v>
      </c>
      <c r="AA30" s="66">
        <v>575000</v>
      </c>
      <c r="AB30" s="66">
        <v>600000</v>
      </c>
      <c r="AC30" s="66">
        <v>625000</v>
      </c>
      <c r="AD30" s="66">
        <v>650000</v>
      </c>
      <c r="AE30" s="66">
        <v>675000</v>
      </c>
      <c r="AF30" s="66">
        <v>700000</v>
      </c>
      <c r="AG30" s="66">
        <v>725000</v>
      </c>
      <c r="AH30" s="66">
        <v>750000</v>
      </c>
      <c r="AI30" s="66">
        <v>775000</v>
      </c>
      <c r="AJ30" s="66">
        <v>800000</v>
      </c>
      <c r="AK30" s="66">
        <v>825000</v>
      </c>
      <c r="AL30" s="66">
        <v>850000</v>
      </c>
      <c r="AM30" s="66">
        <v>875000</v>
      </c>
      <c r="AN30" s="66">
        <v>900000</v>
      </c>
      <c r="AO30" s="66">
        <v>925000</v>
      </c>
      <c r="AP30" s="66">
        <v>950000</v>
      </c>
      <c r="AQ30" s="66">
        <v>975000</v>
      </c>
      <c r="AR30" s="66">
        <v>1000000</v>
      </c>
      <c r="AS30" s="76"/>
      <c r="AT30" s="76"/>
      <c r="AU30" s="76"/>
    </row>
    <row r="31" spans="2:47">
      <c r="B31" t="s">
        <v>27</v>
      </c>
      <c r="C31" s="4">
        <f>C30*0.102</f>
        <v>2550</v>
      </c>
      <c r="D31" s="4"/>
      <c r="E31" s="4">
        <f t="shared" ref="E31:AR31" si="126">E30*0.102</f>
        <v>2550</v>
      </c>
      <c r="F31" s="4">
        <f t="shared" si="126"/>
        <v>5100</v>
      </c>
      <c r="G31" s="4">
        <f t="shared" si="126"/>
        <v>7649.9999999999991</v>
      </c>
      <c r="H31" s="4">
        <f t="shared" si="126"/>
        <v>10200</v>
      </c>
      <c r="I31" s="4">
        <f t="shared" si="126"/>
        <v>12750</v>
      </c>
      <c r="J31" s="4">
        <f t="shared" si="126"/>
        <v>15299.999999999998</v>
      </c>
      <c r="K31" s="4">
        <f t="shared" si="126"/>
        <v>17850</v>
      </c>
      <c r="L31" s="4">
        <f t="shared" si="126"/>
        <v>20400</v>
      </c>
      <c r="M31" s="4">
        <f t="shared" si="126"/>
        <v>22950</v>
      </c>
      <c r="N31" s="4">
        <f t="shared" si="126"/>
        <v>25500</v>
      </c>
      <c r="O31" s="4">
        <f t="shared" si="126"/>
        <v>28050</v>
      </c>
      <c r="P31" s="4">
        <f t="shared" si="126"/>
        <v>30599.999999999996</v>
      </c>
      <c r="Q31" s="4">
        <f t="shared" si="126"/>
        <v>33150</v>
      </c>
      <c r="R31" s="4">
        <f t="shared" si="126"/>
        <v>35700</v>
      </c>
      <c r="S31" s="4">
        <f t="shared" si="126"/>
        <v>38250</v>
      </c>
      <c r="T31" s="4">
        <f t="shared" si="126"/>
        <v>40800</v>
      </c>
      <c r="U31" s="4">
        <f t="shared" si="126"/>
        <v>43350</v>
      </c>
      <c r="V31" s="4">
        <f t="shared" si="126"/>
        <v>45900</v>
      </c>
      <c r="W31" s="4">
        <f t="shared" si="126"/>
        <v>48450</v>
      </c>
      <c r="X31" s="4">
        <f t="shared" si="126"/>
        <v>51000</v>
      </c>
      <c r="Y31" s="4">
        <f t="shared" si="126"/>
        <v>53550</v>
      </c>
      <c r="Z31" s="4">
        <f t="shared" si="126"/>
        <v>56100</v>
      </c>
      <c r="AA31" s="4">
        <f t="shared" si="126"/>
        <v>58649.999999999993</v>
      </c>
      <c r="AB31" s="4">
        <f t="shared" si="126"/>
        <v>61199.999999999993</v>
      </c>
      <c r="AC31" s="4">
        <f t="shared" si="126"/>
        <v>63749.999999999993</v>
      </c>
      <c r="AD31" s="4">
        <f t="shared" si="126"/>
        <v>66300</v>
      </c>
      <c r="AE31" s="4">
        <f t="shared" si="126"/>
        <v>68850</v>
      </c>
      <c r="AF31" s="4">
        <f t="shared" si="126"/>
        <v>71400</v>
      </c>
      <c r="AG31" s="4">
        <f t="shared" si="126"/>
        <v>73950</v>
      </c>
      <c r="AH31" s="4">
        <f t="shared" si="126"/>
        <v>76500</v>
      </c>
      <c r="AI31" s="4">
        <f t="shared" si="126"/>
        <v>79050</v>
      </c>
      <c r="AJ31" s="4">
        <f t="shared" si="126"/>
        <v>81600</v>
      </c>
      <c r="AK31" s="4">
        <f t="shared" si="126"/>
        <v>84150</v>
      </c>
      <c r="AL31" s="4">
        <f t="shared" si="126"/>
        <v>86700</v>
      </c>
      <c r="AM31" s="4">
        <f t="shared" si="126"/>
        <v>89250</v>
      </c>
      <c r="AN31" s="4">
        <f t="shared" si="126"/>
        <v>91800</v>
      </c>
      <c r="AO31" s="4">
        <f t="shared" si="126"/>
        <v>94350</v>
      </c>
      <c r="AP31" s="4">
        <f t="shared" si="126"/>
        <v>96900</v>
      </c>
      <c r="AQ31" s="4">
        <f t="shared" si="126"/>
        <v>99450</v>
      </c>
      <c r="AR31" s="4">
        <f t="shared" si="126"/>
        <v>102000</v>
      </c>
      <c r="AS31" s="76"/>
      <c r="AT31" s="76"/>
      <c r="AU31" s="76"/>
    </row>
    <row r="32" spans="2:47">
      <c r="B32" t="s">
        <v>10</v>
      </c>
      <c r="C32" s="4">
        <f>(C30/1000)*C41</f>
        <v>1200</v>
      </c>
      <c r="D32" s="4"/>
      <c r="E32" s="4">
        <f>(E30/1000)*E41</f>
        <v>1200</v>
      </c>
      <c r="F32" s="4">
        <f>(F30/1000)*F41</f>
        <v>2400</v>
      </c>
      <c r="G32" s="4">
        <f>(G30/1000)*G41</f>
        <v>3600</v>
      </c>
      <c r="H32" s="4">
        <f>(H30/1000)*H41</f>
        <v>4800</v>
      </c>
      <c r="I32" s="4">
        <f t="shared" ref="I32:J32" si="127">(I30/1000)*I41</f>
        <v>6000</v>
      </c>
      <c r="J32" s="4">
        <f t="shared" si="127"/>
        <v>7200</v>
      </c>
      <c r="K32" s="4">
        <f t="shared" ref="K32" si="128">(K30/1000)*K41</f>
        <v>8400</v>
      </c>
      <c r="L32" s="4">
        <f t="shared" ref="L32:T32" si="129">(L30/1000)*L41</f>
        <v>9600</v>
      </c>
      <c r="M32" s="4">
        <f t="shared" ref="M32:O32" si="130">(M30/1000)*M41</f>
        <v>10800</v>
      </c>
      <c r="N32" s="4">
        <f t="shared" si="130"/>
        <v>12000</v>
      </c>
      <c r="O32" s="4">
        <f t="shared" si="130"/>
        <v>13200</v>
      </c>
      <c r="P32" s="4">
        <f t="shared" si="129"/>
        <v>14400</v>
      </c>
      <c r="Q32" s="4">
        <f t="shared" ref="Q32:R32" si="131">(Q30/1000)*Q41</f>
        <v>15600</v>
      </c>
      <c r="R32" s="4">
        <f t="shared" si="131"/>
        <v>16800</v>
      </c>
      <c r="S32" s="4">
        <f t="shared" ref="S32" si="132">(S30/1000)*S41</f>
        <v>18000</v>
      </c>
      <c r="T32" s="4">
        <f t="shared" si="129"/>
        <v>19200</v>
      </c>
      <c r="U32" s="4">
        <f t="shared" ref="U32:W32" si="133">(U30/1000)*U41</f>
        <v>20400</v>
      </c>
      <c r="V32" s="4">
        <f t="shared" si="133"/>
        <v>21600</v>
      </c>
      <c r="W32" s="4">
        <f t="shared" si="133"/>
        <v>22800</v>
      </c>
      <c r="X32" s="4">
        <f t="shared" ref="X32:AR32" si="134">(X30/1000)*X41</f>
        <v>24000</v>
      </c>
      <c r="Y32" s="4">
        <f t="shared" ref="Y32:AA32" si="135">(Y30/1000)*Y41</f>
        <v>25200</v>
      </c>
      <c r="Z32" s="4">
        <f t="shared" si="135"/>
        <v>26400</v>
      </c>
      <c r="AA32" s="4">
        <f t="shared" si="135"/>
        <v>27600</v>
      </c>
      <c r="AB32" s="4">
        <f t="shared" si="134"/>
        <v>28800</v>
      </c>
      <c r="AC32" s="4">
        <f t="shared" ref="AC32:AE32" si="136">(AC30/1000)*AC41</f>
        <v>30000</v>
      </c>
      <c r="AD32" s="4">
        <f t="shared" si="136"/>
        <v>31200</v>
      </c>
      <c r="AE32" s="4">
        <f t="shared" si="136"/>
        <v>32400</v>
      </c>
      <c r="AF32" s="4">
        <f t="shared" si="134"/>
        <v>33600</v>
      </c>
      <c r="AG32" s="4">
        <f t="shared" ref="AG32:AI32" si="137">(AG30/1000)*AG41</f>
        <v>34800</v>
      </c>
      <c r="AH32" s="4">
        <f t="shared" si="137"/>
        <v>36000</v>
      </c>
      <c r="AI32" s="4">
        <f t="shared" si="137"/>
        <v>37200</v>
      </c>
      <c r="AJ32" s="4">
        <f t="shared" si="134"/>
        <v>38400</v>
      </c>
      <c r="AK32" s="4">
        <f t="shared" ref="AK32:AM32" si="138">(AK30/1000)*AK41</f>
        <v>39600</v>
      </c>
      <c r="AL32" s="4">
        <f t="shared" si="138"/>
        <v>40800</v>
      </c>
      <c r="AM32" s="4">
        <f t="shared" si="138"/>
        <v>42000</v>
      </c>
      <c r="AN32" s="4">
        <f t="shared" si="134"/>
        <v>43200</v>
      </c>
      <c r="AO32" s="4">
        <f t="shared" ref="AO32:AQ32" si="139">(AO30/1000)*AO41</f>
        <v>44400</v>
      </c>
      <c r="AP32" s="4">
        <f t="shared" si="139"/>
        <v>45600</v>
      </c>
      <c r="AQ32" s="4">
        <f t="shared" si="139"/>
        <v>46800</v>
      </c>
      <c r="AR32" s="4">
        <f t="shared" si="134"/>
        <v>48000</v>
      </c>
      <c r="AS32" s="76"/>
      <c r="AT32" s="76"/>
      <c r="AU32" s="76"/>
    </row>
    <row r="33" spans="2:47">
      <c r="B33" t="s">
        <v>11</v>
      </c>
      <c r="C33" s="4">
        <f>'DATA ENTRY'!F10</f>
        <v>5000</v>
      </c>
      <c r="D33" s="4"/>
      <c r="E33" s="4">
        <v>5000</v>
      </c>
      <c r="F33" s="4">
        <v>5000</v>
      </c>
      <c r="G33" s="4">
        <v>5000</v>
      </c>
      <c r="H33" s="4">
        <v>5000</v>
      </c>
      <c r="I33" s="4">
        <v>5000</v>
      </c>
      <c r="J33" s="4">
        <v>5000</v>
      </c>
      <c r="K33" s="4">
        <v>5000</v>
      </c>
      <c r="L33" s="4">
        <v>5000</v>
      </c>
      <c r="M33" s="4">
        <v>5000</v>
      </c>
      <c r="N33" s="4">
        <v>5000</v>
      </c>
      <c r="O33" s="4">
        <v>5000</v>
      </c>
      <c r="P33" s="4">
        <v>5000</v>
      </c>
      <c r="Q33" s="4">
        <f t="shared" ref="Q33:AR33" si="140">O33</f>
        <v>5000</v>
      </c>
      <c r="R33" s="4">
        <f t="shared" si="140"/>
        <v>5000</v>
      </c>
      <c r="S33" s="4">
        <f t="shared" si="140"/>
        <v>5000</v>
      </c>
      <c r="T33" s="4">
        <f t="shared" si="140"/>
        <v>5000</v>
      </c>
      <c r="U33" s="4">
        <f t="shared" si="140"/>
        <v>5000</v>
      </c>
      <c r="V33" s="4">
        <f t="shared" si="140"/>
        <v>5000</v>
      </c>
      <c r="W33" s="4">
        <f t="shared" si="140"/>
        <v>5000</v>
      </c>
      <c r="X33" s="4">
        <f t="shared" si="140"/>
        <v>5000</v>
      </c>
      <c r="Y33" s="4">
        <f t="shared" si="140"/>
        <v>5000</v>
      </c>
      <c r="Z33" s="4">
        <f t="shared" si="140"/>
        <v>5000</v>
      </c>
      <c r="AA33" s="4">
        <f t="shared" si="140"/>
        <v>5000</v>
      </c>
      <c r="AB33" s="4">
        <f t="shared" si="140"/>
        <v>5000</v>
      </c>
      <c r="AC33" s="4">
        <f t="shared" si="140"/>
        <v>5000</v>
      </c>
      <c r="AD33" s="4">
        <f t="shared" si="140"/>
        <v>5000</v>
      </c>
      <c r="AE33" s="4">
        <f t="shared" si="140"/>
        <v>5000</v>
      </c>
      <c r="AF33" s="4">
        <f t="shared" si="140"/>
        <v>5000</v>
      </c>
      <c r="AG33" s="4">
        <f t="shared" si="140"/>
        <v>5000</v>
      </c>
      <c r="AH33" s="4">
        <f t="shared" si="140"/>
        <v>5000</v>
      </c>
      <c r="AI33" s="4">
        <f t="shared" si="140"/>
        <v>5000</v>
      </c>
      <c r="AJ33" s="4">
        <f t="shared" si="140"/>
        <v>5000</v>
      </c>
      <c r="AK33" s="4">
        <f t="shared" si="140"/>
        <v>5000</v>
      </c>
      <c r="AL33" s="4">
        <f t="shared" si="140"/>
        <v>5000</v>
      </c>
      <c r="AM33" s="4">
        <f t="shared" si="140"/>
        <v>5000</v>
      </c>
      <c r="AN33" s="4">
        <f t="shared" si="140"/>
        <v>5000</v>
      </c>
      <c r="AO33" s="4">
        <f t="shared" si="140"/>
        <v>5000</v>
      </c>
      <c r="AP33" s="4">
        <f t="shared" si="140"/>
        <v>5000</v>
      </c>
      <c r="AQ33" s="4">
        <f t="shared" si="140"/>
        <v>5000</v>
      </c>
      <c r="AR33" s="4">
        <f t="shared" si="140"/>
        <v>5000</v>
      </c>
      <c r="AS33" s="76"/>
      <c r="AT33" s="76"/>
      <c r="AU33" s="76"/>
    </row>
    <row r="34" spans="2:47">
      <c r="B34" t="s">
        <v>12</v>
      </c>
      <c r="C34" s="4">
        <f>'DATA ENTRY'!F11</f>
        <v>300</v>
      </c>
      <c r="D34" s="4"/>
      <c r="E34" s="4">
        <v>300</v>
      </c>
      <c r="F34" s="4">
        <v>300</v>
      </c>
      <c r="G34" s="4">
        <v>300</v>
      </c>
      <c r="H34" s="4">
        <v>300</v>
      </c>
      <c r="I34" s="4">
        <v>300</v>
      </c>
      <c r="J34" s="4">
        <v>300</v>
      </c>
      <c r="K34" s="4">
        <v>300</v>
      </c>
      <c r="L34" s="4">
        <v>300</v>
      </c>
      <c r="M34" s="4">
        <v>300</v>
      </c>
      <c r="N34" s="4">
        <v>300</v>
      </c>
      <c r="O34" s="4">
        <v>300</v>
      </c>
      <c r="P34" s="4">
        <v>300</v>
      </c>
      <c r="Q34" s="4">
        <f t="shared" ref="Q34:AR34" si="141">O34</f>
        <v>300</v>
      </c>
      <c r="R34" s="4">
        <f t="shared" si="141"/>
        <v>300</v>
      </c>
      <c r="S34" s="4">
        <f t="shared" si="141"/>
        <v>300</v>
      </c>
      <c r="T34" s="4">
        <f t="shared" si="141"/>
        <v>300</v>
      </c>
      <c r="U34" s="4">
        <f t="shared" si="141"/>
        <v>300</v>
      </c>
      <c r="V34" s="4">
        <f t="shared" si="141"/>
        <v>300</v>
      </c>
      <c r="W34" s="4">
        <f t="shared" si="141"/>
        <v>300</v>
      </c>
      <c r="X34" s="4">
        <f t="shared" si="141"/>
        <v>300</v>
      </c>
      <c r="Y34" s="4">
        <f t="shared" si="141"/>
        <v>300</v>
      </c>
      <c r="Z34" s="4">
        <f t="shared" si="141"/>
        <v>300</v>
      </c>
      <c r="AA34" s="4">
        <f t="shared" si="141"/>
        <v>300</v>
      </c>
      <c r="AB34" s="4">
        <f t="shared" si="141"/>
        <v>300</v>
      </c>
      <c r="AC34" s="4">
        <f t="shared" si="141"/>
        <v>300</v>
      </c>
      <c r="AD34" s="4">
        <f t="shared" si="141"/>
        <v>300</v>
      </c>
      <c r="AE34" s="4">
        <f t="shared" si="141"/>
        <v>300</v>
      </c>
      <c r="AF34" s="4">
        <f t="shared" si="141"/>
        <v>300</v>
      </c>
      <c r="AG34" s="4">
        <f t="shared" si="141"/>
        <v>300</v>
      </c>
      <c r="AH34" s="4">
        <f t="shared" si="141"/>
        <v>300</v>
      </c>
      <c r="AI34" s="4">
        <f t="shared" si="141"/>
        <v>300</v>
      </c>
      <c r="AJ34" s="4">
        <f t="shared" si="141"/>
        <v>300</v>
      </c>
      <c r="AK34" s="4">
        <f t="shared" si="141"/>
        <v>300</v>
      </c>
      <c r="AL34" s="4">
        <f t="shared" si="141"/>
        <v>300</v>
      </c>
      <c r="AM34" s="4">
        <f t="shared" si="141"/>
        <v>300</v>
      </c>
      <c r="AN34" s="4">
        <f t="shared" si="141"/>
        <v>300</v>
      </c>
      <c r="AO34" s="4">
        <f t="shared" si="141"/>
        <v>300</v>
      </c>
      <c r="AP34" s="4">
        <f t="shared" si="141"/>
        <v>300</v>
      </c>
      <c r="AQ34" s="4">
        <f t="shared" si="141"/>
        <v>300</v>
      </c>
      <c r="AR34" s="4">
        <f t="shared" si="141"/>
        <v>300</v>
      </c>
      <c r="AS34" s="76"/>
      <c r="AT34" s="76"/>
      <c r="AU34" s="76"/>
    </row>
    <row r="35" spans="2:47">
      <c r="B35" t="s">
        <v>13</v>
      </c>
      <c r="C35" s="4">
        <f>C40*C30*2</f>
        <v>365.83333333333331</v>
      </c>
      <c r="D35" s="4"/>
      <c r="E35" s="4">
        <f>E40*E30*2</f>
        <v>365.83333333333331</v>
      </c>
      <c r="F35" s="4">
        <f t="shared" ref="F35:AR35" si="142">F40*F30*2</f>
        <v>731.66666666666663</v>
      </c>
      <c r="G35" s="4">
        <f t="shared" si="142"/>
        <v>1097.5</v>
      </c>
      <c r="H35" s="4">
        <f t="shared" si="142"/>
        <v>1463.3333333333333</v>
      </c>
      <c r="I35" s="4">
        <f t="shared" si="142"/>
        <v>1829.1666666666667</v>
      </c>
      <c r="J35" s="4">
        <f t="shared" si="142"/>
        <v>2195</v>
      </c>
      <c r="K35" s="4">
        <f t="shared" si="142"/>
        <v>2560.8333333333335</v>
      </c>
      <c r="L35" s="4">
        <f t="shared" si="142"/>
        <v>2926.6666666666665</v>
      </c>
      <c r="M35" s="4">
        <f t="shared" si="142"/>
        <v>3292.5</v>
      </c>
      <c r="N35" s="4">
        <f t="shared" si="142"/>
        <v>3658.3333333333335</v>
      </c>
      <c r="O35" s="4">
        <f t="shared" si="142"/>
        <v>4024.1666666666665</v>
      </c>
      <c r="P35" s="4">
        <f t="shared" si="142"/>
        <v>4390</v>
      </c>
      <c r="Q35" s="4">
        <f t="shared" si="142"/>
        <v>4755.833333333333</v>
      </c>
      <c r="R35" s="4">
        <f t="shared" si="142"/>
        <v>5121.666666666667</v>
      </c>
      <c r="S35" s="4">
        <f t="shared" si="142"/>
        <v>5487.5</v>
      </c>
      <c r="T35" s="4">
        <f t="shared" si="142"/>
        <v>5853.333333333333</v>
      </c>
      <c r="U35" s="4">
        <f t="shared" si="142"/>
        <v>6219.166666666667</v>
      </c>
      <c r="V35" s="4">
        <f t="shared" si="142"/>
        <v>6585</v>
      </c>
      <c r="W35" s="4">
        <f t="shared" si="142"/>
        <v>6950.833333333333</v>
      </c>
      <c r="X35" s="4">
        <f t="shared" si="142"/>
        <v>7316.666666666667</v>
      </c>
      <c r="Y35" s="4">
        <f t="shared" si="142"/>
        <v>7682.5</v>
      </c>
      <c r="Z35" s="4">
        <f t="shared" si="142"/>
        <v>8048.333333333333</v>
      </c>
      <c r="AA35" s="4">
        <f t="shared" si="142"/>
        <v>8414.1666666666661</v>
      </c>
      <c r="AB35" s="4">
        <f t="shared" si="142"/>
        <v>8780</v>
      </c>
      <c r="AC35" s="4">
        <f t="shared" si="142"/>
        <v>9145.8333333333339</v>
      </c>
      <c r="AD35" s="4">
        <f t="shared" si="142"/>
        <v>9511.6666666666661</v>
      </c>
      <c r="AE35" s="4">
        <f t="shared" si="142"/>
        <v>9877.5</v>
      </c>
      <c r="AF35" s="4">
        <f t="shared" si="142"/>
        <v>10243.333333333334</v>
      </c>
      <c r="AG35" s="4">
        <f t="shared" si="142"/>
        <v>10609.166666666666</v>
      </c>
      <c r="AH35" s="4">
        <f t="shared" si="142"/>
        <v>10975</v>
      </c>
      <c r="AI35" s="4">
        <f t="shared" si="142"/>
        <v>11340.833333333334</v>
      </c>
      <c r="AJ35" s="4">
        <f t="shared" si="142"/>
        <v>11706.666666666666</v>
      </c>
      <c r="AK35" s="4">
        <f t="shared" si="142"/>
        <v>12072.5</v>
      </c>
      <c r="AL35" s="4">
        <f t="shared" si="142"/>
        <v>12438.333333333334</v>
      </c>
      <c r="AM35" s="4">
        <f t="shared" si="142"/>
        <v>12804.166666666666</v>
      </c>
      <c r="AN35" s="4">
        <f t="shared" si="142"/>
        <v>13170</v>
      </c>
      <c r="AO35" s="4">
        <f t="shared" si="142"/>
        <v>13535.833333333334</v>
      </c>
      <c r="AP35" s="4">
        <f t="shared" si="142"/>
        <v>13901.666666666666</v>
      </c>
      <c r="AQ35" s="4">
        <f t="shared" si="142"/>
        <v>14267.5</v>
      </c>
      <c r="AR35" s="4">
        <f t="shared" si="142"/>
        <v>14633.333333333334</v>
      </c>
      <c r="AS35" s="76"/>
      <c r="AT35" s="76"/>
      <c r="AU35" s="76"/>
    </row>
    <row r="36" spans="2:47">
      <c r="B36" t="s">
        <v>28</v>
      </c>
      <c r="C36" s="4">
        <f>SUM(C30:C35)</f>
        <v>34415.833333333336</v>
      </c>
      <c r="D36" s="4"/>
      <c r="E36" s="4">
        <f>SUM(E30:E35)</f>
        <v>34415.833333333336</v>
      </c>
      <c r="F36" s="4">
        <f t="shared" ref="F36:AR36" si="143">SUM(F30:F35)</f>
        <v>63531.666666666664</v>
      </c>
      <c r="G36" s="4">
        <f t="shared" si="143"/>
        <v>92647.5</v>
      </c>
      <c r="H36" s="4">
        <f t="shared" si="143"/>
        <v>121763.33333333333</v>
      </c>
      <c r="I36" s="4">
        <f t="shared" si="143"/>
        <v>150879.16666666666</v>
      </c>
      <c r="J36" s="4">
        <f t="shared" si="143"/>
        <v>179995</v>
      </c>
      <c r="K36" s="4">
        <f t="shared" si="143"/>
        <v>209110.83333333334</v>
      </c>
      <c r="L36" s="4">
        <f t="shared" si="143"/>
        <v>238226.66666666666</v>
      </c>
      <c r="M36" s="4">
        <f t="shared" si="143"/>
        <v>267342.5</v>
      </c>
      <c r="N36" s="4">
        <f t="shared" si="143"/>
        <v>296458.33333333331</v>
      </c>
      <c r="O36" s="4">
        <f t="shared" si="143"/>
        <v>325574.16666666669</v>
      </c>
      <c r="P36" s="4">
        <f t="shared" si="143"/>
        <v>354690</v>
      </c>
      <c r="Q36" s="4">
        <f t="shared" si="143"/>
        <v>383805.83333333331</v>
      </c>
      <c r="R36" s="4">
        <f t="shared" si="143"/>
        <v>412921.66666666669</v>
      </c>
      <c r="S36" s="4">
        <f t="shared" si="143"/>
        <v>442037.5</v>
      </c>
      <c r="T36" s="4">
        <f t="shared" si="143"/>
        <v>471153.33333333331</v>
      </c>
      <c r="U36" s="4">
        <f t="shared" si="143"/>
        <v>500269.16666666669</v>
      </c>
      <c r="V36" s="4">
        <f t="shared" si="143"/>
        <v>529385</v>
      </c>
      <c r="W36" s="4">
        <f t="shared" si="143"/>
        <v>558500.83333333337</v>
      </c>
      <c r="X36" s="4">
        <f t="shared" si="143"/>
        <v>587616.66666666663</v>
      </c>
      <c r="Y36" s="4">
        <f t="shared" si="143"/>
        <v>616732.5</v>
      </c>
      <c r="Z36" s="4">
        <f t="shared" si="143"/>
        <v>645848.33333333337</v>
      </c>
      <c r="AA36" s="4">
        <f t="shared" si="143"/>
        <v>674964.16666666663</v>
      </c>
      <c r="AB36" s="4">
        <f t="shared" si="143"/>
        <v>704080</v>
      </c>
      <c r="AC36" s="4">
        <f t="shared" si="143"/>
        <v>733195.83333333337</v>
      </c>
      <c r="AD36" s="4">
        <f t="shared" si="143"/>
        <v>762311.66666666663</v>
      </c>
      <c r="AE36" s="4">
        <f t="shared" si="143"/>
        <v>791427.5</v>
      </c>
      <c r="AF36" s="4">
        <f t="shared" si="143"/>
        <v>820543.33333333337</v>
      </c>
      <c r="AG36" s="4">
        <f t="shared" si="143"/>
        <v>849659.16666666663</v>
      </c>
      <c r="AH36" s="4">
        <f t="shared" si="143"/>
        <v>878775</v>
      </c>
      <c r="AI36" s="4">
        <f t="shared" si="143"/>
        <v>907890.83333333337</v>
      </c>
      <c r="AJ36" s="4">
        <f t="shared" si="143"/>
        <v>937006.66666666663</v>
      </c>
      <c r="AK36" s="4">
        <f t="shared" si="143"/>
        <v>966122.5</v>
      </c>
      <c r="AL36" s="4">
        <f t="shared" si="143"/>
        <v>995238.33333333337</v>
      </c>
      <c r="AM36" s="4">
        <f t="shared" si="143"/>
        <v>1024354.1666666666</v>
      </c>
      <c r="AN36" s="4">
        <f t="shared" si="143"/>
        <v>1053470</v>
      </c>
      <c r="AO36" s="4">
        <f t="shared" si="143"/>
        <v>1082585.8333333333</v>
      </c>
      <c r="AP36" s="4">
        <f t="shared" si="143"/>
        <v>1111701.6666666667</v>
      </c>
      <c r="AQ36" s="4">
        <f t="shared" si="143"/>
        <v>1140817.5</v>
      </c>
      <c r="AR36" s="4">
        <f t="shared" si="143"/>
        <v>1169933.3333333333</v>
      </c>
      <c r="AS36" s="76"/>
      <c r="AT36" s="76"/>
      <c r="AU36" s="76"/>
    </row>
    <row r="37" spans="2:47">
      <c r="B37" s="74" t="s">
        <v>29</v>
      </c>
      <c r="C37" s="75">
        <v>8.7800000000000003E-2</v>
      </c>
      <c r="D37" s="75"/>
      <c r="E37" s="75">
        <v>8.7800000000000003E-2</v>
      </c>
      <c r="F37" s="75">
        <f>C37</f>
        <v>8.7800000000000003E-2</v>
      </c>
      <c r="G37" s="75">
        <f>F37</f>
        <v>8.7800000000000003E-2</v>
      </c>
      <c r="H37" s="75">
        <f t="shared" ref="H37:AR37" si="144">F37</f>
        <v>8.7800000000000003E-2</v>
      </c>
      <c r="I37" s="75">
        <f t="shared" si="144"/>
        <v>8.7800000000000003E-2</v>
      </c>
      <c r="J37" s="75">
        <f t="shared" si="144"/>
        <v>8.7800000000000003E-2</v>
      </c>
      <c r="K37" s="75">
        <f t="shared" si="144"/>
        <v>8.7800000000000003E-2</v>
      </c>
      <c r="L37" s="75">
        <f t="shared" si="144"/>
        <v>8.7800000000000003E-2</v>
      </c>
      <c r="M37" s="75">
        <f t="shared" si="144"/>
        <v>8.7800000000000003E-2</v>
      </c>
      <c r="N37" s="75">
        <f t="shared" si="144"/>
        <v>8.7800000000000003E-2</v>
      </c>
      <c r="O37" s="75">
        <f t="shared" si="144"/>
        <v>8.7800000000000003E-2</v>
      </c>
      <c r="P37" s="75">
        <f t="shared" si="144"/>
        <v>8.7800000000000003E-2</v>
      </c>
      <c r="Q37" s="75">
        <f t="shared" si="144"/>
        <v>8.7800000000000003E-2</v>
      </c>
      <c r="R37" s="75">
        <f t="shared" si="144"/>
        <v>8.7800000000000003E-2</v>
      </c>
      <c r="S37" s="75">
        <f t="shared" si="144"/>
        <v>8.7800000000000003E-2</v>
      </c>
      <c r="T37" s="75">
        <f t="shared" si="144"/>
        <v>8.7800000000000003E-2</v>
      </c>
      <c r="U37" s="75">
        <f t="shared" si="144"/>
        <v>8.7800000000000003E-2</v>
      </c>
      <c r="V37" s="75">
        <f t="shared" si="144"/>
        <v>8.7800000000000003E-2</v>
      </c>
      <c r="W37" s="75">
        <f t="shared" si="144"/>
        <v>8.7800000000000003E-2</v>
      </c>
      <c r="X37" s="75">
        <f t="shared" si="144"/>
        <v>8.7800000000000003E-2</v>
      </c>
      <c r="Y37" s="75">
        <f t="shared" si="144"/>
        <v>8.7800000000000003E-2</v>
      </c>
      <c r="Z37" s="75">
        <f t="shared" si="144"/>
        <v>8.7800000000000003E-2</v>
      </c>
      <c r="AA37" s="75">
        <f t="shared" si="144"/>
        <v>8.7800000000000003E-2</v>
      </c>
      <c r="AB37" s="75">
        <f t="shared" si="144"/>
        <v>8.7800000000000003E-2</v>
      </c>
      <c r="AC37" s="75">
        <f t="shared" si="144"/>
        <v>8.7800000000000003E-2</v>
      </c>
      <c r="AD37" s="75">
        <f t="shared" si="144"/>
        <v>8.7800000000000003E-2</v>
      </c>
      <c r="AE37" s="75">
        <f t="shared" si="144"/>
        <v>8.7800000000000003E-2</v>
      </c>
      <c r="AF37" s="75">
        <f t="shared" si="144"/>
        <v>8.7800000000000003E-2</v>
      </c>
      <c r="AG37" s="75">
        <f t="shared" si="144"/>
        <v>8.7800000000000003E-2</v>
      </c>
      <c r="AH37" s="75">
        <f t="shared" si="144"/>
        <v>8.7800000000000003E-2</v>
      </c>
      <c r="AI37" s="75">
        <f t="shared" si="144"/>
        <v>8.7800000000000003E-2</v>
      </c>
      <c r="AJ37" s="75">
        <f t="shared" si="144"/>
        <v>8.7800000000000003E-2</v>
      </c>
      <c r="AK37" s="75">
        <f t="shared" si="144"/>
        <v>8.7800000000000003E-2</v>
      </c>
      <c r="AL37" s="75">
        <f t="shared" si="144"/>
        <v>8.7800000000000003E-2</v>
      </c>
      <c r="AM37" s="75">
        <f t="shared" si="144"/>
        <v>8.7800000000000003E-2</v>
      </c>
      <c r="AN37" s="75">
        <f t="shared" si="144"/>
        <v>8.7800000000000003E-2</v>
      </c>
      <c r="AO37" s="75">
        <f t="shared" si="144"/>
        <v>8.7800000000000003E-2</v>
      </c>
      <c r="AP37" s="75">
        <f t="shared" si="144"/>
        <v>8.7800000000000003E-2</v>
      </c>
      <c r="AQ37" s="75">
        <f t="shared" si="144"/>
        <v>8.7800000000000003E-2</v>
      </c>
      <c r="AR37" s="75">
        <f t="shared" si="144"/>
        <v>8.7800000000000003E-2</v>
      </c>
      <c r="AS37" s="77"/>
      <c r="AT37" s="77"/>
      <c r="AU37" s="77"/>
    </row>
    <row r="38" spans="2:47">
      <c r="B38" s="68" t="s">
        <v>30</v>
      </c>
      <c r="C38" s="68">
        <f>(1+C37/C41)^C41-1</f>
        <v>9.1682186949581634E-2</v>
      </c>
      <c r="D38" s="68"/>
      <c r="E38" s="68">
        <f>(1+E37/E41)^E41-1</f>
        <v>9.1682186949581634E-2</v>
      </c>
      <c r="F38" s="68">
        <f>(1+F37/F41)^F41-1</f>
        <v>9.1682186949581634E-2</v>
      </c>
      <c r="G38" s="68">
        <f>(1+G37/G41)^G41-1</f>
        <v>9.1682186949581634E-2</v>
      </c>
      <c r="H38" s="68">
        <f t="shared" ref="H38:AR38" si="145">(1+H37/H41)^H41-1</f>
        <v>9.1682186949581634E-2</v>
      </c>
      <c r="I38" s="68">
        <f t="shared" si="145"/>
        <v>9.1682186949581634E-2</v>
      </c>
      <c r="J38" s="68">
        <f t="shared" si="145"/>
        <v>9.1682186949581634E-2</v>
      </c>
      <c r="K38" s="68">
        <f t="shared" si="145"/>
        <v>9.1682186949581634E-2</v>
      </c>
      <c r="L38" s="68">
        <f t="shared" si="145"/>
        <v>9.1682186949581634E-2</v>
      </c>
      <c r="M38" s="68">
        <f t="shared" si="145"/>
        <v>9.1682186949581634E-2</v>
      </c>
      <c r="N38" s="68">
        <f t="shared" si="145"/>
        <v>9.1682186949581634E-2</v>
      </c>
      <c r="O38" s="68">
        <f t="shared" si="145"/>
        <v>9.1682186949581634E-2</v>
      </c>
      <c r="P38" s="68">
        <f t="shared" si="145"/>
        <v>9.1682186949581634E-2</v>
      </c>
      <c r="Q38" s="68">
        <f t="shared" si="145"/>
        <v>9.1682186949581634E-2</v>
      </c>
      <c r="R38" s="68">
        <f t="shared" si="145"/>
        <v>9.1682186949581634E-2</v>
      </c>
      <c r="S38" s="68">
        <f t="shared" si="145"/>
        <v>9.1682186949581634E-2</v>
      </c>
      <c r="T38" s="68">
        <f t="shared" si="145"/>
        <v>9.1682186949581634E-2</v>
      </c>
      <c r="U38" s="68">
        <f t="shared" si="145"/>
        <v>9.1682186949581634E-2</v>
      </c>
      <c r="V38" s="68">
        <f t="shared" si="145"/>
        <v>9.1682186949581634E-2</v>
      </c>
      <c r="W38" s="68">
        <f t="shared" si="145"/>
        <v>9.1682186949581634E-2</v>
      </c>
      <c r="X38" s="68">
        <f t="shared" si="145"/>
        <v>9.1682186949581634E-2</v>
      </c>
      <c r="Y38" s="68">
        <f t="shared" si="145"/>
        <v>9.1682186949581634E-2</v>
      </c>
      <c r="Z38" s="68">
        <f t="shared" si="145"/>
        <v>9.1682186949581634E-2</v>
      </c>
      <c r="AA38" s="68">
        <f t="shared" si="145"/>
        <v>9.1682186949581634E-2</v>
      </c>
      <c r="AB38" s="68">
        <f t="shared" si="145"/>
        <v>9.1682186949581634E-2</v>
      </c>
      <c r="AC38" s="68">
        <f t="shared" si="145"/>
        <v>9.1682186949581634E-2</v>
      </c>
      <c r="AD38" s="68">
        <f t="shared" si="145"/>
        <v>9.1682186949581634E-2</v>
      </c>
      <c r="AE38" s="68">
        <f t="shared" si="145"/>
        <v>9.1682186949581634E-2</v>
      </c>
      <c r="AF38" s="68">
        <f t="shared" si="145"/>
        <v>9.1682186949581634E-2</v>
      </c>
      <c r="AG38" s="68">
        <f t="shared" si="145"/>
        <v>9.1682186949581634E-2</v>
      </c>
      <c r="AH38" s="68">
        <f t="shared" si="145"/>
        <v>9.1682186949581634E-2</v>
      </c>
      <c r="AI38" s="68">
        <f t="shared" si="145"/>
        <v>9.1682186949581634E-2</v>
      </c>
      <c r="AJ38" s="68">
        <f t="shared" si="145"/>
        <v>9.1682186949581634E-2</v>
      </c>
      <c r="AK38" s="68">
        <f t="shared" si="145"/>
        <v>9.1682186949581634E-2</v>
      </c>
      <c r="AL38" s="68">
        <f t="shared" si="145"/>
        <v>9.1682186949581634E-2</v>
      </c>
      <c r="AM38" s="68">
        <f t="shared" si="145"/>
        <v>9.1682186949581634E-2</v>
      </c>
      <c r="AN38" s="68">
        <f t="shared" si="145"/>
        <v>9.1682186949581634E-2</v>
      </c>
      <c r="AO38" s="68">
        <f t="shared" si="145"/>
        <v>9.1682186949581634E-2</v>
      </c>
      <c r="AP38" s="68">
        <f t="shared" si="145"/>
        <v>9.1682186949581634E-2</v>
      </c>
      <c r="AQ38" s="68">
        <f t="shared" si="145"/>
        <v>9.1682186949581634E-2</v>
      </c>
      <c r="AR38" s="78">
        <f t="shared" si="145"/>
        <v>9.1682186949581634E-2</v>
      </c>
      <c r="AS38" s="79"/>
      <c r="AT38" s="79"/>
      <c r="AU38" s="79"/>
    </row>
    <row r="39" spans="2:47">
      <c r="B39" t="s">
        <v>31</v>
      </c>
      <c r="C39" s="69">
        <v>4</v>
      </c>
      <c r="D39" s="69"/>
      <c r="E39" s="69">
        <v>4</v>
      </c>
      <c r="F39" s="69">
        <v>4</v>
      </c>
      <c r="G39" s="69">
        <v>4</v>
      </c>
      <c r="H39" s="69">
        <v>4</v>
      </c>
      <c r="I39" s="69">
        <v>4</v>
      </c>
      <c r="J39" s="69">
        <v>4</v>
      </c>
      <c r="K39" s="69">
        <v>4</v>
      </c>
      <c r="L39" s="69">
        <f>H39</f>
        <v>4</v>
      </c>
      <c r="M39" s="69">
        <f>I39</f>
        <v>4</v>
      </c>
      <c r="N39" s="69">
        <f>K39</f>
        <v>4</v>
      </c>
      <c r="O39" s="69">
        <f t="shared" ref="O39:AJ39" si="146">K39</f>
        <v>4</v>
      </c>
      <c r="P39" s="69">
        <f t="shared" si="146"/>
        <v>4</v>
      </c>
      <c r="Q39" s="69">
        <f t="shared" si="146"/>
        <v>4</v>
      </c>
      <c r="R39" s="69">
        <f t="shared" si="146"/>
        <v>4</v>
      </c>
      <c r="S39" s="69">
        <f t="shared" si="146"/>
        <v>4</v>
      </c>
      <c r="T39" s="69">
        <f t="shared" si="146"/>
        <v>4</v>
      </c>
      <c r="U39" s="69">
        <f t="shared" si="146"/>
        <v>4</v>
      </c>
      <c r="V39" s="69">
        <f t="shared" si="146"/>
        <v>4</v>
      </c>
      <c r="W39" s="69">
        <f t="shared" si="146"/>
        <v>4</v>
      </c>
      <c r="X39" s="69">
        <f t="shared" si="146"/>
        <v>4</v>
      </c>
      <c r="Y39" s="69">
        <f t="shared" si="146"/>
        <v>4</v>
      </c>
      <c r="Z39" s="69">
        <f t="shared" si="146"/>
        <v>4</v>
      </c>
      <c r="AA39" s="69">
        <f t="shared" si="146"/>
        <v>4</v>
      </c>
      <c r="AB39" s="69">
        <f t="shared" si="146"/>
        <v>4</v>
      </c>
      <c r="AC39" s="69">
        <f t="shared" si="146"/>
        <v>4</v>
      </c>
      <c r="AD39" s="69">
        <f t="shared" si="146"/>
        <v>4</v>
      </c>
      <c r="AE39" s="69">
        <f t="shared" si="146"/>
        <v>4</v>
      </c>
      <c r="AF39" s="69">
        <f t="shared" si="146"/>
        <v>4</v>
      </c>
      <c r="AG39" s="69">
        <f t="shared" si="146"/>
        <v>4</v>
      </c>
      <c r="AH39" s="69">
        <f t="shared" si="146"/>
        <v>4</v>
      </c>
      <c r="AI39" s="69">
        <f t="shared" si="146"/>
        <v>4</v>
      </c>
      <c r="AJ39" s="69">
        <f t="shared" si="146"/>
        <v>4</v>
      </c>
      <c r="AK39" s="69">
        <f t="shared" ref="AK39:AN39" si="147">AG39</f>
        <v>4</v>
      </c>
      <c r="AL39" s="69">
        <f t="shared" si="147"/>
        <v>4</v>
      </c>
      <c r="AM39" s="69">
        <f t="shared" si="147"/>
        <v>4</v>
      </c>
      <c r="AN39" s="69">
        <f t="shared" si="147"/>
        <v>4</v>
      </c>
      <c r="AO39" s="69">
        <f t="shared" ref="AO39:AR39" si="148">AK39</f>
        <v>4</v>
      </c>
      <c r="AP39" s="69">
        <f t="shared" si="148"/>
        <v>4</v>
      </c>
      <c r="AQ39" s="69">
        <f t="shared" si="148"/>
        <v>4</v>
      </c>
      <c r="AR39" s="69">
        <f t="shared" si="148"/>
        <v>4</v>
      </c>
      <c r="AS39" s="80"/>
      <c r="AT39" s="80"/>
      <c r="AU39" s="80"/>
    </row>
    <row r="40" spans="2:47">
      <c r="B40" t="s">
        <v>32</v>
      </c>
      <c r="C40" s="7">
        <f>C37/12</f>
        <v>7.3166666666666666E-3</v>
      </c>
      <c r="D40" s="7"/>
      <c r="E40" s="7">
        <f>E37/12</f>
        <v>7.3166666666666666E-3</v>
      </c>
      <c r="F40" s="7">
        <f>F37/12</f>
        <v>7.3166666666666666E-3</v>
      </c>
      <c r="G40" s="7">
        <f>G37/12</f>
        <v>7.3166666666666666E-3</v>
      </c>
      <c r="H40" s="7">
        <f>H37/12</f>
        <v>7.3166666666666666E-3</v>
      </c>
      <c r="I40" s="7">
        <f t="shared" ref="I40:J40" si="149">I37/12</f>
        <v>7.3166666666666666E-3</v>
      </c>
      <c r="J40" s="7">
        <f t="shared" si="149"/>
        <v>7.3166666666666666E-3</v>
      </c>
      <c r="K40" s="7">
        <f t="shared" ref="K40" si="150">K37/12</f>
        <v>7.3166666666666666E-3</v>
      </c>
      <c r="L40" s="7">
        <f t="shared" ref="L40:T40" si="151">L37/12</f>
        <v>7.3166666666666666E-3</v>
      </c>
      <c r="M40" s="7">
        <f t="shared" ref="M40:O40" si="152">M37/12</f>
        <v>7.3166666666666666E-3</v>
      </c>
      <c r="N40" s="7">
        <f t="shared" si="152"/>
        <v>7.3166666666666666E-3</v>
      </c>
      <c r="O40" s="7">
        <f t="shared" si="152"/>
        <v>7.3166666666666666E-3</v>
      </c>
      <c r="P40" s="7">
        <f t="shared" si="151"/>
        <v>7.3166666666666666E-3</v>
      </c>
      <c r="Q40" s="7">
        <f t="shared" ref="Q40:R40" si="153">Q37/12</f>
        <v>7.3166666666666666E-3</v>
      </c>
      <c r="R40" s="7">
        <f t="shared" si="153"/>
        <v>7.3166666666666666E-3</v>
      </c>
      <c r="S40" s="7">
        <f t="shared" ref="S40" si="154">S37/12</f>
        <v>7.3166666666666666E-3</v>
      </c>
      <c r="T40" s="7">
        <f t="shared" si="151"/>
        <v>7.3166666666666666E-3</v>
      </c>
      <c r="U40" s="7">
        <f t="shared" ref="U40:W40" si="155">U37/12</f>
        <v>7.3166666666666666E-3</v>
      </c>
      <c r="V40" s="7">
        <f t="shared" si="155"/>
        <v>7.3166666666666666E-3</v>
      </c>
      <c r="W40" s="7">
        <f t="shared" si="155"/>
        <v>7.3166666666666666E-3</v>
      </c>
      <c r="X40" s="7">
        <f t="shared" ref="X40:AR40" si="156">X37/12</f>
        <v>7.3166666666666666E-3</v>
      </c>
      <c r="Y40" s="7">
        <f t="shared" ref="Y40:AA40" si="157">Y37/12</f>
        <v>7.3166666666666666E-3</v>
      </c>
      <c r="Z40" s="7">
        <f t="shared" si="157"/>
        <v>7.3166666666666666E-3</v>
      </c>
      <c r="AA40" s="7">
        <f t="shared" si="157"/>
        <v>7.3166666666666666E-3</v>
      </c>
      <c r="AB40" s="7">
        <f t="shared" si="156"/>
        <v>7.3166666666666666E-3</v>
      </c>
      <c r="AC40" s="7">
        <f t="shared" ref="AC40:AE40" si="158">AC37/12</f>
        <v>7.3166666666666666E-3</v>
      </c>
      <c r="AD40" s="7">
        <f t="shared" si="158"/>
        <v>7.3166666666666666E-3</v>
      </c>
      <c r="AE40" s="7">
        <f t="shared" si="158"/>
        <v>7.3166666666666666E-3</v>
      </c>
      <c r="AF40" s="7">
        <f t="shared" si="156"/>
        <v>7.3166666666666666E-3</v>
      </c>
      <c r="AG40" s="7">
        <f t="shared" ref="AG40:AI40" si="159">AG37/12</f>
        <v>7.3166666666666666E-3</v>
      </c>
      <c r="AH40" s="7">
        <f t="shared" si="159"/>
        <v>7.3166666666666666E-3</v>
      </c>
      <c r="AI40" s="7">
        <f t="shared" si="159"/>
        <v>7.3166666666666666E-3</v>
      </c>
      <c r="AJ40" s="7">
        <f t="shared" si="156"/>
        <v>7.3166666666666666E-3</v>
      </c>
      <c r="AK40" s="7">
        <f t="shared" ref="AK40:AM40" si="160">AK37/12</f>
        <v>7.3166666666666666E-3</v>
      </c>
      <c r="AL40" s="7">
        <f t="shared" si="160"/>
        <v>7.3166666666666666E-3</v>
      </c>
      <c r="AM40" s="7">
        <f t="shared" si="160"/>
        <v>7.3166666666666666E-3</v>
      </c>
      <c r="AN40" s="7">
        <f t="shared" si="156"/>
        <v>7.3166666666666666E-3</v>
      </c>
      <c r="AO40" s="7">
        <f t="shared" ref="AO40:AQ40" si="161">AO37/12</f>
        <v>7.3166666666666666E-3</v>
      </c>
      <c r="AP40" s="7">
        <f t="shared" si="161"/>
        <v>7.3166666666666666E-3</v>
      </c>
      <c r="AQ40" s="7">
        <f t="shared" si="161"/>
        <v>7.3166666666666666E-3</v>
      </c>
      <c r="AR40" s="7">
        <f t="shared" si="156"/>
        <v>7.3166666666666666E-3</v>
      </c>
      <c r="AS40" s="38"/>
      <c r="AT40" s="38"/>
      <c r="AU40" s="38"/>
    </row>
    <row r="41" spans="2:47">
      <c r="B41" t="s">
        <v>33</v>
      </c>
      <c r="C41" s="69">
        <f>C39*12</f>
        <v>48</v>
      </c>
      <c r="D41" s="69"/>
      <c r="E41" s="69">
        <f>E39*12</f>
        <v>48</v>
      </c>
      <c r="F41" s="69">
        <f>F39*12</f>
        <v>48</v>
      </c>
      <c r="G41" s="69">
        <f>G39*12</f>
        <v>48</v>
      </c>
      <c r="H41" s="69">
        <f>H39*12</f>
        <v>48</v>
      </c>
      <c r="I41" s="69">
        <f t="shared" ref="I41:J41" si="162">I39*12</f>
        <v>48</v>
      </c>
      <c r="J41" s="69">
        <f t="shared" si="162"/>
        <v>48</v>
      </c>
      <c r="K41" s="69">
        <f t="shared" ref="K41" si="163">K39*12</f>
        <v>48</v>
      </c>
      <c r="L41" s="69">
        <f t="shared" ref="L41:T41" si="164">L39*12</f>
        <v>48</v>
      </c>
      <c r="M41" s="69">
        <f t="shared" ref="M41:O41" si="165">M39*12</f>
        <v>48</v>
      </c>
      <c r="N41" s="69">
        <f t="shared" si="165"/>
        <v>48</v>
      </c>
      <c r="O41" s="69">
        <f t="shared" si="165"/>
        <v>48</v>
      </c>
      <c r="P41" s="69">
        <f t="shared" si="164"/>
        <v>48</v>
      </c>
      <c r="Q41" s="69">
        <f t="shared" ref="Q41:R41" si="166">Q39*12</f>
        <v>48</v>
      </c>
      <c r="R41" s="69">
        <f t="shared" si="166"/>
        <v>48</v>
      </c>
      <c r="S41" s="69">
        <f t="shared" ref="S41" si="167">S39*12</f>
        <v>48</v>
      </c>
      <c r="T41" s="69">
        <f t="shared" si="164"/>
        <v>48</v>
      </c>
      <c r="U41" s="69">
        <f t="shared" ref="U41:W41" si="168">U39*12</f>
        <v>48</v>
      </c>
      <c r="V41" s="69">
        <f t="shared" si="168"/>
        <v>48</v>
      </c>
      <c r="W41" s="69">
        <f t="shared" si="168"/>
        <v>48</v>
      </c>
      <c r="X41" s="69">
        <f t="shared" ref="X41:AR41" si="169">X39*12</f>
        <v>48</v>
      </c>
      <c r="Y41" s="69">
        <f t="shared" ref="Y41:AA41" si="170">Y39*12</f>
        <v>48</v>
      </c>
      <c r="Z41" s="69">
        <f t="shared" si="170"/>
        <v>48</v>
      </c>
      <c r="AA41" s="69">
        <f t="shared" si="170"/>
        <v>48</v>
      </c>
      <c r="AB41" s="69">
        <f t="shared" si="169"/>
        <v>48</v>
      </c>
      <c r="AC41" s="69">
        <f t="shared" ref="AC41:AE41" si="171">AC39*12</f>
        <v>48</v>
      </c>
      <c r="AD41" s="69">
        <f t="shared" si="171"/>
        <v>48</v>
      </c>
      <c r="AE41" s="69">
        <f t="shared" si="171"/>
        <v>48</v>
      </c>
      <c r="AF41" s="69">
        <f t="shared" si="169"/>
        <v>48</v>
      </c>
      <c r="AG41" s="69">
        <f t="shared" ref="AG41:AI41" si="172">AG39*12</f>
        <v>48</v>
      </c>
      <c r="AH41" s="69">
        <f t="shared" si="172"/>
        <v>48</v>
      </c>
      <c r="AI41" s="69">
        <f t="shared" si="172"/>
        <v>48</v>
      </c>
      <c r="AJ41" s="69">
        <f t="shared" si="169"/>
        <v>48</v>
      </c>
      <c r="AK41" s="69">
        <f t="shared" ref="AK41:AM41" si="173">AK39*12</f>
        <v>48</v>
      </c>
      <c r="AL41" s="69">
        <f t="shared" si="173"/>
        <v>48</v>
      </c>
      <c r="AM41" s="69">
        <f t="shared" si="173"/>
        <v>48</v>
      </c>
      <c r="AN41" s="69">
        <f t="shared" si="169"/>
        <v>48</v>
      </c>
      <c r="AO41" s="69">
        <f t="shared" ref="AO41:AQ41" si="174">AO39*12</f>
        <v>48</v>
      </c>
      <c r="AP41" s="69">
        <f t="shared" si="174"/>
        <v>48</v>
      </c>
      <c r="AQ41" s="69">
        <f t="shared" si="174"/>
        <v>48</v>
      </c>
      <c r="AR41" s="69">
        <f t="shared" si="169"/>
        <v>48</v>
      </c>
      <c r="AS41" s="80"/>
      <c r="AT41" s="80"/>
      <c r="AU41" s="80"/>
    </row>
    <row r="42" spans="2:47">
      <c r="C42" s="4"/>
      <c r="D42" s="4"/>
      <c r="E42" s="4"/>
      <c r="F42" s="4"/>
      <c r="G42" s="4"/>
      <c r="H42" s="4"/>
      <c r="I42" s="4"/>
      <c r="J42" s="4"/>
      <c r="K42" s="4"/>
      <c r="L42" s="4"/>
      <c r="M42" s="4"/>
      <c r="AB42" s="4"/>
      <c r="AC42" s="4"/>
      <c r="AD42" s="4"/>
      <c r="AE42" s="4"/>
      <c r="AF42" s="4"/>
      <c r="AG42" s="4"/>
      <c r="AH42" s="4"/>
      <c r="AI42" s="4"/>
      <c r="AJ42" s="4"/>
      <c r="AK42" s="4"/>
      <c r="AL42" s="4"/>
      <c r="AM42" s="4"/>
      <c r="AN42" s="4"/>
      <c r="AO42" s="4"/>
      <c r="AP42" s="4"/>
      <c r="AQ42" s="4"/>
      <c r="AR42" s="4"/>
      <c r="AS42" s="76"/>
      <c r="AT42" s="76"/>
      <c r="AU42" s="76"/>
    </row>
    <row r="43" spans="2:47">
      <c r="B43" t="s">
        <v>17</v>
      </c>
      <c r="C43" s="71">
        <f>(1+C40)^C41</f>
        <v>1.4189560513654005</v>
      </c>
      <c r="D43" s="71"/>
      <c r="E43" s="71">
        <f>(1+E40)^E41</f>
        <v>1.4189560513654005</v>
      </c>
      <c r="F43" s="71">
        <f>(1+F40)^F41</f>
        <v>1.4189560513654005</v>
      </c>
      <c r="G43" s="71">
        <f>(1+G40)^G41</f>
        <v>1.4189560513654005</v>
      </c>
      <c r="H43" s="71">
        <f>(1+H40)^H41</f>
        <v>1.4189560513654005</v>
      </c>
      <c r="I43" s="71">
        <f t="shared" ref="I43:J43" si="175">(1+I40)^I41</f>
        <v>1.4189560513654005</v>
      </c>
      <c r="J43" s="71">
        <f t="shared" si="175"/>
        <v>1.4189560513654005</v>
      </c>
      <c r="K43" s="71">
        <f t="shared" ref="K43" si="176">(1+K40)^K41</f>
        <v>1.4189560513654005</v>
      </c>
      <c r="L43" s="71">
        <f t="shared" ref="L43:T43" si="177">(1+L40)^L41</f>
        <v>1.4189560513654005</v>
      </c>
      <c r="M43" s="71">
        <f t="shared" ref="M43:O43" si="178">(1+M40)^M41</f>
        <v>1.4189560513654005</v>
      </c>
      <c r="N43" s="71">
        <f t="shared" si="178"/>
        <v>1.4189560513654005</v>
      </c>
      <c r="O43" s="71">
        <f t="shared" si="178"/>
        <v>1.4189560513654005</v>
      </c>
      <c r="P43" s="71">
        <f t="shared" si="177"/>
        <v>1.4189560513654005</v>
      </c>
      <c r="Q43" s="71">
        <f t="shared" ref="Q43:R43" si="179">(1+Q40)^Q41</f>
        <v>1.4189560513654005</v>
      </c>
      <c r="R43" s="71">
        <f t="shared" si="179"/>
        <v>1.4189560513654005</v>
      </c>
      <c r="S43" s="71">
        <f t="shared" ref="S43" si="180">(1+S40)^S41</f>
        <v>1.4189560513654005</v>
      </c>
      <c r="T43" s="71">
        <f t="shared" si="177"/>
        <v>1.4189560513654005</v>
      </c>
      <c r="U43" s="71">
        <f t="shared" ref="U43:W43" si="181">(1+U40)^U41</f>
        <v>1.4189560513654005</v>
      </c>
      <c r="V43" s="71">
        <f t="shared" si="181"/>
        <v>1.4189560513654005</v>
      </c>
      <c r="W43" s="71">
        <f t="shared" si="181"/>
        <v>1.4189560513654005</v>
      </c>
      <c r="X43" s="71">
        <f t="shared" ref="X43:AR43" si="182">(1+X40)^X41</f>
        <v>1.4189560513654005</v>
      </c>
      <c r="Y43" s="71">
        <f t="shared" ref="Y43:AA43" si="183">(1+Y40)^Y41</f>
        <v>1.4189560513654005</v>
      </c>
      <c r="Z43" s="71">
        <f t="shared" si="183"/>
        <v>1.4189560513654005</v>
      </c>
      <c r="AA43" s="71">
        <f t="shared" si="183"/>
        <v>1.4189560513654005</v>
      </c>
      <c r="AB43" s="71">
        <f t="shared" si="182"/>
        <v>1.4189560513654005</v>
      </c>
      <c r="AC43" s="71">
        <f t="shared" ref="AC43:AE43" si="184">(1+AC40)^AC41</f>
        <v>1.4189560513654005</v>
      </c>
      <c r="AD43" s="71">
        <f t="shared" si="184"/>
        <v>1.4189560513654005</v>
      </c>
      <c r="AE43" s="71">
        <f t="shared" si="184"/>
        <v>1.4189560513654005</v>
      </c>
      <c r="AF43" s="71">
        <f t="shared" si="182"/>
        <v>1.4189560513654005</v>
      </c>
      <c r="AG43" s="71">
        <f t="shared" ref="AG43:AI43" si="185">(1+AG40)^AG41</f>
        <v>1.4189560513654005</v>
      </c>
      <c r="AH43" s="71">
        <f t="shared" si="185"/>
        <v>1.4189560513654005</v>
      </c>
      <c r="AI43" s="71">
        <f t="shared" si="185"/>
        <v>1.4189560513654005</v>
      </c>
      <c r="AJ43" s="71">
        <f t="shared" si="182"/>
        <v>1.4189560513654005</v>
      </c>
      <c r="AK43" s="71">
        <f t="shared" ref="AK43:AM43" si="186">(1+AK40)^AK41</f>
        <v>1.4189560513654005</v>
      </c>
      <c r="AL43" s="71">
        <f t="shared" si="186"/>
        <v>1.4189560513654005</v>
      </c>
      <c r="AM43" s="71">
        <f t="shared" si="186"/>
        <v>1.4189560513654005</v>
      </c>
      <c r="AN43" s="71">
        <f t="shared" si="182"/>
        <v>1.4189560513654005</v>
      </c>
      <c r="AO43" s="71">
        <f t="shared" ref="AO43:AQ43" si="187">(1+AO40)^AO41</f>
        <v>1.4189560513654005</v>
      </c>
      <c r="AP43" s="71">
        <f t="shared" si="187"/>
        <v>1.4189560513654005</v>
      </c>
      <c r="AQ43" s="71">
        <f t="shared" si="187"/>
        <v>1.4189560513654005</v>
      </c>
      <c r="AR43" s="71">
        <f t="shared" si="182"/>
        <v>1.4189560513654005</v>
      </c>
      <c r="AS43" s="81"/>
      <c r="AT43" s="81"/>
      <c r="AU43" s="81"/>
    </row>
    <row r="44" spans="2:47">
      <c r="C44" s="72">
        <f>C43*C40</f>
        <v>1.038202844249018E-2</v>
      </c>
      <c r="D44" s="72"/>
      <c r="E44" s="72">
        <f>E43*E40</f>
        <v>1.038202844249018E-2</v>
      </c>
      <c r="F44" s="72">
        <f>F43*F40</f>
        <v>1.038202844249018E-2</v>
      </c>
      <c r="G44" s="72">
        <f>G43*G40</f>
        <v>1.038202844249018E-2</v>
      </c>
      <c r="H44" s="72">
        <f>H43*H40</f>
        <v>1.038202844249018E-2</v>
      </c>
      <c r="I44" s="72">
        <f>I43*I40</f>
        <v>1.038202844249018E-2</v>
      </c>
      <c r="J44" s="72">
        <f t="shared" ref="J44:K44" si="188">J43*J40</f>
        <v>1.038202844249018E-2</v>
      </c>
      <c r="K44" s="72">
        <f t="shared" si="188"/>
        <v>1.038202844249018E-2</v>
      </c>
      <c r="L44" s="72">
        <f t="shared" ref="L44:T44" si="189">L43*L40</f>
        <v>1.038202844249018E-2</v>
      </c>
      <c r="M44" s="72">
        <f t="shared" ref="M44:O44" si="190">M43*M40</f>
        <v>1.038202844249018E-2</v>
      </c>
      <c r="N44" s="72">
        <f t="shared" si="190"/>
        <v>1.038202844249018E-2</v>
      </c>
      <c r="O44" s="72">
        <f t="shared" si="190"/>
        <v>1.038202844249018E-2</v>
      </c>
      <c r="P44" s="72">
        <f t="shared" si="189"/>
        <v>1.038202844249018E-2</v>
      </c>
      <c r="Q44" s="72">
        <f t="shared" ref="Q44:R44" si="191">Q43*Q40</f>
        <v>1.038202844249018E-2</v>
      </c>
      <c r="R44" s="72">
        <f t="shared" si="191"/>
        <v>1.038202844249018E-2</v>
      </c>
      <c r="S44" s="72">
        <f t="shared" ref="S44" si="192">S43*S40</f>
        <v>1.038202844249018E-2</v>
      </c>
      <c r="T44" s="72">
        <f t="shared" si="189"/>
        <v>1.038202844249018E-2</v>
      </c>
      <c r="U44" s="72">
        <f t="shared" ref="U44:W44" si="193">U43*U40</f>
        <v>1.038202844249018E-2</v>
      </c>
      <c r="V44" s="72">
        <f t="shared" si="193"/>
        <v>1.038202844249018E-2</v>
      </c>
      <c r="W44" s="72">
        <f t="shared" si="193"/>
        <v>1.038202844249018E-2</v>
      </c>
      <c r="X44" s="72">
        <f t="shared" ref="X44:Y44" si="194">X43*X40</f>
        <v>1.038202844249018E-2</v>
      </c>
      <c r="Y44" s="72">
        <f t="shared" si="194"/>
        <v>1.038202844249018E-2</v>
      </c>
      <c r="Z44" s="72">
        <f t="shared" ref="Z44:AA44" si="195">Z43*Z40</f>
        <v>1.038202844249018E-2</v>
      </c>
      <c r="AA44" s="72">
        <f t="shared" si="195"/>
        <v>1.038202844249018E-2</v>
      </c>
      <c r="AB44" s="72">
        <f t="shared" ref="AB44:AC44" si="196">AB43*AB40</f>
        <v>1.038202844249018E-2</v>
      </c>
      <c r="AC44" s="72">
        <f t="shared" si="196"/>
        <v>1.038202844249018E-2</v>
      </c>
      <c r="AD44" s="72">
        <f t="shared" ref="AD44:AE44" si="197">AD43*AD40</f>
        <v>1.038202844249018E-2</v>
      </c>
      <c r="AE44" s="72">
        <f t="shared" si="197"/>
        <v>1.038202844249018E-2</v>
      </c>
      <c r="AF44" s="72">
        <f t="shared" ref="AF44:AG44" si="198">AF43*AF40</f>
        <v>1.038202844249018E-2</v>
      </c>
      <c r="AG44" s="72">
        <f t="shared" si="198"/>
        <v>1.038202844249018E-2</v>
      </c>
      <c r="AH44" s="72">
        <f t="shared" ref="AH44:AI44" si="199">AH43*AH40</f>
        <v>1.038202844249018E-2</v>
      </c>
      <c r="AI44" s="72">
        <f t="shared" si="199"/>
        <v>1.038202844249018E-2</v>
      </c>
      <c r="AJ44" s="72">
        <f t="shared" ref="AJ44:AM44" si="200">AJ43*AJ40</f>
        <v>1.038202844249018E-2</v>
      </c>
      <c r="AK44" s="72">
        <f t="shared" si="200"/>
        <v>1.038202844249018E-2</v>
      </c>
      <c r="AL44" s="72">
        <f t="shared" si="200"/>
        <v>1.038202844249018E-2</v>
      </c>
      <c r="AM44" s="72">
        <f t="shared" si="200"/>
        <v>1.038202844249018E-2</v>
      </c>
      <c r="AN44" s="72">
        <f t="shared" ref="AN44:AQ44" si="201">AN43*AN40</f>
        <v>1.038202844249018E-2</v>
      </c>
      <c r="AO44" s="72">
        <f t="shared" si="201"/>
        <v>1.038202844249018E-2</v>
      </c>
      <c r="AP44" s="72">
        <f t="shared" si="201"/>
        <v>1.038202844249018E-2</v>
      </c>
      <c r="AQ44" s="72">
        <f t="shared" si="201"/>
        <v>1.038202844249018E-2</v>
      </c>
      <c r="AR44" s="72">
        <f t="shared" ref="AR44" si="202">AR43*AR40</f>
        <v>1.038202844249018E-2</v>
      </c>
      <c r="AS44" s="82"/>
      <c r="AT44" s="82"/>
      <c r="AU44" s="82"/>
    </row>
    <row r="45" spans="2:47">
      <c r="C45" s="73">
        <f>C43-1</f>
        <v>0.41895605136540048</v>
      </c>
      <c r="D45" s="73"/>
      <c r="E45" s="73">
        <f>E43-1</f>
        <v>0.41895605136540048</v>
      </c>
      <c r="F45" s="73">
        <f>F43-1</f>
        <v>0.41895605136540048</v>
      </c>
      <c r="G45" s="73">
        <f>G43-1</f>
        <v>0.41895605136540048</v>
      </c>
      <c r="H45" s="73">
        <f>H43-1</f>
        <v>0.41895605136540048</v>
      </c>
      <c r="I45" s="73">
        <f t="shared" ref="I45:J45" si="203">I43-1</f>
        <v>0.41895605136540048</v>
      </c>
      <c r="J45" s="73">
        <f t="shared" si="203"/>
        <v>0.41895605136540048</v>
      </c>
      <c r="K45" s="73">
        <f t="shared" ref="K45" si="204">K43-1</f>
        <v>0.41895605136540048</v>
      </c>
      <c r="L45" s="73">
        <f t="shared" ref="L45:T45" si="205">L43-1</f>
        <v>0.41895605136540048</v>
      </c>
      <c r="M45" s="73">
        <f t="shared" ref="M45:O45" si="206">M43-1</f>
        <v>0.41895605136540048</v>
      </c>
      <c r="N45" s="73">
        <f t="shared" si="206"/>
        <v>0.41895605136540048</v>
      </c>
      <c r="O45" s="73">
        <f t="shared" si="206"/>
        <v>0.41895605136540048</v>
      </c>
      <c r="P45" s="73">
        <f t="shared" si="205"/>
        <v>0.41895605136540048</v>
      </c>
      <c r="Q45" s="73">
        <f t="shared" ref="Q45:R45" si="207">Q43-1</f>
        <v>0.41895605136540048</v>
      </c>
      <c r="R45" s="73">
        <f t="shared" si="207"/>
        <v>0.41895605136540048</v>
      </c>
      <c r="S45" s="73">
        <f t="shared" ref="S45" si="208">S43-1</f>
        <v>0.41895605136540048</v>
      </c>
      <c r="T45" s="73">
        <f t="shared" si="205"/>
        <v>0.41895605136540048</v>
      </c>
      <c r="U45" s="73">
        <f t="shared" ref="U45:W45" si="209">U43-1</f>
        <v>0.41895605136540048</v>
      </c>
      <c r="V45" s="73">
        <f t="shared" si="209"/>
        <v>0.41895605136540048</v>
      </c>
      <c r="W45" s="73">
        <f t="shared" si="209"/>
        <v>0.41895605136540048</v>
      </c>
      <c r="X45" s="73">
        <f t="shared" ref="X45:AR45" si="210">X43-1</f>
        <v>0.41895605136540048</v>
      </c>
      <c r="Y45" s="73">
        <f t="shared" ref="Y45:AA45" si="211">Y43-1</f>
        <v>0.41895605136540048</v>
      </c>
      <c r="Z45" s="73">
        <f t="shared" si="211"/>
        <v>0.41895605136540048</v>
      </c>
      <c r="AA45" s="73">
        <f t="shared" si="211"/>
        <v>0.41895605136540048</v>
      </c>
      <c r="AB45" s="73">
        <f t="shared" si="210"/>
        <v>0.41895605136540048</v>
      </c>
      <c r="AC45" s="73">
        <f t="shared" ref="AC45:AE45" si="212">AC43-1</f>
        <v>0.41895605136540048</v>
      </c>
      <c r="AD45" s="73">
        <f t="shared" si="212"/>
        <v>0.41895605136540048</v>
      </c>
      <c r="AE45" s="73">
        <f t="shared" si="212"/>
        <v>0.41895605136540048</v>
      </c>
      <c r="AF45" s="73">
        <f t="shared" si="210"/>
        <v>0.41895605136540048</v>
      </c>
      <c r="AG45" s="73">
        <f t="shared" ref="AG45:AI45" si="213">AG43-1</f>
        <v>0.41895605136540048</v>
      </c>
      <c r="AH45" s="73">
        <f t="shared" si="213"/>
        <v>0.41895605136540048</v>
      </c>
      <c r="AI45" s="73">
        <f t="shared" si="213"/>
        <v>0.41895605136540048</v>
      </c>
      <c r="AJ45" s="73">
        <f t="shared" si="210"/>
        <v>0.41895605136540048</v>
      </c>
      <c r="AK45" s="73">
        <f t="shared" ref="AK45:AM45" si="214">AK43-1</f>
        <v>0.41895605136540048</v>
      </c>
      <c r="AL45" s="73">
        <f t="shared" si="214"/>
        <v>0.41895605136540048</v>
      </c>
      <c r="AM45" s="73">
        <f t="shared" si="214"/>
        <v>0.41895605136540048</v>
      </c>
      <c r="AN45" s="73">
        <f t="shared" si="210"/>
        <v>0.41895605136540048</v>
      </c>
      <c r="AO45" s="73">
        <f t="shared" ref="AO45:AQ45" si="215">AO43-1</f>
        <v>0.41895605136540048</v>
      </c>
      <c r="AP45" s="73">
        <f t="shared" si="215"/>
        <v>0.41895605136540048</v>
      </c>
      <c r="AQ45" s="73">
        <f t="shared" si="215"/>
        <v>0.41895605136540048</v>
      </c>
      <c r="AR45" s="73">
        <f t="shared" si="210"/>
        <v>0.41895605136540048</v>
      </c>
      <c r="AS45" s="83"/>
      <c r="AT45" s="83"/>
      <c r="AU45" s="83"/>
    </row>
    <row r="46" spans="2:47">
      <c r="C46" s="73">
        <f>C44/C45</f>
        <v>2.4780710073657095E-2</v>
      </c>
      <c r="D46" s="73"/>
      <c r="E46" s="73">
        <f>E44/E45</f>
        <v>2.4780710073657095E-2</v>
      </c>
      <c r="F46" s="73">
        <f>F44/F45</f>
        <v>2.4780710073657095E-2</v>
      </c>
      <c r="G46" s="73">
        <f>G44/G45</f>
        <v>2.4780710073657095E-2</v>
      </c>
      <c r="H46" s="73">
        <f>H44/H45</f>
        <v>2.4780710073657095E-2</v>
      </c>
      <c r="I46" s="73">
        <f>I44/I45</f>
        <v>2.4780710073657095E-2</v>
      </c>
      <c r="J46" s="73">
        <f t="shared" ref="J46:K46" si="216">J44/J45</f>
        <v>2.4780710073657095E-2</v>
      </c>
      <c r="K46" s="73">
        <f t="shared" si="216"/>
        <v>2.4780710073657095E-2</v>
      </c>
      <c r="L46" s="73">
        <f t="shared" ref="L46:T46" si="217">L44/L45</f>
        <v>2.4780710073657095E-2</v>
      </c>
      <c r="M46" s="73">
        <f t="shared" ref="M46:O46" si="218">M44/M45</f>
        <v>2.4780710073657095E-2</v>
      </c>
      <c r="N46" s="73">
        <f t="shared" si="218"/>
        <v>2.4780710073657095E-2</v>
      </c>
      <c r="O46" s="73">
        <f t="shared" si="218"/>
        <v>2.4780710073657095E-2</v>
      </c>
      <c r="P46" s="73">
        <f t="shared" si="217"/>
        <v>2.4780710073657095E-2</v>
      </c>
      <c r="Q46" s="73">
        <f t="shared" ref="Q46:R46" si="219">Q44/Q45</f>
        <v>2.4780710073657095E-2</v>
      </c>
      <c r="R46" s="73">
        <f t="shared" si="219"/>
        <v>2.4780710073657095E-2</v>
      </c>
      <c r="S46" s="73">
        <f t="shared" ref="S46" si="220">S44/S45</f>
        <v>2.4780710073657095E-2</v>
      </c>
      <c r="T46" s="73">
        <f t="shared" si="217"/>
        <v>2.4780710073657095E-2</v>
      </c>
      <c r="U46" s="73">
        <f t="shared" ref="U46:W46" si="221">U44/U45</f>
        <v>2.4780710073657095E-2</v>
      </c>
      <c r="V46" s="73">
        <f t="shared" si="221"/>
        <v>2.4780710073657095E-2</v>
      </c>
      <c r="W46" s="73">
        <f t="shared" si="221"/>
        <v>2.4780710073657095E-2</v>
      </c>
      <c r="X46" s="73">
        <f t="shared" ref="X46:Y46" si="222">X44/X45</f>
        <v>2.4780710073657095E-2</v>
      </c>
      <c r="Y46" s="73">
        <f t="shared" si="222"/>
        <v>2.4780710073657095E-2</v>
      </c>
      <c r="Z46" s="73">
        <f t="shared" ref="Z46:AA46" si="223">Z44/Z45</f>
        <v>2.4780710073657095E-2</v>
      </c>
      <c r="AA46" s="73">
        <f t="shared" si="223"/>
        <v>2.4780710073657095E-2</v>
      </c>
      <c r="AB46" s="73">
        <f t="shared" ref="AB46:AC46" si="224">AB44/AB45</f>
        <v>2.4780710073657095E-2</v>
      </c>
      <c r="AC46" s="73">
        <f t="shared" si="224"/>
        <v>2.4780710073657095E-2</v>
      </c>
      <c r="AD46" s="73">
        <f t="shared" ref="AD46:AE46" si="225">AD44/AD45</f>
        <v>2.4780710073657095E-2</v>
      </c>
      <c r="AE46" s="73">
        <f t="shared" si="225"/>
        <v>2.4780710073657095E-2</v>
      </c>
      <c r="AF46" s="73">
        <f t="shared" ref="AF46:AG46" si="226">AF44/AF45</f>
        <v>2.4780710073657095E-2</v>
      </c>
      <c r="AG46" s="73">
        <f t="shared" si="226"/>
        <v>2.4780710073657095E-2</v>
      </c>
      <c r="AH46" s="73">
        <f t="shared" ref="AH46:AI46" si="227">AH44/AH45</f>
        <v>2.4780710073657095E-2</v>
      </c>
      <c r="AI46" s="73">
        <f t="shared" si="227"/>
        <v>2.4780710073657095E-2</v>
      </c>
      <c r="AJ46" s="73">
        <f t="shared" ref="AJ46:AM46" si="228">AJ44/AJ45</f>
        <v>2.4780710073657095E-2</v>
      </c>
      <c r="AK46" s="73">
        <f t="shared" si="228"/>
        <v>2.4780710073657095E-2</v>
      </c>
      <c r="AL46" s="73">
        <f t="shared" si="228"/>
        <v>2.4780710073657095E-2</v>
      </c>
      <c r="AM46" s="73">
        <f t="shared" si="228"/>
        <v>2.4780710073657095E-2</v>
      </c>
      <c r="AN46" s="73">
        <f t="shared" ref="AN46:AQ46" si="229">AN44/AN45</f>
        <v>2.4780710073657095E-2</v>
      </c>
      <c r="AO46" s="73">
        <f t="shared" si="229"/>
        <v>2.4780710073657095E-2</v>
      </c>
      <c r="AP46" s="73">
        <f t="shared" si="229"/>
        <v>2.4780710073657095E-2</v>
      </c>
      <c r="AQ46" s="73">
        <f t="shared" si="229"/>
        <v>2.4780710073657095E-2</v>
      </c>
      <c r="AR46" s="73">
        <f t="shared" ref="AR46" si="230">AR44/AR45</f>
        <v>2.4780710073657095E-2</v>
      </c>
      <c r="AS46" s="83"/>
      <c r="AT46" s="83"/>
      <c r="AU46" s="83"/>
    </row>
    <row r="47" spans="2:47" s="63" customFormat="1">
      <c r="B47" s="63" t="s">
        <v>17</v>
      </c>
      <c r="C47" s="66">
        <f>C46*C36</f>
        <v>852.8487877766371</v>
      </c>
      <c r="D47" s="66"/>
      <c r="E47" s="66">
        <f>E46*E36</f>
        <v>852.8487877766371</v>
      </c>
      <c r="F47" s="66">
        <f>F46*F36</f>
        <v>1574.3598121628913</v>
      </c>
      <c r="G47" s="66">
        <f>G46*G36</f>
        <v>2295.8708365491457</v>
      </c>
      <c r="H47" s="66">
        <f>H46*H36</f>
        <v>3017.3818609353998</v>
      </c>
      <c r="I47" s="66">
        <f>I46*I36</f>
        <v>3738.8928853216544</v>
      </c>
      <c r="J47" s="66">
        <f t="shared" ref="J47:K47" si="231">J46*J36</f>
        <v>4460.4039097079085</v>
      </c>
      <c r="K47" s="66">
        <f t="shared" si="231"/>
        <v>5181.9149340941631</v>
      </c>
      <c r="L47" s="66">
        <f t="shared" ref="L47:T47" si="232">L46*L36</f>
        <v>5903.4259584804176</v>
      </c>
      <c r="M47" s="66">
        <f t="shared" ref="M47:O47" si="233">M46*M36</f>
        <v>6624.9369828666722</v>
      </c>
      <c r="N47" s="66">
        <f t="shared" si="233"/>
        <v>7346.4480072529259</v>
      </c>
      <c r="O47" s="66">
        <f t="shared" si="233"/>
        <v>8067.9590316391814</v>
      </c>
      <c r="P47" s="66">
        <f t="shared" si="232"/>
        <v>8789.470056025435</v>
      </c>
      <c r="Q47" s="66">
        <f t="shared" ref="Q47:R47" si="234">Q46*Q36</f>
        <v>9510.9810804116896</v>
      </c>
      <c r="R47" s="66">
        <f t="shared" si="234"/>
        <v>10232.492104797944</v>
      </c>
      <c r="S47" s="66">
        <f t="shared" ref="S47" si="235">S46*S36</f>
        <v>10954.003129184199</v>
      </c>
      <c r="T47" s="66">
        <f t="shared" si="232"/>
        <v>11675.514153570452</v>
      </c>
      <c r="U47" s="66">
        <f t="shared" ref="U47:W47" si="236">U46*U36</f>
        <v>12397.025177956708</v>
      </c>
      <c r="V47" s="66">
        <f t="shared" si="236"/>
        <v>13118.536202342961</v>
      </c>
      <c r="W47" s="66">
        <f t="shared" si="236"/>
        <v>13840.047226729217</v>
      </c>
      <c r="X47" s="66">
        <f t="shared" ref="X47:Y47" si="237">X46*X36</f>
        <v>14561.55825111547</v>
      </c>
      <c r="Y47" s="66">
        <f t="shared" si="237"/>
        <v>15283.069275501724</v>
      </c>
      <c r="Z47" s="66">
        <f t="shared" ref="Z47:AA47" si="238">Z46*Z36</f>
        <v>16004.580299887979</v>
      </c>
      <c r="AA47" s="66">
        <f t="shared" si="238"/>
        <v>16726.091324274232</v>
      </c>
      <c r="AB47" s="66">
        <f t="shared" ref="AB47:AC47" si="239">AB46*AB36</f>
        <v>17447.602348660486</v>
      </c>
      <c r="AC47" s="66">
        <f t="shared" si="239"/>
        <v>18169.113373046745</v>
      </c>
      <c r="AD47" s="66">
        <f t="shared" ref="AD47:AE47" si="240">AD46*AD36</f>
        <v>18890.624397432995</v>
      </c>
      <c r="AE47" s="66">
        <f t="shared" si="240"/>
        <v>19612.13542181925</v>
      </c>
      <c r="AF47" s="66">
        <f t="shared" ref="AF47:AG47" si="241">AF46*AF36</f>
        <v>20333.646446205505</v>
      </c>
      <c r="AG47" s="66">
        <f t="shared" si="241"/>
        <v>21055.157470591759</v>
      </c>
      <c r="AH47" s="66">
        <f t="shared" ref="AH47:AI47" si="242">AH46*AH36</f>
        <v>21776.668494978014</v>
      </c>
      <c r="AI47" s="66">
        <f t="shared" si="242"/>
        <v>22498.179519364268</v>
      </c>
      <c r="AJ47" s="66">
        <f t="shared" ref="AJ47:AM47" si="243">AJ46*AJ36</f>
        <v>23219.690543750523</v>
      </c>
      <c r="AK47" s="66">
        <f t="shared" si="243"/>
        <v>23941.201568136777</v>
      </c>
      <c r="AL47" s="66">
        <f t="shared" si="243"/>
        <v>24662.712592523032</v>
      </c>
      <c r="AM47" s="66">
        <f t="shared" si="243"/>
        <v>25384.223616909283</v>
      </c>
      <c r="AN47" s="66">
        <f t="shared" ref="AN47:AQ47" si="244">AN46*AN36</f>
        <v>26105.734641295541</v>
      </c>
      <c r="AO47" s="66">
        <f t="shared" si="244"/>
        <v>26827.245665681792</v>
      </c>
      <c r="AP47" s="66">
        <f t="shared" si="244"/>
        <v>27548.75669006805</v>
      </c>
      <c r="AQ47" s="66">
        <f t="shared" si="244"/>
        <v>28270.267714454305</v>
      </c>
      <c r="AR47" s="66">
        <f t="shared" ref="AR47" si="245">AR46*AR36</f>
        <v>28991.778738840556</v>
      </c>
      <c r="AS47" s="76"/>
      <c r="AT47" s="76"/>
      <c r="AU47" s="76"/>
    </row>
    <row r="48" spans="2:47">
      <c r="C48" s="4"/>
      <c r="D48" s="4"/>
      <c r="E48" s="4"/>
      <c r="F48" s="4"/>
      <c r="G48" s="4"/>
      <c r="H48" s="4"/>
      <c r="I48" s="4"/>
      <c r="J48" s="4"/>
      <c r="K48" s="4"/>
      <c r="L48" s="4"/>
      <c r="M48" s="4"/>
      <c r="AB48" s="4"/>
      <c r="AC48" s="4"/>
      <c r="AD48" s="4"/>
      <c r="AE48" s="4"/>
      <c r="AF48" s="4"/>
      <c r="AG48" s="4"/>
      <c r="AH48" s="4"/>
      <c r="AI48" s="4"/>
      <c r="AJ48" s="4"/>
      <c r="AK48" s="4"/>
      <c r="AL48" s="4"/>
      <c r="AM48" s="4"/>
      <c r="AN48" s="4"/>
      <c r="AO48" s="4"/>
      <c r="AP48" s="4"/>
      <c r="AQ48" s="4"/>
      <c r="AR48" s="4"/>
      <c r="AS48" s="76"/>
      <c r="AT48" s="76"/>
      <c r="AU48" s="76"/>
    </row>
    <row r="49" spans="2:47">
      <c r="B49" t="s">
        <v>34</v>
      </c>
      <c r="C49" s="4">
        <f>C29-C30</f>
        <v>15936.741813278582</v>
      </c>
      <c r="D49" s="4"/>
      <c r="E49" s="4">
        <f>E29-E30</f>
        <v>15936.741813278582</v>
      </c>
      <c r="F49" s="4">
        <f>F29-F30</f>
        <v>25569.270983818787</v>
      </c>
      <c r="G49" s="4">
        <f>G29-G30</f>
        <v>35201.800154358993</v>
      </c>
      <c r="H49" s="4">
        <f>H29-H30</f>
        <v>44834.329324899183</v>
      </c>
      <c r="I49" s="4">
        <f t="shared" ref="I49:J49" si="246">I29-I30</f>
        <v>54466.858495439403</v>
      </c>
      <c r="J49" s="4">
        <f t="shared" si="246"/>
        <v>64099.387665979622</v>
      </c>
      <c r="K49" s="4">
        <f t="shared" ref="K49" si="247">K29-K30</f>
        <v>73731.916836519842</v>
      </c>
      <c r="L49" s="4">
        <f t="shared" ref="L49:T49" si="248">L29-L30</f>
        <v>83364.446007060062</v>
      </c>
      <c r="M49" s="4">
        <f t="shared" ref="M49:O49" si="249">M29-M30</f>
        <v>92996.975177600281</v>
      </c>
      <c r="N49" s="4">
        <f t="shared" si="249"/>
        <v>102629.50434814044</v>
      </c>
      <c r="O49" s="4">
        <f t="shared" si="249"/>
        <v>112262.03351868072</v>
      </c>
      <c r="P49" s="4">
        <f t="shared" si="248"/>
        <v>121894.56268922088</v>
      </c>
      <c r="Q49" s="4">
        <f t="shared" ref="Q49:R49" si="250">Q29-Q30</f>
        <v>131527.0918597611</v>
      </c>
      <c r="R49" s="4">
        <f t="shared" si="250"/>
        <v>141159.62103030132</v>
      </c>
      <c r="S49" s="4">
        <f t="shared" ref="S49" si="251">S29-S30</f>
        <v>150792.15020084148</v>
      </c>
      <c r="T49" s="4">
        <f t="shared" si="248"/>
        <v>160424.67937138164</v>
      </c>
      <c r="U49" s="4">
        <f t="shared" ref="U49:W49" si="252">U29-U30</f>
        <v>170057.20854192204</v>
      </c>
      <c r="V49" s="4">
        <f t="shared" si="252"/>
        <v>179689.73771246208</v>
      </c>
      <c r="W49" s="4">
        <f t="shared" si="252"/>
        <v>189322.26688300236</v>
      </c>
      <c r="X49" s="4">
        <f t="shared" ref="X49:AR49" si="253">X29-X30</f>
        <v>198954.79605354252</v>
      </c>
      <c r="Y49" s="4">
        <f t="shared" ref="Y49:AA49" si="254">Y29-Y30</f>
        <v>208587.3252240828</v>
      </c>
      <c r="Z49" s="4">
        <f t="shared" si="254"/>
        <v>218219.85439462296</v>
      </c>
      <c r="AA49" s="4">
        <f t="shared" si="254"/>
        <v>227852.38356516312</v>
      </c>
      <c r="AB49" s="4">
        <f t="shared" si="253"/>
        <v>237484.9127357034</v>
      </c>
      <c r="AC49" s="4">
        <f t="shared" ref="AC49:AE49" si="255">AC29-AC30</f>
        <v>247117.4419062438</v>
      </c>
      <c r="AD49" s="4">
        <f t="shared" si="255"/>
        <v>256749.97107678372</v>
      </c>
      <c r="AE49" s="4">
        <f t="shared" si="255"/>
        <v>266382.500247324</v>
      </c>
      <c r="AF49" s="4">
        <f t="shared" si="253"/>
        <v>276015.02941786428</v>
      </c>
      <c r="AG49" s="4">
        <f t="shared" ref="AG49:AI49" si="256">AG29-AG30</f>
        <v>285647.55858840444</v>
      </c>
      <c r="AH49" s="4">
        <f t="shared" si="256"/>
        <v>295280.0877589446</v>
      </c>
      <c r="AI49" s="4">
        <f t="shared" si="256"/>
        <v>304912.616929485</v>
      </c>
      <c r="AJ49" s="4">
        <f t="shared" si="253"/>
        <v>314545.14610002516</v>
      </c>
      <c r="AK49" s="4">
        <f t="shared" ref="AK49:AM49" si="257">AK29-AK30</f>
        <v>324177.67527056532</v>
      </c>
      <c r="AL49" s="4">
        <f t="shared" si="257"/>
        <v>333810.20444110548</v>
      </c>
      <c r="AM49" s="4">
        <f t="shared" si="257"/>
        <v>343442.73361164564</v>
      </c>
      <c r="AN49" s="4">
        <f t="shared" si="253"/>
        <v>353075.26278218604</v>
      </c>
      <c r="AO49" s="4">
        <f t="shared" ref="AO49:AQ49" si="258">AO29-AO30</f>
        <v>362707.79195272597</v>
      </c>
      <c r="AP49" s="4">
        <f t="shared" si="258"/>
        <v>372340.32112326636</v>
      </c>
      <c r="AQ49" s="4">
        <f t="shared" si="258"/>
        <v>381972.85029380675</v>
      </c>
      <c r="AR49" s="4">
        <f t="shared" si="253"/>
        <v>391605.37946434668</v>
      </c>
      <c r="AS49" s="76"/>
      <c r="AT49" s="76"/>
      <c r="AU49" s="76"/>
    </row>
    <row r="50" spans="2:47">
      <c r="B50" t="s">
        <v>35</v>
      </c>
      <c r="C50" s="7">
        <f>C49/C29</f>
        <v>0.38930166660477139</v>
      </c>
      <c r="D50" s="7"/>
      <c r="E50" s="7">
        <f>E49/E29</f>
        <v>0.38930166660477139</v>
      </c>
      <c r="F50" s="7">
        <f>F49/F29</f>
        <v>0.33835540095780187</v>
      </c>
      <c r="G50" s="7">
        <f>G49/G29</f>
        <v>0.31943035508541645</v>
      </c>
      <c r="H50" s="7">
        <f>H49/H29</f>
        <v>0.30955595633908523</v>
      </c>
      <c r="I50" s="7">
        <f>I49/I29</f>
        <v>0.30349257212201947</v>
      </c>
      <c r="J50" s="7">
        <f t="shared" ref="J50:K50" si="259">J49/J29</f>
        <v>0.29939080333093832</v>
      </c>
      <c r="K50" s="7">
        <f t="shared" si="259"/>
        <v>0.29643126533287029</v>
      </c>
      <c r="L50" s="7">
        <f t="shared" ref="L50:T50" si="260">L49/L29</f>
        <v>0.29419515109168998</v>
      </c>
      <c r="M50" s="7">
        <f t="shared" ref="M50:O50" si="261">M49/M29</f>
        <v>0.29244609992174225</v>
      </c>
      <c r="N50" s="7">
        <f t="shared" si="261"/>
        <v>0.29104060517527608</v>
      </c>
      <c r="O50" s="7">
        <f t="shared" si="261"/>
        <v>0.28988649493641994</v>
      </c>
      <c r="P50" s="7">
        <f t="shared" si="260"/>
        <v>0.28892186216443788</v>
      </c>
      <c r="Q50" s="7">
        <f t="shared" ref="Q50:R50" si="262">Q49/Q29</f>
        <v>0.28810358509931416</v>
      </c>
      <c r="R50" s="7">
        <f t="shared" si="262"/>
        <v>0.28740070434575221</v>
      </c>
      <c r="S50" s="7">
        <f t="shared" ref="S50" si="263">S49/S29</f>
        <v>0.28679041736024791</v>
      </c>
      <c r="T50" s="7">
        <f t="shared" si="260"/>
        <v>0.28625555810876696</v>
      </c>
      <c r="U50" s="7">
        <f t="shared" ref="U50:W50" si="264">U49/U29</f>
        <v>0.2857829568330344</v>
      </c>
      <c r="V50" s="7">
        <f t="shared" si="264"/>
        <v>0.28536234108759539</v>
      </c>
      <c r="W50" s="7">
        <f t="shared" si="264"/>
        <v>0.28498558052449718</v>
      </c>
      <c r="X50" s="7">
        <f t="shared" ref="X50:Y50" si="265">X49/X29</f>
        <v>0.28464615619906536</v>
      </c>
      <c r="Y50" s="7">
        <f t="shared" si="265"/>
        <v>0.28433878019957254</v>
      </c>
      <c r="Z50" s="7">
        <f t="shared" ref="Z50:AA50" si="266">Z49/Z29</f>
        <v>0.28405911816297147</v>
      </c>
      <c r="AA50" s="7">
        <f t="shared" si="266"/>
        <v>0.28380358360942648</v>
      </c>
      <c r="AB50" s="7">
        <f t="shared" ref="AB50:AC50" si="267">AB49/AB29</f>
        <v>0.28356918330617115</v>
      </c>
      <c r="AC50" s="7">
        <f t="shared" si="267"/>
        <v>0.28335339947576688</v>
      </c>
      <c r="AD50" s="7">
        <f t="shared" ref="AD50:AE50" si="268">AD49/AD29</f>
        <v>0.28315409899808214</v>
      </c>
      <c r="AE50" s="7">
        <f t="shared" si="268"/>
        <v>0.28296946265448836</v>
      </c>
      <c r="AF50" s="7">
        <f t="shared" ref="AF50:AG50" si="269">AF49/AF29</f>
        <v>0.28279792943607751</v>
      </c>
      <c r="AG50" s="7">
        <f t="shared" si="269"/>
        <v>0.28263815230244577</v>
      </c>
      <c r="AH50" s="7">
        <f t="shared" ref="AH50:AI50" si="270">AH49/AH29</f>
        <v>0.28248896273535451</v>
      </c>
      <c r="AI50" s="7">
        <f t="shared" si="270"/>
        <v>0.2823493421129229</v>
      </c>
      <c r="AJ50" s="7">
        <f t="shared" ref="AJ50:AM50" si="271">AJ49/AJ29</f>
        <v>0.28221839842079954</v>
      </c>
      <c r="AK50" s="7">
        <f t="shared" si="271"/>
        <v>0.2820953471744394</v>
      </c>
      <c r="AL50" s="7">
        <f t="shared" si="271"/>
        <v>0.28197949569010705</v>
      </c>
      <c r="AM50" s="7">
        <f t="shared" si="271"/>
        <v>0.28187023003832956</v>
      </c>
      <c r="AN50" s="7">
        <f t="shared" ref="AN50:AQ50" si="272">AN49/AN29</f>
        <v>0.28176700416083372</v>
      </c>
      <c r="AO50" s="7">
        <f t="shared" si="272"/>
        <v>0.28166933074366424</v>
      </c>
      <c r="AP50" s="7">
        <f t="shared" si="272"/>
        <v>0.28157677352451949</v>
      </c>
      <c r="AQ50" s="7">
        <f t="shared" si="272"/>
        <v>0.28148894077807335</v>
      </c>
      <c r="AR50" s="7">
        <f t="shared" ref="AR50" si="273">AR49/AR29</f>
        <v>0.28140547977407393</v>
      </c>
      <c r="AS50" s="38"/>
      <c r="AT50" s="38"/>
      <c r="AU50" s="38"/>
    </row>
    <row r="55" spans="2:47" ht="21">
      <c r="B55" s="65" t="s">
        <v>3</v>
      </c>
    </row>
    <row r="56" spans="2:47">
      <c r="B56" t="s">
        <v>25</v>
      </c>
      <c r="C56" s="4">
        <f>C74*C68</f>
        <v>31566.880046133749</v>
      </c>
      <c r="D56" s="4"/>
      <c r="E56" s="4">
        <f>E74*E68</f>
        <v>40295.600664951031</v>
      </c>
      <c r="F56" s="4">
        <f>F74*F68</f>
        <v>73954.982229294415</v>
      </c>
      <c r="G56" s="4">
        <f>G74*G68</f>
        <v>107763.8281877956</v>
      </c>
      <c r="H56" s="4">
        <f>H74*H68</f>
        <v>141572.67414629681</v>
      </c>
      <c r="I56" s="4">
        <f t="shared" ref="I56:J56" si="274">I74*I68</f>
        <v>175381.52010479799</v>
      </c>
      <c r="J56" s="4">
        <f t="shared" si="274"/>
        <v>209190.36606329921</v>
      </c>
      <c r="K56" s="4">
        <f t="shared" ref="K56" si="275">K74*K68</f>
        <v>242999.21202180043</v>
      </c>
      <c r="L56" s="4">
        <f t="shared" ref="L56:AR56" si="276">L74*L68</f>
        <v>276808.05798030162</v>
      </c>
      <c r="M56" s="4">
        <f t="shared" ref="M56:O56" si="277">M74*M68</f>
        <v>310616.90393880277</v>
      </c>
      <c r="N56" s="4">
        <f t="shared" si="277"/>
        <v>344425.74989730405</v>
      </c>
      <c r="O56" s="4">
        <f t="shared" si="277"/>
        <v>378234.59585580521</v>
      </c>
      <c r="P56" s="4">
        <f t="shared" si="276"/>
        <v>412043.44181430642</v>
      </c>
      <c r="Q56" s="4">
        <f t="shared" ref="Q56:R56" si="278">Q74*Q68</f>
        <v>445852.28777280764</v>
      </c>
      <c r="R56" s="4">
        <f t="shared" si="278"/>
        <v>479661.1337313088</v>
      </c>
      <c r="S56" s="4">
        <f t="shared" ref="S56" si="279">S74*S68</f>
        <v>513469.97968981002</v>
      </c>
      <c r="T56" s="4">
        <f t="shared" si="276"/>
        <v>547278.82564831129</v>
      </c>
      <c r="U56" s="4">
        <f t="shared" ref="U56:W56" si="280">U74*U68</f>
        <v>581087.67160681239</v>
      </c>
      <c r="V56" s="4">
        <f t="shared" si="280"/>
        <v>614896.51756531361</v>
      </c>
      <c r="W56" s="4">
        <f t="shared" si="280"/>
        <v>648705.36352381483</v>
      </c>
      <c r="X56" s="4">
        <f t="shared" si="276"/>
        <v>682514.20948231593</v>
      </c>
      <c r="Y56" s="4">
        <f t="shared" ref="Y56:AA56" si="281">Y74*Y68</f>
        <v>716323.05544081726</v>
      </c>
      <c r="Z56" s="4">
        <f t="shared" si="281"/>
        <v>750131.90139931848</v>
      </c>
      <c r="AA56" s="4">
        <f t="shared" si="281"/>
        <v>783940.74735781958</v>
      </c>
      <c r="AB56" s="4">
        <f t="shared" si="276"/>
        <v>817749.5933163208</v>
      </c>
      <c r="AC56" s="4">
        <f t="shared" ref="AC56:AE56" si="282">AC74*AC68</f>
        <v>851558.43927482213</v>
      </c>
      <c r="AD56" s="4">
        <f t="shared" si="282"/>
        <v>885367.28523332323</v>
      </c>
      <c r="AE56" s="4">
        <f t="shared" si="282"/>
        <v>919176.13119182445</v>
      </c>
      <c r="AF56" s="4">
        <f t="shared" si="276"/>
        <v>952984.97715032566</v>
      </c>
      <c r="AG56" s="4">
        <f t="shared" ref="AG56:AI56" si="283">AG74*AG68</f>
        <v>986793.82310882676</v>
      </c>
      <c r="AH56" s="4">
        <f t="shared" si="283"/>
        <v>1020602.6690673281</v>
      </c>
      <c r="AI56" s="4">
        <f t="shared" si="283"/>
        <v>1054411.5150258292</v>
      </c>
      <c r="AJ56" s="4">
        <f t="shared" si="276"/>
        <v>1088220.3609843303</v>
      </c>
      <c r="AK56" s="4">
        <f t="shared" ref="AK56:AM56" si="284">AK74*AK68</f>
        <v>1122029.2069428316</v>
      </c>
      <c r="AL56" s="4">
        <f t="shared" si="284"/>
        <v>1155838.052901333</v>
      </c>
      <c r="AM56" s="4">
        <f t="shared" si="284"/>
        <v>1189646.8988598341</v>
      </c>
      <c r="AN56" s="4">
        <f t="shared" si="276"/>
        <v>1223455.7448183352</v>
      </c>
      <c r="AO56" s="4">
        <f t="shared" ref="AO56:AQ56" si="285">AO74*AO68</f>
        <v>1257264.5907768365</v>
      </c>
      <c r="AP56" s="4">
        <f t="shared" si="285"/>
        <v>1291073.4367353378</v>
      </c>
      <c r="AQ56" s="4">
        <f t="shared" si="285"/>
        <v>1324882.2826938389</v>
      </c>
      <c r="AR56" s="4">
        <f t="shared" si="276"/>
        <v>1358691.12865234</v>
      </c>
      <c r="AS56" s="76"/>
      <c r="AT56" s="76"/>
      <c r="AU56" s="76"/>
    </row>
    <row r="57" spans="2:47" s="63" customFormat="1">
      <c r="B57" s="63" t="s">
        <v>26</v>
      </c>
      <c r="C57" s="66">
        <f>'DATA ENTRY'!E5</f>
        <v>25000</v>
      </c>
      <c r="D57" s="66"/>
      <c r="E57" s="66">
        <v>25000</v>
      </c>
      <c r="F57" s="66">
        <v>50000</v>
      </c>
      <c r="G57" s="66">
        <v>75000</v>
      </c>
      <c r="H57" s="66">
        <v>100000</v>
      </c>
      <c r="I57" s="66">
        <v>125000</v>
      </c>
      <c r="J57" s="66">
        <v>150000</v>
      </c>
      <c r="K57" s="66">
        <v>175000</v>
      </c>
      <c r="L57" s="66">
        <v>200000</v>
      </c>
      <c r="M57" s="66">
        <v>225000</v>
      </c>
      <c r="N57" s="66">
        <v>250000</v>
      </c>
      <c r="O57" s="66">
        <v>275000</v>
      </c>
      <c r="P57" s="66">
        <v>300000</v>
      </c>
      <c r="Q57" s="66">
        <v>325000</v>
      </c>
      <c r="R57" s="66">
        <v>350000</v>
      </c>
      <c r="S57" s="66">
        <v>375000</v>
      </c>
      <c r="T57" s="66">
        <v>400000</v>
      </c>
      <c r="U57" s="66">
        <v>425000</v>
      </c>
      <c r="V57" s="66">
        <v>450000</v>
      </c>
      <c r="W57" s="66">
        <v>475000</v>
      </c>
      <c r="X57" s="66">
        <v>500000</v>
      </c>
      <c r="Y57" s="66">
        <v>525000</v>
      </c>
      <c r="Z57" s="66">
        <v>550000</v>
      </c>
      <c r="AA57" s="66">
        <v>575000</v>
      </c>
      <c r="AB57" s="66">
        <v>600000</v>
      </c>
      <c r="AC57" s="66">
        <v>625000</v>
      </c>
      <c r="AD57" s="66">
        <v>650000</v>
      </c>
      <c r="AE57" s="66">
        <v>675000</v>
      </c>
      <c r="AF57" s="66">
        <v>700000</v>
      </c>
      <c r="AG57" s="66">
        <v>725000</v>
      </c>
      <c r="AH57" s="66">
        <v>750000</v>
      </c>
      <c r="AI57" s="66">
        <v>775000</v>
      </c>
      <c r="AJ57" s="66">
        <v>800000</v>
      </c>
      <c r="AK57" s="66">
        <v>825000</v>
      </c>
      <c r="AL57" s="66">
        <v>850000</v>
      </c>
      <c r="AM57" s="66">
        <v>875000</v>
      </c>
      <c r="AN57" s="66">
        <v>900000</v>
      </c>
      <c r="AO57" s="66">
        <v>925000</v>
      </c>
      <c r="AP57" s="66">
        <v>950000</v>
      </c>
      <c r="AQ57" s="66">
        <v>975000</v>
      </c>
      <c r="AR57" s="66">
        <v>1000000</v>
      </c>
      <c r="AS57" s="76"/>
      <c r="AT57" s="76"/>
      <c r="AU57" s="76"/>
    </row>
    <row r="58" spans="2:47">
      <c r="B58" t="s">
        <v>27</v>
      </c>
      <c r="D58" s="4"/>
      <c r="E58" s="4">
        <f>C57*0.08</f>
        <v>2000</v>
      </c>
      <c r="F58" s="4">
        <f t="shared" ref="F58:AR58" si="286">F57*0.075</f>
        <v>3750</v>
      </c>
      <c r="G58" s="4">
        <f t="shared" si="286"/>
        <v>5625</v>
      </c>
      <c r="H58" s="4">
        <f t="shared" si="286"/>
        <v>7500</v>
      </c>
      <c r="I58" s="4">
        <f t="shared" si="286"/>
        <v>9375</v>
      </c>
      <c r="J58" s="4">
        <f t="shared" si="286"/>
        <v>11250</v>
      </c>
      <c r="K58" s="4">
        <f t="shared" si="286"/>
        <v>13125</v>
      </c>
      <c r="L58" s="4">
        <f t="shared" si="286"/>
        <v>15000</v>
      </c>
      <c r="M58" s="4">
        <f t="shared" si="286"/>
        <v>16875</v>
      </c>
      <c r="N58" s="4">
        <f t="shared" si="286"/>
        <v>18750</v>
      </c>
      <c r="O58" s="4">
        <f t="shared" si="286"/>
        <v>20625</v>
      </c>
      <c r="P58" s="4">
        <f t="shared" si="286"/>
        <v>22500</v>
      </c>
      <c r="Q58" s="4">
        <f t="shared" si="286"/>
        <v>24375</v>
      </c>
      <c r="R58" s="4">
        <f t="shared" si="286"/>
        <v>26250</v>
      </c>
      <c r="S58" s="4">
        <f t="shared" si="286"/>
        <v>28125</v>
      </c>
      <c r="T58" s="4">
        <f t="shared" si="286"/>
        <v>30000</v>
      </c>
      <c r="U58" s="4">
        <f t="shared" si="286"/>
        <v>31875</v>
      </c>
      <c r="V58" s="4">
        <f t="shared" si="286"/>
        <v>33750</v>
      </c>
      <c r="W58" s="4">
        <f t="shared" si="286"/>
        <v>35625</v>
      </c>
      <c r="X58" s="4">
        <f t="shared" si="286"/>
        <v>37500</v>
      </c>
      <c r="Y58" s="4">
        <f t="shared" si="286"/>
        <v>39375</v>
      </c>
      <c r="Z58" s="4">
        <f t="shared" si="286"/>
        <v>41250</v>
      </c>
      <c r="AA58" s="4">
        <f t="shared" si="286"/>
        <v>43125</v>
      </c>
      <c r="AB58" s="4">
        <f t="shared" si="286"/>
        <v>45000</v>
      </c>
      <c r="AC58" s="4">
        <f t="shared" si="286"/>
        <v>46875</v>
      </c>
      <c r="AD58" s="4">
        <f t="shared" si="286"/>
        <v>48750</v>
      </c>
      <c r="AE58" s="4">
        <f t="shared" si="286"/>
        <v>50625</v>
      </c>
      <c r="AF58" s="4">
        <f t="shared" si="286"/>
        <v>52500</v>
      </c>
      <c r="AG58" s="4">
        <f t="shared" si="286"/>
        <v>54375</v>
      </c>
      <c r="AH58" s="4">
        <f t="shared" si="286"/>
        <v>56250</v>
      </c>
      <c r="AI58" s="4">
        <f t="shared" si="286"/>
        <v>58125</v>
      </c>
      <c r="AJ58" s="4">
        <f t="shared" si="286"/>
        <v>60000</v>
      </c>
      <c r="AK58" s="4">
        <f t="shared" si="286"/>
        <v>61875</v>
      </c>
      <c r="AL58" s="4">
        <f t="shared" si="286"/>
        <v>63750</v>
      </c>
      <c r="AM58" s="4">
        <f t="shared" si="286"/>
        <v>65625</v>
      </c>
      <c r="AN58" s="4">
        <f t="shared" si="286"/>
        <v>67500</v>
      </c>
      <c r="AO58" s="4">
        <f t="shared" si="286"/>
        <v>69375</v>
      </c>
      <c r="AP58" s="4">
        <f t="shared" si="286"/>
        <v>71250</v>
      </c>
      <c r="AQ58" s="4">
        <f t="shared" si="286"/>
        <v>73125</v>
      </c>
      <c r="AR58" s="4">
        <f t="shared" si="286"/>
        <v>75000</v>
      </c>
      <c r="AS58" s="76"/>
      <c r="AT58" s="76"/>
      <c r="AU58" s="76"/>
    </row>
    <row r="59" spans="2:47">
      <c r="B59" t="s">
        <v>10</v>
      </c>
      <c r="C59" s="4">
        <f>(C57/1000)*C68</f>
        <v>900</v>
      </c>
      <c r="D59" s="4"/>
      <c r="E59" s="4">
        <f>(E57/1000)*E68</f>
        <v>900</v>
      </c>
      <c r="F59" s="4">
        <f>(F57/1000)*F68</f>
        <v>1800</v>
      </c>
      <c r="G59" s="4">
        <f>(G57/1000)*G68</f>
        <v>2700</v>
      </c>
      <c r="H59" s="4">
        <f>(H57/1000)*H68</f>
        <v>3600</v>
      </c>
      <c r="I59" s="4">
        <f t="shared" ref="I59:J59" si="287">(I57/1000)*I68</f>
        <v>4500</v>
      </c>
      <c r="J59" s="4">
        <f t="shared" si="287"/>
        <v>5400</v>
      </c>
      <c r="K59" s="4">
        <f t="shared" ref="K59" si="288">(K57/1000)*K68</f>
        <v>6300</v>
      </c>
      <c r="L59" s="4">
        <f t="shared" ref="L59:AR59" si="289">(L57/1000)*L68</f>
        <v>7200</v>
      </c>
      <c r="M59" s="4">
        <f t="shared" ref="M59:O59" si="290">(M57/1000)*M68</f>
        <v>8100</v>
      </c>
      <c r="N59" s="4">
        <f t="shared" si="290"/>
        <v>9000</v>
      </c>
      <c r="O59" s="4">
        <f t="shared" si="290"/>
        <v>9900</v>
      </c>
      <c r="P59" s="4">
        <f t="shared" si="289"/>
        <v>10800</v>
      </c>
      <c r="Q59" s="4">
        <f t="shared" ref="Q59:R59" si="291">(Q57/1000)*Q68</f>
        <v>11700</v>
      </c>
      <c r="R59" s="4">
        <f t="shared" si="291"/>
        <v>12600</v>
      </c>
      <c r="S59" s="4">
        <f t="shared" ref="S59" si="292">(S57/1000)*S68</f>
        <v>13500</v>
      </c>
      <c r="T59" s="4">
        <f t="shared" si="289"/>
        <v>14400</v>
      </c>
      <c r="U59" s="4">
        <f t="shared" ref="U59:W59" si="293">(U57/1000)*U68</f>
        <v>15300</v>
      </c>
      <c r="V59" s="4">
        <f t="shared" si="293"/>
        <v>16200</v>
      </c>
      <c r="W59" s="4">
        <f t="shared" si="293"/>
        <v>17100</v>
      </c>
      <c r="X59" s="4">
        <f t="shared" si="289"/>
        <v>18000</v>
      </c>
      <c r="Y59" s="4">
        <f t="shared" ref="Y59:AA59" si="294">(Y57/1000)*Y68</f>
        <v>18900</v>
      </c>
      <c r="Z59" s="4">
        <f t="shared" si="294"/>
        <v>19800</v>
      </c>
      <c r="AA59" s="4">
        <f t="shared" si="294"/>
        <v>20700</v>
      </c>
      <c r="AB59" s="4">
        <f t="shared" si="289"/>
        <v>21600</v>
      </c>
      <c r="AC59" s="4">
        <f t="shared" ref="AC59:AE59" si="295">(AC57/1000)*AC68</f>
        <v>22500</v>
      </c>
      <c r="AD59" s="4">
        <f t="shared" si="295"/>
        <v>23400</v>
      </c>
      <c r="AE59" s="4">
        <f t="shared" si="295"/>
        <v>24300</v>
      </c>
      <c r="AF59" s="4">
        <f t="shared" si="289"/>
        <v>25200</v>
      </c>
      <c r="AG59" s="4">
        <f t="shared" ref="AG59:AI59" si="296">(AG57/1000)*AG68</f>
        <v>26100</v>
      </c>
      <c r="AH59" s="4">
        <f t="shared" si="296"/>
        <v>27000</v>
      </c>
      <c r="AI59" s="4">
        <f t="shared" si="296"/>
        <v>27900</v>
      </c>
      <c r="AJ59" s="4">
        <f t="shared" si="289"/>
        <v>28800</v>
      </c>
      <c r="AK59" s="4">
        <f t="shared" ref="AK59:AM59" si="297">(AK57/1000)*AK68</f>
        <v>29700</v>
      </c>
      <c r="AL59" s="4">
        <f t="shared" si="297"/>
        <v>30600</v>
      </c>
      <c r="AM59" s="4">
        <f t="shared" si="297"/>
        <v>31500</v>
      </c>
      <c r="AN59" s="4">
        <f t="shared" si="289"/>
        <v>32400</v>
      </c>
      <c r="AO59" s="4">
        <f t="shared" ref="AO59:AQ59" si="298">(AO57/1000)*AO68</f>
        <v>33300</v>
      </c>
      <c r="AP59" s="4">
        <f t="shared" si="298"/>
        <v>34200</v>
      </c>
      <c r="AQ59" s="4">
        <f t="shared" si="298"/>
        <v>35100</v>
      </c>
      <c r="AR59" s="4">
        <f t="shared" si="289"/>
        <v>36000</v>
      </c>
      <c r="AS59" s="76"/>
      <c r="AT59" s="76"/>
      <c r="AU59" s="76"/>
    </row>
    <row r="60" spans="2:47">
      <c r="B60" t="s">
        <v>11</v>
      </c>
      <c r="C60" s="4">
        <f>'DATA ENTRY'!E10</f>
        <v>0</v>
      </c>
      <c r="D60" s="4"/>
      <c r="E60" s="4">
        <v>5000</v>
      </c>
      <c r="F60" s="4">
        <v>5000</v>
      </c>
      <c r="G60" s="4">
        <v>5000</v>
      </c>
      <c r="H60" s="4">
        <v>5000</v>
      </c>
      <c r="I60" s="4">
        <v>5000</v>
      </c>
      <c r="J60" s="4">
        <v>5000</v>
      </c>
      <c r="K60" s="4">
        <v>5000</v>
      </c>
      <c r="L60" s="4">
        <v>5000</v>
      </c>
      <c r="M60" s="4">
        <v>5000</v>
      </c>
      <c r="N60" s="4">
        <v>5000</v>
      </c>
      <c r="O60" s="4">
        <v>5000</v>
      </c>
      <c r="P60" s="4">
        <v>5000</v>
      </c>
      <c r="Q60" s="4">
        <f t="shared" ref="Q60:AR60" si="299">O60</f>
        <v>5000</v>
      </c>
      <c r="R60" s="4">
        <f t="shared" si="299"/>
        <v>5000</v>
      </c>
      <c r="S60" s="4">
        <f t="shared" si="299"/>
        <v>5000</v>
      </c>
      <c r="T60" s="4">
        <f t="shared" si="299"/>
        <v>5000</v>
      </c>
      <c r="U60" s="4">
        <f t="shared" si="299"/>
        <v>5000</v>
      </c>
      <c r="V60" s="4">
        <f t="shared" si="299"/>
        <v>5000</v>
      </c>
      <c r="W60" s="4">
        <f t="shared" si="299"/>
        <v>5000</v>
      </c>
      <c r="X60" s="4">
        <f t="shared" si="299"/>
        <v>5000</v>
      </c>
      <c r="Y60" s="4">
        <f t="shared" si="299"/>
        <v>5000</v>
      </c>
      <c r="Z60" s="4">
        <f t="shared" si="299"/>
        <v>5000</v>
      </c>
      <c r="AA60" s="4">
        <f t="shared" si="299"/>
        <v>5000</v>
      </c>
      <c r="AB60" s="4">
        <f t="shared" si="299"/>
        <v>5000</v>
      </c>
      <c r="AC60" s="4">
        <f t="shared" si="299"/>
        <v>5000</v>
      </c>
      <c r="AD60" s="4">
        <f t="shared" si="299"/>
        <v>5000</v>
      </c>
      <c r="AE60" s="4">
        <f t="shared" si="299"/>
        <v>5000</v>
      </c>
      <c r="AF60" s="4">
        <f t="shared" si="299"/>
        <v>5000</v>
      </c>
      <c r="AG60" s="4">
        <f t="shared" si="299"/>
        <v>5000</v>
      </c>
      <c r="AH60" s="4">
        <f t="shared" si="299"/>
        <v>5000</v>
      </c>
      <c r="AI60" s="4">
        <f t="shared" si="299"/>
        <v>5000</v>
      </c>
      <c r="AJ60" s="4">
        <f t="shared" si="299"/>
        <v>5000</v>
      </c>
      <c r="AK60" s="4">
        <f t="shared" si="299"/>
        <v>5000</v>
      </c>
      <c r="AL60" s="4">
        <f t="shared" si="299"/>
        <v>5000</v>
      </c>
      <c r="AM60" s="4">
        <f t="shared" si="299"/>
        <v>5000</v>
      </c>
      <c r="AN60" s="4">
        <f t="shared" si="299"/>
        <v>5000</v>
      </c>
      <c r="AO60" s="4">
        <f t="shared" si="299"/>
        <v>5000</v>
      </c>
      <c r="AP60" s="4">
        <f t="shared" si="299"/>
        <v>5000</v>
      </c>
      <c r="AQ60" s="4">
        <f t="shared" si="299"/>
        <v>5000</v>
      </c>
      <c r="AR60" s="4">
        <f t="shared" si="299"/>
        <v>5000</v>
      </c>
      <c r="AS60" s="76"/>
      <c r="AT60" s="76"/>
      <c r="AU60" s="76"/>
    </row>
    <row r="61" spans="2:47">
      <c r="B61" t="s">
        <v>12</v>
      </c>
      <c r="C61" s="4">
        <f>'DATA ENTRY'!E11</f>
        <v>0</v>
      </c>
      <c r="D61" s="4"/>
      <c r="E61" s="4">
        <v>300</v>
      </c>
      <c r="F61" s="4">
        <v>300</v>
      </c>
      <c r="G61" s="4">
        <v>300</v>
      </c>
      <c r="H61" s="4">
        <v>300</v>
      </c>
      <c r="I61" s="4">
        <v>300</v>
      </c>
      <c r="J61" s="4">
        <v>300</v>
      </c>
      <c r="K61" s="4">
        <v>300</v>
      </c>
      <c r="L61" s="4">
        <v>300</v>
      </c>
      <c r="M61" s="4">
        <v>300</v>
      </c>
      <c r="N61" s="4">
        <v>300</v>
      </c>
      <c r="O61" s="4">
        <v>300</v>
      </c>
      <c r="P61" s="4">
        <v>300</v>
      </c>
      <c r="Q61" s="4">
        <f t="shared" ref="Q61:AR61" si="300">O61</f>
        <v>300</v>
      </c>
      <c r="R61" s="4">
        <f t="shared" si="300"/>
        <v>300</v>
      </c>
      <c r="S61" s="4">
        <f t="shared" si="300"/>
        <v>300</v>
      </c>
      <c r="T61" s="4">
        <f t="shared" si="300"/>
        <v>300</v>
      </c>
      <c r="U61" s="4">
        <f t="shared" si="300"/>
        <v>300</v>
      </c>
      <c r="V61" s="4">
        <f t="shared" si="300"/>
        <v>300</v>
      </c>
      <c r="W61" s="4">
        <f t="shared" si="300"/>
        <v>300</v>
      </c>
      <c r="X61" s="4">
        <f t="shared" si="300"/>
        <v>300</v>
      </c>
      <c r="Y61" s="4">
        <f t="shared" si="300"/>
        <v>300</v>
      </c>
      <c r="Z61" s="4">
        <f t="shared" si="300"/>
        <v>300</v>
      </c>
      <c r="AA61" s="4">
        <f t="shared" si="300"/>
        <v>300</v>
      </c>
      <c r="AB61" s="4">
        <f t="shared" si="300"/>
        <v>300</v>
      </c>
      <c r="AC61" s="4">
        <f t="shared" si="300"/>
        <v>300</v>
      </c>
      <c r="AD61" s="4">
        <f t="shared" si="300"/>
        <v>300</v>
      </c>
      <c r="AE61" s="4">
        <f t="shared" si="300"/>
        <v>300</v>
      </c>
      <c r="AF61" s="4">
        <f t="shared" si="300"/>
        <v>300</v>
      </c>
      <c r="AG61" s="4">
        <f t="shared" si="300"/>
        <v>300</v>
      </c>
      <c r="AH61" s="4">
        <f t="shared" si="300"/>
        <v>300</v>
      </c>
      <c r="AI61" s="4">
        <f t="shared" si="300"/>
        <v>300</v>
      </c>
      <c r="AJ61" s="4">
        <f t="shared" si="300"/>
        <v>300</v>
      </c>
      <c r="AK61" s="4">
        <f t="shared" si="300"/>
        <v>300</v>
      </c>
      <c r="AL61" s="4">
        <f t="shared" si="300"/>
        <v>300</v>
      </c>
      <c r="AM61" s="4">
        <f t="shared" si="300"/>
        <v>300</v>
      </c>
      <c r="AN61" s="4">
        <f t="shared" si="300"/>
        <v>300</v>
      </c>
      <c r="AO61" s="4">
        <f t="shared" si="300"/>
        <v>300</v>
      </c>
      <c r="AP61" s="4">
        <f t="shared" si="300"/>
        <v>300</v>
      </c>
      <c r="AQ61" s="4">
        <f t="shared" si="300"/>
        <v>300</v>
      </c>
      <c r="AR61" s="4">
        <f t="shared" si="300"/>
        <v>300</v>
      </c>
      <c r="AS61" s="76"/>
      <c r="AT61" s="76"/>
      <c r="AU61" s="76"/>
    </row>
    <row r="62" spans="2:47">
      <c r="B62" t="s">
        <v>13</v>
      </c>
      <c r="C62" s="4">
        <f>C67*C57*2</f>
        <v>500</v>
      </c>
      <c r="D62" s="4"/>
      <c r="E62" s="4">
        <f>E67*E57*2</f>
        <v>500</v>
      </c>
      <c r="F62" s="4">
        <f t="shared" ref="F62:AR62" si="301">F67*F57*2</f>
        <v>1000</v>
      </c>
      <c r="G62" s="4">
        <f t="shared" si="301"/>
        <v>1500</v>
      </c>
      <c r="H62" s="4">
        <f t="shared" si="301"/>
        <v>2000</v>
      </c>
      <c r="I62" s="4">
        <f t="shared" si="301"/>
        <v>2500</v>
      </c>
      <c r="J62" s="4">
        <f t="shared" si="301"/>
        <v>3000</v>
      </c>
      <c r="K62" s="4">
        <f t="shared" si="301"/>
        <v>3500</v>
      </c>
      <c r="L62" s="4">
        <f t="shared" si="301"/>
        <v>4000</v>
      </c>
      <c r="M62" s="4">
        <f t="shared" si="301"/>
        <v>4500</v>
      </c>
      <c r="N62" s="4">
        <f t="shared" si="301"/>
        <v>5000</v>
      </c>
      <c r="O62" s="4">
        <f t="shared" si="301"/>
        <v>5500</v>
      </c>
      <c r="P62" s="4">
        <f t="shared" si="301"/>
        <v>6000</v>
      </c>
      <c r="Q62" s="4">
        <f t="shared" si="301"/>
        <v>6500</v>
      </c>
      <c r="R62" s="4">
        <f t="shared" si="301"/>
        <v>7000</v>
      </c>
      <c r="S62" s="4">
        <f t="shared" si="301"/>
        <v>7500</v>
      </c>
      <c r="T62" s="4">
        <f t="shared" si="301"/>
        <v>8000</v>
      </c>
      <c r="U62" s="4">
        <f t="shared" si="301"/>
        <v>8500</v>
      </c>
      <c r="V62" s="4">
        <f t="shared" si="301"/>
        <v>9000</v>
      </c>
      <c r="W62" s="4">
        <f t="shared" si="301"/>
        <v>9500</v>
      </c>
      <c r="X62" s="4">
        <f t="shared" si="301"/>
        <v>10000</v>
      </c>
      <c r="Y62" s="4">
        <f t="shared" si="301"/>
        <v>10500</v>
      </c>
      <c r="Z62" s="4">
        <f t="shared" si="301"/>
        <v>11000</v>
      </c>
      <c r="AA62" s="4">
        <f t="shared" si="301"/>
        <v>11500</v>
      </c>
      <c r="AB62" s="4">
        <f t="shared" si="301"/>
        <v>12000</v>
      </c>
      <c r="AC62" s="4">
        <f t="shared" si="301"/>
        <v>12500</v>
      </c>
      <c r="AD62" s="4">
        <f t="shared" si="301"/>
        <v>13000</v>
      </c>
      <c r="AE62" s="4">
        <f t="shared" si="301"/>
        <v>13500</v>
      </c>
      <c r="AF62" s="4">
        <f t="shared" si="301"/>
        <v>14000</v>
      </c>
      <c r="AG62" s="4">
        <f t="shared" si="301"/>
        <v>14500</v>
      </c>
      <c r="AH62" s="4">
        <f t="shared" si="301"/>
        <v>15000</v>
      </c>
      <c r="AI62" s="4">
        <f t="shared" si="301"/>
        <v>15500</v>
      </c>
      <c r="AJ62" s="4">
        <f t="shared" si="301"/>
        <v>16000</v>
      </c>
      <c r="AK62" s="4">
        <f t="shared" si="301"/>
        <v>16500</v>
      </c>
      <c r="AL62" s="4">
        <f t="shared" si="301"/>
        <v>17000</v>
      </c>
      <c r="AM62" s="4">
        <f t="shared" si="301"/>
        <v>17500</v>
      </c>
      <c r="AN62" s="4">
        <f t="shared" si="301"/>
        <v>18000</v>
      </c>
      <c r="AO62" s="4">
        <f t="shared" si="301"/>
        <v>18500</v>
      </c>
      <c r="AP62" s="4">
        <f t="shared" si="301"/>
        <v>19000</v>
      </c>
      <c r="AQ62" s="4">
        <f t="shared" si="301"/>
        <v>19500</v>
      </c>
      <c r="AR62" s="4">
        <f t="shared" si="301"/>
        <v>20000</v>
      </c>
      <c r="AS62" s="76"/>
      <c r="AT62" s="76"/>
      <c r="AU62" s="76"/>
    </row>
    <row r="63" spans="2:47">
      <c r="B63" t="s">
        <v>28</v>
      </c>
      <c r="C63" s="4">
        <f>SUM(C57:C62)</f>
        <v>26400</v>
      </c>
      <c r="D63" s="4"/>
      <c r="E63" s="4">
        <f>SUM(E57:E62)</f>
        <v>33700</v>
      </c>
      <c r="F63" s="4">
        <f>SUM(F57:F62)</f>
        <v>61850</v>
      </c>
      <c r="G63" s="4">
        <f>SUM(G57:G62)</f>
        <v>90125</v>
      </c>
      <c r="H63" s="4">
        <f>SUM(H57:H62)</f>
        <v>118400</v>
      </c>
      <c r="I63" s="4">
        <f t="shared" ref="I63:J63" si="302">SUM(I57:I62)</f>
        <v>146675</v>
      </c>
      <c r="J63" s="4">
        <f t="shared" si="302"/>
        <v>174950</v>
      </c>
      <c r="K63" s="4">
        <f t="shared" ref="K63" si="303">SUM(K57:K62)</f>
        <v>203225</v>
      </c>
      <c r="L63" s="4">
        <f t="shared" ref="L63:AR63" si="304">SUM(L57:L62)</f>
        <v>231500</v>
      </c>
      <c r="M63" s="4">
        <f t="shared" ref="M63:O63" si="305">SUM(M57:M62)</f>
        <v>259775</v>
      </c>
      <c r="N63" s="4">
        <f t="shared" si="305"/>
        <v>288050</v>
      </c>
      <c r="O63" s="4">
        <f t="shared" si="305"/>
        <v>316325</v>
      </c>
      <c r="P63" s="4">
        <f t="shared" si="304"/>
        <v>344600</v>
      </c>
      <c r="Q63" s="4">
        <f t="shared" ref="Q63:R63" si="306">SUM(Q57:Q62)</f>
        <v>372875</v>
      </c>
      <c r="R63" s="4">
        <f t="shared" si="306"/>
        <v>401150</v>
      </c>
      <c r="S63" s="4">
        <f t="shared" ref="S63" si="307">SUM(S57:S62)</f>
        <v>429425</v>
      </c>
      <c r="T63" s="4">
        <f t="shared" si="304"/>
        <v>457700</v>
      </c>
      <c r="U63" s="4">
        <f t="shared" ref="U63:W63" si="308">SUM(U57:U62)</f>
        <v>485975</v>
      </c>
      <c r="V63" s="4">
        <f t="shared" si="308"/>
        <v>514250</v>
      </c>
      <c r="W63" s="4">
        <f t="shared" si="308"/>
        <v>542525</v>
      </c>
      <c r="X63" s="4">
        <f t="shared" si="304"/>
        <v>570800</v>
      </c>
      <c r="Y63" s="4">
        <f t="shared" ref="Y63:AA63" si="309">SUM(Y57:Y62)</f>
        <v>599075</v>
      </c>
      <c r="Z63" s="4">
        <f t="shared" si="309"/>
        <v>627350</v>
      </c>
      <c r="AA63" s="4">
        <f t="shared" si="309"/>
        <v>655625</v>
      </c>
      <c r="AB63" s="4">
        <f t="shared" si="304"/>
        <v>683900</v>
      </c>
      <c r="AC63" s="4">
        <f t="shared" ref="AC63:AE63" si="310">SUM(AC57:AC62)</f>
        <v>712175</v>
      </c>
      <c r="AD63" s="4">
        <f t="shared" si="310"/>
        <v>740450</v>
      </c>
      <c r="AE63" s="4">
        <f t="shared" si="310"/>
        <v>768725</v>
      </c>
      <c r="AF63" s="4">
        <f t="shared" si="304"/>
        <v>797000</v>
      </c>
      <c r="AG63" s="4">
        <f t="shared" ref="AG63:AI63" si="311">SUM(AG57:AG62)</f>
        <v>825275</v>
      </c>
      <c r="AH63" s="4">
        <f t="shared" si="311"/>
        <v>853550</v>
      </c>
      <c r="AI63" s="4">
        <f t="shared" si="311"/>
        <v>881825</v>
      </c>
      <c r="AJ63" s="4">
        <f t="shared" si="304"/>
        <v>910100</v>
      </c>
      <c r="AK63" s="4">
        <f t="shared" ref="AK63:AM63" si="312">SUM(AK57:AK62)</f>
        <v>938375</v>
      </c>
      <c r="AL63" s="4">
        <f t="shared" si="312"/>
        <v>966650</v>
      </c>
      <c r="AM63" s="4">
        <f t="shared" si="312"/>
        <v>994925</v>
      </c>
      <c r="AN63" s="4">
        <f t="shared" si="304"/>
        <v>1023200</v>
      </c>
      <c r="AO63" s="4">
        <f t="shared" ref="AO63:AQ63" si="313">SUM(AO57:AO62)</f>
        <v>1051475</v>
      </c>
      <c r="AP63" s="4">
        <f t="shared" si="313"/>
        <v>1079750</v>
      </c>
      <c r="AQ63" s="4">
        <f t="shared" si="313"/>
        <v>1108025</v>
      </c>
      <c r="AR63" s="4">
        <f t="shared" si="304"/>
        <v>1136300</v>
      </c>
      <c r="AS63" s="76"/>
      <c r="AT63" s="76"/>
      <c r="AU63" s="76"/>
    </row>
    <row r="64" spans="2:47">
      <c r="B64" s="74" t="s">
        <v>29</v>
      </c>
      <c r="C64" s="75">
        <v>0.12</v>
      </c>
      <c r="D64" s="75"/>
      <c r="E64" s="75">
        <f>C64</f>
        <v>0.12</v>
      </c>
      <c r="F64" s="75">
        <f>C64</f>
        <v>0.12</v>
      </c>
      <c r="G64" s="75">
        <f>F64</f>
        <v>0.12</v>
      </c>
      <c r="H64" s="75">
        <f t="shared" ref="H64:AR64" si="314">F64</f>
        <v>0.12</v>
      </c>
      <c r="I64" s="75">
        <f t="shared" si="314"/>
        <v>0.12</v>
      </c>
      <c r="J64" s="75">
        <f t="shared" si="314"/>
        <v>0.12</v>
      </c>
      <c r="K64" s="75">
        <f t="shared" si="314"/>
        <v>0.12</v>
      </c>
      <c r="L64" s="75">
        <f t="shared" si="314"/>
        <v>0.12</v>
      </c>
      <c r="M64" s="75">
        <f t="shared" si="314"/>
        <v>0.12</v>
      </c>
      <c r="N64" s="75">
        <f t="shared" si="314"/>
        <v>0.12</v>
      </c>
      <c r="O64" s="75">
        <f t="shared" si="314"/>
        <v>0.12</v>
      </c>
      <c r="P64" s="75">
        <f t="shared" si="314"/>
        <v>0.12</v>
      </c>
      <c r="Q64" s="75">
        <f t="shared" si="314"/>
        <v>0.12</v>
      </c>
      <c r="R64" s="75">
        <f t="shared" si="314"/>
        <v>0.12</v>
      </c>
      <c r="S64" s="75">
        <f t="shared" si="314"/>
        <v>0.12</v>
      </c>
      <c r="T64" s="75">
        <f t="shared" si="314"/>
        <v>0.12</v>
      </c>
      <c r="U64" s="75">
        <f t="shared" si="314"/>
        <v>0.12</v>
      </c>
      <c r="V64" s="75">
        <f t="shared" si="314"/>
        <v>0.12</v>
      </c>
      <c r="W64" s="75">
        <f t="shared" si="314"/>
        <v>0.12</v>
      </c>
      <c r="X64" s="75">
        <f t="shared" si="314"/>
        <v>0.12</v>
      </c>
      <c r="Y64" s="75">
        <f t="shared" si="314"/>
        <v>0.12</v>
      </c>
      <c r="Z64" s="75">
        <f t="shared" si="314"/>
        <v>0.12</v>
      </c>
      <c r="AA64" s="75">
        <f t="shared" si="314"/>
        <v>0.12</v>
      </c>
      <c r="AB64" s="75">
        <f t="shared" si="314"/>
        <v>0.12</v>
      </c>
      <c r="AC64" s="75">
        <f t="shared" si="314"/>
        <v>0.12</v>
      </c>
      <c r="AD64" s="75">
        <f t="shared" si="314"/>
        <v>0.12</v>
      </c>
      <c r="AE64" s="75">
        <f t="shared" si="314"/>
        <v>0.12</v>
      </c>
      <c r="AF64" s="75">
        <f t="shared" si="314"/>
        <v>0.12</v>
      </c>
      <c r="AG64" s="75">
        <f t="shared" si="314"/>
        <v>0.12</v>
      </c>
      <c r="AH64" s="75">
        <f t="shared" si="314"/>
        <v>0.12</v>
      </c>
      <c r="AI64" s="75">
        <f t="shared" si="314"/>
        <v>0.12</v>
      </c>
      <c r="AJ64" s="75">
        <f t="shared" si="314"/>
        <v>0.12</v>
      </c>
      <c r="AK64" s="75">
        <f t="shared" si="314"/>
        <v>0.12</v>
      </c>
      <c r="AL64" s="75">
        <f t="shared" si="314"/>
        <v>0.12</v>
      </c>
      <c r="AM64" s="75">
        <f t="shared" si="314"/>
        <v>0.12</v>
      </c>
      <c r="AN64" s="75">
        <f t="shared" si="314"/>
        <v>0.12</v>
      </c>
      <c r="AO64" s="75">
        <f t="shared" si="314"/>
        <v>0.12</v>
      </c>
      <c r="AP64" s="75">
        <f t="shared" si="314"/>
        <v>0.12</v>
      </c>
      <c r="AQ64" s="75">
        <f t="shared" si="314"/>
        <v>0.12</v>
      </c>
      <c r="AR64" s="75">
        <f t="shared" si="314"/>
        <v>0.12</v>
      </c>
      <c r="AS64" s="77"/>
      <c r="AT64" s="77"/>
      <c r="AU64" s="77"/>
    </row>
    <row r="65" spans="2:47">
      <c r="B65" s="68" t="s">
        <v>30</v>
      </c>
      <c r="C65" s="68">
        <f>(1+C64/C68)^C68-1</f>
        <v>0.12727187451791488</v>
      </c>
      <c r="D65" s="68"/>
      <c r="E65" s="68">
        <f>(1+E64/E68)^E68-1</f>
        <v>0.12727187451791488</v>
      </c>
      <c r="F65" s="68">
        <f>(1+F64/F68)^F68-1</f>
        <v>0.12727187451791488</v>
      </c>
      <c r="G65" s="68">
        <f>(1+G64/G68)^G68-1</f>
        <v>0.12727187451791488</v>
      </c>
      <c r="H65" s="68">
        <f t="shared" ref="H65:AR65" si="315">(1+H64/H68)^H68-1</f>
        <v>0.12727187451791488</v>
      </c>
      <c r="I65" s="68">
        <f t="shared" si="315"/>
        <v>0.12727187451791488</v>
      </c>
      <c r="J65" s="68">
        <f t="shared" si="315"/>
        <v>0.12727187451791488</v>
      </c>
      <c r="K65" s="68">
        <f t="shared" si="315"/>
        <v>0.12727187451791488</v>
      </c>
      <c r="L65" s="68">
        <f t="shared" si="315"/>
        <v>0.12727187451791488</v>
      </c>
      <c r="M65" s="68">
        <f t="shared" si="315"/>
        <v>0.12727187451791488</v>
      </c>
      <c r="N65" s="68">
        <f t="shared" si="315"/>
        <v>0.12727187451791488</v>
      </c>
      <c r="O65" s="68">
        <f t="shared" si="315"/>
        <v>0.12727187451791488</v>
      </c>
      <c r="P65" s="68">
        <f t="shared" si="315"/>
        <v>0.12727187451791488</v>
      </c>
      <c r="Q65" s="68">
        <f t="shared" si="315"/>
        <v>0.12727187451791488</v>
      </c>
      <c r="R65" s="68">
        <f t="shared" si="315"/>
        <v>0.12727187451791488</v>
      </c>
      <c r="S65" s="68">
        <f t="shared" si="315"/>
        <v>0.12727187451791488</v>
      </c>
      <c r="T65" s="68">
        <f t="shared" si="315"/>
        <v>0.12727187451791488</v>
      </c>
      <c r="U65" s="68">
        <f t="shared" si="315"/>
        <v>0.12727187451791488</v>
      </c>
      <c r="V65" s="68">
        <f t="shared" si="315"/>
        <v>0.12727187451791488</v>
      </c>
      <c r="W65" s="68">
        <f t="shared" si="315"/>
        <v>0.12727187451791488</v>
      </c>
      <c r="X65" s="68">
        <f t="shared" si="315"/>
        <v>0.12727187451791488</v>
      </c>
      <c r="Y65" s="68">
        <f t="shared" si="315"/>
        <v>0.12727187451791488</v>
      </c>
      <c r="Z65" s="68">
        <f t="shared" si="315"/>
        <v>0.12727187451791488</v>
      </c>
      <c r="AA65" s="68">
        <f t="shared" si="315"/>
        <v>0.12727187451791488</v>
      </c>
      <c r="AB65" s="68">
        <f t="shared" si="315"/>
        <v>0.12727187451791488</v>
      </c>
      <c r="AC65" s="68">
        <f t="shared" si="315"/>
        <v>0.12727187451791488</v>
      </c>
      <c r="AD65" s="68">
        <f t="shared" si="315"/>
        <v>0.12727187451791488</v>
      </c>
      <c r="AE65" s="68">
        <f t="shared" si="315"/>
        <v>0.12727187451791488</v>
      </c>
      <c r="AF65" s="68">
        <f t="shared" si="315"/>
        <v>0.12727187451791488</v>
      </c>
      <c r="AG65" s="68">
        <f t="shared" si="315"/>
        <v>0.12727187451791488</v>
      </c>
      <c r="AH65" s="68">
        <f t="shared" si="315"/>
        <v>0.12727187451791488</v>
      </c>
      <c r="AI65" s="68">
        <f t="shared" si="315"/>
        <v>0.12727187451791488</v>
      </c>
      <c r="AJ65" s="68">
        <f t="shared" si="315"/>
        <v>0.12727187451791488</v>
      </c>
      <c r="AK65" s="68">
        <f t="shared" si="315"/>
        <v>0.12727187451791488</v>
      </c>
      <c r="AL65" s="68">
        <f t="shared" si="315"/>
        <v>0.12727187451791488</v>
      </c>
      <c r="AM65" s="68">
        <f t="shared" si="315"/>
        <v>0.12727187451791488</v>
      </c>
      <c r="AN65" s="68">
        <f t="shared" si="315"/>
        <v>0.12727187451791488</v>
      </c>
      <c r="AO65" s="68">
        <f t="shared" si="315"/>
        <v>0.12727187451791488</v>
      </c>
      <c r="AP65" s="68">
        <f t="shared" si="315"/>
        <v>0.12727187451791488</v>
      </c>
      <c r="AQ65" s="68">
        <f t="shared" si="315"/>
        <v>0.12727187451791488</v>
      </c>
      <c r="AR65" s="78">
        <f t="shared" si="315"/>
        <v>0.12727187451791488</v>
      </c>
      <c r="AS65" s="79"/>
      <c r="AT65" s="79"/>
      <c r="AU65" s="79"/>
    </row>
    <row r="66" spans="2:47">
      <c r="B66" t="s">
        <v>31</v>
      </c>
      <c r="C66" s="69">
        <v>3</v>
      </c>
      <c r="D66" s="69"/>
      <c r="E66" s="69">
        <v>3</v>
      </c>
      <c r="F66" s="69">
        <v>3</v>
      </c>
      <c r="G66" s="69">
        <v>3</v>
      </c>
      <c r="H66" s="69">
        <v>3</v>
      </c>
      <c r="I66" s="69">
        <v>3</v>
      </c>
      <c r="J66" s="69">
        <v>3</v>
      </c>
      <c r="K66" s="69">
        <v>3</v>
      </c>
      <c r="L66" s="69">
        <f>H66</f>
        <v>3</v>
      </c>
      <c r="M66" s="69">
        <f>I66</f>
        <v>3</v>
      </c>
      <c r="N66" s="69">
        <f>K66</f>
        <v>3</v>
      </c>
      <c r="O66" s="69">
        <f t="shared" ref="O66:AR66" si="316">K66</f>
        <v>3</v>
      </c>
      <c r="P66" s="69">
        <f t="shared" si="316"/>
        <v>3</v>
      </c>
      <c r="Q66" s="69">
        <f t="shared" si="316"/>
        <v>3</v>
      </c>
      <c r="R66" s="69">
        <f t="shared" si="316"/>
        <v>3</v>
      </c>
      <c r="S66" s="69">
        <f t="shared" si="316"/>
        <v>3</v>
      </c>
      <c r="T66" s="69">
        <f t="shared" si="316"/>
        <v>3</v>
      </c>
      <c r="U66" s="69">
        <f t="shared" si="316"/>
        <v>3</v>
      </c>
      <c r="V66" s="69">
        <f t="shared" si="316"/>
        <v>3</v>
      </c>
      <c r="W66" s="69">
        <f t="shared" si="316"/>
        <v>3</v>
      </c>
      <c r="X66" s="69">
        <f t="shared" si="316"/>
        <v>3</v>
      </c>
      <c r="Y66" s="69">
        <f t="shared" si="316"/>
        <v>3</v>
      </c>
      <c r="Z66" s="69">
        <f t="shared" si="316"/>
        <v>3</v>
      </c>
      <c r="AA66" s="69">
        <f t="shared" si="316"/>
        <v>3</v>
      </c>
      <c r="AB66" s="69">
        <f t="shared" si="316"/>
        <v>3</v>
      </c>
      <c r="AC66" s="69">
        <f t="shared" si="316"/>
        <v>3</v>
      </c>
      <c r="AD66" s="69">
        <f t="shared" si="316"/>
        <v>3</v>
      </c>
      <c r="AE66" s="69">
        <f t="shared" si="316"/>
        <v>3</v>
      </c>
      <c r="AF66" s="69">
        <f t="shared" si="316"/>
        <v>3</v>
      </c>
      <c r="AG66" s="69">
        <f t="shared" si="316"/>
        <v>3</v>
      </c>
      <c r="AH66" s="69">
        <f t="shared" si="316"/>
        <v>3</v>
      </c>
      <c r="AI66" s="69">
        <f t="shared" si="316"/>
        <v>3</v>
      </c>
      <c r="AJ66" s="69">
        <f t="shared" si="316"/>
        <v>3</v>
      </c>
      <c r="AK66" s="69">
        <f t="shared" si="316"/>
        <v>3</v>
      </c>
      <c r="AL66" s="69">
        <f t="shared" si="316"/>
        <v>3</v>
      </c>
      <c r="AM66" s="69">
        <f t="shared" si="316"/>
        <v>3</v>
      </c>
      <c r="AN66" s="69">
        <f t="shared" si="316"/>
        <v>3</v>
      </c>
      <c r="AO66" s="69">
        <f t="shared" si="316"/>
        <v>3</v>
      </c>
      <c r="AP66" s="69">
        <f t="shared" si="316"/>
        <v>3</v>
      </c>
      <c r="AQ66" s="69">
        <f t="shared" si="316"/>
        <v>3</v>
      </c>
      <c r="AR66" s="69">
        <f t="shared" si="316"/>
        <v>3</v>
      </c>
      <c r="AS66" s="80"/>
      <c r="AT66" s="80"/>
      <c r="AU66" s="80"/>
    </row>
    <row r="67" spans="2:47">
      <c r="B67" t="s">
        <v>32</v>
      </c>
      <c r="C67" s="7">
        <f>C64/12</f>
        <v>0.01</v>
      </c>
      <c r="D67" s="7"/>
      <c r="E67" s="7">
        <f>E64/12</f>
        <v>0.01</v>
      </c>
      <c r="F67" s="7">
        <f>F64/12</f>
        <v>0.01</v>
      </c>
      <c r="G67" s="7">
        <f>G64/12</f>
        <v>0.01</v>
      </c>
      <c r="H67" s="7">
        <f>H64/12</f>
        <v>0.01</v>
      </c>
      <c r="I67" s="7">
        <f t="shared" ref="I67:J67" si="317">I64/12</f>
        <v>0.01</v>
      </c>
      <c r="J67" s="7">
        <f t="shared" si="317"/>
        <v>0.01</v>
      </c>
      <c r="K67" s="7">
        <f t="shared" ref="K67" si="318">K64/12</f>
        <v>0.01</v>
      </c>
      <c r="L67" s="7">
        <f t="shared" ref="L67:AR67" si="319">L64/12</f>
        <v>0.01</v>
      </c>
      <c r="M67" s="7">
        <f t="shared" ref="M67:O67" si="320">M64/12</f>
        <v>0.01</v>
      </c>
      <c r="N67" s="7">
        <f t="shared" si="320"/>
        <v>0.01</v>
      </c>
      <c r="O67" s="7">
        <f t="shared" si="320"/>
        <v>0.01</v>
      </c>
      <c r="P67" s="7">
        <f t="shared" si="319"/>
        <v>0.01</v>
      </c>
      <c r="Q67" s="7">
        <f t="shared" ref="Q67:R67" si="321">Q64/12</f>
        <v>0.01</v>
      </c>
      <c r="R67" s="7">
        <f t="shared" si="321"/>
        <v>0.01</v>
      </c>
      <c r="S67" s="7">
        <f t="shared" ref="S67" si="322">S64/12</f>
        <v>0.01</v>
      </c>
      <c r="T67" s="7">
        <f t="shared" si="319"/>
        <v>0.01</v>
      </c>
      <c r="U67" s="7">
        <f t="shared" ref="U67:W67" si="323">U64/12</f>
        <v>0.01</v>
      </c>
      <c r="V67" s="7">
        <f t="shared" si="323"/>
        <v>0.01</v>
      </c>
      <c r="W67" s="7">
        <f t="shared" si="323"/>
        <v>0.01</v>
      </c>
      <c r="X67" s="7">
        <f t="shared" si="319"/>
        <v>0.01</v>
      </c>
      <c r="Y67" s="7">
        <f t="shared" ref="Y67:AA67" si="324">Y64/12</f>
        <v>0.01</v>
      </c>
      <c r="Z67" s="7">
        <f t="shared" si="324"/>
        <v>0.01</v>
      </c>
      <c r="AA67" s="7">
        <f t="shared" si="324"/>
        <v>0.01</v>
      </c>
      <c r="AB67" s="7">
        <f t="shared" si="319"/>
        <v>0.01</v>
      </c>
      <c r="AC67" s="7">
        <f t="shared" ref="AC67:AE67" si="325">AC64/12</f>
        <v>0.01</v>
      </c>
      <c r="AD67" s="7">
        <f t="shared" si="325"/>
        <v>0.01</v>
      </c>
      <c r="AE67" s="7">
        <f t="shared" si="325"/>
        <v>0.01</v>
      </c>
      <c r="AF67" s="7">
        <f t="shared" si="319"/>
        <v>0.01</v>
      </c>
      <c r="AG67" s="7">
        <f t="shared" ref="AG67:AI67" si="326">AG64/12</f>
        <v>0.01</v>
      </c>
      <c r="AH67" s="7">
        <f t="shared" si="326"/>
        <v>0.01</v>
      </c>
      <c r="AI67" s="7">
        <f t="shared" si="326"/>
        <v>0.01</v>
      </c>
      <c r="AJ67" s="7">
        <f t="shared" si="319"/>
        <v>0.01</v>
      </c>
      <c r="AK67" s="7">
        <f t="shared" ref="AK67:AM67" si="327">AK64/12</f>
        <v>0.01</v>
      </c>
      <c r="AL67" s="7">
        <f t="shared" si="327"/>
        <v>0.01</v>
      </c>
      <c r="AM67" s="7">
        <f t="shared" si="327"/>
        <v>0.01</v>
      </c>
      <c r="AN67" s="7">
        <f t="shared" si="319"/>
        <v>0.01</v>
      </c>
      <c r="AO67" s="7">
        <f t="shared" ref="AO67:AQ67" si="328">AO64/12</f>
        <v>0.01</v>
      </c>
      <c r="AP67" s="7">
        <f t="shared" si="328"/>
        <v>0.01</v>
      </c>
      <c r="AQ67" s="7">
        <f t="shared" si="328"/>
        <v>0.01</v>
      </c>
      <c r="AR67" s="7">
        <f t="shared" si="319"/>
        <v>0.01</v>
      </c>
      <c r="AS67" s="38"/>
      <c r="AT67" s="38"/>
      <c r="AU67" s="38"/>
    </row>
    <row r="68" spans="2:47">
      <c r="B68" t="s">
        <v>33</v>
      </c>
      <c r="C68" s="69">
        <f>C66*12</f>
        <v>36</v>
      </c>
      <c r="D68" s="69"/>
      <c r="E68" s="69">
        <f>E66*12</f>
        <v>36</v>
      </c>
      <c r="F68" s="69">
        <f>F66*12</f>
        <v>36</v>
      </c>
      <c r="G68" s="69">
        <f>G66*12</f>
        <v>36</v>
      </c>
      <c r="H68" s="69">
        <f>H66*12</f>
        <v>36</v>
      </c>
      <c r="I68" s="69">
        <f t="shared" ref="I68:J68" si="329">I66*12</f>
        <v>36</v>
      </c>
      <c r="J68" s="69">
        <f t="shared" si="329"/>
        <v>36</v>
      </c>
      <c r="K68" s="69">
        <f t="shared" ref="K68" si="330">K66*12</f>
        <v>36</v>
      </c>
      <c r="L68" s="69">
        <f t="shared" ref="L68:AR68" si="331">L66*12</f>
        <v>36</v>
      </c>
      <c r="M68" s="69">
        <f t="shared" ref="M68:O68" si="332">M66*12</f>
        <v>36</v>
      </c>
      <c r="N68" s="69">
        <f t="shared" si="332"/>
        <v>36</v>
      </c>
      <c r="O68" s="69">
        <f t="shared" si="332"/>
        <v>36</v>
      </c>
      <c r="P68" s="69">
        <f t="shared" si="331"/>
        <v>36</v>
      </c>
      <c r="Q68" s="69">
        <f t="shared" ref="Q68:R68" si="333">Q66*12</f>
        <v>36</v>
      </c>
      <c r="R68" s="69">
        <f t="shared" si="333"/>
        <v>36</v>
      </c>
      <c r="S68" s="69">
        <f t="shared" ref="S68" si="334">S66*12</f>
        <v>36</v>
      </c>
      <c r="T68" s="69">
        <f t="shared" si="331"/>
        <v>36</v>
      </c>
      <c r="U68" s="69">
        <f t="shared" ref="U68:W68" si="335">U66*12</f>
        <v>36</v>
      </c>
      <c r="V68" s="69">
        <f t="shared" si="335"/>
        <v>36</v>
      </c>
      <c r="W68" s="69">
        <f t="shared" si="335"/>
        <v>36</v>
      </c>
      <c r="X68" s="69">
        <f t="shared" si="331"/>
        <v>36</v>
      </c>
      <c r="Y68" s="69">
        <f t="shared" ref="Y68:AA68" si="336">Y66*12</f>
        <v>36</v>
      </c>
      <c r="Z68" s="69">
        <f t="shared" si="336"/>
        <v>36</v>
      </c>
      <c r="AA68" s="69">
        <f t="shared" si="336"/>
        <v>36</v>
      </c>
      <c r="AB68" s="69">
        <f t="shared" si="331"/>
        <v>36</v>
      </c>
      <c r="AC68" s="69">
        <f t="shared" ref="AC68:AE68" si="337">AC66*12</f>
        <v>36</v>
      </c>
      <c r="AD68" s="69">
        <f t="shared" si="337"/>
        <v>36</v>
      </c>
      <c r="AE68" s="69">
        <f t="shared" si="337"/>
        <v>36</v>
      </c>
      <c r="AF68" s="69">
        <f t="shared" si="331"/>
        <v>36</v>
      </c>
      <c r="AG68" s="69">
        <f t="shared" ref="AG68:AI68" si="338">AG66*12</f>
        <v>36</v>
      </c>
      <c r="AH68" s="69">
        <f t="shared" si="338"/>
        <v>36</v>
      </c>
      <c r="AI68" s="69">
        <f t="shared" si="338"/>
        <v>36</v>
      </c>
      <c r="AJ68" s="69">
        <f t="shared" si="331"/>
        <v>36</v>
      </c>
      <c r="AK68" s="69">
        <f t="shared" ref="AK68:AM68" si="339">AK66*12</f>
        <v>36</v>
      </c>
      <c r="AL68" s="69">
        <f t="shared" si="339"/>
        <v>36</v>
      </c>
      <c r="AM68" s="69">
        <f t="shared" si="339"/>
        <v>36</v>
      </c>
      <c r="AN68" s="69">
        <f t="shared" si="331"/>
        <v>36</v>
      </c>
      <c r="AO68" s="69">
        <f t="shared" ref="AO68:AQ68" si="340">AO66*12</f>
        <v>36</v>
      </c>
      <c r="AP68" s="69">
        <f t="shared" si="340"/>
        <v>36</v>
      </c>
      <c r="AQ68" s="69">
        <f t="shared" si="340"/>
        <v>36</v>
      </c>
      <c r="AR68" s="69">
        <f t="shared" si="331"/>
        <v>36</v>
      </c>
      <c r="AS68" s="80"/>
      <c r="AT68" s="80"/>
      <c r="AU68" s="80"/>
    </row>
    <row r="69" spans="2:47">
      <c r="C69" s="4"/>
      <c r="D69" s="4"/>
      <c r="E69" s="4"/>
      <c r="F69" s="4"/>
      <c r="G69" s="4"/>
      <c r="H69" s="4"/>
      <c r="I69" s="4"/>
      <c r="J69" s="4"/>
      <c r="K69" s="4"/>
      <c r="L69" s="4"/>
      <c r="M69" s="4"/>
      <c r="AB69" s="4"/>
      <c r="AC69" s="4"/>
      <c r="AD69" s="4"/>
      <c r="AE69" s="4"/>
      <c r="AF69" s="4"/>
      <c r="AG69" s="4"/>
      <c r="AH69" s="4"/>
      <c r="AI69" s="4"/>
      <c r="AJ69" s="4"/>
      <c r="AK69" s="4"/>
      <c r="AL69" s="4"/>
      <c r="AM69" s="4"/>
      <c r="AN69" s="4"/>
      <c r="AO69" s="4"/>
      <c r="AP69" s="4"/>
      <c r="AQ69" s="4"/>
      <c r="AR69" s="4"/>
      <c r="AS69" s="76"/>
      <c r="AT69" s="76"/>
      <c r="AU69" s="76"/>
    </row>
    <row r="70" spans="2:47">
      <c r="B70" t="s">
        <v>17</v>
      </c>
      <c r="C70" s="71">
        <f>(1+C67)^C68</f>
        <v>1.430768783591581</v>
      </c>
      <c r="D70" s="71"/>
      <c r="E70" s="71">
        <f>(1+E67)^E68</f>
        <v>1.430768783591581</v>
      </c>
      <c r="F70" s="71">
        <f>(1+F67)^F68</f>
        <v>1.430768783591581</v>
      </c>
      <c r="G70" s="71">
        <f>(1+G67)^G68</f>
        <v>1.430768783591581</v>
      </c>
      <c r="H70" s="71">
        <f>(1+H67)^H68</f>
        <v>1.430768783591581</v>
      </c>
      <c r="I70" s="71">
        <f t="shared" ref="I70:J70" si="341">(1+I67)^I68</f>
        <v>1.430768783591581</v>
      </c>
      <c r="J70" s="71">
        <f t="shared" si="341"/>
        <v>1.430768783591581</v>
      </c>
      <c r="K70" s="71">
        <f t="shared" ref="K70" si="342">(1+K67)^K68</f>
        <v>1.430768783591581</v>
      </c>
      <c r="L70" s="71">
        <f t="shared" ref="L70:AR70" si="343">(1+L67)^L68</f>
        <v>1.430768783591581</v>
      </c>
      <c r="M70" s="71">
        <f t="shared" ref="M70:O70" si="344">(1+M67)^M68</f>
        <v>1.430768783591581</v>
      </c>
      <c r="N70" s="71">
        <f t="shared" si="344"/>
        <v>1.430768783591581</v>
      </c>
      <c r="O70" s="71">
        <f t="shared" si="344"/>
        <v>1.430768783591581</v>
      </c>
      <c r="P70" s="71">
        <f t="shared" si="343"/>
        <v>1.430768783591581</v>
      </c>
      <c r="Q70" s="71">
        <f t="shared" ref="Q70:R70" si="345">(1+Q67)^Q68</f>
        <v>1.430768783591581</v>
      </c>
      <c r="R70" s="71">
        <f t="shared" si="345"/>
        <v>1.430768783591581</v>
      </c>
      <c r="S70" s="71">
        <f t="shared" ref="S70" si="346">(1+S67)^S68</f>
        <v>1.430768783591581</v>
      </c>
      <c r="T70" s="71">
        <f t="shared" si="343"/>
        <v>1.430768783591581</v>
      </c>
      <c r="U70" s="71">
        <f t="shared" ref="U70:W70" si="347">(1+U67)^U68</f>
        <v>1.430768783591581</v>
      </c>
      <c r="V70" s="71">
        <f t="shared" si="347"/>
        <v>1.430768783591581</v>
      </c>
      <c r="W70" s="71">
        <f t="shared" si="347"/>
        <v>1.430768783591581</v>
      </c>
      <c r="X70" s="71">
        <f t="shared" si="343"/>
        <v>1.430768783591581</v>
      </c>
      <c r="Y70" s="71">
        <f t="shared" ref="Y70:AA70" si="348">(1+Y67)^Y68</f>
        <v>1.430768783591581</v>
      </c>
      <c r="Z70" s="71">
        <f t="shared" si="348"/>
        <v>1.430768783591581</v>
      </c>
      <c r="AA70" s="71">
        <f t="shared" si="348"/>
        <v>1.430768783591581</v>
      </c>
      <c r="AB70" s="71">
        <f t="shared" si="343"/>
        <v>1.430768783591581</v>
      </c>
      <c r="AC70" s="71">
        <f t="shared" ref="AC70:AE70" si="349">(1+AC67)^AC68</f>
        <v>1.430768783591581</v>
      </c>
      <c r="AD70" s="71">
        <f t="shared" si="349"/>
        <v>1.430768783591581</v>
      </c>
      <c r="AE70" s="71">
        <f t="shared" si="349"/>
        <v>1.430768783591581</v>
      </c>
      <c r="AF70" s="71">
        <f t="shared" si="343"/>
        <v>1.430768783591581</v>
      </c>
      <c r="AG70" s="71">
        <f t="shared" ref="AG70:AI70" si="350">(1+AG67)^AG68</f>
        <v>1.430768783591581</v>
      </c>
      <c r="AH70" s="71">
        <f t="shared" si="350"/>
        <v>1.430768783591581</v>
      </c>
      <c r="AI70" s="71">
        <f t="shared" si="350"/>
        <v>1.430768783591581</v>
      </c>
      <c r="AJ70" s="71">
        <f t="shared" si="343"/>
        <v>1.430768783591581</v>
      </c>
      <c r="AK70" s="71">
        <f t="shared" ref="AK70:AM70" si="351">(1+AK67)^AK68</f>
        <v>1.430768783591581</v>
      </c>
      <c r="AL70" s="71">
        <f t="shared" si="351"/>
        <v>1.430768783591581</v>
      </c>
      <c r="AM70" s="71">
        <f t="shared" si="351"/>
        <v>1.430768783591581</v>
      </c>
      <c r="AN70" s="71">
        <f t="shared" si="343"/>
        <v>1.430768783591581</v>
      </c>
      <c r="AO70" s="71">
        <f t="shared" ref="AO70:AQ70" si="352">(1+AO67)^AO68</f>
        <v>1.430768783591581</v>
      </c>
      <c r="AP70" s="71">
        <f t="shared" si="352"/>
        <v>1.430768783591581</v>
      </c>
      <c r="AQ70" s="71">
        <f t="shared" si="352"/>
        <v>1.430768783591581</v>
      </c>
      <c r="AR70" s="71">
        <f t="shared" si="343"/>
        <v>1.430768783591581</v>
      </c>
      <c r="AS70" s="81"/>
      <c r="AT70" s="81"/>
      <c r="AU70" s="81"/>
    </row>
    <row r="71" spans="2:47">
      <c r="C71" s="72">
        <f>C70*C67</f>
        <v>1.430768783591581E-2</v>
      </c>
      <c r="D71" s="72"/>
      <c r="E71" s="72">
        <f>E70*E67</f>
        <v>1.430768783591581E-2</v>
      </c>
      <c r="F71" s="72">
        <f>F70*F67</f>
        <v>1.430768783591581E-2</v>
      </c>
      <c r="G71" s="72">
        <f>G70*G67</f>
        <v>1.430768783591581E-2</v>
      </c>
      <c r="H71" s="72">
        <f>H70*H67</f>
        <v>1.430768783591581E-2</v>
      </c>
      <c r="I71" s="72">
        <f t="shared" ref="I71:J71" si="353">I70*I67</f>
        <v>1.430768783591581E-2</v>
      </c>
      <c r="J71" s="72">
        <f t="shared" si="353"/>
        <v>1.430768783591581E-2</v>
      </c>
      <c r="K71" s="72">
        <f t="shared" ref="K71" si="354">K70*K67</f>
        <v>1.430768783591581E-2</v>
      </c>
      <c r="L71" s="72">
        <f t="shared" ref="L71:AR71" si="355">L70*L67</f>
        <v>1.430768783591581E-2</v>
      </c>
      <c r="M71" s="72">
        <f t="shared" ref="M71:O71" si="356">M70*M67</f>
        <v>1.430768783591581E-2</v>
      </c>
      <c r="N71" s="72">
        <f t="shared" si="356"/>
        <v>1.430768783591581E-2</v>
      </c>
      <c r="O71" s="72">
        <f t="shared" si="356"/>
        <v>1.430768783591581E-2</v>
      </c>
      <c r="P71" s="72">
        <f t="shared" si="355"/>
        <v>1.430768783591581E-2</v>
      </c>
      <c r="Q71" s="72">
        <f t="shared" ref="Q71:R71" si="357">Q70*Q67</f>
        <v>1.430768783591581E-2</v>
      </c>
      <c r="R71" s="72">
        <f t="shared" si="357"/>
        <v>1.430768783591581E-2</v>
      </c>
      <c r="S71" s="72">
        <f t="shared" ref="S71" si="358">S70*S67</f>
        <v>1.430768783591581E-2</v>
      </c>
      <c r="T71" s="72">
        <f t="shared" si="355"/>
        <v>1.430768783591581E-2</v>
      </c>
      <c r="U71" s="72">
        <f t="shared" ref="U71:W71" si="359">U70*U67</f>
        <v>1.430768783591581E-2</v>
      </c>
      <c r="V71" s="72">
        <f t="shared" si="359"/>
        <v>1.430768783591581E-2</v>
      </c>
      <c r="W71" s="72">
        <f t="shared" si="359"/>
        <v>1.430768783591581E-2</v>
      </c>
      <c r="X71" s="72">
        <f t="shared" si="355"/>
        <v>1.430768783591581E-2</v>
      </c>
      <c r="Y71" s="72">
        <f t="shared" ref="Y71:AA71" si="360">Y70*Y67</f>
        <v>1.430768783591581E-2</v>
      </c>
      <c r="Z71" s="72">
        <f t="shared" si="360"/>
        <v>1.430768783591581E-2</v>
      </c>
      <c r="AA71" s="72">
        <f t="shared" si="360"/>
        <v>1.430768783591581E-2</v>
      </c>
      <c r="AB71" s="72">
        <f t="shared" si="355"/>
        <v>1.430768783591581E-2</v>
      </c>
      <c r="AC71" s="72">
        <f t="shared" ref="AC71:AE71" si="361">AC70*AC67</f>
        <v>1.430768783591581E-2</v>
      </c>
      <c r="AD71" s="72">
        <f t="shared" si="361"/>
        <v>1.430768783591581E-2</v>
      </c>
      <c r="AE71" s="72">
        <f t="shared" si="361"/>
        <v>1.430768783591581E-2</v>
      </c>
      <c r="AF71" s="72">
        <f t="shared" si="355"/>
        <v>1.430768783591581E-2</v>
      </c>
      <c r="AG71" s="72">
        <f t="shared" ref="AG71:AI71" si="362">AG70*AG67</f>
        <v>1.430768783591581E-2</v>
      </c>
      <c r="AH71" s="72">
        <f t="shared" si="362"/>
        <v>1.430768783591581E-2</v>
      </c>
      <c r="AI71" s="72">
        <f t="shared" si="362"/>
        <v>1.430768783591581E-2</v>
      </c>
      <c r="AJ71" s="72">
        <f t="shared" si="355"/>
        <v>1.430768783591581E-2</v>
      </c>
      <c r="AK71" s="72">
        <f t="shared" ref="AK71:AM71" si="363">AK70*AK67</f>
        <v>1.430768783591581E-2</v>
      </c>
      <c r="AL71" s="72">
        <f t="shared" si="363"/>
        <v>1.430768783591581E-2</v>
      </c>
      <c r="AM71" s="72">
        <f t="shared" si="363"/>
        <v>1.430768783591581E-2</v>
      </c>
      <c r="AN71" s="72">
        <f t="shared" si="355"/>
        <v>1.430768783591581E-2</v>
      </c>
      <c r="AO71" s="72">
        <f t="shared" ref="AO71:AQ71" si="364">AO70*AO67</f>
        <v>1.430768783591581E-2</v>
      </c>
      <c r="AP71" s="72">
        <f t="shared" si="364"/>
        <v>1.430768783591581E-2</v>
      </c>
      <c r="AQ71" s="72">
        <f t="shared" si="364"/>
        <v>1.430768783591581E-2</v>
      </c>
      <c r="AR71" s="72">
        <f t="shared" si="355"/>
        <v>1.430768783591581E-2</v>
      </c>
      <c r="AS71" s="82"/>
      <c r="AT71" s="82"/>
      <c r="AU71" s="82"/>
    </row>
    <row r="72" spans="2:47">
      <c r="C72" s="73">
        <f>C70-1</f>
        <v>0.43076878359158099</v>
      </c>
      <c r="D72" s="73"/>
      <c r="E72" s="73">
        <f>E70-1</f>
        <v>0.43076878359158099</v>
      </c>
      <c r="F72" s="73">
        <f>F70-1</f>
        <v>0.43076878359158099</v>
      </c>
      <c r="G72" s="73">
        <f>G70-1</f>
        <v>0.43076878359158099</v>
      </c>
      <c r="H72" s="73">
        <f>H70-1</f>
        <v>0.43076878359158099</v>
      </c>
      <c r="I72" s="73">
        <f t="shared" ref="I72:J72" si="365">I70-1</f>
        <v>0.43076878359158099</v>
      </c>
      <c r="J72" s="73">
        <f t="shared" si="365"/>
        <v>0.43076878359158099</v>
      </c>
      <c r="K72" s="73">
        <f t="shared" ref="K72" si="366">K70-1</f>
        <v>0.43076878359158099</v>
      </c>
      <c r="L72" s="73">
        <f t="shared" ref="L72:AR72" si="367">L70-1</f>
        <v>0.43076878359158099</v>
      </c>
      <c r="M72" s="73">
        <f t="shared" ref="M72:O72" si="368">M70-1</f>
        <v>0.43076878359158099</v>
      </c>
      <c r="N72" s="73">
        <f t="shared" si="368"/>
        <v>0.43076878359158099</v>
      </c>
      <c r="O72" s="73">
        <f t="shared" si="368"/>
        <v>0.43076878359158099</v>
      </c>
      <c r="P72" s="73">
        <f t="shared" si="367"/>
        <v>0.43076878359158099</v>
      </c>
      <c r="Q72" s="73">
        <f t="shared" ref="Q72:R72" si="369">Q70-1</f>
        <v>0.43076878359158099</v>
      </c>
      <c r="R72" s="73">
        <f t="shared" si="369"/>
        <v>0.43076878359158099</v>
      </c>
      <c r="S72" s="73">
        <f t="shared" ref="S72" si="370">S70-1</f>
        <v>0.43076878359158099</v>
      </c>
      <c r="T72" s="73">
        <f t="shared" si="367"/>
        <v>0.43076878359158099</v>
      </c>
      <c r="U72" s="73">
        <f t="shared" ref="U72:W72" si="371">U70-1</f>
        <v>0.43076878359158099</v>
      </c>
      <c r="V72" s="73">
        <f t="shared" si="371"/>
        <v>0.43076878359158099</v>
      </c>
      <c r="W72" s="73">
        <f t="shared" si="371"/>
        <v>0.43076878359158099</v>
      </c>
      <c r="X72" s="73">
        <f t="shared" si="367"/>
        <v>0.43076878359158099</v>
      </c>
      <c r="Y72" s="73">
        <f t="shared" ref="Y72:AA72" si="372">Y70-1</f>
        <v>0.43076878359158099</v>
      </c>
      <c r="Z72" s="73">
        <f t="shared" si="372"/>
        <v>0.43076878359158099</v>
      </c>
      <c r="AA72" s="73">
        <f t="shared" si="372"/>
        <v>0.43076878359158099</v>
      </c>
      <c r="AB72" s="73">
        <f t="shared" si="367"/>
        <v>0.43076878359158099</v>
      </c>
      <c r="AC72" s="73">
        <f t="shared" ref="AC72:AE72" si="373">AC70-1</f>
        <v>0.43076878359158099</v>
      </c>
      <c r="AD72" s="73">
        <f t="shared" si="373"/>
        <v>0.43076878359158099</v>
      </c>
      <c r="AE72" s="73">
        <f t="shared" si="373"/>
        <v>0.43076878359158099</v>
      </c>
      <c r="AF72" s="73">
        <f t="shared" si="367"/>
        <v>0.43076878359158099</v>
      </c>
      <c r="AG72" s="73">
        <f t="shared" ref="AG72:AI72" si="374">AG70-1</f>
        <v>0.43076878359158099</v>
      </c>
      <c r="AH72" s="73">
        <f t="shared" si="374"/>
        <v>0.43076878359158099</v>
      </c>
      <c r="AI72" s="73">
        <f t="shared" si="374"/>
        <v>0.43076878359158099</v>
      </c>
      <c r="AJ72" s="73">
        <f t="shared" si="367"/>
        <v>0.43076878359158099</v>
      </c>
      <c r="AK72" s="73">
        <f t="shared" ref="AK72:AM72" si="375">AK70-1</f>
        <v>0.43076878359158099</v>
      </c>
      <c r="AL72" s="73">
        <f t="shared" si="375"/>
        <v>0.43076878359158099</v>
      </c>
      <c r="AM72" s="73">
        <f t="shared" si="375"/>
        <v>0.43076878359158099</v>
      </c>
      <c r="AN72" s="73">
        <f t="shared" si="367"/>
        <v>0.43076878359158099</v>
      </c>
      <c r="AO72" s="73">
        <f t="shared" ref="AO72:AQ72" si="376">AO70-1</f>
        <v>0.43076878359158099</v>
      </c>
      <c r="AP72" s="73">
        <f t="shared" si="376"/>
        <v>0.43076878359158099</v>
      </c>
      <c r="AQ72" s="73">
        <f t="shared" si="376"/>
        <v>0.43076878359158099</v>
      </c>
      <c r="AR72" s="73">
        <f t="shared" si="367"/>
        <v>0.43076878359158099</v>
      </c>
      <c r="AS72" s="83"/>
      <c r="AT72" s="83"/>
      <c r="AU72" s="83"/>
    </row>
    <row r="73" spans="2:47">
      <c r="C73" s="73">
        <f>C71/C72</f>
        <v>3.3214309812851166E-2</v>
      </c>
      <c r="D73" s="73"/>
      <c r="E73" s="73">
        <f>E71/E72</f>
        <v>3.3214309812851166E-2</v>
      </c>
      <c r="F73" s="73">
        <f>F71/F72</f>
        <v>3.3214309812851166E-2</v>
      </c>
      <c r="G73" s="73">
        <f>G71/G72</f>
        <v>3.3214309812851166E-2</v>
      </c>
      <c r="H73" s="73">
        <f>H71/H72</f>
        <v>3.3214309812851166E-2</v>
      </c>
      <c r="I73" s="73">
        <f t="shared" ref="I73:J73" si="377">I71/I72</f>
        <v>3.3214309812851166E-2</v>
      </c>
      <c r="J73" s="73">
        <f t="shared" si="377"/>
        <v>3.3214309812851166E-2</v>
      </c>
      <c r="K73" s="73">
        <f t="shared" ref="K73" si="378">K71/K72</f>
        <v>3.3214309812851166E-2</v>
      </c>
      <c r="L73" s="73">
        <f t="shared" ref="L73:AR73" si="379">L71/L72</f>
        <v>3.3214309812851166E-2</v>
      </c>
      <c r="M73" s="73">
        <f t="shared" ref="M73:O73" si="380">M71/M72</f>
        <v>3.3214309812851166E-2</v>
      </c>
      <c r="N73" s="73">
        <f t="shared" si="380"/>
        <v>3.3214309812851166E-2</v>
      </c>
      <c r="O73" s="73">
        <f t="shared" si="380"/>
        <v>3.3214309812851166E-2</v>
      </c>
      <c r="P73" s="73">
        <f t="shared" si="379"/>
        <v>3.3214309812851166E-2</v>
      </c>
      <c r="Q73" s="73">
        <f t="shared" ref="Q73:R73" si="381">Q71/Q72</f>
        <v>3.3214309812851166E-2</v>
      </c>
      <c r="R73" s="73">
        <f t="shared" si="381"/>
        <v>3.3214309812851166E-2</v>
      </c>
      <c r="S73" s="73">
        <f t="shared" ref="S73" si="382">S71/S72</f>
        <v>3.3214309812851166E-2</v>
      </c>
      <c r="T73" s="73">
        <f t="shared" si="379"/>
        <v>3.3214309812851166E-2</v>
      </c>
      <c r="U73" s="73">
        <f t="shared" ref="U73:W73" si="383">U71/U72</f>
        <v>3.3214309812851166E-2</v>
      </c>
      <c r="V73" s="73">
        <f t="shared" si="383"/>
        <v>3.3214309812851166E-2</v>
      </c>
      <c r="W73" s="73">
        <f t="shared" si="383"/>
        <v>3.3214309812851166E-2</v>
      </c>
      <c r="X73" s="73">
        <f t="shared" si="379"/>
        <v>3.3214309812851166E-2</v>
      </c>
      <c r="Y73" s="73">
        <f t="shared" ref="Y73:AA73" si="384">Y71/Y72</f>
        <v>3.3214309812851166E-2</v>
      </c>
      <c r="Z73" s="73">
        <f t="shared" si="384"/>
        <v>3.3214309812851166E-2</v>
      </c>
      <c r="AA73" s="73">
        <f t="shared" si="384"/>
        <v>3.3214309812851166E-2</v>
      </c>
      <c r="AB73" s="73">
        <f t="shared" si="379"/>
        <v>3.3214309812851166E-2</v>
      </c>
      <c r="AC73" s="73">
        <f t="shared" ref="AC73:AE73" si="385">AC71/AC72</f>
        <v>3.3214309812851166E-2</v>
      </c>
      <c r="AD73" s="73">
        <f t="shared" si="385"/>
        <v>3.3214309812851166E-2</v>
      </c>
      <c r="AE73" s="73">
        <f t="shared" si="385"/>
        <v>3.3214309812851166E-2</v>
      </c>
      <c r="AF73" s="73">
        <f t="shared" si="379"/>
        <v>3.3214309812851166E-2</v>
      </c>
      <c r="AG73" s="73">
        <f t="shared" ref="AG73:AI73" si="386">AG71/AG72</f>
        <v>3.3214309812851166E-2</v>
      </c>
      <c r="AH73" s="73">
        <f t="shared" si="386"/>
        <v>3.3214309812851166E-2</v>
      </c>
      <c r="AI73" s="73">
        <f t="shared" si="386"/>
        <v>3.3214309812851166E-2</v>
      </c>
      <c r="AJ73" s="73">
        <f t="shared" si="379"/>
        <v>3.3214309812851166E-2</v>
      </c>
      <c r="AK73" s="73">
        <f t="shared" ref="AK73:AM73" si="387">AK71/AK72</f>
        <v>3.3214309812851166E-2</v>
      </c>
      <c r="AL73" s="73">
        <f t="shared" si="387"/>
        <v>3.3214309812851166E-2</v>
      </c>
      <c r="AM73" s="73">
        <f t="shared" si="387"/>
        <v>3.3214309812851166E-2</v>
      </c>
      <c r="AN73" s="73">
        <f t="shared" si="379"/>
        <v>3.3214309812851166E-2</v>
      </c>
      <c r="AO73" s="73">
        <f t="shared" ref="AO73:AQ73" si="388">AO71/AO72</f>
        <v>3.3214309812851166E-2</v>
      </c>
      <c r="AP73" s="73">
        <f t="shared" si="388"/>
        <v>3.3214309812851166E-2</v>
      </c>
      <c r="AQ73" s="73">
        <f t="shared" si="388"/>
        <v>3.3214309812851166E-2</v>
      </c>
      <c r="AR73" s="73">
        <f t="shared" si="379"/>
        <v>3.3214309812851166E-2</v>
      </c>
      <c r="AS73" s="83"/>
      <c r="AT73" s="83"/>
      <c r="AU73" s="83"/>
    </row>
    <row r="74" spans="2:47" s="63" customFormat="1">
      <c r="B74" s="63" t="s">
        <v>17</v>
      </c>
      <c r="C74" s="66">
        <f>C73*C63</f>
        <v>876.8577790592708</v>
      </c>
      <c r="D74" s="66"/>
      <c r="E74" s="66">
        <f>E73*E63</f>
        <v>1119.3222406930843</v>
      </c>
      <c r="F74" s="66">
        <f>F73*F63</f>
        <v>2054.3050619248447</v>
      </c>
      <c r="G74" s="66">
        <f>G73*G63</f>
        <v>2993.4396718832113</v>
      </c>
      <c r="H74" s="66">
        <f>H73*H63</f>
        <v>3932.5742818415779</v>
      </c>
      <c r="I74" s="66">
        <f t="shared" ref="I74:J74" si="389">I73*I63</f>
        <v>4871.7088917999445</v>
      </c>
      <c r="J74" s="66">
        <f t="shared" si="389"/>
        <v>5810.8435017583115</v>
      </c>
      <c r="K74" s="66">
        <f t="shared" ref="K74" si="390">K73*K63</f>
        <v>6749.9781117166785</v>
      </c>
      <c r="L74" s="66">
        <f t="shared" ref="L74:AR74" si="391">L73*L63</f>
        <v>7689.1127216750447</v>
      </c>
      <c r="M74" s="66">
        <f t="shared" ref="M74:O74" si="392">M73*M63</f>
        <v>8628.2473316334108</v>
      </c>
      <c r="N74" s="66">
        <f t="shared" si="392"/>
        <v>9567.3819415917787</v>
      </c>
      <c r="O74" s="66">
        <f t="shared" si="392"/>
        <v>10506.516551550145</v>
      </c>
      <c r="P74" s="66">
        <f t="shared" si="391"/>
        <v>11445.651161508511</v>
      </c>
      <c r="Q74" s="66">
        <f t="shared" ref="Q74:R74" si="393">Q73*Q63</f>
        <v>12384.785771466879</v>
      </c>
      <c r="R74" s="66">
        <f t="shared" si="393"/>
        <v>13323.920381425245</v>
      </c>
      <c r="S74" s="66">
        <f t="shared" ref="S74" si="394">S73*S63</f>
        <v>14263.054991383611</v>
      </c>
      <c r="T74" s="66">
        <f t="shared" si="391"/>
        <v>15202.189601341979</v>
      </c>
      <c r="U74" s="66">
        <f t="shared" ref="U74:W74" si="395">U73*U63</f>
        <v>16141.324211300345</v>
      </c>
      <c r="V74" s="66">
        <f t="shared" si="395"/>
        <v>17080.458821258711</v>
      </c>
      <c r="W74" s="66">
        <f t="shared" si="395"/>
        <v>18019.593431217079</v>
      </c>
      <c r="X74" s="66">
        <f t="shared" si="391"/>
        <v>18958.728041175444</v>
      </c>
      <c r="Y74" s="66">
        <f t="shared" ref="Y74:AA74" si="396">Y73*Y63</f>
        <v>19897.862651133812</v>
      </c>
      <c r="Z74" s="66">
        <f t="shared" si="396"/>
        <v>20836.99726109218</v>
      </c>
      <c r="AA74" s="66">
        <f t="shared" si="396"/>
        <v>21776.131871050544</v>
      </c>
      <c r="AB74" s="66">
        <f t="shared" si="391"/>
        <v>22715.266481008912</v>
      </c>
      <c r="AC74" s="66">
        <f t="shared" ref="AC74:AE74" si="397">AC73*AC63</f>
        <v>23654.40109096728</v>
      </c>
      <c r="AD74" s="66">
        <f t="shared" si="397"/>
        <v>24593.535700925644</v>
      </c>
      <c r="AE74" s="66">
        <f t="shared" si="397"/>
        <v>25532.670310884012</v>
      </c>
      <c r="AF74" s="66">
        <f t="shared" si="391"/>
        <v>26471.80492084238</v>
      </c>
      <c r="AG74" s="66">
        <f t="shared" ref="AG74:AI74" si="398">AG73*AG63</f>
        <v>27410.939530800744</v>
      </c>
      <c r="AH74" s="66">
        <f t="shared" si="398"/>
        <v>28350.074140759112</v>
      </c>
      <c r="AI74" s="66">
        <f t="shared" si="398"/>
        <v>29289.20875071748</v>
      </c>
      <c r="AJ74" s="66">
        <f t="shared" si="391"/>
        <v>30228.343360675844</v>
      </c>
      <c r="AK74" s="66">
        <f t="shared" ref="AK74:AM74" si="399">AK73*AK63</f>
        <v>31167.477970634212</v>
      </c>
      <c r="AL74" s="66">
        <f t="shared" si="399"/>
        <v>32106.61258059258</v>
      </c>
      <c r="AM74" s="66">
        <f t="shared" si="399"/>
        <v>33045.747190550945</v>
      </c>
      <c r="AN74" s="66">
        <f t="shared" si="391"/>
        <v>33984.881800509313</v>
      </c>
      <c r="AO74" s="66">
        <f t="shared" ref="AO74:AQ74" si="400">AO73*AO63</f>
        <v>34924.016410467681</v>
      </c>
      <c r="AP74" s="66">
        <f t="shared" si="400"/>
        <v>35863.151020426048</v>
      </c>
      <c r="AQ74" s="66">
        <f t="shared" si="400"/>
        <v>36802.285630384416</v>
      </c>
      <c r="AR74" s="66">
        <f t="shared" si="391"/>
        <v>37741.420240342777</v>
      </c>
      <c r="AS74" s="76"/>
      <c r="AT74" s="76"/>
      <c r="AU74" s="76"/>
    </row>
    <row r="75" spans="2:47">
      <c r="C75" s="4"/>
      <c r="D75" s="4"/>
      <c r="E75" s="4"/>
      <c r="F75" s="4"/>
      <c r="G75" s="4"/>
      <c r="H75" s="4"/>
      <c r="I75" s="4"/>
      <c r="J75" s="4"/>
      <c r="K75" s="4"/>
      <c r="L75" s="4"/>
      <c r="M75" s="4"/>
      <c r="AB75" s="4"/>
      <c r="AC75" s="4"/>
      <c r="AD75" s="4"/>
      <c r="AE75" s="4"/>
      <c r="AF75" s="4"/>
      <c r="AG75" s="4"/>
      <c r="AH75" s="4"/>
      <c r="AI75" s="4"/>
      <c r="AJ75" s="4"/>
      <c r="AK75" s="4"/>
      <c r="AL75" s="4"/>
      <c r="AM75" s="4"/>
      <c r="AN75" s="4"/>
      <c r="AO75" s="4"/>
      <c r="AP75" s="4"/>
      <c r="AQ75" s="4"/>
      <c r="AR75" s="4"/>
      <c r="AS75" s="76"/>
      <c r="AT75" s="76"/>
      <c r="AU75" s="76"/>
    </row>
    <row r="76" spans="2:47">
      <c r="B76" t="s">
        <v>34</v>
      </c>
      <c r="C76" s="4">
        <f>C56-C57</f>
        <v>6566.8800461337487</v>
      </c>
      <c r="D76" s="4"/>
      <c r="E76" s="4">
        <f>E56-E57</f>
        <v>15295.600664951031</v>
      </c>
      <c r="F76" s="4">
        <f>F56-F57</f>
        <v>23954.982229294415</v>
      </c>
      <c r="G76" s="4">
        <f>G56-G57</f>
        <v>32763.828187795603</v>
      </c>
      <c r="H76" s="4">
        <f>H56-H57</f>
        <v>41572.674146296806</v>
      </c>
      <c r="I76" s="4">
        <f t="shared" ref="I76:J76" si="401">I56-I57</f>
        <v>50381.520104797994</v>
      </c>
      <c r="J76" s="4">
        <f t="shared" si="401"/>
        <v>59190.366063299211</v>
      </c>
      <c r="K76" s="4">
        <f t="shared" ref="K76" si="402">K56-K57</f>
        <v>67999.212021800427</v>
      </c>
      <c r="L76" s="4">
        <f t="shared" ref="L76:AR76" si="403">L56-L57</f>
        <v>76808.057980301615</v>
      </c>
      <c r="M76" s="4">
        <f t="shared" ref="M76:O76" si="404">M56-M57</f>
        <v>85616.903938802774</v>
      </c>
      <c r="N76" s="4">
        <f t="shared" si="404"/>
        <v>94425.749897304049</v>
      </c>
      <c r="O76" s="4">
        <f t="shared" si="404"/>
        <v>103234.59585580521</v>
      </c>
      <c r="P76" s="4">
        <f t="shared" si="403"/>
        <v>112043.44181430642</v>
      </c>
      <c r="Q76" s="4">
        <f t="shared" ref="Q76:R76" si="405">Q56-Q57</f>
        <v>120852.28777280764</v>
      </c>
      <c r="R76" s="4">
        <f t="shared" si="405"/>
        <v>129661.1337313088</v>
      </c>
      <c r="S76" s="4">
        <f t="shared" ref="S76" si="406">S56-S57</f>
        <v>138469.97968981002</v>
      </c>
      <c r="T76" s="4">
        <f t="shared" si="403"/>
        <v>147278.82564831129</v>
      </c>
      <c r="U76" s="4">
        <f t="shared" ref="U76:W76" si="407">U56-U57</f>
        <v>156087.67160681239</v>
      </c>
      <c r="V76" s="4">
        <f t="shared" si="407"/>
        <v>164896.51756531361</v>
      </c>
      <c r="W76" s="4">
        <f t="shared" si="407"/>
        <v>173705.36352381483</v>
      </c>
      <c r="X76" s="4">
        <f t="shared" si="403"/>
        <v>182514.20948231593</v>
      </c>
      <c r="Y76" s="4">
        <f t="shared" ref="Y76:AA76" si="408">Y56-Y57</f>
        <v>191323.05544081726</v>
      </c>
      <c r="Z76" s="4">
        <f t="shared" si="408"/>
        <v>200131.90139931848</v>
      </c>
      <c r="AA76" s="4">
        <f t="shared" si="408"/>
        <v>208940.74735781958</v>
      </c>
      <c r="AB76" s="4">
        <f t="shared" si="403"/>
        <v>217749.5933163208</v>
      </c>
      <c r="AC76" s="4">
        <f t="shared" ref="AC76:AE76" si="409">AC56-AC57</f>
        <v>226558.43927482213</v>
      </c>
      <c r="AD76" s="4">
        <f t="shared" si="409"/>
        <v>235367.28523332323</v>
      </c>
      <c r="AE76" s="4">
        <f t="shared" si="409"/>
        <v>244176.13119182445</v>
      </c>
      <c r="AF76" s="4">
        <f t="shared" si="403"/>
        <v>252984.97715032566</v>
      </c>
      <c r="AG76" s="4">
        <f t="shared" ref="AG76:AI76" si="410">AG56-AG57</f>
        <v>261793.82310882676</v>
      </c>
      <c r="AH76" s="4">
        <f t="shared" si="410"/>
        <v>270602.6690673281</v>
      </c>
      <c r="AI76" s="4">
        <f t="shared" si="410"/>
        <v>279411.5150258292</v>
      </c>
      <c r="AJ76" s="4">
        <f t="shared" si="403"/>
        <v>288220.3609843303</v>
      </c>
      <c r="AK76" s="4">
        <f t="shared" ref="AK76:AM76" si="411">AK56-AK57</f>
        <v>297029.20694283163</v>
      </c>
      <c r="AL76" s="4">
        <f t="shared" si="411"/>
        <v>305838.05290133297</v>
      </c>
      <c r="AM76" s="4">
        <f t="shared" si="411"/>
        <v>314646.89885983407</v>
      </c>
      <c r="AN76" s="4">
        <f t="shared" si="403"/>
        <v>323455.74481833517</v>
      </c>
      <c r="AO76" s="4">
        <f t="shared" ref="AO76:AQ76" si="412">AO56-AO57</f>
        <v>332264.5907768365</v>
      </c>
      <c r="AP76" s="4">
        <f t="shared" si="412"/>
        <v>341073.43673533783</v>
      </c>
      <c r="AQ76" s="4">
        <f t="shared" si="412"/>
        <v>349882.28269383893</v>
      </c>
      <c r="AR76" s="4">
        <f t="shared" si="403"/>
        <v>358691.12865234003</v>
      </c>
      <c r="AS76" s="76"/>
      <c r="AT76" s="76"/>
      <c r="AU76" s="76"/>
    </row>
    <row r="77" spans="2:47">
      <c r="B77" t="s">
        <v>35</v>
      </c>
      <c r="C77" s="7">
        <f>C76/C56</f>
        <v>0.20803069662052484</v>
      </c>
      <c r="D77" s="7"/>
      <c r="E77" s="7">
        <f>E76/E56</f>
        <v>0.37958487806474339</v>
      </c>
      <c r="F77" s="7">
        <f>F76/F56</f>
        <v>0.32391302799617971</v>
      </c>
      <c r="G77" s="7">
        <f>G76/G56</f>
        <v>0.30403363298025587</v>
      </c>
      <c r="H77" s="7">
        <f>H76/H56</f>
        <v>0.29364899968857616</v>
      </c>
      <c r="I77" s="7">
        <f t="shared" ref="I77:J77" si="413">I76/I56</f>
        <v>0.28726812308784228</v>
      </c>
      <c r="J77" s="7">
        <f t="shared" si="413"/>
        <v>0.28294977047551373</v>
      </c>
      <c r="K77" s="7">
        <f t="shared" ref="K77" si="414">K76/K56</f>
        <v>0.27983305565492922</v>
      </c>
      <c r="L77" s="7">
        <f t="shared" ref="L77:AR77" si="415">L76/L56</f>
        <v>0.27747768089094965</v>
      </c>
      <c r="M77" s="7">
        <f t="shared" ref="M77:O77" si="416">M76/M56</f>
        <v>0.27563504385347576</v>
      </c>
      <c r="N77" s="7">
        <f t="shared" si="416"/>
        <v>0.27415415347272548</v>
      </c>
      <c r="O77" s="7">
        <f t="shared" si="416"/>
        <v>0.2729380045794686</v>
      </c>
      <c r="P77" s="7">
        <f t="shared" si="415"/>
        <v>0.27192142974283884</v>
      </c>
      <c r="Q77" s="7">
        <f t="shared" ref="Q77:R77" si="417">Q76/Q56</f>
        <v>0.27105902803932719</v>
      </c>
      <c r="R77" s="7">
        <f t="shared" si="417"/>
        <v>0.27031819885565489</v>
      </c>
      <c r="S77" s="7">
        <f t="shared" ref="S77" si="418">S76/S56</f>
        <v>0.26967492777953733</v>
      </c>
      <c r="T77" s="7">
        <f t="shared" si="415"/>
        <v>0.2691111344822148</v>
      </c>
      <c r="U77" s="7">
        <f t="shared" ref="U77:W77" si="419">U76/U56</f>
        <v>0.26861294643405836</v>
      </c>
      <c r="V77" s="7">
        <f t="shared" si="419"/>
        <v>0.26816954211778976</v>
      </c>
      <c r="W77" s="7">
        <f t="shared" si="419"/>
        <v>0.26777235597411225</v>
      </c>
      <c r="X77" s="7">
        <f t="shared" si="415"/>
        <v>0.26741451964897867</v>
      </c>
      <c r="Y77" s="7">
        <f t="shared" ref="Y77:AA77" si="420">Y76/Y56</f>
        <v>0.2670904614721345</v>
      </c>
      <c r="Z77" s="7">
        <f t="shared" si="420"/>
        <v>0.26679561424595655</v>
      </c>
      <c r="AA77" s="7">
        <f t="shared" si="420"/>
        <v>0.26652619864706595</v>
      </c>
      <c r="AB77" s="7">
        <f t="shared" si="415"/>
        <v>0.26627906035789517</v>
      </c>
      <c r="AC77" s="7">
        <f t="shared" ref="AC77:AE77" si="421">AC76/AC56</f>
        <v>0.26605154599578251</v>
      </c>
      <c r="AD77" s="7">
        <f t="shared" si="421"/>
        <v>0.26584140746887464</v>
      </c>
      <c r="AE77" s="7">
        <f t="shared" si="421"/>
        <v>0.26564672743973472</v>
      </c>
      <c r="AF77" s="7">
        <f t="shared" si="415"/>
        <v>0.26546586065482053</v>
      </c>
      <c r="AG77" s="7">
        <f t="shared" ref="AG77:AI77" si="422">AG76/AG56</f>
        <v>0.2652973873347354</v>
      </c>
      <c r="AH77" s="7">
        <f t="shared" si="422"/>
        <v>0.26514007582854626</v>
      </c>
      <c r="AI77" s="7">
        <f t="shared" si="422"/>
        <v>0.26499285245285342</v>
      </c>
      <c r="AJ77" s="7">
        <f t="shared" si="415"/>
        <v>0.26485477695310322</v>
      </c>
      <c r="AK77" s="7">
        <f t="shared" ref="AK77:AM77" si="423">AK76/AK56</f>
        <v>0.2647250224012801</v>
      </c>
      <c r="AL77" s="7">
        <f t="shared" si="423"/>
        <v>0.26460285862161398</v>
      </c>
      <c r="AM77" s="7">
        <f t="shared" si="423"/>
        <v>0.26448763844246043</v>
      </c>
      <c r="AN77" s="7">
        <f t="shared" si="415"/>
        <v>0.26437878622766492</v>
      </c>
      <c r="AO77" s="7">
        <f t="shared" ref="AO77:AQ77" si="424">AO76/AO56</f>
        <v>0.26427578825833109</v>
      </c>
      <c r="AP77" s="7">
        <f t="shared" si="424"/>
        <v>0.26417818462580284</v>
      </c>
      <c r="AQ77" s="7">
        <f t="shared" si="424"/>
        <v>0.26408556236591446</v>
      </c>
      <c r="AR77" s="7">
        <f t="shared" si="415"/>
        <v>0.26399754961829991</v>
      </c>
      <c r="AS77" s="38"/>
      <c r="AT77" s="38"/>
      <c r="AU77" s="38"/>
    </row>
    <row r="81" spans="2:47" ht="21">
      <c r="B81" s="65" t="s">
        <v>2</v>
      </c>
    </row>
    <row r="82" spans="2:47">
      <c r="B82" t="s">
        <v>25</v>
      </c>
      <c r="C82" s="4">
        <f>C100*C94</f>
        <v>22799.94860170356</v>
      </c>
      <c r="D82" s="4"/>
      <c r="E82" s="4">
        <f>E100*E94</f>
        <v>37592.874917499146</v>
      </c>
      <c r="F82" s="4">
        <f>F100*F94</f>
        <v>69198.004168199026</v>
      </c>
      <c r="G82" s="4">
        <f>G100*G94</f>
        <v>100803.1334188989</v>
      </c>
      <c r="H82" s="4">
        <f>H100*H94</f>
        <v>132408.26266959877</v>
      </c>
      <c r="I82" s="4">
        <f t="shared" ref="I82:J82" si="425">I100*I94</f>
        <v>164013.39192029866</v>
      </c>
      <c r="J82" s="4">
        <f t="shared" si="425"/>
        <v>195618.52117099855</v>
      </c>
      <c r="K82" s="4">
        <f t="shared" ref="K82" si="426">K100*K94</f>
        <v>227223.6504216984</v>
      </c>
      <c r="L82" s="4">
        <f t="shared" ref="L82:AR82" si="427">L100*L94</f>
        <v>258828.77967239832</v>
      </c>
      <c r="M82" s="4">
        <f t="shared" ref="M82:O82" si="428">M100*M94</f>
        <v>290433.90892309818</v>
      </c>
      <c r="N82" s="4">
        <f t="shared" si="428"/>
        <v>322039.03817379806</v>
      </c>
      <c r="O82" s="4">
        <f t="shared" si="428"/>
        <v>353644.16742449795</v>
      </c>
      <c r="P82" s="4">
        <f t="shared" si="427"/>
        <v>385249.29667519784</v>
      </c>
      <c r="Q82" s="4">
        <f t="shared" ref="Q82:R82" si="429">Q100*Q94</f>
        <v>416854.42592589767</v>
      </c>
      <c r="R82" s="4">
        <f t="shared" si="429"/>
        <v>448459.55517659755</v>
      </c>
      <c r="S82" s="4">
        <f t="shared" ref="S82" si="430">S100*S94</f>
        <v>480064.6844272975</v>
      </c>
      <c r="T82" s="4">
        <f t="shared" si="427"/>
        <v>511669.81367799733</v>
      </c>
      <c r="U82" s="4">
        <f t="shared" ref="U82:W82" si="431">U100*U94</f>
        <v>543274.94292869722</v>
      </c>
      <c r="V82" s="4">
        <f t="shared" si="431"/>
        <v>574880.0721793971</v>
      </c>
      <c r="W82" s="4">
        <f t="shared" si="431"/>
        <v>606485.20143009699</v>
      </c>
      <c r="X82" s="4">
        <f t="shared" si="427"/>
        <v>638090.33068079688</v>
      </c>
      <c r="Y82" s="4">
        <f t="shared" ref="Y82:AA82" si="432">Y100*Y94</f>
        <v>669695.45993149676</v>
      </c>
      <c r="Z82" s="4">
        <f t="shared" si="432"/>
        <v>701300.58918219665</v>
      </c>
      <c r="AA82" s="4">
        <f t="shared" si="432"/>
        <v>732905.71843289654</v>
      </c>
      <c r="AB82" s="4">
        <f t="shared" si="427"/>
        <v>764510.84768359642</v>
      </c>
      <c r="AC82" s="4">
        <f t="shared" ref="AC82:AE82" si="433">AC100*AC94</f>
        <v>796115.97693429631</v>
      </c>
      <c r="AD82" s="4">
        <f t="shared" si="433"/>
        <v>827721.1061849962</v>
      </c>
      <c r="AE82" s="4">
        <f t="shared" si="433"/>
        <v>859326.23543569597</v>
      </c>
      <c r="AF82" s="4">
        <f t="shared" si="427"/>
        <v>890931.36468639597</v>
      </c>
      <c r="AG82" s="4">
        <f t="shared" ref="AG82:AI82" si="434">AG100*AG94</f>
        <v>922536.49393709586</v>
      </c>
      <c r="AH82" s="4">
        <f t="shared" si="434"/>
        <v>954141.62318779563</v>
      </c>
      <c r="AI82" s="4">
        <f t="shared" si="434"/>
        <v>985746.75243849563</v>
      </c>
      <c r="AJ82" s="4">
        <f t="shared" si="427"/>
        <v>1017351.8816891953</v>
      </c>
      <c r="AK82" s="4">
        <f t="shared" ref="AK82:AM82" si="435">AK100*AK94</f>
        <v>1048957.0109398952</v>
      </c>
      <c r="AL82" s="4">
        <f t="shared" si="435"/>
        <v>1080562.1401905953</v>
      </c>
      <c r="AM82" s="4">
        <f t="shared" si="435"/>
        <v>1112167.2694412949</v>
      </c>
      <c r="AN82" s="4">
        <f t="shared" si="427"/>
        <v>1143772.3986919951</v>
      </c>
      <c r="AO82" s="4">
        <f t="shared" ref="AO82:AQ82" si="436">AO100*AO94</f>
        <v>1175377.527942695</v>
      </c>
      <c r="AP82" s="4">
        <f t="shared" si="436"/>
        <v>1206982.6571933946</v>
      </c>
      <c r="AQ82" s="4">
        <f t="shared" si="436"/>
        <v>1238587.7864440945</v>
      </c>
      <c r="AR82" s="4">
        <f t="shared" si="427"/>
        <v>1270192.9156947944</v>
      </c>
      <c r="AS82" s="76"/>
      <c r="AT82" s="76"/>
      <c r="AU82" s="76"/>
    </row>
    <row r="83" spans="2:47" s="63" customFormat="1">
      <c r="B83" s="63" t="s">
        <v>26</v>
      </c>
      <c r="C83" s="66">
        <f>'DATA ENTRY'!D5</f>
        <v>15979.6</v>
      </c>
      <c r="D83" s="66"/>
      <c r="E83" s="66">
        <v>25000</v>
      </c>
      <c r="F83" s="66">
        <v>50000</v>
      </c>
      <c r="G83" s="66">
        <v>75000</v>
      </c>
      <c r="H83" s="66">
        <v>100000</v>
      </c>
      <c r="I83" s="66">
        <v>125000</v>
      </c>
      <c r="J83" s="66">
        <v>150000</v>
      </c>
      <c r="K83" s="66">
        <v>175000</v>
      </c>
      <c r="L83" s="66">
        <v>200000</v>
      </c>
      <c r="M83" s="66">
        <v>225000</v>
      </c>
      <c r="N83" s="66">
        <v>250000</v>
      </c>
      <c r="O83" s="66">
        <v>275000</v>
      </c>
      <c r="P83" s="66">
        <v>300000</v>
      </c>
      <c r="Q83" s="66">
        <v>325000</v>
      </c>
      <c r="R83" s="66">
        <v>350000</v>
      </c>
      <c r="S83" s="66">
        <v>375000</v>
      </c>
      <c r="T83" s="66">
        <v>400000</v>
      </c>
      <c r="U83" s="66">
        <v>425000</v>
      </c>
      <c r="V83" s="66">
        <v>450000</v>
      </c>
      <c r="W83" s="66">
        <v>475000</v>
      </c>
      <c r="X83" s="66">
        <v>500000</v>
      </c>
      <c r="Y83" s="66">
        <v>525000</v>
      </c>
      <c r="Z83" s="66">
        <v>550000</v>
      </c>
      <c r="AA83" s="66">
        <v>575000</v>
      </c>
      <c r="AB83" s="66">
        <v>600000</v>
      </c>
      <c r="AC83" s="66">
        <v>625000</v>
      </c>
      <c r="AD83" s="66">
        <v>650000</v>
      </c>
      <c r="AE83" s="66">
        <v>675000</v>
      </c>
      <c r="AF83" s="66">
        <v>700000</v>
      </c>
      <c r="AG83" s="66">
        <v>725000</v>
      </c>
      <c r="AH83" s="66">
        <v>750000</v>
      </c>
      <c r="AI83" s="66">
        <v>775000</v>
      </c>
      <c r="AJ83" s="66">
        <v>800000</v>
      </c>
      <c r="AK83" s="66">
        <v>825000</v>
      </c>
      <c r="AL83" s="66">
        <v>850000</v>
      </c>
      <c r="AM83" s="66">
        <v>875000</v>
      </c>
      <c r="AN83" s="66">
        <v>900000</v>
      </c>
      <c r="AO83" s="66">
        <v>925000</v>
      </c>
      <c r="AP83" s="66">
        <v>950000</v>
      </c>
      <c r="AQ83" s="66">
        <v>975000</v>
      </c>
      <c r="AR83" s="66">
        <v>1000000</v>
      </c>
      <c r="AS83" s="76"/>
      <c r="AT83" s="76"/>
      <c r="AU83" s="76"/>
    </row>
    <row r="84" spans="2:47">
      <c r="B84" t="s">
        <v>27</v>
      </c>
      <c r="C84" s="4">
        <f t="shared" ref="C84:AR84" si="437">C83*0.075</f>
        <v>1198.47</v>
      </c>
      <c r="D84" s="4"/>
      <c r="E84" s="4">
        <f t="shared" si="437"/>
        <v>1875</v>
      </c>
      <c r="F84" s="4">
        <f t="shared" si="437"/>
        <v>3750</v>
      </c>
      <c r="G84" s="4">
        <f t="shared" si="437"/>
        <v>5625</v>
      </c>
      <c r="H84" s="4">
        <f t="shared" si="437"/>
        <v>7500</v>
      </c>
      <c r="I84" s="4">
        <f t="shared" si="437"/>
        <v>9375</v>
      </c>
      <c r="J84" s="4">
        <f t="shared" si="437"/>
        <v>11250</v>
      </c>
      <c r="K84" s="4">
        <f t="shared" si="437"/>
        <v>13125</v>
      </c>
      <c r="L84" s="4">
        <f t="shared" si="437"/>
        <v>15000</v>
      </c>
      <c r="M84" s="4">
        <f t="shared" si="437"/>
        <v>16875</v>
      </c>
      <c r="N84" s="4">
        <f t="shared" si="437"/>
        <v>18750</v>
      </c>
      <c r="O84" s="4">
        <f t="shared" si="437"/>
        <v>20625</v>
      </c>
      <c r="P84" s="4">
        <f t="shared" si="437"/>
        <v>22500</v>
      </c>
      <c r="Q84" s="4">
        <f t="shared" si="437"/>
        <v>24375</v>
      </c>
      <c r="R84" s="4">
        <f t="shared" si="437"/>
        <v>26250</v>
      </c>
      <c r="S84" s="4">
        <f t="shared" si="437"/>
        <v>28125</v>
      </c>
      <c r="T84" s="4">
        <f t="shared" si="437"/>
        <v>30000</v>
      </c>
      <c r="U84" s="4">
        <f t="shared" si="437"/>
        <v>31875</v>
      </c>
      <c r="V84" s="4">
        <f t="shared" si="437"/>
        <v>33750</v>
      </c>
      <c r="W84" s="4">
        <f t="shared" si="437"/>
        <v>35625</v>
      </c>
      <c r="X84" s="4">
        <f t="shared" si="437"/>
        <v>37500</v>
      </c>
      <c r="Y84" s="4">
        <f t="shared" si="437"/>
        <v>39375</v>
      </c>
      <c r="Z84" s="4">
        <f t="shared" si="437"/>
        <v>41250</v>
      </c>
      <c r="AA84" s="4">
        <f t="shared" si="437"/>
        <v>43125</v>
      </c>
      <c r="AB84" s="4">
        <f t="shared" si="437"/>
        <v>45000</v>
      </c>
      <c r="AC84" s="4">
        <f t="shared" si="437"/>
        <v>46875</v>
      </c>
      <c r="AD84" s="4">
        <f t="shared" si="437"/>
        <v>48750</v>
      </c>
      <c r="AE84" s="4">
        <f t="shared" si="437"/>
        <v>50625</v>
      </c>
      <c r="AF84" s="4">
        <f t="shared" si="437"/>
        <v>52500</v>
      </c>
      <c r="AG84" s="4">
        <f t="shared" si="437"/>
        <v>54375</v>
      </c>
      <c r="AH84" s="4">
        <f t="shared" si="437"/>
        <v>56250</v>
      </c>
      <c r="AI84" s="4">
        <f t="shared" si="437"/>
        <v>58125</v>
      </c>
      <c r="AJ84" s="4">
        <f t="shared" si="437"/>
        <v>60000</v>
      </c>
      <c r="AK84" s="4">
        <f t="shared" si="437"/>
        <v>61875</v>
      </c>
      <c r="AL84" s="4">
        <f t="shared" si="437"/>
        <v>63750</v>
      </c>
      <c r="AM84" s="4">
        <f t="shared" si="437"/>
        <v>65625</v>
      </c>
      <c r="AN84" s="4">
        <f t="shared" si="437"/>
        <v>67500</v>
      </c>
      <c r="AO84" s="4">
        <f t="shared" si="437"/>
        <v>69375</v>
      </c>
      <c r="AP84" s="4">
        <f t="shared" si="437"/>
        <v>71250</v>
      </c>
      <c r="AQ84" s="4">
        <f t="shared" si="437"/>
        <v>73125</v>
      </c>
      <c r="AR84" s="4">
        <f t="shared" si="437"/>
        <v>75000</v>
      </c>
      <c r="AS84" s="76"/>
      <c r="AT84" s="76"/>
      <c r="AU84" s="76"/>
    </row>
    <row r="85" spans="2:47">
      <c r="B85" t="s">
        <v>10</v>
      </c>
      <c r="C85" s="4">
        <f>(C83/1000)*C94</f>
        <v>383.5104</v>
      </c>
      <c r="D85" s="4"/>
      <c r="E85" s="4">
        <f>(E83/1000)*E94</f>
        <v>600</v>
      </c>
      <c r="F85" s="4">
        <f>(F83/1000)*F94</f>
        <v>1200</v>
      </c>
      <c r="G85" s="4">
        <f>(G83/1000)*G94</f>
        <v>1800</v>
      </c>
      <c r="H85" s="4">
        <f>(H83/1000)*H94</f>
        <v>2400</v>
      </c>
      <c r="I85" s="4">
        <f t="shared" ref="I85:J85" si="438">(I83/1000)*I94</f>
        <v>3000</v>
      </c>
      <c r="J85" s="4">
        <f t="shared" si="438"/>
        <v>3600</v>
      </c>
      <c r="K85" s="4">
        <f t="shared" ref="K85" si="439">(K83/1000)*K94</f>
        <v>4200</v>
      </c>
      <c r="L85" s="4">
        <f t="shared" ref="L85:AR85" si="440">(L83/1000)*L94</f>
        <v>4800</v>
      </c>
      <c r="M85" s="4">
        <f t="shared" ref="M85:O85" si="441">(M83/1000)*M94</f>
        <v>5400</v>
      </c>
      <c r="N85" s="4">
        <f t="shared" si="441"/>
        <v>6000</v>
      </c>
      <c r="O85" s="4">
        <f t="shared" si="441"/>
        <v>6600</v>
      </c>
      <c r="P85" s="4">
        <f t="shared" si="440"/>
        <v>7200</v>
      </c>
      <c r="Q85" s="4">
        <f t="shared" ref="Q85:R85" si="442">(Q83/1000)*Q94</f>
        <v>7800</v>
      </c>
      <c r="R85" s="4">
        <f t="shared" si="442"/>
        <v>8400</v>
      </c>
      <c r="S85" s="4">
        <f t="shared" ref="S85" si="443">(S83/1000)*S94</f>
        <v>9000</v>
      </c>
      <c r="T85" s="4">
        <f t="shared" si="440"/>
        <v>9600</v>
      </c>
      <c r="U85" s="4">
        <f t="shared" ref="U85:W85" si="444">(U83/1000)*U94</f>
        <v>10200</v>
      </c>
      <c r="V85" s="4">
        <f t="shared" si="444"/>
        <v>10800</v>
      </c>
      <c r="W85" s="4">
        <f t="shared" si="444"/>
        <v>11400</v>
      </c>
      <c r="X85" s="4">
        <f t="shared" si="440"/>
        <v>12000</v>
      </c>
      <c r="Y85" s="4">
        <f t="shared" ref="Y85:AA85" si="445">(Y83/1000)*Y94</f>
        <v>12600</v>
      </c>
      <c r="Z85" s="4">
        <f t="shared" si="445"/>
        <v>13200</v>
      </c>
      <c r="AA85" s="4">
        <f t="shared" si="445"/>
        <v>13800</v>
      </c>
      <c r="AB85" s="4">
        <f t="shared" si="440"/>
        <v>14400</v>
      </c>
      <c r="AC85" s="4">
        <f t="shared" ref="AC85:AE85" si="446">(AC83/1000)*AC94</f>
        <v>15000</v>
      </c>
      <c r="AD85" s="4">
        <f t="shared" si="446"/>
        <v>15600</v>
      </c>
      <c r="AE85" s="4">
        <f t="shared" si="446"/>
        <v>16200</v>
      </c>
      <c r="AF85" s="4">
        <f t="shared" si="440"/>
        <v>16800</v>
      </c>
      <c r="AG85" s="4">
        <f t="shared" ref="AG85:AI85" si="447">(AG83/1000)*AG94</f>
        <v>17400</v>
      </c>
      <c r="AH85" s="4">
        <f t="shared" si="447"/>
        <v>18000</v>
      </c>
      <c r="AI85" s="4">
        <f t="shared" si="447"/>
        <v>18600</v>
      </c>
      <c r="AJ85" s="4">
        <f t="shared" si="440"/>
        <v>19200</v>
      </c>
      <c r="AK85" s="4">
        <f t="shared" ref="AK85:AM85" si="448">(AK83/1000)*AK94</f>
        <v>19800</v>
      </c>
      <c r="AL85" s="4">
        <f t="shared" si="448"/>
        <v>20400</v>
      </c>
      <c r="AM85" s="4">
        <f t="shared" si="448"/>
        <v>21000</v>
      </c>
      <c r="AN85" s="4">
        <f t="shared" si="440"/>
        <v>21600</v>
      </c>
      <c r="AO85" s="4">
        <f t="shared" ref="AO85:AQ85" si="449">(AO83/1000)*AO94</f>
        <v>22200</v>
      </c>
      <c r="AP85" s="4">
        <f t="shared" si="449"/>
        <v>22800</v>
      </c>
      <c r="AQ85" s="4">
        <f t="shared" si="449"/>
        <v>23400</v>
      </c>
      <c r="AR85" s="4">
        <f t="shared" si="440"/>
        <v>24000</v>
      </c>
      <c r="AS85" s="76"/>
      <c r="AT85" s="76"/>
      <c r="AU85" s="76"/>
    </row>
    <row r="86" spans="2:47">
      <c r="B86" t="s">
        <v>11</v>
      </c>
      <c r="C86" s="4">
        <f>'DATA ENTRY'!D10</f>
        <v>2000</v>
      </c>
      <c r="D86" s="4"/>
      <c r="E86" s="4">
        <v>5000</v>
      </c>
      <c r="F86" s="4">
        <v>5000</v>
      </c>
      <c r="G86" s="4">
        <v>5000</v>
      </c>
      <c r="H86" s="4">
        <v>5000</v>
      </c>
      <c r="I86" s="4">
        <v>5000</v>
      </c>
      <c r="J86" s="4">
        <v>5000</v>
      </c>
      <c r="K86" s="4">
        <v>5000</v>
      </c>
      <c r="L86" s="4">
        <v>5000</v>
      </c>
      <c r="M86" s="4">
        <v>5000</v>
      </c>
      <c r="N86" s="4">
        <v>5000</v>
      </c>
      <c r="O86" s="4">
        <v>5000</v>
      </c>
      <c r="P86" s="4">
        <v>5000</v>
      </c>
      <c r="Q86" s="4">
        <f t="shared" ref="Q86:AR86" si="450">O86</f>
        <v>5000</v>
      </c>
      <c r="R86" s="4">
        <f t="shared" si="450"/>
        <v>5000</v>
      </c>
      <c r="S86" s="4">
        <f t="shared" si="450"/>
        <v>5000</v>
      </c>
      <c r="T86" s="4">
        <f t="shared" si="450"/>
        <v>5000</v>
      </c>
      <c r="U86" s="4">
        <f t="shared" si="450"/>
        <v>5000</v>
      </c>
      <c r="V86" s="4">
        <f t="shared" si="450"/>
        <v>5000</v>
      </c>
      <c r="W86" s="4">
        <f t="shared" si="450"/>
        <v>5000</v>
      </c>
      <c r="X86" s="4">
        <f t="shared" si="450"/>
        <v>5000</v>
      </c>
      <c r="Y86" s="4">
        <f t="shared" si="450"/>
        <v>5000</v>
      </c>
      <c r="Z86" s="4">
        <f t="shared" si="450"/>
        <v>5000</v>
      </c>
      <c r="AA86" s="4">
        <f t="shared" si="450"/>
        <v>5000</v>
      </c>
      <c r="AB86" s="4">
        <f t="shared" si="450"/>
        <v>5000</v>
      </c>
      <c r="AC86" s="4">
        <f t="shared" si="450"/>
        <v>5000</v>
      </c>
      <c r="AD86" s="4">
        <f t="shared" si="450"/>
        <v>5000</v>
      </c>
      <c r="AE86" s="4">
        <f t="shared" si="450"/>
        <v>5000</v>
      </c>
      <c r="AF86" s="4">
        <f t="shared" si="450"/>
        <v>5000</v>
      </c>
      <c r="AG86" s="4">
        <f t="shared" si="450"/>
        <v>5000</v>
      </c>
      <c r="AH86" s="4">
        <f t="shared" si="450"/>
        <v>5000</v>
      </c>
      <c r="AI86" s="4">
        <f t="shared" si="450"/>
        <v>5000</v>
      </c>
      <c r="AJ86" s="4">
        <f t="shared" si="450"/>
        <v>5000</v>
      </c>
      <c r="AK86" s="4">
        <f t="shared" si="450"/>
        <v>5000</v>
      </c>
      <c r="AL86" s="4">
        <f t="shared" si="450"/>
        <v>5000</v>
      </c>
      <c r="AM86" s="4">
        <f t="shared" si="450"/>
        <v>5000</v>
      </c>
      <c r="AN86" s="4">
        <f t="shared" si="450"/>
        <v>5000</v>
      </c>
      <c r="AO86" s="4">
        <f t="shared" si="450"/>
        <v>5000</v>
      </c>
      <c r="AP86" s="4">
        <f t="shared" si="450"/>
        <v>5000</v>
      </c>
      <c r="AQ86" s="4">
        <f t="shared" si="450"/>
        <v>5000</v>
      </c>
      <c r="AR86" s="4">
        <f t="shared" si="450"/>
        <v>5000</v>
      </c>
      <c r="AS86" s="76"/>
      <c r="AT86" s="76"/>
      <c r="AU86" s="76"/>
    </row>
    <row r="87" spans="2:47">
      <c r="B87" t="s">
        <v>12</v>
      </c>
      <c r="C87" s="4">
        <f>'DATA ENTRY'!D11</f>
        <v>300</v>
      </c>
      <c r="D87" s="4"/>
      <c r="E87" s="4">
        <v>300</v>
      </c>
      <c r="F87" s="4">
        <v>300</v>
      </c>
      <c r="G87" s="4">
        <v>300</v>
      </c>
      <c r="H87" s="4">
        <v>300</v>
      </c>
      <c r="I87" s="4">
        <v>300</v>
      </c>
      <c r="J87" s="4">
        <v>300</v>
      </c>
      <c r="K87" s="4">
        <v>300</v>
      </c>
      <c r="L87" s="4">
        <v>300</v>
      </c>
      <c r="M87" s="4">
        <v>300</v>
      </c>
      <c r="N87" s="4">
        <v>300</v>
      </c>
      <c r="O87" s="4">
        <v>300</v>
      </c>
      <c r="P87" s="4">
        <v>300</v>
      </c>
      <c r="Q87" s="4">
        <f t="shared" ref="Q87:AR87" si="451">O87</f>
        <v>300</v>
      </c>
      <c r="R87" s="4">
        <f t="shared" si="451"/>
        <v>300</v>
      </c>
      <c r="S87" s="4">
        <f t="shared" si="451"/>
        <v>300</v>
      </c>
      <c r="T87" s="4">
        <f t="shared" si="451"/>
        <v>300</v>
      </c>
      <c r="U87" s="4">
        <f t="shared" si="451"/>
        <v>300</v>
      </c>
      <c r="V87" s="4">
        <f t="shared" si="451"/>
        <v>300</v>
      </c>
      <c r="W87" s="4">
        <f t="shared" si="451"/>
        <v>300</v>
      </c>
      <c r="X87" s="4">
        <f t="shared" si="451"/>
        <v>300</v>
      </c>
      <c r="Y87" s="4">
        <f t="shared" si="451"/>
        <v>300</v>
      </c>
      <c r="Z87" s="4">
        <f t="shared" si="451"/>
        <v>300</v>
      </c>
      <c r="AA87" s="4">
        <f t="shared" si="451"/>
        <v>300</v>
      </c>
      <c r="AB87" s="4">
        <f t="shared" si="451"/>
        <v>300</v>
      </c>
      <c r="AC87" s="4">
        <f t="shared" si="451"/>
        <v>300</v>
      </c>
      <c r="AD87" s="4">
        <f t="shared" si="451"/>
        <v>300</v>
      </c>
      <c r="AE87" s="4">
        <f t="shared" si="451"/>
        <v>300</v>
      </c>
      <c r="AF87" s="4">
        <f t="shared" si="451"/>
        <v>300</v>
      </c>
      <c r="AG87" s="4">
        <f t="shared" si="451"/>
        <v>300</v>
      </c>
      <c r="AH87" s="4">
        <f t="shared" si="451"/>
        <v>300</v>
      </c>
      <c r="AI87" s="4">
        <f t="shared" si="451"/>
        <v>300</v>
      </c>
      <c r="AJ87" s="4">
        <f t="shared" si="451"/>
        <v>300</v>
      </c>
      <c r="AK87" s="4">
        <f t="shared" si="451"/>
        <v>300</v>
      </c>
      <c r="AL87" s="4">
        <f t="shared" si="451"/>
        <v>300</v>
      </c>
      <c r="AM87" s="4">
        <f t="shared" si="451"/>
        <v>300</v>
      </c>
      <c r="AN87" s="4">
        <f t="shared" si="451"/>
        <v>300</v>
      </c>
      <c r="AO87" s="4">
        <f t="shared" si="451"/>
        <v>300</v>
      </c>
      <c r="AP87" s="4">
        <f t="shared" si="451"/>
        <v>300</v>
      </c>
      <c r="AQ87" s="4">
        <f t="shared" si="451"/>
        <v>300</v>
      </c>
      <c r="AR87" s="4">
        <f t="shared" si="451"/>
        <v>300</v>
      </c>
      <c r="AS87" s="76"/>
      <c r="AT87" s="76"/>
      <c r="AU87" s="76"/>
    </row>
    <row r="88" spans="2:47">
      <c r="B88" t="s">
        <v>13</v>
      </c>
      <c r="C88" s="4">
        <f>C93*C83*2</f>
        <v>319.59200000000004</v>
      </c>
      <c r="D88" s="4"/>
      <c r="E88" s="4">
        <f>E93*E83*2</f>
        <v>500</v>
      </c>
      <c r="F88" s="4">
        <f t="shared" ref="F88:AR88" si="452">F93*F83*2</f>
        <v>1000</v>
      </c>
      <c r="G88" s="4">
        <f t="shared" si="452"/>
        <v>1500</v>
      </c>
      <c r="H88" s="4">
        <f t="shared" si="452"/>
        <v>2000</v>
      </c>
      <c r="I88" s="4">
        <f t="shared" si="452"/>
        <v>2500</v>
      </c>
      <c r="J88" s="4">
        <f t="shared" si="452"/>
        <v>3000</v>
      </c>
      <c r="K88" s="4">
        <f t="shared" si="452"/>
        <v>3500</v>
      </c>
      <c r="L88" s="4">
        <f t="shared" si="452"/>
        <v>4000</v>
      </c>
      <c r="M88" s="4">
        <f t="shared" si="452"/>
        <v>4500</v>
      </c>
      <c r="N88" s="4">
        <f t="shared" si="452"/>
        <v>5000</v>
      </c>
      <c r="O88" s="4">
        <f t="shared" si="452"/>
        <v>5500</v>
      </c>
      <c r="P88" s="4">
        <f t="shared" si="452"/>
        <v>6000</v>
      </c>
      <c r="Q88" s="4">
        <f t="shared" si="452"/>
        <v>6500</v>
      </c>
      <c r="R88" s="4">
        <f t="shared" si="452"/>
        <v>7000</v>
      </c>
      <c r="S88" s="4">
        <f t="shared" si="452"/>
        <v>7500</v>
      </c>
      <c r="T88" s="4">
        <f t="shared" si="452"/>
        <v>8000</v>
      </c>
      <c r="U88" s="4">
        <f t="shared" si="452"/>
        <v>8500</v>
      </c>
      <c r="V88" s="4">
        <f t="shared" si="452"/>
        <v>9000</v>
      </c>
      <c r="W88" s="4">
        <f t="shared" si="452"/>
        <v>9500</v>
      </c>
      <c r="X88" s="4">
        <f t="shared" si="452"/>
        <v>10000</v>
      </c>
      <c r="Y88" s="4">
        <f t="shared" si="452"/>
        <v>10500</v>
      </c>
      <c r="Z88" s="4">
        <f t="shared" si="452"/>
        <v>11000</v>
      </c>
      <c r="AA88" s="4">
        <f t="shared" si="452"/>
        <v>11500</v>
      </c>
      <c r="AB88" s="4">
        <f t="shared" si="452"/>
        <v>12000</v>
      </c>
      <c r="AC88" s="4">
        <f t="shared" si="452"/>
        <v>12500</v>
      </c>
      <c r="AD88" s="4">
        <f t="shared" si="452"/>
        <v>13000</v>
      </c>
      <c r="AE88" s="4">
        <f t="shared" si="452"/>
        <v>13500</v>
      </c>
      <c r="AF88" s="4">
        <f t="shared" si="452"/>
        <v>14000</v>
      </c>
      <c r="AG88" s="4">
        <f t="shared" si="452"/>
        <v>14500</v>
      </c>
      <c r="AH88" s="4">
        <f t="shared" si="452"/>
        <v>15000</v>
      </c>
      <c r="AI88" s="4">
        <f t="shared" si="452"/>
        <v>15500</v>
      </c>
      <c r="AJ88" s="4">
        <f t="shared" si="452"/>
        <v>16000</v>
      </c>
      <c r="AK88" s="4">
        <f t="shared" si="452"/>
        <v>16500</v>
      </c>
      <c r="AL88" s="4">
        <f t="shared" si="452"/>
        <v>17000</v>
      </c>
      <c r="AM88" s="4">
        <f t="shared" si="452"/>
        <v>17500</v>
      </c>
      <c r="AN88" s="4">
        <f t="shared" si="452"/>
        <v>18000</v>
      </c>
      <c r="AO88" s="4">
        <f t="shared" si="452"/>
        <v>18500</v>
      </c>
      <c r="AP88" s="4">
        <f t="shared" si="452"/>
        <v>19000</v>
      </c>
      <c r="AQ88" s="4">
        <f t="shared" si="452"/>
        <v>19500</v>
      </c>
      <c r="AR88" s="4">
        <f t="shared" si="452"/>
        <v>20000</v>
      </c>
      <c r="AS88" s="76"/>
      <c r="AT88" s="76"/>
      <c r="AU88" s="76"/>
    </row>
    <row r="89" spans="2:47">
      <c r="B89" t="s">
        <v>28</v>
      </c>
      <c r="C89" s="4">
        <f>SUM(C83:C88)</f>
        <v>20181.172399999999</v>
      </c>
      <c r="D89" s="4"/>
      <c r="E89" s="4">
        <f>SUM(E83:E88)</f>
        <v>33275</v>
      </c>
      <c r="F89" s="4">
        <f>SUM(F83:F88)</f>
        <v>61250</v>
      </c>
      <c r="G89" s="4">
        <f>SUM(G83:G88)</f>
        <v>89225</v>
      </c>
      <c r="H89" s="4">
        <f>SUM(H83:H88)</f>
        <v>117200</v>
      </c>
      <c r="I89" s="4">
        <f t="shared" ref="I89:J89" si="453">SUM(I83:I88)</f>
        <v>145175</v>
      </c>
      <c r="J89" s="4">
        <f t="shared" si="453"/>
        <v>173150</v>
      </c>
      <c r="K89" s="4">
        <f t="shared" ref="K89" si="454">SUM(K83:K88)</f>
        <v>201125</v>
      </c>
      <c r="L89" s="4">
        <f t="shared" ref="L89:AR89" si="455">SUM(L83:L88)</f>
        <v>229100</v>
      </c>
      <c r="M89" s="4">
        <f t="shared" ref="M89:O89" si="456">SUM(M83:M88)</f>
        <v>257075</v>
      </c>
      <c r="N89" s="4">
        <f t="shared" si="456"/>
        <v>285050</v>
      </c>
      <c r="O89" s="4">
        <f t="shared" si="456"/>
        <v>313025</v>
      </c>
      <c r="P89" s="4">
        <f t="shared" si="455"/>
        <v>341000</v>
      </c>
      <c r="Q89" s="4">
        <f t="shared" ref="Q89:R89" si="457">SUM(Q83:Q88)</f>
        <v>368975</v>
      </c>
      <c r="R89" s="4">
        <f t="shared" si="457"/>
        <v>396950</v>
      </c>
      <c r="S89" s="4">
        <f t="shared" ref="S89" si="458">SUM(S83:S88)</f>
        <v>424925</v>
      </c>
      <c r="T89" s="4">
        <f t="shared" si="455"/>
        <v>452900</v>
      </c>
      <c r="U89" s="4">
        <f t="shared" ref="U89:W89" si="459">SUM(U83:U88)</f>
        <v>480875</v>
      </c>
      <c r="V89" s="4">
        <f t="shared" si="459"/>
        <v>508850</v>
      </c>
      <c r="W89" s="4">
        <f t="shared" si="459"/>
        <v>536825</v>
      </c>
      <c r="X89" s="4">
        <f t="shared" si="455"/>
        <v>564800</v>
      </c>
      <c r="Y89" s="4">
        <f t="shared" ref="Y89:AA89" si="460">SUM(Y83:Y88)</f>
        <v>592775</v>
      </c>
      <c r="Z89" s="4">
        <f t="shared" si="460"/>
        <v>620750</v>
      </c>
      <c r="AA89" s="4">
        <f t="shared" si="460"/>
        <v>648725</v>
      </c>
      <c r="AB89" s="4">
        <f t="shared" si="455"/>
        <v>676700</v>
      </c>
      <c r="AC89" s="4">
        <f t="shared" ref="AC89:AE89" si="461">SUM(AC83:AC88)</f>
        <v>704675</v>
      </c>
      <c r="AD89" s="4">
        <f t="shared" si="461"/>
        <v>732650</v>
      </c>
      <c r="AE89" s="4">
        <f t="shared" si="461"/>
        <v>760625</v>
      </c>
      <c r="AF89" s="4">
        <f t="shared" si="455"/>
        <v>788600</v>
      </c>
      <c r="AG89" s="4">
        <f t="shared" ref="AG89:AI89" si="462">SUM(AG83:AG88)</f>
        <v>816575</v>
      </c>
      <c r="AH89" s="4">
        <f t="shared" si="462"/>
        <v>844550</v>
      </c>
      <c r="AI89" s="4">
        <f t="shared" si="462"/>
        <v>872525</v>
      </c>
      <c r="AJ89" s="4">
        <f t="shared" si="455"/>
        <v>900500</v>
      </c>
      <c r="AK89" s="4">
        <f t="shared" ref="AK89:AM89" si="463">SUM(AK83:AK88)</f>
        <v>928475</v>
      </c>
      <c r="AL89" s="4">
        <f t="shared" si="463"/>
        <v>956450</v>
      </c>
      <c r="AM89" s="4">
        <f t="shared" si="463"/>
        <v>984425</v>
      </c>
      <c r="AN89" s="4">
        <f t="shared" si="455"/>
        <v>1012400</v>
      </c>
      <c r="AO89" s="4">
        <f t="shared" ref="AO89:AQ89" si="464">SUM(AO83:AO88)</f>
        <v>1040375</v>
      </c>
      <c r="AP89" s="4">
        <f t="shared" si="464"/>
        <v>1068350</v>
      </c>
      <c r="AQ89" s="4">
        <f t="shared" si="464"/>
        <v>1096325</v>
      </c>
      <c r="AR89" s="4">
        <f t="shared" si="455"/>
        <v>1124300</v>
      </c>
      <c r="AS89" s="76"/>
      <c r="AT89" s="76"/>
      <c r="AU89" s="76"/>
    </row>
    <row r="90" spans="2:47">
      <c r="B90" s="74" t="s">
        <v>29</v>
      </c>
      <c r="C90" s="75">
        <v>0.12</v>
      </c>
      <c r="D90" s="75"/>
      <c r="E90" s="75">
        <f>C90</f>
        <v>0.12</v>
      </c>
      <c r="F90" s="75">
        <f>C90</f>
        <v>0.12</v>
      </c>
      <c r="G90" s="75">
        <f>F90</f>
        <v>0.12</v>
      </c>
      <c r="H90" s="75">
        <f t="shared" ref="H90:AR90" si="465">F90</f>
        <v>0.12</v>
      </c>
      <c r="I90" s="75">
        <f t="shared" si="465"/>
        <v>0.12</v>
      </c>
      <c r="J90" s="75">
        <f t="shared" si="465"/>
        <v>0.12</v>
      </c>
      <c r="K90" s="75">
        <f t="shared" si="465"/>
        <v>0.12</v>
      </c>
      <c r="L90" s="75">
        <f t="shared" si="465"/>
        <v>0.12</v>
      </c>
      <c r="M90" s="75">
        <f t="shared" si="465"/>
        <v>0.12</v>
      </c>
      <c r="N90" s="75">
        <f t="shared" si="465"/>
        <v>0.12</v>
      </c>
      <c r="O90" s="75">
        <f t="shared" si="465"/>
        <v>0.12</v>
      </c>
      <c r="P90" s="75">
        <f t="shared" si="465"/>
        <v>0.12</v>
      </c>
      <c r="Q90" s="75">
        <f t="shared" si="465"/>
        <v>0.12</v>
      </c>
      <c r="R90" s="75">
        <f t="shared" si="465"/>
        <v>0.12</v>
      </c>
      <c r="S90" s="75">
        <f t="shared" si="465"/>
        <v>0.12</v>
      </c>
      <c r="T90" s="75">
        <f t="shared" si="465"/>
        <v>0.12</v>
      </c>
      <c r="U90" s="75">
        <f t="shared" si="465"/>
        <v>0.12</v>
      </c>
      <c r="V90" s="75">
        <f t="shared" si="465"/>
        <v>0.12</v>
      </c>
      <c r="W90" s="75">
        <f t="shared" si="465"/>
        <v>0.12</v>
      </c>
      <c r="X90" s="75">
        <f t="shared" si="465"/>
        <v>0.12</v>
      </c>
      <c r="Y90" s="75">
        <f t="shared" si="465"/>
        <v>0.12</v>
      </c>
      <c r="Z90" s="75">
        <f t="shared" si="465"/>
        <v>0.12</v>
      </c>
      <c r="AA90" s="75">
        <f t="shared" si="465"/>
        <v>0.12</v>
      </c>
      <c r="AB90" s="75">
        <f t="shared" si="465"/>
        <v>0.12</v>
      </c>
      <c r="AC90" s="75">
        <f t="shared" si="465"/>
        <v>0.12</v>
      </c>
      <c r="AD90" s="75">
        <f t="shared" si="465"/>
        <v>0.12</v>
      </c>
      <c r="AE90" s="75">
        <f t="shared" si="465"/>
        <v>0.12</v>
      </c>
      <c r="AF90" s="75">
        <f t="shared" si="465"/>
        <v>0.12</v>
      </c>
      <c r="AG90" s="75">
        <f t="shared" si="465"/>
        <v>0.12</v>
      </c>
      <c r="AH90" s="75">
        <f t="shared" si="465"/>
        <v>0.12</v>
      </c>
      <c r="AI90" s="75">
        <f t="shared" si="465"/>
        <v>0.12</v>
      </c>
      <c r="AJ90" s="75">
        <f t="shared" si="465"/>
        <v>0.12</v>
      </c>
      <c r="AK90" s="75">
        <f t="shared" si="465"/>
        <v>0.12</v>
      </c>
      <c r="AL90" s="75">
        <f t="shared" si="465"/>
        <v>0.12</v>
      </c>
      <c r="AM90" s="75">
        <f t="shared" si="465"/>
        <v>0.12</v>
      </c>
      <c r="AN90" s="75">
        <f t="shared" si="465"/>
        <v>0.12</v>
      </c>
      <c r="AO90" s="75">
        <f t="shared" si="465"/>
        <v>0.12</v>
      </c>
      <c r="AP90" s="75">
        <f t="shared" si="465"/>
        <v>0.12</v>
      </c>
      <c r="AQ90" s="75">
        <f t="shared" si="465"/>
        <v>0.12</v>
      </c>
      <c r="AR90" s="75">
        <f t="shared" si="465"/>
        <v>0.12</v>
      </c>
      <c r="AS90" s="77"/>
      <c r="AT90" s="77"/>
      <c r="AU90" s="77"/>
    </row>
    <row r="91" spans="2:47">
      <c r="B91" s="68" t="s">
        <v>30</v>
      </c>
      <c r="C91" s="68">
        <f>(1+C90/C94)^C94-1</f>
        <v>0.12715977620538776</v>
      </c>
      <c r="D91" s="68"/>
      <c r="E91" s="68">
        <f>(1+E90/E94)^E94-1</f>
        <v>0.12715977620538776</v>
      </c>
      <c r="F91" s="68">
        <f>(1+F90/F94)^F94-1</f>
        <v>0.12715977620538776</v>
      </c>
      <c r="G91" s="68">
        <f>(1+G90/G94)^G94-1</f>
        <v>0.12715977620538776</v>
      </c>
      <c r="H91" s="68">
        <f t="shared" ref="H91:AR91" si="466">(1+H90/H94)^H94-1</f>
        <v>0.12715977620538776</v>
      </c>
      <c r="I91" s="68">
        <f t="shared" si="466"/>
        <v>0.12715977620538776</v>
      </c>
      <c r="J91" s="68">
        <f t="shared" si="466"/>
        <v>0.12715977620538776</v>
      </c>
      <c r="K91" s="68">
        <f t="shared" si="466"/>
        <v>0.12715977620538776</v>
      </c>
      <c r="L91" s="68">
        <f t="shared" si="466"/>
        <v>0.12715977620538776</v>
      </c>
      <c r="M91" s="68">
        <f t="shared" si="466"/>
        <v>0.12715977620538776</v>
      </c>
      <c r="N91" s="68">
        <f t="shared" si="466"/>
        <v>0.12715977620538776</v>
      </c>
      <c r="O91" s="68">
        <f t="shared" si="466"/>
        <v>0.12715977620538776</v>
      </c>
      <c r="P91" s="68">
        <f t="shared" si="466"/>
        <v>0.12715977620538776</v>
      </c>
      <c r="Q91" s="68">
        <f t="shared" si="466"/>
        <v>0.12715977620538776</v>
      </c>
      <c r="R91" s="68">
        <f t="shared" si="466"/>
        <v>0.12715977620538776</v>
      </c>
      <c r="S91" s="68">
        <f t="shared" si="466"/>
        <v>0.12715977620538776</v>
      </c>
      <c r="T91" s="68">
        <f t="shared" si="466"/>
        <v>0.12715977620538776</v>
      </c>
      <c r="U91" s="68">
        <f t="shared" si="466"/>
        <v>0.12715977620538776</v>
      </c>
      <c r="V91" s="68">
        <f t="shared" si="466"/>
        <v>0.12715977620538776</v>
      </c>
      <c r="W91" s="68">
        <f t="shared" si="466"/>
        <v>0.12715977620538776</v>
      </c>
      <c r="X91" s="68">
        <f t="shared" si="466"/>
        <v>0.12715977620538776</v>
      </c>
      <c r="Y91" s="68">
        <f t="shared" si="466"/>
        <v>0.12715977620538776</v>
      </c>
      <c r="Z91" s="68">
        <f t="shared" si="466"/>
        <v>0.12715977620538776</v>
      </c>
      <c r="AA91" s="68">
        <f t="shared" si="466"/>
        <v>0.12715977620538776</v>
      </c>
      <c r="AB91" s="68">
        <f t="shared" si="466"/>
        <v>0.12715977620538776</v>
      </c>
      <c r="AC91" s="68">
        <f t="shared" si="466"/>
        <v>0.12715977620538776</v>
      </c>
      <c r="AD91" s="68">
        <f t="shared" si="466"/>
        <v>0.12715977620538776</v>
      </c>
      <c r="AE91" s="68">
        <f t="shared" si="466"/>
        <v>0.12715977620538776</v>
      </c>
      <c r="AF91" s="68">
        <f t="shared" si="466"/>
        <v>0.12715977620538776</v>
      </c>
      <c r="AG91" s="68">
        <f t="shared" si="466"/>
        <v>0.12715977620538776</v>
      </c>
      <c r="AH91" s="68">
        <f t="shared" si="466"/>
        <v>0.12715977620538776</v>
      </c>
      <c r="AI91" s="68">
        <f t="shared" si="466"/>
        <v>0.12715977620538776</v>
      </c>
      <c r="AJ91" s="68">
        <f t="shared" si="466"/>
        <v>0.12715977620538776</v>
      </c>
      <c r="AK91" s="68">
        <f t="shared" si="466"/>
        <v>0.12715977620538776</v>
      </c>
      <c r="AL91" s="68">
        <f t="shared" si="466"/>
        <v>0.12715977620538776</v>
      </c>
      <c r="AM91" s="68">
        <f t="shared" si="466"/>
        <v>0.12715977620538776</v>
      </c>
      <c r="AN91" s="68">
        <f t="shared" si="466"/>
        <v>0.12715977620538776</v>
      </c>
      <c r="AO91" s="68">
        <f t="shared" si="466"/>
        <v>0.12715977620538776</v>
      </c>
      <c r="AP91" s="68">
        <f t="shared" si="466"/>
        <v>0.12715977620538776</v>
      </c>
      <c r="AQ91" s="68">
        <f t="shared" si="466"/>
        <v>0.12715977620538776</v>
      </c>
      <c r="AR91" s="78">
        <f t="shared" si="466"/>
        <v>0.12715977620538776</v>
      </c>
      <c r="AS91" s="79"/>
      <c r="AT91" s="79"/>
      <c r="AU91" s="79"/>
    </row>
    <row r="92" spans="2:47">
      <c r="B92" t="s">
        <v>31</v>
      </c>
      <c r="C92" s="69">
        <v>2</v>
      </c>
      <c r="D92" s="69"/>
      <c r="E92" s="69">
        <v>2</v>
      </c>
      <c r="F92" s="69">
        <v>2</v>
      </c>
      <c r="G92" s="69">
        <v>2</v>
      </c>
      <c r="H92" s="69">
        <v>2</v>
      </c>
      <c r="I92" s="69">
        <v>2</v>
      </c>
      <c r="J92" s="69">
        <v>2</v>
      </c>
      <c r="K92" s="69">
        <v>2</v>
      </c>
      <c r="L92" s="69">
        <f>H92</f>
        <v>2</v>
      </c>
      <c r="M92" s="69">
        <f>I92</f>
        <v>2</v>
      </c>
      <c r="N92" s="69">
        <f>K92</f>
        <v>2</v>
      </c>
      <c r="O92" s="69">
        <f t="shared" ref="O92:AR92" si="467">K92</f>
        <v>2</v>
      </c>
      <c r="P92" s="69">
        <f t="shared" si="467"/>
        <v>2</v>
      </c>
      <c r="Q92" s="69">
        <f t="shared" si="467"/>
        <v>2</v>
      </c>
      <c r="R92" s="69">
        <f t="shared" si="467"/>
        <v>2</v>
      </c>
      <c r="S92" s="69">
        <f t="shared" si="467"/>
        <v>2</v>
      </c>
      <c r="T92" s="69">
        <f t="shared" si="467"/>
        <v>2</v>
      </c>
      <c r="U92" s="69">
        <f t="shared" si="467"/>
        <v>2</v>
      </c>
      <c r="V92" s="69">
        <f t="shared" si="467"/>
        <v>2</v>
      </c>
      <c r="W92" s="69">
        <f t="shared" si="467"/>
        <v>2</v>
      </c>
      <c r="X92" s="69">
        <f t="shared" si="467"/>
        <v>2</v>
      </c>
      <c r="Y92" s="69">
        <f t="shared" si="467"/>
        <v>2</v>
      </c>
      <c r="Z92" s="69">
        <f t="shared" si="467"/>
        <v>2</v>
      </c>
      <c r="AA92" s="69">
        <f t="shared" si="467"/>
        <v>2</v>
      </c>
      <c r="AB92" s="69">
        <f t="shared" si="467"/>
        <v>2</v>
      </c>
      <c r="AC92" s="69">
        <f t="shared" si="467"/>
        <v>2</v>
      </c>
      <c r="AD92" s="69">
        <f t="shared" si="467"/>
        <v>2</v>
      </c>
      <c r="AE92" s="69">
        <f t="shared" si="467"/>
        <v>2</v>
      </c>
      <c r="AF92" s="69">
        <f t="shared" si="467"/>
        <v>2</v>
      </c>
      <c r="AG92" s="69">
        <f t="shared" si="467"/>
        <v>2</v>
      </c>
      <c r="AH92" s="69">
        <f t="shared" si="467"/>
        <v>2</v>
      </c>
      <c r="AI92" s="69">
        <f t="shared" si="467"/>
        <v>2</v>
      </c>
      <c r="AJ92" s="69">
        <f t="shared" si="467"/>
        <v>2</v>
      </c>
      <c r="AK92" s="69">
        <f t="shared" si="467"/>
        <v>2</v>
      </c>
      <c r="AL92" s="69">
        <f t="shared" si="467"/>
        <v>2</v>
      </c>
      <c r="AM92" s="69">
        <f t="shared" si="467"/>
        <v>2</v>
      </c>
      <c r="AN92" s="69">
        <f t="shared" si="467"/>
        <v>2</v>
      </c>
      <c r="AO92" s="69">
        <f t="shared" si="467"/>
        <v>2</v>
      </c>
      <c r="AP92" s="69">
        <f t="shared" si="467"/>
        <v>2</v>
      </c>
      <c r="AQ92" s="69">
        <f t="shared" si="467"/>
        <v>2</v>
      </c>
      <c r="AR92" s="69">
        <f t="shared" si="467"/>
        <v>2</v>
      </c>
      <c r="AS92" s="80"/>
      <c r="AT92" s="80"/>
      <c r="AU92" s="80"/>
    </row>
    <row r="93" spans="2:47">
      <c r="B93" t="s">
        <v>32</v>
      </c>
      <c r="C93" s="7">
        <f>C90/12</f>
        <v>0.01</v>
      </c>
      <c r="D93" s="7"/>
      <c r="E93" s="7">
        <f>E90/12</f>
        <v>0.01</v>
      </c>
      <c r="F93" s="7">
        <f>F90/12</f>
        <v>0.01</v>
      </c>
      <c r="G93" s="7">
        <f>G90/12</f>
        <v>0.01</v>
      </c>
      <c r="H93" s="7">
        <f>H90/12</f>
        <v>0.01</v>
      </c>
      <c r="I93" s="7">
        <f t="shared" ref="I93:J93" si="468">I90/12</f>
        <v>0.01</v>
      </c>
      <c r="J93" s="7">
        <f t="shared" si="468"/>
        <v>0.01</v>
      </c>
      <c r="K93" s="7">
        <f t="shared" ref="K93" si="469">K90/12</f>
        <v>0.01</v>
      </c>
      <c r="L93" s="7">
        <f t="shared" ref="L93:AR93" si="470">L90/12</f>
        <v>0.01</v>
      </c>
      <c r="M93" s="7">
        <f t="shared" ref="M93:O93" si="471">M90/12</f>
        <v>0.01</v>
      </c>
      <c r="N93" s="7">
        <f t="shared" si="471"/>
        <v>0.01</v>
      </c>
      <c r="O93" s="7">
        <f t="shared" si="471"/>
        <v>0.01</v>
      </c>
      <c r="P93" s="7">
        <f t="shared" si="470"/>
        <v>0.01</v>
      </c>
      <c r="Q93" s="7">
        <f t="shared" ref="Q93:R93" si="472">Q90/12</f>
        <v>0.01</v>
      </c>
      <c r="R93" s="7">
        <f t="shared" si="472"/>
        <v>0.01</v>
      </c>
      <c r="S93" s="7">
        <f t="shared" ref="S93" si="473">S90/12</f>
        <v>0.01</v>
      </c>
      <c r="T93" s="7">
        <f t="shared" si="470"/>
        <v>0.01</v>
      </c>
      <c r="U93" s="7">
        <f t="shared" ref="U93:W93" si="474">U90/12</f>
        <v>0.01</v>
      </c>
      <c r="V93" s="7">
        <f t="shared" si="474"/>
        <v>0.01</v>
      </c>
      <c r="W93" s="7">
        <f t="shared" si="474"/>
        <v>0.01</v>
      </c>
      <c r="X93" s="7">
        <f t="shared" si="470"/>
        <v>0.01</v>
      </c>
      <c r="Y93" s="7">
        <f t="shared" ref="Y93:AA93" si="475">Y90/12</f>
        <v>0.01</v>
      </c>
      <c r="Z93" s="7">
        <f t="shared" si="475"/>
        <v>0.01</v>
      </c>
      <c r="AA93" s="7">
        <f t="shared" si="475"/>
        <v>0.01</v>
      </c>
      <c r="AB93" s="7">
        <f t="shared" si="470"/>
        <v>0.01</v>
      </c>
      <c r="AC93" s="7">
        <f t="shared" ref="AC93:AE93" si="476">AC90/12</f>
        <v>0.01</v>
      </c>
      <c r="AD93" s="7">
        <f t="shared" si="476"/>
        <v>0.01</v>
      </c>
      <c r="AE93" s="7">
        <f t="shared" si="476"/>
        <v>0.01</v>
      </c>
      <c r="AF93" s="7">
        <f t="shared" si="470"/>
        <v>0.01</v>
      </c>
      <c r="AG93" s="7">
        <f t="shared" ref="AG93:AI93" si="477">AG90/12</f>
        <v>0.01</v>
      </c>
      <c r="AH93" s="7">
        <f t="shared" si="477"/>
        <v>0.01</v>
      </c>
      <c r="AI93" s="7">
        <f t="shared" si="477"/>
        <v>0.01</v>
      </c>
      <c r="AJ93" s="7">
        <f t="shared" si="470"/>
        <v>0.01</v>
      </c>
      <c r="AK93" s="7">
        <f t="shared" ref="AK93:AM93" si="478">AK90/12</f>
        <v>0.01</v>
      </c>
      <c r="AL93" s="7">
        <f t="shared" si="478"/>
        <v>0.01</v>
      </c>
      <c r="AM93" s="7">
        <f t="shared" si="478"/>
        <v>0.01</v>
      </c>
      <c r="AN93" s="7">
        <f t="shared" si="470"/>
        <v>0.01</v>
      </c>
      <c r="AO93" s="7">
        <f t="shared" ref="AO93:AQ93" si="479">AO90/12</f>
        <v>0.01</v>
      </c>
      <c r="AP93" s="7">
        <f t="shared" si="479"/>
        <v>0.01</v>
      </c>
      <c r="AQ93" s="7">
        <f t="shared" si="479"/>
        <v>0.01</v>
      </c>
      <c r="AR93" s="7">
        <f t="shared" si="470"/>
        <v>0.01</v>
      </c>
      <c r="AS93" s="38"/>
      <c r="AT93" s="38"/>
      <c r="AU93" s="38"/>
    </row>
    <row r="94" spans="2:47">
      <c r="B94" t="s">
        <v>33</v>
      </c>
      <c r="C94" s="69">
        <f>C92*12</f>
        <v>24</v>
      </c>
      <c r="D94" s="69"/>
      <c r="E94" s="69">
        <f>E92*12</f>
        <v>24</v>
      </c>
      <c r="F94" s="69">
        <f>F92*12</f>
        <v>24</v>
      </c>
      <c r="G94" s="69">
        <f>G92*12</f>
        <v>24</v>
      </c>
      <c r="H94" s="69">
        <f>H92*12</f>
        <v>24</v>
      </c>
      <c r="I94" s="69">
        <f t="shared" ref="I94:J94" si="480">I92*12</f>
        <v>24</v>
      </c>
      <c r="J94" s="69">
        <f t="shared" si="480"/>
        <v>24</v>
      </c>
      <c r="K94" s="69">
        <f t="shared" ref="K94" si="481">K92*12</f>
        <v>24</v>
      </c>
      <c r="L94" s="69">
        <f t="shared" ref="L94:AR94" si="482">L92*12</f>
        <v>24</v>
      </c>
      <c r="M94" s="69">
        <f t="shared" ref="M94:O94" si="483">M92*12</f>
        <v>24</v>
      </c>
      <c r="N94" s="69">
        <f t="shared" si="483"/>
        <v>24</v>
      </c>
      <c r="O94" s="69">
        <f t="shared" si="483"/>
        <v>24</v>
      </c>
      <c r="P94" s="69">
        <f t="shared" si="482"/>
        <v>24</v>
      </c>
      <c r="Q94" s="69">
        <f t="shared" ref="Q94:R94" si="484">Q92*12</f>
        <v>24</v>
      </c>
      <c r="R94" s="69">
        <f t="shared" si="484"/>
        <v>24</v>
      </c>
      <c r="S94" s="69">
        <f t="shared" ref="S94" si="485">S92*12</f>
        <v>24</v>
      </c>
      <c r="T94" s="69">
        <f t="shared" si="482"/>
        <v>24</v>
      </c>
      <c r="U94" s="69">
        <f t="shared" ref="U94:W94" si="486">U92*12</f>
        <v>24</v>
      </c>
      <c r="V94" s="69">
        <f t="shared" si="486"/>
        <v>24</v>
      </c>
      <c r="W94" s="69">
        <f t="shared" si="486"/>
        <v>24</v>
      </c>
      <c r="X94" s="69">
        <f t="shared" si="482"/>
        <v>24</v>
      </c>
      <c r="Y94" s="69">
        <f t="shared" ref="Y94:AA94" si="487">Y92*12</f>
        <v>24</v>
      </c>
      <c r="Z94" s="69">
        <f t="shared" si="487"/>
        <v>24</v>
      </c>
      <c r="AA94" s="69">
        <f t="shared" si="487"/>
        <v>24</v>
      </c>
      <c r="AB94" s="69">
        <f t="shared" si="482"/>
        <v>24</v>
      </c>
      <c r="AC94" s="69">
        <f t="shared" ref="AC94:AE94" si="488">AC92*12</f>
        <v>24</v>
      </c>
      <c r="AD94" s="69">
        <f t="shared" si="488"/>
        <v>24</v>
      </c>
      <c r="AE94" s="69">
        <f t="shared" si="488"/>
        <v>24</v>
      </c>
      <c r="AF94" s="69">
        <f t="shared" si="482"/>
        <v>24</v>
      </c>
      <c r="AG94" s="69">
        <f t="shared" ref="AG94:AI94" si="489">AG92*12</f>
        <v>24</v>
      </c>
      <c r="AH94" s="69">
        <f t="shared" si="489"/>
        <v>24</v>
      </c>
      <c r="AI94" s="69">
        <f t="shared" si="489"/>
        <v>24</v>
      </c>
      <c r="AJ94" s="69">
        <f t="shared" si="482"/>
        <v>24</v>
      </c>
      <c r="AK94" s="69">
        <f t="shared" ref="AK94:AM94" si="490">AK92*12</f>
        <v>24</v>
      </c>
      <c r="AL94" s="69">
        <f t="shared" si="490"/>
        <v>24</v>
      </c>
      <c r="AM94" s="69">
        <f t="shared" si="490"/>
        <v>24</v>
      </c>
      <c r="AN94" s="69">
        <f t="shared" si="482"/>
        <v>24</v>
      </c>
      <c r="AO94" s="69">
        <f t="shared" ref="AO94:AQ94" si="491">AO92*12</f>
        <v>24</v>
      </c>
      <c r="AP94" s="69">
        <f t="shared" si="491"/>
        <v>24</v>
      </c>
      <c r="AQ94" s="69">
        <f t="shared" si="491"/>
        <v>24</v>
      </c>
      <c r="AR94" s="69">
        <f t="shared" si="482"/>
        <v>24</v>
      </c>
      <c r="AS94" s="80"/>
      <c r="AT94" s="80"/>
      <c r="AU94" s="80"/>
    </row>
    <row r="95" spans="2:47">
      <c r="C95" s="4"/>
      <c r="D95" s="4"/>
      <c r="E95" s="4"/>
      <c r="F95" s="4"/>
      <c r="G95" s="4"/>
      <c r="H95" s="4"/>
      <c r="I95" s="4"/>
      <c r="J95" s="4"/>
      <c r="K95" s="4"/>
      <c r="L95" s="4"/>
      <c r="M95" s="4"/>
      <c r="AB95" s="4"/>
      <c r="AC95" s="4"/>
      <c r="AD95" s="4"/>
      <c r="AE95" s="4"/>
      <c r="AF95" s="4"/>
      <c r="AG95" s="4"/>
      <c r="AH95" s="4"/>
      <c r="AI95" s="4"/>
      <c r="AJ95" s="4"/>
      <c r="AK95" s="4"/>
      <c r="AL95" s="4"/>
      <c r="AM95" s="4"/>
      <c r="AN95" s="4"/>
      <c r="AO95" s="4"/>
      <c r="AP95" s="4"/>
      <c r="AQ95" s="4"/>
      <c r="AR95" s="4"/>
      <c r="AS95" s="76"/>
      <c r="AT95" s="76"/>
      <c r="AU95" s="76"/>
    </row>
    <row r="96" spans="2:47">
      <c r="B96" t="s">
        <v>17</v>
      </c>
      <c r="C96" s="71">
        <f>(1+C93)^C94</f>
        <v>1.269734648531915</v>
      </c>
      <c r="D96" s="71"/>
      <c r="E96" s="71">
        <f>(1+E93)^E94</f>
        <v>1.269734648531915</v>
      </c>
      <c r="F96" s="71">
        <f>(1+F93)^F94</f>
        <v>1.269734648531915</v>
      </c>
      <c r="G96" s="71">
        <f>(1+G93)^G94</f>
        <v>1.269734648531915</v>
      </c>
      <c r="H96" s="71">
        <f>(1+H93)^H94</f>
        <v>1.269734648531915</v>
      </c>
      <c r="I96" s="71">
        <f t="shared" ref="I96:J96" si="492">(1+I93)^I94</f>
        <v>1.269734648531915</v>
      </c>
      <c r="J96" s="71">
        <f t="shared" si="492"/>
        <v>1.269734648531915</v>
      </c>
      <c r="K96" s="71">
        <f t="shared" ref="K96" si="493">(1+K93)^K94</f>
        <v>1.269734648531915</v>
      </c>
      <c r="L96" s="71">
        <f t="shared" ref="L96:AR96" si="494">(1+L93)^L94</f>
        <v>1.269734648531915</v>
      </c>
      <c r="M96" s="71">
        <f t="shared" ref="M96:O96" si="495">(1+M93)^M94</f>
        <v>1.269734648531915</v>
      </c>
      <c r="N96" s="71">
        <f t="shared" si="495"/>
        <v>1.269734648531915</v>
      </c>
      <c r="O96" s="71">
        <f t="shared" si="495"/>
        <v>1.269734648531915</v>
      </c>
      <c r="P96" s="71">
        <f t="shared" si="494"/>
        <v>1.269734648531915</v>
      </c>
      <c r="Q96" s="71">
        <f t="shared" ref="Q96:R96" si="496">(1+Q93)^Q94</f>
        <v>1.269734648531915</v>
      </c>
      <c r="R96" s="71">
        <f t="shared" si="496"/>
        <v>1.269734648531915</v>
      </c>
      <c r="S96" s="71">
        <f t="shared" ref="S96" si="497">(1+S93)^S94</f>
        <v>1.269734648531915</v>
      </c>
      <c r="T96" s="71">
        <f t="shared" si="494"/>
        <v>1.269734648531915</v>
      </c>
      <c r="U96" s="71">
        <f t="shared" ref="U96:W96" si="498">(1+U93)^U94</f>
        <v>1.269734648531915</v>
      </c>
      <c r="V96" s="71">
        <f t="shared" si="498"/>
        <v>1.269734648531915</v>
      </c>
      <c r="W96" s="71">
        <f t="shared" si="498"/>
        <v>1.269734648531915</v>
      </c>
      <c r="X96" s="71">
        <f t="shared" si="494"/>
        <v>1.269734648531915</v>
      </c>
      <c r="Y96" s="71">
        <f t="shared" ref="Y96:AA96" si="499">(1+Y93)^Y94</f>
        <v>1.269734648531915</v>
      </c>
      <c r="Z96" s="71">
        <f t="shared" si="499"/>
        <v>1.269734648531915</v>
      </c>
      <c r="AA96" s="71">
        <f t="shared" si="499"/>
        <v>1.269734648531915</v>
      </c>
      <c r="AB96" s="71">
        <f t="shared" si="494"/>
        <v>1.269734648531915</v>
      </c>
      <c r="AC96" s="71">
        <f t="shared" ref="AC96:AE96" si="500">(1+AC93)^AC94</f>
        <v>1.269734648531915</v>
      </c>
      <c r="AD96" s="71">
        <f t="shared" si="500"/>
        <v>1.269734648531915</v>
      </c>
      <c r="AE96" s="71">
        <f t="shared" si="500"/>
        <v>1.269734648531915</v>
      </c>
      <c r="AF96" s="71">
        <f t="shared" si="494"/>
        <v>1.269734648531915</v>
      </c>
      <c r="AG96" s="71">
        <f t="shared" ref="AG96:AI96" si="501">(1+AG93)^AG94</f>
        <v>1.269734648531915</v>
      </c>
      <c r="AH96" s="71">
        <f t="shared" si="501"/>
        <v>1.269734648531915</v>
      </c>
      <c r="AI96" s="71">
        <f t="shared" si="501"/>
        <v>1.269734648531915</v>
      </c>
      <c r="AJ96" s="71">
        <f t="shared" si="494"/>
        <v>1.269734648531915</v>
      </c>
      <c r="AK96" s="71">
        <f t="shared" ref="AK96:AM96" si="502">(1+AK93)^AK94</f>
        <v>1.269734648531915</v>
      </c>
      <c r="AL96" s="71">
        <f t="shared" si="502"/>
        <v>1.269734648531915</v>
      </c>
      <c r="AM96" s="71">
        <f t="shared" si="502"/>
        <v>1.269734648531915</v>
      </c>
      <c r="AN96" s="71">
        <f t="shared" si="494"/>
        <v>1.269734648531915</v>
      </c>
      <c r="AO96" s="71">
        <f t="shared" ref="AO96:AQ96" si="503">(1+AO93)^AO94</f>
        <v>1.269734648531915</v>
      </c>
      <c r="AP96" s="71">
        <f t="shared" si="503"/>
        <v>1.269734648531915</v>
      </c>
      <c r="AQ96" s="71">
        <f t="shared" si="503"/>
        <v>1.269734648531915</v>
      </c>
      <c r="AR96" s="71">
        <f t="shared" si="494"/>
        <v>1.269734648531915</v>
      </c>
      <c r="AS96" s="81"/>
      <c r="AT96" s="81"/>
      <c r="AU96" s="81"/>
    </row>
    <row r="97" spans="2:47">
      <c r="C97" s="72">
        <f>C96*C93</f>
        <v>1.2697346485319149E-2</v>
      </c>
      <c r="D97" s="72"/>
      <c r="E97" s="72">
        <f>E96*E93</f>
        <v>1.2697346485319149E-2</v>
      </c>
      <c r="F97" s="72">
        <f>F96*F93</f>
        <v>1.2697346485319149E-2</v>
      </c>
      <c r="G97" s="72">
        <f>G96*G93</f>
        <v>1.2697346485319149E-2</v>
      </c>
      <c r="H97" s="72">
        <f>H96*H93</f>
        <v>1.2697346485319149E-2</v>
      </c>
      <c r="I97" s="72">
        <f t="shared" ref="I97:J97" si="504">I96*I93</f>
        <v>1.2697346485319149E-2</v>
      </c>
      <c r="J97" s="72">
        <f t="shared" si="504"/>
        <v>1.2697346485319149E-2</v>
      </c>
      <c r="K97" s="72">
        <f t="shared" ref="K97" si="505">K96*K93</f>
        <v>1.2697346485319149E-2</v>
      </c>
      <c r="L97" s="72">
        <f t="shared" ref="L97:AR97" si="506">L96*L93</f>
        <v>1.2697346485319149E-2</v>
      </c>
      <c r="M97" s="72">
        <f t="shared" ref="M97:O97" si="507">M96*M93</f>
        <v>1.2697346485319149E-2</v>
      </c>
      <c r="N97" s="72">
        <f t="shared" si="507"/>
        <v>1.2697346485319149E-2</v>
      </c>
      <c r="O97" s="72">
        <f t="shared" si="507"/>
        <v>1.2697346485319149E-2</v>
      </c>
      <c r="P97" s="72">
        <f t="shared" si="506"/>
        <v>1.2697346485319149E-2</v>
      </c>
      <c r="Q97" s="72">
        <f t="shared" ref="Q97:R97" si="508">Q96*Q93</f>
        <v>1.2697346485319149E-2</v>
      </c>
      <c r="R97" s="72">
        <f t="shared" si="508"/>
        <v>1.2697346485319149E-2</v>
      </c>
      <c r="S97" s="72">
        <f t="shared" ref="S97" si="509">S96*S93</f>
        <v>1.2697346485319149E-2</v>
      </c>
      <c r="T97" s="72">
        <f t="shared" si="506"/>
        <v>1.2697346485319149E-2</v>
      </c>
      <c r="U97" s="72">
        <f t="shared" ref="U97:W97" si="510">U96*U93</f>
        <v>1.2697346485319149E-2</v>
      </c>
      <c r="V97" s="72">
        <f t="shared" si="510"/>
        <v>1.2697346485319149E-2</v>
      </c>
      <c r="W97" s="72">
        <f t="shared" si="510"/>
        <v>1.2697346485319149E-2</v>
      </c>
      <c r="X97" s="72">
        <f t="shared" si="506"/>
        <v>1.2697346485319149E-2</v>
      </c>
      <c r="Y97" s="72">
        <f t="shared" ref="Y97:AA97" si="511">Y96*Y93</f>
        <v>1.2697346485319149E-2</v>
      </c>
      <c r="Z97" s="72">
        <f t="shared" si="511"/>
        <v>1.2697346485319149E-2</v>
      </c>
      <c r="AA97" s="72">
        <f t="shared" si="511"/>
        <v>1.2697346485319149E-2</v>
      </c>
      <c r="AB97" s="72">
        <f t="shared" si="506"/>
        <v>1.2697346485319149E-2</v>
      </c>
      <c r="AC97" s="72">
        <f t="shared" ref="AC97:AE97" si="512">AC96*AC93</f>
        <v>1.2697346485319149E-2</v>
      </c>
      <c r="AD97" s="72">
        <f t="shared" si="512"/>
        <v>1.2697346485319149E-2</v>
      </c>
      <c r="AE97" s="72">
        <f t="shared" si="512"/>
        <v>1.2697346485319149E-2</v>
      </c>
      <c r="AF97" s="72">
        <f t="shared" si="506"/>
        <v>1.2697346485319149E-2</v>
      </c>
      <c r="AG97" s="72">
        <f t="shared" ref="AG97:AI97" si="513">AG96*AG93</f>
        <v>1.2697346485319149E-2</v>
      </c>
      <c r="AH97" s="72">
        <f t="shared" si="513"/>
        <v>1.2697346485319149E-2</v>
      </c>
      <c r="AI97" s="72">
        <f t="shared" si="513"/>
        <v>1.2697346485319149E-2</v>
      </c>
      <c r="AJ97" s="72">
        <f t="shared" si="506"/>
        <v>1.2697346485319149E-2</v>
      </c>
      <c r="AK97" s="72">
        <f t="shared" ref="AK97:AM97" si="514">AK96*AK93</f>
        <v>1.2697346485319149E-2</v>
      </c>
      <c r="AL97" s="72">
        <f t="shared" si="514"/>
        <v>1.2697346485319149E-2</v>
      </c>
      <c r="AM97" s="72">
        <f t="shared" si="514"/>
        <v>1.2697346485319149E-2</v>
      </c>
      <c r="AN97" s="72">
        <f t="shared" si="506"/>
        <v>1.2697346485319149E-2</v>
      </c>
      <c r="AO97" s="72">
        <f t="shared" ref="AO97:AQ97" si="515">AO96*AO93</f>
        <v>1.2697346485319149E-2</v>
      </c>
      <c r="AP97" s="72">
        <f t="shared" si="515"/>
        <v>1.2697346485319149E-2</v>
      </c>
      <c r="AQ97" s="72">
        <f t="shared" si="515"/>
        <v>1.2697346485319149E-2</v>
      </c>
      <c r="AR97" s="72">
        <f t="shared" si="506"/>
        <v>1.2697346485319149E-2</v>
      </c>
      <c r="AS97" s="82"/>
      <c r="AT97" s="82"/>
      <c r="AU97" s="82"/>
    </row>
    <row r="98" spans="2:47">
      <c r="C98" s="73">
        <f>C96-1</f>
        <v>0.26973464853191498</v>
      </c>
      <c r="D98" s="73"/>
      <c r="E98" s="73">
        <f>E96-1</f>
        <v>0.26973464853191498</v>
      </c>
      <c r="F98" s="73">
        <f>F96-1</f>
        <v>0.26973464853191498</v>
      </c>
      <c r="G98" s="73">
        <f>G96-1</f>
        <v>0.26973464853191498</v>
      </c>
      <c r="H98" s="73">
        <f>H96-1</f>
        <v>0.26973464853191498</v>
      </c>
      <c r="I98" s="73">
        <f t="shared" ref="I98:J98" si="516">I96-1</f>
        <v>0.26973464853191498</v>
      </c>
      <c r="J98" s="73">
        <f t="shared" si="516"/>
        <v>0.26973464853191498</v>
      </c>
      <c r="K98" s="73">
        <f t="shared" ref="K98" si="517">K96-1</f>
        <v>0.26973464853191498</v>
      </c>
      <c r="L98" s="73">
        <f t="shared" ref="L98:AR98" si="518">L96-1</f>
        <v>0.26973464853191498</v>
      </c>
      <c r="M98" s="73">
        <f t="shared" ref="M98:O98" si="519">M96-1</f>
        <v>0.26973464853191498</v>
      </c>
      <c r="N98" s="73">
        <f t="shared" si="519"/>
        <v>0.26973464853191498</v>
      </c>
      <c r="O98" s="73">
        <f t="shared" si="519"/>
        <v>0.26973464853191498</v>
      </c>
      <c r="P98" s="73">
        <f t="shared" si="518"/>
        <v>0.26973464853191498</v>
      </c>
      <c r="Q98" s="73">
        <f t="shared" ref="Q98:R98" si="520">Q96-1</f>
        <v>0.26973464853191498</v>
      </c>
      <c r="R98" s="73">
        <f t="shared" si="520"/>
        <v>0.26973464853191498</v>
      </c>
      <c r="S98" s="73">
        <f t="shared" ref="S98" si="521">S96-1</f>
        <v>0.26973464853191498</v>
      </c>
      <c r="T98" s="73">
        <f t="shared" si="518"/>
        <v>0.26973464853191498</v>
      </c>
      <c r="U98" s="73">
        <f t="shared" ref="U98:W98" si="522">U96-1</f>
        <v>0.26973464853191498</v>
      </c>
      <c r="V98" s="73">
        <f t="shared" si="522"/>
        <v>0.26973464853191498</v>
      </c>
      <c r="W98" s="73">
        <f t="shared" si="522"/>
        <v>0.26973464853191498</v>
      </c>
      <c r="X98" s="73">
        <f t="shared" si="518"/>
        <v>0.26973464853191498</v>
      </c>
      <c r="Y98" s="73">
        <f t="shared" ref="Y98:AA98" si="523">Y96-1</f>
        <v>0.26973464853191498</v>
      </c>
      <c r="Z98" s="73">
        <f t="shared" si="523"/>
        <v>0.26973464853191498</v>
      </c>
      <c r="AA98" s="73">
        <f t="shared" si="523"/>
        <v>0.26973464853191498</v>
      </c>
      <c r="AB98" s="73">
        <f t="shared" si="518"/>
        <v>0.26973464853191498</v>
      </c>
      <c r="AC98" s="73">
        <f t="shared" ref="AC98:AE98" si="524">AC96-1</f>
        <v>0.26973464853191498</v>
      </c>
      <c r="AD98" s="73">
        <f t="shared" si="524"/>
        <v>0.26973464853191498</v>
      </c>
      <c r="AE98" s="73">
        <f t="shared" si="524"/>
        <v>0.26973464853191498</v>
      </c>
      <c r="AF98" s="73">
        <f t="shared" si="518"/>
        <v>0.26973464853191498</v>
      </c>
      <c r="AG98" s="73">
        <f t="shared" ref="AG98:AI98" si="525">AG96-1</f>
        <v>0.26973464853191498</v>
      </c>
      <c r="AH98" s="73">
        <f t="shared" si="525"/>
        <v>0.26973464853191498</v>
      </c>
      <c r="AI98" s="73">
        <f t="shared" si="525"/>
        <v>0.26973464853191498</v>
      </c>
      <c r="AJ98" s="73">
        <f t="shared" si="518"/>
        <v>0.26973464853191498</v>
      </c>
      <c r="AK98" s="73">
        <f t="shared" ref="AK98:AM98" si="526">AK96-1</f>
        <v>0.26973464853191498</v>
      </c>
      <c r="AL98" s="73">
        <f t="shared" si="526"/>
        <v>0.26973464853191498</v>
      </c>
      <c r="AM98" s="73">
        <f t="shared" si="526"/>
        <v>0.26973464853191498</v>
      </c>
      <c r="AN98" s="73">
        <f t="shared" si="518"/>
        <v>0.26973464853191498</v>
      </c>
      <c r="AO98" s="73">
        <f t="shared" ref="AO98:AQ98" si="527">AO96-1</f>
        <v>0.26973464853191498</v>
      </c>
      <c r="AP98" s="73">
        <f t="shared" si="527"/>
        <v>0.26973464853191498</v>
      </c>
      <c r="AQ98" s="73">
        <f t="shared" si="527"/>
        <v>0.26973464853191498</v>
      </c>
      <c r="AR98" s="73">
        <f t="shared" si="518"/>
        <v>0.26973464853191498</v>
      </c>
      <c r="AS98" s="83"/>
      <c r="AT98" s="83"/>
      <c r="AU98" s="83"/>
    </row>
    <row r="99" spans="2:47">
      <c r="C99" s="73">
        <f>C97/C98</f>
        <v>4.7073472223264641E-2</v>
      </c>
      <c r="D99" s="73"/>
      <c r="E99" s="73">
        <f>E97/E98</f>
        <v>4.7073472223264641E-2</v>
      </c>
      <c r="F99" s="73">
        <f>F97/F98</f>
        <v>4.7073472223264641E-2</v>
      </c>
      <c r="G99" s="73">
        <f>G97/G98</f>
        <v>4.7073472223264641E-2</v>
      </c>
      <c r="H99" s="73">
        <f>H97/H98</f>
        <v>4.7073472223264641E-2</v>
      </c>
      <c r="I99" s="73">
        <f t="shared" ref="I99:J99" si="528">I97/I98</f>
        <v>4.7073472223264641E-2</v>
      </c>
      <c r="J99" s="73">
        <f t="shared" si="528"/>
        <v>4.7073472223264641E-2</v>
      </c>
      <c r="K99" s="73">
        <f t="shared" ref="K99" si="529">K97/K98</f>
        <v>4.7073472223264641E-2</v>
      </c>
      <c r="L99" s="73">
        <f t="shared" ref="L99:AR99" si="530">L97/L98</f>
        <v>4.7073472223264641E-2</v>
      </c>
      <c r="M99" s="73">
        <f t="shared" ref="M99:O99" si="531">M97/M98</f>
        <v>4.7073472223264641E-2</v>
      </c>
      <c r="N99" s="73">
        <f t="shared" si="531"/>
        <v>4.7073472223264641E-2</v>
      </c>
      <c r="O99" s="73">
        <f t="shared" si="531"/>
        <v>4.7073472223264641E-2</v>
      </c>
      <c r="P99" s="73">
        <f t="shared" si="530"/>
        <v>4.7073472223264641E-2</v>
      </c>
      <c r="Q99" s="73">
        <f t="shared" ref="Q99:R99" si="532">Q97/Q98</f>
        <v>4.7073472223264641E-2</v>
      </c>
      <c r="R99" s="73">
        <f t="shared" si="532"/>
        <v>4.7073472223264641E-2</v>
      </c>
      <c r="S99" s="73">
        <f t="shared" ref="S99" si="533">S97/S98</f>
        <v>4.7073472223264641E-2</v>
      </c>
      <c r="T99" s="73">
        <f t="shared" si="530"/>
        <v>4.7073472223264641E-2</v>
      </c>
      <c r="U99" s="73">
        <f t="shared" ref="U99:W99" si="534">U97/U98</f>
        <v>4.7073472223264641E-2</v>
      </c>
      <c r="V99" s="73">
        <f t="shared" si="534"/>
        <v>4.7073472223264641E-2</v>
      </c>
      <c r="W99" s="73">
        <f t="shared" si="534"/>
        <v>4.7073472223264641E-2</v>
      </c>
      <c r="X99" s="73">
        <f t="shared" si="530"/>
        <v>4.7073472223264641E-2</v>
      </c>
      <c r="Y99" s="73">
        <f t="shared" ref="Y99:AA99" si="535">Y97/Y98</f>
        <v>4.7073472223264641E-2</v>
      </c>
      <c r="Z99" s="73">
        <f t="shared" si="535"/>
        <v>4.7073472223264641E-2</v>
      </c>
      <c r="AA99" s="73">
        <f t="shared" si="535"/>
        <v>4.7073472223264641E-2</v>
      </c>
      <c r="AB99" s="73">
        <f t="shared" si="530"/>
        <v>4.7073472223264641E-2</v>
      </c>
      <c r="AC99" s="73">
        <f t="shared" ref="AC99:AE99" si="536">AC97/AC98</f>
        <v>4.7073472223264641E-2</v>
      </c>
      <c r="AD99" s="73">
        <f t="shared" si="536"/>
        <v>4.7073472223264641E-2</v>
      </c>
      <c r="AE99" s="73">
        <f t="shared" si="536"/>
        <v>4.7073472223264641E-2</v>
      </c>
      <c r="AF99" s="73">
        <f t="shared" si="530"/>
        <v>4.7073472223264641E-2</v>
      </c>
      <c r="AG99" s="73">
        <f t="shared" ref="AG99:AI99" si="537">AG97/AG98</f>
        <v>4.7073472223264641E-2</v>
      </c>
      <c r="AH99" s="73">
        <f t="shared" si="537"/>
        <v>4.7073472223264641E-2</v>
      </c>
      <c r="AI99" s="73">
        <f t="shared" si="537"/>
        <v>4.7073472223264641E-2</v>
      </c>
      <c r="AJ99" s="73">
        <f t="shared" si="530"/>
        <v>4.7073472223264641E-2</v>
      </c>
      <c r="AK99" s="73">
        <f t="shared" ref="AK99:AM99" si="538">AK97/AK98</f>
        <v>4.7073472223264641E-2</v>
      </c>
      <c r="AL99" s="73">
        <f t="shared" si="538"/>
        <v>4.7073472223264641E-2</v>
      </c>
      <c r="AM99" s="73">
        <f t="shared" si="538"/>
        <v>4.7073472223264641E-2</v>
      </c>
      <c r="AN99" s="73">
        <f t="shared" si="530"/>
        <v>4.7073472223264641E-2</v>
      </c>
      <c r="AO99" s="73">
        <f t="shared" ref="AO99:AQ99" si="539">AO97/AO98</f>
        <v>4.7073472223264641E-2</v>
      </c>
      <c r="AP99" s="73">
        <f t="shared" si="539"/>
        <v>4.7073472223264641E-2</v>
      </c>
      <c r="AQ99" s="73">
        <f t="shared" si="539"/>
        <v>4.7073472223264641E-2</v>
      </c>
      <c r="AR99" s="73">
        <f t="shared" si="530"/>
        <v>4.7073472223264641E-2</v>
      </c>
      <c r="AS99" s="83"/>
      <c r="AT99" s="83"/>
      <c r="AU99" s="83"/>
    </row>
    <row r="100" spans="2:47" s="63" customFormat="1">
      <c r="B100" s="63" t="s">
        <v>17</v>
      </c>
      <c r="C100" s="66">
        <f>C99*C89</f>
        <v>949.99785840431502</v>
      </c>
      <c r="D100" s="66"/>
      <c r="E100" s="66">
        <f>E99*E89</f>
        <v>1566.369788229131</v>
      </c>
      <c r="F100" s="66">
        <f>F99*F89</f>
        <v>2883.2501736749591</v>
      </c>
      <c r="G100" s="66">
        <f>G99*G89</f>
        <v>4200.1305591207874</v>
      </c>
      <c r="H100" s="66">
        <f>H99*H89</f>
        <v>5517.0109445666158</v>
      </c>
      <c r="I100" s="66">
        <f t="shared" ref="I100:J100" si="540">I99*I89</f>
        <v>6833.8913300124441</v>
      </c>
      <c r="J100" s="66">
        <f t="shared" si="540"/>
        <v>8150.7717154582724</v>
      </c>
      <c r="K100" s="66">
        <f t="shared" ref="K100" si="541">K99*K89</f>
        <v>9467.6521009041007</v>
      </c>
      <c r="L100" s="66">
        <f t="shared" ref="L100:AR100" si="542">L99*L89</f>
        <v>10784.53248634993</v>
      </c>
      <c r="M100" s="66">
        <f t="shared" ref="M100:O100" si="543">M99*M89</f>
        <v>12101.412871795757</v>
      </c>
      <c r="N100" s="66">
        <f t="shared" si="543"/>
        <v>13418.293257241587</v>
      </c>
      <c r="O100" s="66">
        <f t="shared" si="543"/>
        <v>14735.173642687414</v>
      </c>
      <c r="P100" s="66">
        <f t="shared" si="542"/>
        <v>16052.054028133243</v>
      </c>
      <c r="Q100" s="66">
        <f t="shared" ref="Q100:R100" si="544">Q99*Q89</f>
        <v>17368.934413579071</v>
      </c>
      <c r="R100" s="66">
        <f t="shared" si="544"/>
        <v>18685.814799024898</v>
      </c>
      <c r="S100" s="66">
        <f t="shared" ref="S100" si="545">S99*S89</f>
        <v>20002.695184470729</v>
      </c>
      <c r="T100" s="66">
        <f t="shared" si="542"/>
        <v>21319.575569916557</v>
      </c>
      <c r="U100" s="66">
        <f t="shared" ref="U100:W100" si="546">U99*U89</f>
        <v>22636.455955362384</v>
      </c>
      <c r="V100" s="66">
        <f t="shared" si="546"/>
        <v>23953.336340808211</v>
      </c>
      <c r="W100" s="66">
        <f t="shared" si="546"/>
        <v>25270.216726254042</v>
      </c>
      <c r="X100" s="66">
        <f t="shared" si="542"/>
        <v>26587.09711169987</v>
      </c>
      <c r="Y100" s="66">
        <f t="shared" ref="Y100:AA100" si="547">Y99*Y89</f>
        <v>27903.977497145697</v>
      </c>
      <c r="Z100" s="66">
        <f t="shared" si="547"/>
        <v>29220.857882591525</v>
      </c>
      <c r="AA100" s="66">
        <f t="shared" si="547"/>
        <v>30537.738268037356</v>
      </c>
      <c r="AB100" s="66">
        <f t="shared" si="542"/>
        <v>31854.618653483183</v>
      </c>
      <c r="AC100" s="66">
        <f t="shared" ref="AC100:AE100" si="548">AC99*AC89</f>
        <v>33171.499038929011</v>
      </c>
      <c r="AD100" s="66">
        <f t="shared" si="548"/>
        <v>34488.379424374842</v>
      </c>
      <c r="AE100" s="66">
        <f t="shared" si="548"/>
        <v>35805.259809820665</v>
      </c>
      <c r="AF100" s="66">
        <f t="shared" si="542"/>
        <v>37122.140195266496</v>
      </c>
      <c r="AG100" s="66">
        <f t="shared" ref="AG100:AI100" si="549">AG99*AG89</f>
        <v>38439.020580712328</v>
      </c>
      <c r="AH100" s="66">
        <f t="shared" si="549"/>
        <v>39755.900966158151</v>
      </c>
      <c r="AI100" s="66">
        <f t="shared" si="549"/>
        <v>41072.781351603982</v>
      </c>
      <c r="AJ100" s="66">
        <f t="shared" si="542"/>
        <v>42389.661737049806</v>
      </c>
      <c r="AK100" s="66">
        <f t="shared" ref="AK100:AM100" si="550">AK99*AK89</f>
        <v>43706.542122495637</v>
      </c>
      <c r="AL100" s="66">
        <f t="shared" si="550"/>
        <v>45023.422507941468</v>
      </c>
      <c r="AM100" s="66">
        <f t="shared" si="550"/>
        <v>46340.302893387292</v>
      </c>
      <c r="AN100" s="66">
        <f t="shared" si="542"/>
        <v>47657.183278833123</v>
      </c>
      <c r="AO100" s="66">
        <f t="shared" ref="AO100:AQ100" si="551">AO99*AO89</f>
        <v>48974.063664278954</v>
      </c>
      <c r="AP100" s="66">
        <f t="shared" si="551"/>
        <v>50290.944049724778</v>
      </c>
      <c r="AQ100" s="66">
        <f t="shared" si="551"/>
        <v>51607.824435170609</v>
      </c>
      <c r="AR100" s="66">
        <f t="shared" si="542"/>
        <v>52924.704820616433</v>
      </c>
      <c r="AS100" s="76"/>
      <c r="AT100" s="76"/>
      <c r="AU100" s="76"/>
    </row>
    <row r="101" spans="2:47">
      <c r="C101" s="4"/>
      <c r="D101" s="4"/>
      <c r="E101" s="4"/>
      <c r="F101" s="4"/>
      <c r="G101" s="4"/>
      <c r="H101" s="4"/>
      <c r="I101" s="4"/>
      <c r="J101" s="4"/>
      <c r="K101" s="4"/>
      <c r="L101" s="4"/>
      <c r="M101" s="4"/>
      <c r="AB101" s="4"/>
      <c r="AC101" s="4"/>
      <c r="AD101" s="4"/>
      <c r="AE101" s="4"/>
      <c r="AF101" s="4"/>
      <c r="AG101" s="4"/>
      <c r="AH101" s="4"/>
      <c r="AI101" s="4"/>
      <c r="AJ101" s="4"/>
      <c r="AK101" s="4"/>
      <c r="AL101" s="4"/>
      <c r="AM101" s="4"/>
      <c r="AN101" s="4"/>
      <c r="AO101" s="4"/>
      <c r="AP101" s="4"/>
      <c r="AQ101" s="4"/>
      <c r="AR101" s="4"/>
      <c r="AS101" s="76"/>
      <c r="AT101" s="76"/>
      <c r="AU101" s="76"/>
    </row>
    <row r="102" spans="2:47">
      <c r="B102" t="s">
        <v>34</v>
      </c>
      <c r="C102" s="4">
        <f>C82-C83</f>
        <v>6820.3486017035593</v>
      </c>
      <c r="D102" s="4"/>
      <c r="E102" s="4">
        <f>E82-E83</f>
        <v>12592.874917499146</v>
      </c>
      <c r="F102" s="4">
        <f>F82-F83</f>
        <v>19198.004168199026</v>
      </c>
      <c r="G102" s="4">
        <f>G82-G83</f>
        <v>25803.133418898899</v>
      </c>
      <c r="H102" s="4">
        <f>H82-H83</f>
        <v>32408.262669598771</v>
      </c>
      <c r="I102" s="4">
        <f t="shared" ref="I102:J102" si="552">I82-I83</f>
        <v>39013.391920298658</v>
      </c>
      <c r="J102" s="4">
        <f t="shared" si="552"/>
        <v>45618.521170998545</v>
      </c>
      <c r="K102" s="4">
        <f t="shared" ref="K102" si="553">K82-K83</f>
        <v>52223.650421698403</v>
      </c>
      <c r="L102" s="4">
        <f t="shared" ref="L102:AR102" si="554">L82-L83</f>
        <v>58828.779672398319</v>
      </c>
      <c r="M102" s="4">
        <f t="shared" ref="M102:O102" si="555">M82-M83</f>
        <v>65433.908923098177</v>
      </c>
      <c r="N102" s="4">
        <f t="shared" si="555"/>
        <v>72039.038173798064</v>
      </c>
      <c r="O102" s="4">
        <f t="shared" si="555"/>
        <v>78644.167424497951</v>
      </c>
      <c r="P102" s="4">
        <f t="shared" si="554"/>
        <v>85249.296675197838</v>
      </c>
      <c r="Q102" s="4">
        <f t="shared" ref="Q102:R102" si="556">Q82-Q83</f>
        <v>91854.425925897667</v>
      </c>
      <c r="R102" s="4">
        <f t="shared" si="556"/>
        <v>98459.555176597554</v>
      </c>
      <c r="S102" s="4">
        <f t="shared" ref="S102" si="557">S82-S83</f>
        <v>105064.6844272975</v>
      </c>
      <c r="T102" s="4">
        <f t="shared" si="554"/>
        <v>111669.81367799733</v>
      </c>
      <c r="U102" s="4">
        <f t="shared" ref="U102:W102" si="558">U82-U83</f>
        <v>118274.94292869722</v>
      </c>
      <c r="V102" s="4">
        <f t="shared" si="558"/>
        <v>124880.0721793971</v>
      </c>
      <c r="W102" s="4">
        <f t="shared" si="558"/>
        <v>131485.20143009699</v>
      </c>
      <c r="X102" s="4">
        <f t="shared" si="554"/>
        <v>138090.33068079688</v>
      </c>
      <c r="Y102" s="4">
        <f t="shared" ref="Y102:AA102" si="559">Y82-Y83</f>
        <v>144695.45993149676</v>
      </c>
      <c r="Z102" s="4">
        <f t="shared" si="559"/>
        <v>151300.58918219665</v>
      </c>
      <c r="AA102" s="4">
        <f t="shared" si="559"/>
        <v>157905.71843289654</v>
      </c>
      <c r="AB102" s="4">
        <f t="shared" si="554"/>
        <v>164510.84768359642</v>
      </c>
      <c r="AC102" s="4">
        <f t="shared" ref="AC102:AE102" si="560">AC82-AC83</f>
        <v>171115.97693429631</v>
      </c>
      <c r="AD102" s="4">
        <f t="shared" si="560"/>
        <v>177721.1061849962</v>
      </c>
      <c r="AE102" s="4">
        <f t="shared" si="560"/>
        <v>184326.23543569597</v>
      </c>
      <c r="AF102" s="4">
        <f t="shared" si="554"/>
        <v>190931.36468639597</v>
      </c>
      <c r="AG102" s="4">
        <f t="shared" ref="AG102:AI102" si="561">AG82-AG83</f>
        <v>197536.49393709586</v>
      </c>
      <c r="AH102" s="4">
        <f t="shared" si="561"/>
        <v>204141.62318779563</v>
      </c>
      <c r="AI102" s="4">
        <f t="shared" si="561"/>
        <v>210746.75243849563</v>
      </c>
      <c r="AJ102" s="4">
        <f t="shared" si="554"/>
        <v>217351.88168919529</v>
      </c>
      <c r="AK102" s="4">
        <f t="shared" ref="AK102:AM102" si="562">AK82-AK83</f>
        <v>223957.01093989518</v>
      </c>
      <c r="AL102" s="4">
        <f t="shared" si="562"/>
        <v>230562.1401905953</v>
      </c>
      <c r="AM102" s="4">
        <f t="shared" si="562"/>
        <v>237167.26944129495</v>
      </c>
      <c r="AN102" s="4">
        <f t="shared" si="554"/>
        <v>243772.39869199507</v>
      </c>
      <c r="AO102" s="4">
        <f t="shared" ref="AO102:AQ102" si="563">AO82-AO83</f>
        <v>250377.52794269496</v>
      </c>
      <c r="AP102" s="4">
        <f t="shared" si="563"/>
        <v>256982.65719339461</v>
      </c>
      <c r="AQ102" s="4">
        <f t="shared" si="563"/>
        <v>263587.7864440945</v>
      </c>
      <c r="AR102" s="4">
        <f t="shared" si="554"/>
        <v>270192.91569479438</v>
      </c>
      <c r="AS102" s="76"/>
      <c r="AT102" s="76"/>
      <c r="AU102" s="76"/>
    </row>
    <row r="103" spans="2:47">
      <c r="B103" t="s">
        <v>35</v>
      </c>
      <c r="C103" s="7">
        <f>C102/C82</f>
        <v>0.29913877091784141</v>
      </c>
      <c r="D103" s="7"/>
      <c r="E103" s="7">
        <f>E102/E82</f>
        <v>0.33498036383584157</v>
      </c>
      <c r="F103" s="7">
        <f>F102/F82</f>
        <v>0.27743580756367758</v>
      </c>
      <c r="G103" s="7">
        <f>G102/G82</f>
        <v>0.25597550932936819</v>
      </c>
      <c r="H103" s="7">
        <f>H102/H82</f>
        <v>0.24476012309343426</v>
      </c>
      <c r="I103" s="7">
        <f t="shared" ref="I103:J103" si="564">I102/I82</f>
        <v>0.23786711233468658</v>
      </c>
      <c r="J103" s="7">
        <f t="shared" si="564"/>
        <v>0.23320144175469681</v>
      </c>
      <c r="K103" s="7">
        <f t="shared" ref="K103" si="565">K102/K82</f>
        <v>0.22983369171641202</v>
      </c>
      <c r="L103" s="7">
        <f t="shared" ref="L103:AR103" si="566">L102/L82</f>
        <v>0.22728840180314716</v>
      </c>
      <c r="M103" s="7">
        <f t="shared" ref="M103:O103" si="567">M102/M82</f>
        <v>0.22529707073709473</v>
      </c>
      <c r="N103" s="7">
        <f t="shared" si="567"/>
        <v>0.22369660082924489</v>
      </c>
      <c r="O103" s="7">
        <f t="shared" si="567"/>
        <v>0.22238219846023125</v>
      </c>
      <c r="P103" s="7">
        <f t="shared" si="566"/>
        <v>0.22128345829809828</v>
      </c>
      <c r="Q103" s="7">
        <f t="shared" ref="Q103:R103" si="568">Q102/Q82</f>
        <v>0.22035132701751908</v>
      </c>
      <c r="R103" s="7">
        <f t="shared" si="568"/>
        <v>0.2195505794002437</v>
      </c>
      <c r="S103" s="7">
        <f t="shared" ref="S103" si="569">S102/S82</f>
        <v>0.21885526645776174</v>
      </c>
      <c r="T103" s="7">
        <f t="shared" si="566"/>
        <v>0.21824585053257231</v>
      </c>
      <c r="U103" s="7">
        <f t="shared" ref="U103:W103" si="570">U102/U82</f>
        <v>0.21770734039581935</v>
      </c>
      <c r="V103" s="7">
        <f t="shared" si="570"/>
        <v>0.21722804150432792</v>
      </c>
      <c r="W103" s="7">
        <f t="shared" si="570"/>
        <v>0.21679869701693269</v>
      </c>
      <c r="X103" s="7">
        <f t="shared" si="566"/>
        <v>0.21641188408773462</v>
      </c>
      <c r="Y103" s="7">
        <f t="shared" ref="Y103:AA103" si="571">Y102/Y82</f>
        <v>0.21606158110478707</v>
      </c>
      <c r="Z103" s="7">
        <f t="shared" si="571"/>
        <v>0.21574285194688325</v>
      </c>
      <c r="AA103" s="7">
        <f t="shared" si="571"/>
        <v>0.21545161193520432</v>
      </c>
      <c r="AB103" s="7">
        <f t="shared" si="566"/>
        <v>0.2151844518387809</v>
      </c>
      <c r="AC103" s="7">
        <f t="shared" ref="AC103:AE103" si="572">AC102/AC82</f>
        <v>0.21493850380095886</v>
      </c>
      <c r="AD103" s="7">
        <f t="shared" si="572"/>
        <v>0.21471133798209008</v>
      </c>
      <c r="AE103" s="7">
        <f t="shared" si="572"/>
        <v>0.21450088201047277</v>
      </c>
      <c r="AF103" s="7">
        <f t="shared" si="566"/>
        <v>0.21430535757780061</v>
      </c>
      <c r="AG103" s="7">
        <f t="shared" ref="AG103:AI103" si="573">AG102/AG82</f>
        <v>0.21412323006764988</v>
      </c>
      <c r="AH103" s="7">
        <f t="shared" si="573"/>
        <v>0.21395316819504914</v>
      </c>
      <c r="AI103" s="7">
        <f t="shared" si="573"/>
        <v>0.21379401141029364</v>
      </c>
      <c r="AJ103" s="7">
        <f t="shared" si="566"/>
        <v>0.21364474337857181</v>
      </c>
      <c r="AK103" s="7">
        <f t="shared" ref="AK103:AM103" si="574">AK102/AK82</f>
        <v>0.21350447025395575</v>
      </c>
      <c r="AL103" s="7">
        <f t="shared" si="574"/>
        <v>0.21337240276614497</v>
      </c>
      <c r="AM103" s="7">
        <f t="shared" si="574"/>
        <v>0.21324784136152253</v>
      </c>
      <c r="AN103" s="7">
        <f t="shared" si="566"/>
        <v>0.21313016380773864</v>
      </c>
      <c r="AO103" s="7">
        <f t="shared" ref="AO103:AQ103" si="575">AO102/AO82</f>
        <v>0.21301881479811821</v>
      </c>
      <c r="AP103" s="7">
        <f t="shared" si="575"/>
        <v>0.21291329718933844</v>
      </c>
      <c r="AQ103" s="7">
        <f t="shared" si="575"/>
        <v>0.21281316458063743</v>
      </c>
      <c r="AR103" s="7">
        <f t="shared" si="566"/>
        <v>0.21271801500089385</v>
      </c>
      <c r="AS103" s="38"/>
      <c r="AT103" s="38"/>
      <c r="AU103" s="38"/>
    </row>
    <row r="107" spans="2:47" ht="21">
      <c r="B107" s="65" t="s">
        <v>1</v>
      </c>
    </row>
    <row r="108" spans="2:47">
      <c r="B108" t="s">
        <v>25</v>
      </c>
      <c r="C108" s="4">
        <f>C126*C120</f>
        <v>29373.409537059757</v>
      </c>
      <c r="D108" s="4"/>
      <c r="E108" s="4">
        <f>E126*E120</f>
        <v>35024.192497002281</v>
      </c>
      <c r="F108" s="4">
        <f>F126*F120</f>
        <v>64397.602034062045</v>
      </c>
      <c r="G108" s="4">
        <f>G126*G120</f>
        <v>93771.011571121795</v>
      </c>
      <c r="H108" s="4">
        <f>H126*H120</f>
        <v>123144.42110818156</v>
      </c>
      <c r="I108" s="4">
        <f t="shared" ref="I108:J108" si="576">I126*I120</f>
        <v>152517.83064524131</v>
      </c>
      <c r="J108" s="4">
        <f t="shared" si="576"/>
        <v>181891.24018230109</v>
      </c>
      <c r="K108" s="4">
        <f t="shared" ref="K108" si="577">K126*K120</f>
        <v>211264.64971936084</v>
      </c>
      <c r="L108" s="4">
        <f t="shared" ref="L108:AR108" si="578">L126*L120</f>
        <v>240638.05925642059</v>
      </c>
      <c r="M108" s="4">
        <f t="shared" ref="M108:O108" si="579">M126*M120</f>
        <v>270011.46879348037</v>
      </c>
      <c r="N108" s="4">
        <f t="shared" si="579"/>
        <v>299384.87833054009</v>
      </c>
      <c r="O108" s="4">
        <f t="shared" si="579"/>
        <v>328758.28786759987</v>
      </c>
      <c r="P108" s="4">
        <f t="shared" si="578"/>
        <v>358131.69740465959</v>
      </c>
      <c r="Q108" s="4">
        <f t="shared" ref="Q108:R108" si="580">Q126*Q120</f>
        <v>387505.10694171936</v>
      </c>
      <c r="R108" s="4">
        <f t="shared" si="580"/>
        <v>416878.51647877914</v>
      </c>
      <c r="S108" s="4">
        <f t="shared" ref="S108" si="581">S126*S120</f>
        <v>446251.92601583886</v>
      </c>
      <c r="T108" s="4">
        <f t="shared" si="578"/>
        <v>475625.3355528987</v>
      </c>
      <c r="U108" s="4">
        <f t="shared" ref="U108:W108" si="582">U126*U120</f>
        <v>504998.74508995836</v>
      </c>
      <c r="V108" s="4">
        <f t="shared" si="582"/>
        <v>534372.15462701814</v>
      </c>
      <c r="W108" s="4">
        <f t="shared" si="582"/>
        <v>563745.56416407786</v>
      </c>
      <c r="X108" s="4">
        <f t="shared" si="578"/>
        <v>593118.9737011377</v>
      </c>
      <c r="Y108" s="4">
        <f t="shared" ref="Y108:AA108" si="583">Y126*Y120</f>
        <v>622492.38323819742</v>
      </c>
      <c r="Z108" s="4">
        <f t="shared" si="583"/>
        <v>651865.79277525714</v>
      </c>
      <c r="AA108" s="4">
        <f t="shared" si="583"/>
        <v>681239.20231231698</v>
      </c>
      <c r="AB108" s="4">
        <f t="shared" si="578"/>
        <v>710612.6118493767</v>
      </c>
      <c r="AC108" s="4">
        <f t="shared" ref="AC108:AE108" si="584">AC126*AC120</f>
        <v>739986.02138643642</v>
      </c>
      <c r="AD108" s="4">
        <f t="shared" si="584"/>
        <v>769359.43092349614</v>
      </c>
      <c r="AE108" s="4">
        <f t="shared" si="584"/>
        <v>798732.84046055598</v>
      </c>
      <c r="AF108" s="4">
        <f t="shared" si="578"/>
        <v>828106.24999761581</v>
      </c>
      <c r="AG108" s="4">
        <f t="shared" ref="AG108:AI108" si="585">AG126*AG120</f>
        <v>857479.65953467553</v>
      </c>
      <c r="AH108" s="4">
        <f t="shared" si="585"/>
        <v>886853.06907173526</v>
      </c>
      <c r="AI108" s="4">
        <f t="shared" si="585"/>
        <v>916226.47860879498</v>
      </c>
      <c r="AJ108" s="4">
        <f t="shared" si="578"/>
        <v>945599.8881458547</v>
      </c>
      <c r="AK108" s="4">
        <f t="shared" ref="AK108:AM108" si="586">AK126*AK120</f>
        <v>974973.29768291442</v>
      </c>
      <c r="AL108" s="4">
        <f t="shared" si="586"/>
        <v>1004346.7072199743</v>
      </c>
      <c r="AM108" s="4">
        <f t="shared" si="586"/>
        <v>1033720.1167570341</v>
      </c>
      <c r="AN108" s="4">
        <f t="shared" si="578"/>
        <v>1063093.5262940938</v>
      </c>
      <c r="AO108" s="4">
        <f t="shared" ref="AO108:AQ108" si="587">AO126*AO120</f>
        <v>1092466.9358311535</v>
      </c>
      <c r="AP108" s="4">
        <f t="shared" si="587"/>
        <v>1121840.3453682135</v>
      </c>
      <c r="AQ108" s="4">
        <f t="shared" si="587"/>
        <v>1151213.754905273</v>
      </c>
      <c r="AR108" s="4">
        <f t="shared" si="578"/>
        <v>1180587.1644423327</v>
      </c>
      <c r="AS108" s="76"/>
      <c r="AT108" s="76"/>
      <c r="AU108" s="76"/>
    </row>
    <row r="109" spans="2:47" s="63" customFormat="1">
      <c r="B109" s="63" t="s">
        <v>26</v>
      </c>
      <c r="C109" s="66">
        <f>'DATA ENTRY'!C5</f>
        <v>25000</v>
      </c>
      <c r="D109" s="66"/>
      <c r="E109" s="66">
        <v>25000</v>
      </c>
      <c r="F109" s="66">
        <v>50000</v>
      </c>
      <c r="G109" s="66">
        <v>75000</v>
      </c>
      <c r="H109" s="66">
        <v>100000</v>
      </c>
      <c r="I109" s="66">
        <v>125000</v>
      </c>
      <c r="J109" s="66">
        <v>150000</v>
      </c>
      <c r="K109" s="66">
        <v>175000</v>
      </c>
      <c r="L109" s="66">
        <v>200000</v>
      </c>
      <c r="M109" s="66">
        <v>225000</v>
      </c>
      <c r="N109" s="66">
        <v>250000</v>
      </c>
      <c r="O109" s="66">
        <v>275000</v>
      </c>
      <c r="P109" s="66">
        <v>300000</v>
      </c>
      <c r="Q109" s="66">
        <v>325000</v>
      </c>
      <c r="R109" s="66">
        <v>350000</v>
      </c>
      <c r="S109" s="66">
        <v>375000</v>
      </c>
      <c r="T109" s="66">
        <v>400000</v>
      </c>
      <c r="U109" s="66">
        <v>425000</v>
      </c>
      <c r="V109" s="66">
        <v>450000</v>
      </c>
      <c r="W109" s="66">
        <v>475000</v>
      </c>
      <c r="X109" s="66">
        <v>500000</v>
      </c>
      <c r="Y109" s="66">
        <v>525000</v>
      </c>
      <c r="Z109" s="66">
        <v>550000</v>
      </c>
      <c r="AA109" s="66">
        <v>575000</v>
      </c>
      <c r="AB109" s="66">
        <v>600000</v>
      </c>
      <c r="AC109" s="66">
        <v>625000</v>
      </c>
      <c r="AD109" s="66">
        <v>650000</v>
      </c>
      <c r="AE109" s="66">
        <v>675000</v>
      </c>
      <c r="AF109" s="66">
        <v>700000</v>
      </c>
      <c r="AG109" s="66">
        <v>725000</v>
      </c>
      <c r="AH109" s="66">
        <v>750000</v>
      </c>
      <c r="AI109" s="66">
        <v>775000</v>
      </c>
      <c r="AJ109" s="66">
        <v>800000</v>
      </c>
      <c r="AK109" s="66">
        <v>825000</v>
      </c>
      <c r="AL109" s="66">
        <v>850000</v>
      </c>
      <c r="AM109" s="66">
        <v>875000</v>
      </c>
      <c r="AN109" s="66">
        <v>900000</v>
      </c>
      <c r="AO109" s="66">
        <v>925000</v>
      </c>
      <c r="AP109" s="66">
        <v>950000</v>
      </c>
      <c r="AQ109" s="66">
        <v>975000</v>
      </c>
      <c r="AR109" s="66">
        <v>1000000</v>
      </c>
      <c r="AS109" s="76"/>
      <c r="AT109" s="76"/>
      <c r="AU109" s="76"/>
    </row>
    <row r="110" spans="2:47">
      <c r="B110" t="s">
        <v>27</v>
      </c>
      <c r="C110" s="4">
        <f t="shared" ref="C110:AR110" si="588">C109*0.07</f>
        <v>1750.0000000000002</v>
      </c>
      <c r="D110" s="4"/>
      <c r="E110" s="4">
        <f t="shared" si="588"/>
        <v>1750.0000000000002</v>
      </c>
      <c r="F110" s="4">
        <f t="shared" si="588"/>
        <v>3500.0000000000005</v>
      </c>
      <c r="G110" s="4">
        <f t="shared" si="588"/>
        <v>5250.0000000000009</v>
      </c>
      <c r="H110" s="4">
        <f t="shared" si="588"/>
        <v>7000.0000000000009</v>
      </c>
      <c r="I110" s="4">
        <f t="shared" si="588"/>
        <v>8750</v>
      </c>
      <c r="J110" s="4">
        <f t="shared" si="588"/>
        <v>10500.000000000002</v>
      </c>
      <c r="K110" s="4">
        <f t="shared" si="588"/>
        <v>12250.000000000002</v>
      </c>
      <c r="L110" s="4">
        <f t="shared" si="588"/>
        <v>14000.000000000002</v>
      </c>
      <c r="M110" s="4">
        <f t="shared" si="588"/>
        <v>15750.000000000002</v>
      </c>
      <c r="N110" s="4">
        <f t="shared" si="588"/>
        <v>17500</v>
      </c>
      <c r="O110" s="4">
        <f t="shared" si="588"/>
        <v>19250.000000000004</v>
      </c>
      <c r="P110" s="4">
        <f t="shared" si="588"/>
        <v>21000.000000000004</v>
      </c>
      <c r="Q110" s="4">
        <f t="shared" si="588"/>
        <v>22750.000000000004</v>
      </c>
      <c r="R110" s="4">
        <f t="shared" si="588"/>
        <v>24500.000000000004</v>
      </c>
      <c r="S110" s="4">
        <f t="shared" si="588"/>
        <v>26250.000000000004</v>
      </c>
      <c r="T110" s="4">
        <f t="shared" si="588"/>
        <v>28000.000000000004</v>
      </c>
      <c r="U110" s="4">
        <f t="shared" si="588"/>
        <v>29750.000000000004</v>
      </c>
      <c r="V110" s="4">
        <f t="shared" si="588"/>
        <v>31500.000000000004</v>
      </c>
      <c r="W110" s="4">
        <f t="shared" si="588"/>
        <v>33250</v>
      </c>
      <c r="X110" s="4">
        <f t="shared" si="588"/>
        <v>35000</v>
      </c>
      <c r="Y110" s="4">
        <f t="shared" si="588"/>
        <v>36750</v>
      </c>
      <c r="Z110" s="4">
        <f t="shared" si="588"/>
        <v>38500.000000000007</v>
      </c>
      <c r="AA110" s="4">
        <f t="shared" si="588"/>
        <v>40250.000000000007</v>
      </c>
      <c r="AB110" s="4">
        <f t="shared" si="588"/>
        <v>42000.000000000007</v>
      </c>
      <c r="AC110" s="4">
        <f t="shared" si="588"/>
        <v>43750.000000000007</v>
      </c>
      <c r="AD110" s="4">
        <f t="shared" si="588"/>
        <v>45500.000000000007</v>
      </c>
      <c r="AE110" s="4">
        <f t="shared" si="588"/>
        <v>47250.000000000007</v>
      </c>
      <c r="AF110" s="4">
        <f t="shared" si="588"/>
        <v>49000.000000000007</v>
      </c>
      <c r="AG110" s="4">
        <f t="shared" si="588"/>
        <v>50750.000000000007</v>
      </c>
      <c r="AH110" s="4">
        <f t="shared" si="588"/>
        <v>52500.000000000007</v>
      </c>
      <c r="AI110" s="4">
        <f t="shared" si="588"/>
        <v>54250.000000000007</v>
      </c>
      <c r="AJ110" s="4">
        <f t="shared" si="588"/>
        <v>56000.000000000007</v>
      </c>
      <c r="AK110" s="4">
        <f t="shared" si="588"/>
        <v>57750.000000000007</v>
      </c>
      <c r="AL110" s="4">
        <f t="shared" si="588"/>
        <v>59500.000000000007</v>
      </c>
      <c r="AM110" s="4">
        <f t="shared" si="588"/>
        <v>61250.000000000007</v>
      </c>
      <c r="AN110" s="4">
        <f t="shared" si="588"/>
        <v>63000.000000000007</v>
      </c>
      <c r="AO110" s="4">
        <f t="shared" si="588"/>
        <v>64750.000000000007</v>
      </c>
      <c r="AP110" s="4">
        <f t="shared" si="588"/>
        <v>66500</v>
      </c>
      <c r="AQ110" s="4">
        <f t="shared" si="588"/>
        <v>68250</v>
      </c>
      <c r="AR110" s="4">
        <f t="shared" si="588"/>
        <v>70000</v>
      </c>
      <c r="AS110" s="76"/>
      <c r="AT110" s="76"/>
      <c r="AU110" s="76"/>
    </row>
    <row r="111" spans="2:47">
      <c r="B111" t="s">
        <v>10</v>
      </c>
      <c r="C111" s="4">
        <f>(C109/1000)*C120</f>
        <v>300</v>
      </c>
      <c r="D111" s="4"/>
      <c r="E111" s="4">
        <f>(E109/1000)*E120</f>
        <v>300</v>
      </c>
      <c r="F111" s="4">
        <f>(F109/1000)*F120</f>
        <v>600</v>
      </c>
      <c r="G111" s="4">
        <f>(G109/1000)*G120</f>
        <v>900</v>
      </c>
      <c r="H111" s="4">
        <f>(H109/1000)*H120</f>
        <v>1200</v>
      </c>
      <c r="I111" s="4">
        <f t="shared" ref="I111:J111" si="589">(I109/1000)*I120</f>
        <v>1500</v>
      </c>
      <c r="J111" s="4">
        <f t="shared" si="589"/>
        <v>1800</v>
      </c>
      <c r="K111" s="4">
        <f t="shared" ref="K111" si="590">(K109/1000)*K120</f>
        <v>2100</v>
      </c>
      <c r="L111" s="4">
        <f t="shared" ref="L111:AR111" si="591">(L109/1000)*L120</f>
        <v>2400</v>
      </c>
      <c r="M111" s="4">
        <f t="shared" ref="M111:O111" si="592">(M109/1000)*M120</f>
        <v>2700</v>
      </c>
      <c r="N111" s="4">
        <f t="shared" si="592"/>
        <v>3000</v>
      </c>
      <c r="O111" s="4">
        <f t="shared" si="592"/>
        <v>3300</v>
      </c>
      <c r="P111" s="4">
        <f t="shared" si="591"/>
        <v>3600</v>
      </c>
      <c r="Q111" s="4">
        <f t="shared" ref="Q111:R111" si="593">(Q109/1000)*Q120</f>
        <v>3900</v>
      </c>
      <c r="R111" s="4">
        <f t="shared" si="593"/>
        <v>4200</v>
      </c>
      <c r="S111" s="4">
        <f t="shared" ref="S111" si="594">(S109/1000)*S120</f>
        <v>4500</v>
      </c>
      <c r="T111" s="4">
        <f t="shared" si="591"/>
        <v>4800</v>
      </c>
      <c r="U111" s="4">
        <f t="shared" ref="U111:W111" si="595">(U109/1000)*U120</f>
        <v>5100</v>
      </c>
      <c r="V111" s="4">
        <f t="shared" si="595"/>
        <v>5400</v>
      </c>
      <c r="W111" s="4">
        <f t="shared" si="595"/>
        <v>5700</v>
      </c>
      <c r="X111" s="4">
        <f t="shared" si="591"/>
        <v>6000</v>
      </c>
      <c r="Y111" s="4">
        <f t="shared" ref="Y111:AA111" si="596">(Y109/1000)*Y120</f>
        <v>6300</v>
      </c>
      <c r="Z111" s="4">
        <f t="shared" si="596"/>
        <v>6600</v>
      </c>
      <c r="AA111" s="4">
        <f t="shared" si="596"/>
        <v>6900</v>
      </c>
      <c r="AB111" s="4">
        <f t="shared" si="591"/>
        <v>7200</v>
      </c>
      <c r="AC111" s="4">
        <f t="shared" ref="AC111:AE111" si="597">(AC109/1000)*AC120</f>
        <v>7500</v>
      </c>
      <c r="AD111" s="4">
        <f t="shared" si="597"/>
        <v>7800</v>
      </c>
      <c r="AE111" s="4">
        <f t="shared" si="597"/>
        <v>8100</v>
      </c>
      <c r="AF111" s="4">
        <f t="shared" si="591"/>
        <v>8400</v>
      </c>
      <c r="AG111" s="4">
        <f t="shared" ref="AG111:AI111" si="598">(AG109/1000)*AG120</f>
        <v>8700</v>
      </c>
      <c r="AH111" s="4">
        <f t="shared" si="598"/>
        <v>9000</v>
      </c>
      <c r="AI111" s="4">
        <f t="shared" si="598"/>
        <v>9300</v>
      </c>
      <c r="AJ111" s="4">
        <f t="shared" si="591"/>
        <v>9600</v>
      </c>
      <c r="AK111" s="4">
        <f t="shared" ref="AK111:AM111" si="599">(AK109/1000)*AK120</f>
        <v>9900</v>
      </c>
      <c r="AL111" s="4">
        <f t="shared" si="599"/>
        <v>10200</v>
      </c>
      <c r="AM111" s="4">
        <f t="shared" si="599"/>
        <v>10500</v>
      </c>
      <c r="AN111" s="4">
        <f t="shared" si="591"/>
        <v>10800</v>
      </c>
      <c r="AO111" s="4">
        <f t="shared" ref="AO111:AQ111" si="600">(AO109/1000)*AO120</f>
        <v>11100</v>
      </c>
      <c r="AP111" s="4">
        <f t="shared" si="600"/>
        <v>11400</v>
      </c>
      <c r="AQ111" s="4">
        <f t="shared" si="600"/>
        <v>11700</v>
      </c>
      <c r="AR111" s="4">
        <f t="shared" si="591"/>
        <v>12000</v>
      </c>
      <c r="AS111" s="76"/>
      <c r="AT111" s="76"/>
      <c r="AU111" s="76"/>
    </row>
    <row r="112" spans="2:47">
      <c r="B112" t="s">
        <v>11</v>
      </c>
      <c r="C112" s="4">
        <f>'DATA ENTRY'!C10</f>
        <v>0</v>
      </c>
      <c r="D112" s="4"/>
      <c r="E112" s="4">
        <v>5000</v>
      </c>
      <c r="F112" s="4">
        <v>5000</v>
      </c>
      <c r="G112" s="4">
        <v>5000</v>
      </c>
      <c r="H112" s="4">
        <v>5000</v>
      </c>
      <c r="I112" s="4">
        <v>5000</v>
      </c>
      <c r="J112" s="4">
        <v>5000</v>
      </c>
      <c r="K112" s="4">
        <v>5000</v>
      </c>
      <c r="L112" s="4">
        <v>5000</v>
      </c>
      <c r="M112" s="4">
        <v>5000</v>
      </c>
      <c r="N112" s="4">
        <v>5000</v>
      </c>
      <c r="O112" s="4">
        <v>5000</v>
      </c>
      <c r="P112" s="4">
        <v>5000</v>
      </c>
      <c r="Q112" s="4">
        <f t="shared" ref="Q112:AR112" si="601">O112</f>
        <v>5000</v>
      </c>
      <c r="R112" s="4">
        <f t="shared" si="601"/>
        <v>5000</v>
      </c>
      <c r="S112" s="4">
        <f t="shared" si="601"/>
        <v>5000</v>
      </c>
      <c r="T112" s="4">
        <f t="shared" si="601"/>
        <v>5000</v>
      </c>
      <c r="U112" s="4">
        <f t="shared" si="601"/>
        <v>5000</v>
      </c>
      <c r="V112" s="4">
        <f t="shared" si="601"/>
        <v>5000</v>
      </c>
      <c r="W112" s="4">
        <f t="shared" si="601"/>
        <v>5000</v>
      </c>
      <c r="X112" s="4">
        <f t="shared" si="601"/>
        <v>5000</v>
      </c>
      <c r="Y112" s="4">
        <f t="shared" si="601"/>
        <v>5000</v>
      </c>
      <c r="Z112" s="4">
        <f t="shared" si="601"/>
        <v>5000</v>
      </c>
      <c r="AA112" s="4">
        <f t="shared" si="601"/>
        <v>5000</v>
      </c>
      <c r="AB112" s="4">
        <f t="shared" si="601"/>
        <v>5000</v>
      </c>
      <c r="AC112" s="4">
        <f t="shared" si="601"/>
        <v>5000</v>
      </c>
      <c r="AD112" s="4">
        <f t="shared" si="601"/>
        <v>5000</v>
      </c>
      <c r="AE112" s="4">
        <f t="shared" si="601"/>
        <v>5000</v>
      </c>
      <c r="AF112" s="4">
        <f t="shared" si="601"/>
        <v>5000</v>
      </c>
      <c r="AG112" s="4">
        <f t="shared" si="601"/>
        <v>5000</v>
      </c>
      <c r="AH112" s="4">
        <f t="shared" si="601"/>
        <v>5000</v>
      </c>
      <c r="AI112" s="4">
        <f t="shared" si="601"/>
        <v>5000</v>
      </c>
      <c r="AJ112" s="4">
        <f t="shared" si="601"/>
        <v>5000</v>
      </c>
      <c r="AK112" s="4">
        <f t="shared" si="601"/>
        <v>5000</v>
      </c>
      <c r="AL112" s="4">
        <f t="shared" si="601"/>
        <v>5000</v>
      </c>
      <c r="AM112" s="4">
        <f t="shared" si="601"/>
        <v>5000</v>
      </c>
      <c r="AN112" s="4">
        <f t="shared" si="601"/>
        <v>5000</v>
      </c>
      <c r="AO112" s="4">
        <f t="shared" si="601"/>
        <v>5000</v>
      </c>
      <c r="AP112" s="4">
        <f t="shared" si="601"/>
        <v>5000</v>
      </c>
      <c r="AQ112" s="4">
        <f t="shared" si="601"/>
        <v>5000</v>
      </c>
      <c r="AR112" s="4">
        <f t="shared" si="601"/>
        <v>5000</v>
      </c>
      <c r="AS112" s="76"/>
      <c r="AT112" s="76"/>
      <c r="AU112" s="76"/>
    </row>
    <row r="113" spans="2:47">
      <c r="B113" t="s">
        <v>12</v>
      </c>
      <c r="C113" s="4">
        <f>'DATA ENTRY'!C11</f>
        <v>0</v>
      </c>
      <c r="D113" s="4"/>
      <c r="E113" s="4">
        <v>300</v>
      </c>
      <c r="F113" s="4">
        <v>300</v>
      </c>
      <c r="G113" s="4">
        <v>300</v>
      </c>
      <c r="H113" s="4">
        <v>300</v>
      </c>
      <c r="I113" s="4">
        <v>300</v>
      </c>
      <c r="J113" s="4">
        <v>300</v>
      </c>
      <c r="K113" s="4">
        <v>300</v>
      </c>
      <c r="L113" s="4">
        <v>300</v>
      </c>
      <c r="M113" s="4">
        <v>300</v>
      </c>
      <c r="N113" s="4">
        <v>300</v>
      </c>
      <c r="O113" s="4">
        <v>300</v>
      </c>
      <c r="P113" s="4">
        <v>300</v>
      </c>
      <c r="Q113" s="4">
        <f t="shared" ref="Q113:AR113" si="602">O113</f>
        <v>300</v>
      </c>
      <c r="R113" s="4">
        <f t="shared" si="602"/>
        <v>300</v>
      </c>
      <c r="S113" s="4">
        <f t="shared" si="602"/>
        <v>300</v>
      </c>
      <c r="T113" s="4">
        <f t="shared" si="602"/>
        <v>300</v>
      </c>
      <c r="U113" s="4">
        <f t="shared" si="602"/>
        <v>300</v>
      </c>
      <c r="V113" s="4">
        <f t="shared" si="602"/>
        <v>300</v>
      </c>
      <c r="W113" s="4">
        <f t="shared" si="602"/>
        <v>300</v>
      </c>
      <c r="X113" s="4">
        <f t="shared" si="602"/>
        <v>300</v>
      </c>
      <c r="Y113" s="4">
        <f t="shared" si="602"/>
        <v>300</v>
      </c>
      <c r="Z113" s="4">
        <f t="shared" si="602"/>
        <v>300</v>
      </c>
      <c r="AA113" s="4">
        <f t="shared" si="602"/>
        <v>300</v>
      </c>
      <c r="AB113" s="4">
        <f t="shared" si="602"/>
        <v>300</v>
      </c>
      <c r="AC113" s="4">
        <f t="shared" si="602"/>
        <v>300</v>
      </c>
      <c r="AD113" s="4">
        <f t="shared" si="602"/>
        <v>300</v>
      </c>
      <c r="AE113" s="4">
        <f t="shared" si="602"/>
        <v>300</v>
      </c>
      <c r="AF113" s="4">
        <f t="shared" si="602"/>
        <v>300</v>
      </c>
      <c r="AG113" s="4">
        <f t="shared" si="602"/>
        <v>300</v>
      </c>
      <c r="AH113" s="4">
        <f t="shared" si="602"/>
        <v>300</v>
      </c>
      <c r="AI113" s="4">
        <f t="shared" si="602"/>
        <v>300</v>
      </c>
      <c r="AJ113" s="4">
        <f t="shared" si="602"/>
        <v>300</v>
      </c>
      <c r="AK113" s="4">
        <f t="shared" si="602"/>
        <v>300</v>
      </c>
      <c r="AL113" s="4">
        <f t="shared" si="602"/>
        <v>300</v>
      </c>
      <c r="AM113" s="4">
        <f t="shared" si="602"/>
        <v>300</v>
      </c>
      <c r="AN113" s="4">
        <f t="shared" si="602"/>
        <v>300</v>
      </c>
      <c r="AO113" s="4">
        <f t="shared" si="602"/>
        <v>300</v>
      </c>
      <c r="AP113" s="4">
        <f t="shared" si="602"/>
        <v>300</v>
      </c>
      <c r="AQ113" s="4">
        <f t="shared" si="602"/>
        <v>300</v>
      </c>
      <c r="AR113" s="4">
        <f t="shared" si="602"/>
        <v>300</v>
      </c>
      <c r="AS113" s="76"/>
      <c r="AT113" s="76"/>
      <c r="AU113" s="76"/>
    </row>
    <row r="114" spans="2:47">
      <c r="B114" t="s">
        <v>13</v>
      </c>
      <c r="C114" s="4">
        <f>C119*C109*2</f>
        <v>500</v>
      </c>
      <c r="D114" s="4"/>
      <c r="E114" s="4">
        <f>E119*E109*2</f>
        <v>500</v>
      </c>
      <c r="F114" s="4">
        <f t="shared" ref="F114:AR114" si="603">F119*F109*2</f>
        <v>1000</v>
      </c>
      <c r="G114" s="4">
        <f t="shared" si="603"/>
        <v>1500</v>
      </c>
      <c r="H114" s="4">
        <f t="shared" si="603"/>
        <v>2000</v>
      </c>
      <c r="I114" s="4">
        <f t="shared" si="603"/>
        <v>2500</v>
      </c>
      <c r="J114" s="4">
        <f t="shared" si="603"/>
        <v>3000</v>
      </c>
      <c r="K114" s="4">
        <f t="shared" si="603"/>
        <v>3500</v>
      </c>
      <c r="L114" s="4">
        <f t="shared" si="603"/>
        <v>4000</v>
      </c>
      <c r="M114" s="4">
        <f t="shared" si="603"/>
        <v>4500</v>
      </c>
      <c r="N114" s="4">
        <f t="shared" si="603"/>
        <v>5000</v>
      </c>
      <c r="O114" s="4">
        <f t="shared" si="603"/>
        <v>5500</v>
      </c>
      <c r="P114" s="4">
        <f t="shared" si="603"/>
        <v>6000</v>
      </c>
      <c r="Q114" s="4">
        <f t="shared" si="603"/>
        <v>6500</v>
      </c>
      <c r="R114" s="4">
        <f t="shared" si="603"/>
        <v>7000</v>
      </c>
      <c r="S114" s="4">
        <f t="shared" si="603"/>
        <v>7500</v>
      </c>
      <c r="T114" s="4">
        <f t="shared" si="603"/>
        <v>8000</v>
      </c>
      <c r="U114" s="4">
        <f t="shared" si="603"/>
        <v>8500</v>
      </c>
      <c r="V114" s="4">
        <f t="shared" si="603"/>
        <v>9000</v>
      </c>
      <c r="W114" s="4">
        <f t="shared" si="603"/>
        <v>9500</v>
      </c>
      <c r="X114" s="4">
        <f t="shared" si="603"/>
        <v>10000</v>
      </c>
      <c r="Y114" s="4">
        <f t="shared" si="603"/>
        <v>10500</v>
      </c>
      <c r="Z114" s="4">
        <f t="shared" si="603"/>
        <v>11000</v>
      </c>
      <c r="AA114" s="4">
        <f t="shared" si="603"/>
        <v>11500</v>
      </c>
      <c r="AB114" s="4">
        <f t="shared" si="603"/>
        <v>12000</v>
      </c>
      <c r="AC114" s="4">
        <f t="shared" si="603"/>
        <v>12500</v>
      </c>
      <c r="AD114" s="4">
        <f t="shared" si="603"/>
        <v>13000</v>
      </c>
      <c r="AE114" s="4">
        <f t="shared" si="603"/>
        <v>13500</v>
      </c>
      <c r="AF114" s="4">
        <f t="shared" si="603"/>
        <v>14000</v>
      </c>
      <c r="AG114" s="4">
        <f t="shared" si="603"/>
        <v>14500</v>
      </c>
      <c r="AH114" s="4">
        <f t="shared" si="603"/>
        <v>15000</v>
      </c>
      <c r="AI114" s="4">
        <f t="shared" si="603"/>
        <v>15500</v>
      </c>
      <c r="AJ114" s="4">
        <f t="shared" si="603"/>
        <v>16000</v>
      </c>
      <c r="AK114" s="4">
        <f t="shared" si="603"/>
        <v>16500</v>
      </c>
      <c r="AL114" s="4">
        <f t="shared" si="603"/>
        <v>17000</v>
      </c>
      <c r="AM114" s="4">
        <f t="shared" si="603"/>
        <v>17500</v>
      </c>
      <c r="AN114" s="4">
        <f t="shared" si="603"/>
        <v>18000</v>
      </c>
      <c r="AO114" s="4">
        <f t="shared" si="603"/>
        <v>18500</v>
      </c>
      <c r="AP114" s="4">
        <f t="shared" si="603"/>
        <v>19000</v>
      </c>
      <c r="AQ114" s="4">
        <f t="shared" si="603"/>
        <v>19500</v>
      </c>
      <c r="AR114" s="4">
        <f t="shared" si="603"/>
        <v>20000</v>
      </c>
      <c r="AS114" s="76"/>
      <c r="AT114" s="76"/>
      <c r="AU114" s="76"/>
    </row>
    <row r="115" spans="2:47">
      <c r="B115" t="s">
        <v>28</v>
      </c>
      <c r="C115" s="4">
        <f>SUM(C109:C114)</f>
        <v>27550</v>
      </c>
      <c r="D115" s="4"/>
      <c r="E115" s="4">
        <f>SUM(E109:E114)</f>
        <v>32850</v>
      </c>
      <c r="F115" s="4">
        <f>SUM(F109:F114)</f>
        <v>60400</v>
      </c>
      <c r="G115" s="4">
        <f>SUM(G109:G114)</f>
        <v>87950</v>
      </c>
      <c r="H115" s="4">
        <f>SUM(H109:H114)</f>
        <v>115500</v>
      </c>
      <c r="I115" s="4">
        <f t="shared" ref="I115:J115" si="604">SUM(I109:I114)</f>
        <v>143050</v>
      </c>
      <c r="J115" s="4">
        <f t="shared" si="604"/>
        <v>170600</v>
      </c>
      <c r="K115" s="4">
        <f t="shared" ref="K115" si="605">SUM(K109:K114)</f>
        <v>198150</v>
      </c>
      <c r="L115" s="4">
        <f t="shared" ref="L115:AR115" si="606">SUM(L109:L114)</f>
        <v>225700</v>
      </c>
      <c r="M115" s="4">
        <f t="shared" ref="M115:O115" si="607">SUM(M109:M114)</f>
        <v>253250</v>
      </c>
      <c r="N115" s="4">
        <f t="shared" si="607"/>
        <v>280800</v>
      </c>
      <c r="O115" s="4">
        <f t="shared" si="607"/>
        <v>308350</v>
      </c>
      <c r="P115" s="4">
        <f t="shared" si="606"/>
        <v>335900</v>
      </c>
      <c r="Q115" s="4">
        <f t="shared" ref="Q115:R115" si="608">SUM(Q109:Q114)</f>
        <v>363450</v>
      </c>
      <c r="R115" s="4">
        <f t="shared" si="608"/>
        <v>391000</v>
      </c>
      <c r="S115" s="4">
        <f t="shared" ref="S115" si="609">SUM(S109:S114)</f>
        <v>418550</v>
      </c>
      <c r="T115" s="4">
        <f t="shared" si="606"/>
        <v>446100</v>
      </c>
      <c r="U115" s="4">
        <f t="shared" ref="U115:W115" si="610">SUM(U109:U114)</f>
        <v>473650</v>
      </c>
      <c r="V115" s="4">
        <f t="shared" si="610"/>
        <v>501200</v>
      </c>
      <c r="W115" s="4">
        <f t="shared" si="610"/>
        <v>528750</v>
      </c>
      <c r="X115" s="4">
        <f t="shared" si="606"/>
        <v>556300</v>
      </c>
      <c r="Y115" s="4">
        <f t="shared" ref="Y115:AA115" si="611">SUM(Y109:Y114)</f>
        <v>583850</v>
      </c>
      <c r="Z115" s="4">
        <f t="shared" si="611"/>
        <v>611400</v>
      </c>
      <c r="AA115" s="4">
        <f t="shared" si="611"/>
        <v>638950</v>
      </c>
      <c r="AB115" s="4">
        <f t="shared" si="606"/>
        <v>666500</v>
      </c>
      <c r="AC115" s="4">
        <f t="shared" ref="AC115:AE115" si="612">SUM(AC109:AC114)</f>
        <v>694050</v>
      </c>
      <c r="AD115" s="4">
        <f t="shared" si="612"/>
        <v>721600</v>
      </c>
      <c r="AE115" s="4">
        <f t="shared" si="612"/>
        <v>749150</v>
      </c>
      <c r="AF115" s="4">
        <f t="shared" si="606"/>
        <v>776700</v>
      </c>
      <c r="AG115" s="4">
        <f t="shared" ref="AG115:AI115" si="613">SUM(AG109:AG114)</f>
        <v>804250</v>
      </c>
      <c r="AH115" s="4">
        <f t="shared" si="613"/>
        <v>831800</v>
      </c>
      <c r="AI115" s="4">
        <f t="shared" si="613"/>
        <v>859350</v>
      </c>
      <c r="AJ115" s="4">
        <f t="shared" si="606"/>
        <v>886900</v>
      </c>
      <c r="AK115" s="4">
        <f t="shared" ref="AK115:AM115" si="614">SUM(AK109:AK114)</f>
        <v>914450</v>
      </c>
      <c r="AL115" s="4">
        <f t="shared" si="614"/>
        <v>942000</v>
      </c>
      <c r="AM115" s="4">
        <f t="shared" si="614"/>
        <v>969550</v>
      </c>
      <c r="AN115" s="4">
        <f t="shared" si="606"/>
        <v>997100</v>
      </c>
      <c r="AO115" s="4">
        <f t="shared" ref="AO115:AQ115" si="615">SUM(AO109:AO114)</f>
        <v>1024650</v>
      </c>
      <c r="AP115" s="4">
        <f t="shared" si="615"/>
        <v>1052200</v>
      </c>
      <c r="AQ115" s="4">
        <f t="shared" si="615"/>
        <v>1079750</v>
      </c>
      <c r="AR115" s="4">
        <f t="shared" si="606"/>
        <v>1107300</v>
      </c>
      <c r="AS115" s="76"/>
      <c r="AT115" s="76"/>
      <c r="AU115" s="76"/>
    </row>
    <row r="116" spans="2:47">
      <c r="B116" s="74" t="s">
        <v>29</v>
      </c>
      <c r="C116" s="75">
        <v>0.12</v>
      </c>
      <c r="D116" s="75"/>
      <c r="E116" s="75">
        <f>C116</f>
        <v>0.12</v>
      </c>
      <c r="F116" s="75">
        <f>E116</f>
        <v>0.12</v>
      </c>
      <c r="G116" s="75">
        <f t="shared" ref="G116:AR116" si="616">E116</f>
        <v>0.12</v>
      </c>
      <c r="H116" s="75">
        <f t="shared" si="616"/>
        <v>0.12</v>
      </c>
      <c r="I116" s="75">
        <f t="shared" si="616"/>
        <v>0.12</v>
      </c>
      <c r="J116" s="75">
        <f t="shared" si="616"/>
        <v>0.12</v>
      </c>
      <c r="K116" s="75">
        <f t="shared" si="616"/>
        <v>0.12</v>
      </c>
      <c r="L116" s="75">
        <f t="shared" si="616"/>
        <v>0.12</v>
      </c>
      <c r="M116" s="75">
        <f t="shared" si="616"/>
        <v>0.12</v>
      </c>
      <c r="N116" s="75">
        <f t="shared" si="616"/>
        <v>0.12</v>
      </c>
      <c r="O116" s="75">
        <f t="shared" si="616"/>
        <v>0.12</v>
      </c>
      <c r="P116" s="75">
        <f t="shared" si="616"/>
        <v>0.12</v>
      </c>
      <c r="Q116" s="75">
        <f t="shared" si="616"/>
        <v>0.12</v>
      </c>
      <c r="R116" s="75">
        <f t="shared" si="616"/>
        <v>0.12</v>
      </c>
      <c r="S116" s="75">
        <f t="shared" si="616"/>
        <v>0.12</v>
      </c>
      <c r="T116" s="75">
        <f t="shared" si="616"/>
        <v>0.12</v>
      </c>
      <c r="U116" s="75">
        <f t="shared" si="616"/>
        <v>0.12</v>
      </c>
      <c r="V116" s="75">
        <f t="shared" si="616"/>
        <v>0.12</v>
      </c>
      <c r="W116" s="75">
        <f t="shared" si="616"/>
        <v>0.12</v>
      </c>
      <c r="X116" s="75">
        <f t="shared" si="616"/>
        <v>0.12</v>
      </c>
      <c r="Y116" s="75">
        <f t="shared" si="616"/>
        <v>0.12</v>
      </c>
      <c r="Z116" s="75">
        <f t="shared" si="616"/>
        <v>0.12</v>
      </c>
      <c r="AA116" s="75">
        <f t="shared" si="616"/>
        <v>0.12</v>
      </c>
      <c r="AB116" s="75">
        <f t="shared" si="616"/>
        <v>0.12</v>
      </c>
      <c r="AC116" s="75">
        <f t="shared" si="616"/>
        <v>0.12</v>
      </c>
      <c r="AD116" s="75">
        <f t="shared" si="616"/>
        <v>0.12</v>
      </c>
      <c r="AE116" s="75">
        <f t="shared" si="616"/>
        <v>0.12</v>
      </c>
      <c r="AF116" s="75">
        <f t="shared" si="616"/>
        <v>0.12</v>
      </c>
      <c r="AG116" s="75">
        <f t="shared" si="616"/>
        <v>0.12</v>
      </c>
      <c r="AH116" s="75">
        <f t="shared" si="616"/>
        <v>0.12</v>
      </c>
      <c r="AI116" s="75">
        <f t="shared" si="616"/>
        <v>0.12</v>
      </c>
      <c r="AJ116" s="75">
        <f t="shared" si="616"/>
        <v>0.12</v>
      </c>
      <c r="AK116" s="75">
        <f t="shared" si="616"/>
        <v>0.12</v>
      </c>
      <c r="AL116" s="75">
        <f t="shared" si="616"/>
        <v>0.12</v>
      </c>
      <c r="AM116" s="75">
        <f t="shared" si="616"/>
        <v>0.12</v>
      </c>
      <c r="AN116" s="75">
        <f t="shared" si="616"/>
        <v>0.12</v>
      </c>
      <c r="AO116" s="75">
        <f t="shared" si="616"/>
        <v>0.12</v>
      </c>
      <c r="AP116" s="75">
        <f t="shared" si="616"/>
        <v>0.12</v>
      </c>
      <c r="AQ116" s="75">
        <f t="shared" si="616"/>
        <v>0.12</v>
      </c>
      <c r="AR116" s="75">
        <f t="shared" si="616"/>
        <v>0.12</v>
      </c>
      <c r="AS116" s="77"/>
      <c r="AT116" s="77"/>
      <c r="AU116" s="77"/>
    </row>
    <row r="117" spans="2:47">
      <c r="B117" s="68" t="s">
        <v>30</v>
      </c>
      <c r="C117" s="68">
        <f>(1+C116/C120)^C120-1</f>
        <v>0.12682503013196977</v>
      </c>
      <c r="D117" s="68"/>
      <c r="E117" s="68">
        <f>(1+E116/E120)^E120-1</f>
        <v>0.12682503013196977</v>
      </c>
      <c r="F117" s="68">
        <f>(1+F116/F120)^F120-1</f>
        <v>0.12682503013196977</v>
      </c>
      <c r="G117" s="68">
        <f>(1+G116/G120)^G120-1</f>
        <v>0.12682503013196977</v>
      </c>
      <c r="H117" s="68">
        <f t="shared" ref="H117:AR117" si="617">(1+H116/H120)^H120-1</f>
        <v>0.12682503013196977</v>
      </c>
      <c r="I117" s="68">
        <f t="shared" si="617"/>
        <v>0.12682503013196977</v>
      </c>
      <c r="J117" s="68">
        <f t="shared" si="617"/>
        <v>0.12682503013196977</v>
      </c>
      <c r="K117" s="68">
        <f t="shared" si="617"/>
        <v>0.12682503013196977</v>
      </c>
      <c r="L117" s="68">
        <f t="shared" si="617"/>
        <v>0.12682503013196977</v>
      </c>
      <c r="M117" s="68">
        <f t="shared" si="617"/>
        <v>0.12682503013196977</v>
      </c>
      <c r="N117" s="68">
        <f t="shared" si="617"/>
        <v>0.12682503013196977</v>
      </c>
      <c r="O117" s="68">
        <f t="shared" si="617"/>
        <v>0.12682503013196977</v>
      </c>
      <c r="P117" s="68">
        <f t="shared" si="617"/>
        <v>0.12682503013196977</v>
      </c>
      <c r="Q117" s="68">
        <f t="shared" si="617"/>
        <v>0.12682503013196977</v>
      </c>
      <c r="R117" s="68">
        <f t="shared" si="617"/>
        <v>0.12682503013196977</v>
      </c>
      <c r="S117" s="68">
        <f t="shared" si="617"/>
        <v>0.12682503013196977</v>
      </c>
      <c r="T117" s="68">
        <f t="shared" si="617"/>
        <v>0.12682503013196977</v>
      </c>
      <c r="U117" s="68">
        <f t="shared" si="617"/>
        <v>0.12682503013196977</v>
      </c>
      <c r="V117" s="68">
        <f t="shared" si="617"/>
        <v>0.12682503013196977</v>
      </c>
      <c r="W117" s="68">
        <f t="shared" si="617"/>
        <v>0.12682503013196977</v>
      </c>
      <c r="X117" s="68">
        <f t="shared" si="617"/>
        <v>0.12682503013196977</v>
      </c>
      <c r="Y117" s="68">
        <f t="shared" si="617"/>
        <v>0.12682503013196977</v>
      </c>
      <c r="Z117" s="68">
        <f t="shared" si="617"/>
        <v>0.12682503013196977</v>
      </c>
      <c r="AA117" s="68">
        <f t="shared" si="617"/>
        <v>0.12682503013196977</v>
      </c>
      <c r="AB117" s="68">
        <f t="shared" si="617"/>
        <v>0.12682503013196977</v>
      </c>
      <c r="AC117" s="68">
        <f t="shared" si="617"/>
        <v>0.12682503013196977</v>
      </c>
      <c r="AD117" s="68">
        <f t="shared" si="617"/>
        <v>0.12682503013196977</v>
      </c>
      <c r="AE117" s="68">
        <f t="shared" si="617"/>
        <v>0.12682503013196977</v>
      </c>
      <c r="AF117" s="68">
        <f t="shared" si="617"/>
        <v>0.12682503013196977</v>
      </c>
      <c r="AG117" s="68">
        <f t="shared" si="617"/>
        <v>0.12682503013196977</v>
      </c>
      <c r="AH117" s="68">
        <f t="shared" si="617"/>
        <v>0.12682503013196977</v>
      </c>
      <c r="AI117" s="68">
        <f t="shared" si="617"/>
        <v>0.12682503013196977</v>
      </c>
      <c r="AJ117" s="68">
        <f t="shared" si="617"/>
        <v>0.12682503013196977</v>
      </c>
      <c r="AK117" s="68">
        <f t="shared" si="617"/>
        <v>0.12682503013196977</v>
      </c>
      <c r="AL117" s="68">
        <f t="shared" si="617"/>
        <v>0.12682503013196977</v>
      </c>
      <c r="AM117" s="68">
        <f t="shared" si="617"/>
        <v>0.12682503013196977</v>
      </c>
      <c r="AN117" s="68">
        <f t="shared" si="617"/>
        <v>0.12682503013196977</v>
      </c>
      <c r="AO117" s="68">
        <f t="shared" si="617"/>
        <v>0.12682503013196977</v>
      </c>
      <c r="AP117" s="68">
        <f t="shared" si="617"/>
        <v>0.12682503013196977</v>
      </c>
      <c r="AQ117" s="68">
        <f t="shared" si="617"/>
        <v>0.12682503013196977</v>
      </c>
      <c r="AR117" s="78">
        <f t="shared" si="617"/>
        <v>0.12682503013196977</v>
      </c>
      <c r="AS117" s="79"/>
      <c r="AT117" s="79"/>
      <c r="AU117" s="79"/>
    </row>
    <row r="118" spans="2:47">
      <c r="B118" t="s">
        <v>31</v>
      </c>
      <c r="C118" s="69">
        <v>1</v>
      </c>
      <c r="D118" s="69"/>
      <c r="E118" s="69">
        <v>1</v>
      </c>
      <c r="F118" s="69">
        <v>1</v>
      </c>
      <c r="G118" s="69">
        <v>1</v>
      </c>
      <c r="H118" s="69">
        <v>1</v>
      </c>
      <c r="I118" s="69">
        <v>1</v>
      </c>
      <c r="J118" s="69">
        <v>1</v>
      </c>
      <c r="K118" s="69">
        <v>1</v>
      </c>
      <c r="L118" s="69">
        <f>H118</f>
        <v>1</v>
      </c>
      <c r="M118" s="69">
        <f>I118</f>
        <v>1</v>
      </c>
      <c r="N118" s="69">
        <f>K118</f>
        <v>1</v>
      </c>
      <c r="O118" s="69">
        <f t="shared" ref="O118:AR118" si="618">K118</f>
        <v>1</v>
      </c>
      <c r="P118" s="69">
        <f t="shared" si="618"/>
        <v>1</v>
      </c>
      <c r="Q118" s="69">
        <f t="shared" si="618"/>
        <v>1</v>
      </c>
      <c r="R118" s="69">
        <f t="shared" si="618"/>
        <v>1</v>
      </c>
      <c r="S118" s="69">
        <f t="shared" si="618"/>
        <v>1</v>
      </c>
      <c r="T118" s="69">
        <f t="shared" si="618"/>
        <v>1</v>
      </c>
      <c r="U118" s="69">
        <f t="shared" si="618"/>
        <v>1</v>
      </c>
      <c r="V118" s="69">
        <f t="shared" si="618"/>
        <v>1</v>
      </c>
      <c r="W118" s="69">
        <f t="shared" si="618"/>
        <v>1</v>
      </c>
      <c r="X118" s="69">
        <f t="shared" si="618"/>
        <v>1</v>
      </c>
      <c r="Y118" s="69">
        <f t="shared" si="618"/>
        <v>1</v>
      </c>
      <c r="Z118" s="69">
        <f t="shared" si="618"/>
        <v>1</v>
      </c>
      <c r="AA118" s="69">
        <f t="shared" si="618"/>
        <v>1</v>
      </c>
      <c r="AB118" s="69">
        <f t="shared" si="618"/>
        <v>1</v>
      </c>
      <c r="AC118" s="69">
        <f t="shared" si="618"/>
        <v>1</v>
      </c>
      <c r="AD118" s="69">
        <f t="shared" si="618"/>
        <v>1</v>
      </c>
      <c r="AE118" s="69">
        <f t="shared" si="618"/>
        <v>1</v>
      </c>
      <c r="AF118" s="69">
        <f t="shared" si="618"/>
        <v>1</v>
      </c>
      <c r="AG118" s="69">
        <f t="shared" si="618"/>
        <v>1</v>
      </c>
      <c r="AH118" s="69">
        <f t="shared" si="618"/>
        <v>1</v>
      </c>
      <c r="AI118" s="69">
        <f t="shared" si="618"/>
        <v>1</v>
      </c>
      <c r="AJ118" s="69">
        <f t="shared" si="618"/>
        <v>1</v>
      </c>
      <c r="AK118" s="69">
        <f t="shared" si="618"/>
        <v>1</v>
      </c>
      <c r="AL118" s="69">
        <f t="shared" si="618"/>
        <v>1</v>
      </c>
      <c r="AM118" s="69">
        <f t="shared" si="618"/>
        <v>1</v>
      </c>
      <c r="AN118" s="69">
        <f t="shared" si="618"/>
        <v>1</v>
      </c>
      <c r="AO118" s="69">
        <f t="shared" si="618"/>
        <v>1</v>
      </c>
      <c r="AP118" s="69">
        <f t="shared" si="618"/>
        <v>1</v>
      </c>
      <c r="AQ118" s="69">
        <f t="shared" si="618"/>
        <v>1</v>
      </c>
      <c r="AR118" s="69">
        <f t="shared" si="618"/>
        <v>1</v>
      </c>
      <c r="AS118" s="80"/>
      <c r="AT118" s="80"/>
      <c r="AU118" s="80"/>
    </row>
    <row r="119" spans="2:47">
      <c r="B119" t="s">
        <v>32</v>
      </c>
      <c r="C119" s="7">
        <f>C116/12</f>
        <v>0.01</v>
      </c>
      <c r="D119" s="7"/>
      <c r="E119" s="7">
        <f>E116/12</f>
        <v>0.01</v>
      </c>
      <c r="F119" s="7">
        <f>F116/12</f>
        <v>0.01</v>
      </c>
      <c r="G119" s="7">
        <f>G116/12</f>
        <v>0.01</v>
      </c>
      <c r="H119" s="7">
        <f>H116/12</f>
        <v>0.01</v>
      </c>
      <c r="I119" s="7">
        <f t="shared" ref="I119:J119" si="619">I116/12</f>
        <v>0.01</v>
      </c>
      <c r="J119" s="7">
        <f t="shared" si="619"/>
        <v>0.01</v>
      </c>
      <c r="K119" s="7">
        <f t="shared" ref="K119" si="620">K116/12</f>
        <v>0.01</v>
      </c>
      <c r="L119" s="7">
        <f t="shared" ref="L119:AR119" si="621">L116/12</f>
        <v>0.01</v>
      </c>
      <c r="M119" s="7">
        <f t="shared" ref="M119:O119" si="622">M116/12</f>
        <v>0.01</v>
      </c>
      <c r="N119" s="7">
        <f t="shared" si="622"/>
        <v>0.01</v>
      </c>
      <c r="O119" s="7">
        <f t="shared" si="622"/>
        <v>0.01</v>
      </c>
      <c r="P119" s="7">
        <f t="shared" si="621"/>
        <v>0.01</v>
      </c>
      <c r="Q119" s="7">
        <f t="shared" ref="Q119:R119" si="623">Q116/12</f>
        <v>0.01</v>
      </c>
      <c r="R119" s="7">
        <f t="shared" si="623"/>
        <v>0.01</v>
      </c>
      <c r="S119" s="7">
        <f t="shared" ref="S119" si="624">S116/12</f>
        <v>0.01</v>
      </c>
      <c r="T119" s="7">
        <f t="shared" si="621"/>
        <v>0.01</v>
      </c>
      <c r="U119" s="7">
        <f t="shared" ref="U119:W119" si="625">U116/12</f>
        <v>0.01</v>
      </c>
      <c r="V119" s="7">
        <f t="shared" si="625"/>
        <v>0.01</v>
      </c>
      <c r="W119" s="7">
        <f t="shared" si="625"/>
        <v>0.01</v>
      </c>
      <c r="X119" s="7">
        <f t="shared" si="621"/>
        <v>0.01</v>
      </c>
      <c r="Y119" s="7">
        <f t="shared" ref="Y119:AA119" si="626">Y116/12</f>
        <v>0.01</v>
      </c>
      <c r="Z119" s="7">
        <f t="shared" si="626"/>
        <v>0.01</v>
      </c>
      <c r="AA119" s="7">
        <f t="shared" si="626"/>
        <v>0.01</v>
      </c>
      <c r="AB119" s="7">
        <f t="shared" si="621"/>
        <v>0.01</v>
      </c>
      <c r="AC119" s="7">
        <f t="shared" ref="AC119:AE119" si="627">AC116/12</f>
        <v>0.01</v>
      </c>
      <c r="AD119" s="7">
        <f t="shared" si="627"/>
        <v>0.01</v>
      </c>
      <c r="AE119" s="7">
        <f t="shared" si="627"/>
        <v>0.01</v>
      </c>
      <c r="AF119" s="7">
        <f t="shared" si="621"/>
        <v>0.01</v>
      </c>
      <c r="AG119" s="7">
        <f t="shared" ref="AG119:AI119" si="628">AG116/12</f>
        <v>0.01</v>
      </c>
      <c r="AH119" s="7">
        <f t="shared" si="628"/>
        <v>0.01</v>
      </c>
      <c r="AI119" s="7">
        <f t="shared" si="628"/>
        <v>0.01</v>
      </c>
      <c r="AJ119" s="7">
        <f t="shared" si="621"/>
        <v>0.01</v>
      </c>
      <c r="AK119" s="7">
        <f t="shared" ref="AK119:AM119" si="629">AK116/12</f>
        <v>0.01</v>
      </c>
      <c r="AL119" s="7">
        <f t="shared" si="629"/>
        <v>0.01</v>
      </c>
      <c r="AM119" s="7">
        <f t="shared" si="629"/>
        <v>0.01</v>
      </c>
      <c r="AN119" s="7">
        <f t="shared" si="621"/>
        <v>0.01</v>
      </c>
      <c r="AO119" s="7">
        <f t="shared" ref="AO119:AQ119" si="630">AO116/12</f>
        <v>0.01</v>
      </c>
      <c r="AP119" s="7">
        <f t="shared" si="630"/>
        <v>0.01</v>
      </c>
      <c r="AQ119" s="7">
        <f t="shared" si="630"/>
        <v>0.01</v>
      </c>
      <c r="AR119" s="7">
        <f t="shared" si="621"/>
        <v>0.01</v>
      </c>
      <c r="AS119" s="38"/>
      <c r="AT119" s="38"/>
      <c r="AU119" s="38"/>
    </row>
    <row r="120" spans="2:47">
      <c r="B120" t="s">
        <v>33</v>
      </c>
      <c r="C120" s="69">
        <f>C118*12</f>
        <v>12</v>
      </c>
      <c r="D120" s="69"/>
      <c r="E120" s="69">
        <f>E118*12</f>
        <v>12</v>
      </c>
      <c r="F120" s="69">
        <f>F118*12</f>
        <v>12</v>
      </c>
      <c r="G120" s="69">
        <f>G118*12</f>
        <v>12</v>
      </c>
      <c r="H120" s="69">
        <f>H118*12</f>
        <v>12</v>
      </c>
      <c r="I120" s="69">
        <f t="shared" ref="I120:J120" si="631">I118*12</f>
        <v>12</v>
      </c>
      <c r="J120" s="69">
        <f t="shared" si="631"/>
        <v>12</v>
      </c>
      <c r="K120" s="69">
        <f t="shared" ref="K120" si="632">K118*12</f>
        <v>12</v>
      </c>
      <c r="L120" s="69">
        <f t="shared" ref="L120:AR120" si="633">L118*12</f>
        <v>12</v>
      </c>
      <c r="M120" s="69">
        <f t="shared" ref="M120:O120" si="634">M118*12</f>
        <v>12</v>
      </c>
      <c r="N120" s="69">
        <f t="shared" si="634"/>
        <v>12</v>
      </c>
      <c r="O120" s="69">
        <f t="shared" si="634"/>
        <v>12</v>
      </c>
      <c r="P120" s="69">
        <f t="shared" si="633"/>
        <v>12</v>
      </c>
      <c r="Q120" s="69">
        <f t="shared" ref="Q120:R120" si="635">Q118*12</f>
        <v>12</v>
      </c>
      <c r="R120" s="69">
        <f t="shared" si="635"/>
        <v>12</v>
      </c>
      <c r="S120" s="69">
        <f t="shared" ref="S120" si="636">S118*12</f>
        <v>12</v>
      </c>
      <c r="T120" s="69">
        <f t="shared" si="633"/>
        <v>12</v>
      </c>
      <c r="U120" s="69">
        <f t="shared" ref="U120:W120" si="637">U118*12</f>
        <v>12</v>
      </c>
      <c r="V120" s="69">
        <f t="shared" si="637"/>
        <v>12</v>
      </c>
      <c r="W120" s="69">
        <f t="shared" si="637"/>
        <v>12</v>
      </c>
      <c r="X120" s="69">
        <f t="shared" si="633"/>
        <v>12</v>
      </c>
      <c r="Y120" s="69">
        <f t="shared" ref="Y120:AA120" si="638">Y118*12</f>
        <v>12</v>
      </c>
      <c r="Z120" s="69">
        <f t="shared" si="638"/>
        <v>12</v>
      </c>
      <c r="AA120" s="69">
        <f t="shared" si="638"/>
        <v>12</v>
      </c>
      <c r="AB120" s="69">
        <f t="shared" si="633"/>
        <v>12</v>
      </c>
      <c r="AC120" s="69">
        <f t="shared" ref="AC120:AE120" si="639">AC118*12</f>
        <v>12</v>
      </c>
      <c r="AD120" s="69">
        <f t="shared" si="639"/>
        <v>12</v>
      </c>
      <c r="AE120" s="69">
        <f t="shared" si="639"/>
        <v>12</v>
      </c>
      <c r="AF120" s="69">
        <f t="shared" si="633"/>
        <v>12</v>
      </c>
      <c r="AG120" s="69">
        <f t="shared" ref="AG120:AI120" si="640">AG118*12</f>
        <v>12</v>
      </c>
      <c r="AH120" s="69">
        <f t="shared" si="640"/>
        <v>12</v>
      </c>
      <c r="AI120" s="69">
        <f t="shared" si="640"/>
        <v>12</v>
      </c>
      <c r="AJ120" s="69">
        <f t="shared" si="633"/>
        <v>12</v>
      </c>
      <c r="AK120" s="69">
        <f t="shared" ref="AK120:AM120" si="641">AK118*12</f>
        <v>12</v>
      </c>
      <c r="AL120" s="69">
        <f t="shared" si="641"/>
        <v>12</v>
      </c>
      <c r="AM120" s="69">
        <f t="shared" si="641"/>
        <v>12</v>
      </c>
      <c r="AN120" s="69">
        <f t="shared" si="633"/>
        <v>12</v>
      </c>
      <c r="AO120" s="69">
        <f t="shared" ref="AO120:AQ120" si="642">AO118*12</f>
        <v>12</v>
      </c>
      <c r="AP120" s="69">
        <f t="shared" si="642"/>
        <v>12</v>
      </c>
      <c r="AQ120" s="69">
        <f t="shared" si="642"/>
        <v>12</v>
      </c>
      <c r="AR120" s="69">
        <f t="shared" si="633"/>
        <v>12</v>
      </c>
      <c r="AS120" s="80"/>
      <c r="AT120" s="80"/>
      <c r="AU120" s="80"/>
    </row>
    <row r="121" spans="2:47">
      <c r="C121" s="4"/>
      <c r="D121" s="4"/>
      <c r="E121" s="4"/>
      <c r="F121" s="4"/>
      <c r="G121" s="4"/>
      <c r="H121" s="4"/>
      <c r="I121" s="4"/>
      <c r="J121" s="4"/>
      <c r="K121" s="4"/>
      <c r="L121" s="4"/>
      <c r="M121" s="4"/>
      <c r="AB121" s="4"/>
      <c r="AC121" s="4"/>
      <c r="AD121" s="4"/>
      <c r="AE121" s="4"/>
      <c r="AF121" s="4"/>
      <c r="AG121" s="4"/>
      <c r="AH121" s="4"/>
      <c r="AI121" s="4"/>
      <c r="AJ121" s="4"/>
      <c r="AK121" s="4"/>
      <c r="AL121" s="4"/>
      <c r="AM121" s="4"/>
      <c r="AN121" s="4"/>
      <c r="AO121" s="4"/>
      <c r="AP121" s="4"/>
      <c r="AQ121" s="4"/>
      <c r="AR121" s="4"/>
      <c r="AS121" s="76"/>
      <c r="AT121" s="76"/>
      <c r="AU121" s="76"/>
    </row>
    <row r="122" spans="2:47">
      <c r="B122" t="s">
        <v>17</v>
      </c>
      <c r="C122" s="71">
        <f>(1+C119)^C120</f>
        <v>1.1268250301319698</v>
      </c>
      <c r="D122" s="71"/>
      <c r="E122" s="71">
        <f>(1+E119)^E120</f>
        <v>1.1268250301319698</v>
      </c>
      <c r="F122" s="71">
        <f>(1+F119)^F120</f>
        <v>1.1268250301319698</v>
      </c>
      <c r="G122" s="71">
        <f>(1+G119)^G120</f>
        <v>1.1268250301319698</v>
      </c>
      <c r="H122" s="71">
        <f>(1+H119)^H120</f>
        <v>1.1268250301319698</v>
      </c>
      <c r="I122" s="71">
        <f t="shared" ref="I122:J122" si="643">(1+I119)^I120</f>
        <v>1.1268250301319698</v>
      </c>
      <c r="J122" s="71">
        <f t="shared" si="643"/>
        <v>1.1268250301319698</v>
      </c>
      <c r="K122" s="71">
        <f t="shared" ref="K122" si="644">(1+K119)^K120</f>
        <v>1.1268250301319698</v>
      </c>
      <c r="L122" s="71">
        <f t="shared" ref="L122:AR122" si="645">(1+L119)^L120</f>
        <v>1.1268250301319698</v>
      </c>
      <c r="M122" s="71">
        <f t="shared" ref="M122:O122" si="646">(1+M119)^M120</f>
        <v>1.1268250301319698</v>
      </c>
      <c r="N122" s="71">
        <f t="shared" si="646"/>
        <v>1.1268250301319698</v>
      </c>
      <c r="O122" s="71">
        <f t="shared" si="646"/>
        <v>1.1268250301319698</v>
      </c>
      <c r="P122" s="71">
        <f t="shared" si="645"/>
        <v>1.1268250301319698</v>
      </c>
      <c r="Q122" s="71">
        <f t="shared" ref="Q122:R122" si="647">(1+Q119)^Q120</f>
        <v>1.1268250301319698</v>
      </c>
      <c r="R122" s="71">
        <f t="shared" si="647"/>
        <v>1.1268250301319698</v>
      </c>
      <c r="S122" s="71">
        <f t="shared" ref="S122" si="648">(1+S119)^S120</f>
        <v>1.1268250301319698</v>
      </c>
      <c r="T122" s="71">
        <f t="shared" si="645"/>
        <v>1.1268250301319698</v>
      </c>
      <c r="U122" s="71">
        <f t="shared" ref="U122:W122" si="649">(1+U119)^U120</f>
        <v>1.1268250301319698</v>
      </c>
      <c r="V122" s="71">
        <f t="shared" si="649"/>
        <v>1.1268250301319698</v>
      </c>
      <c r="W122" s="71">
        <f t="shared" si="649"/>
        <v>1.1268250301319698</v>
      </c>
      <c r="X122" s="71">
        <f t="shared" si="645"/>
        <v>1.1268250301319698</v>
      </c>
      <c r="Y122" s="71">
        <f t="shared" ref="Y122:AA122" si="650">(1+Y119)^Y120</f>
        <v>1.1268250301319698</v>
      </c>
      <c r="Z122" s="71">
        <f t="shared" si="650"/>
        <v>1.1268250301319698</v>
      </c>
      <c r="AA122" s="71">
        <f t="shared" si="650"/>
        <v>1.1268250301319698</v>
      </c>
      <c r="AB122" s="71">
        <f t="shared" si="645"/>
        <v>1.1268250301319698</v>
      </c>
      <c r="AC122" s="71">
        <f t="shared" ref="AC122:AE122" si="651">(1+AC119)^AC120</f>
        <v>1.1268250301319698</v>
      </c>
      <c r="AD122" s="71">
        <f t="shared" si="651"/>
        <v>1.1268250301319698</v>
      </c>
      <c r="AE122" s="71">
        <f t="shared" si="651"/>
        <v>1.1268250301319698</v>
      </c>
      <c r="AF122" s="71">
        <f t="shared" si="645"/>
        <v>1.1268250301319698</v>
      </c>
      <c r="AG122" s="71">
        <f t="shared" ref="AG122:AI122" si="652">(1+AG119)^AG120</f>
        <v>1.1268250301319698</v>
      </c>
      <c r="AH122" s="71">
        <f t="shared" si="652"/>
        <v>1.1268250301319698</v>
      </c>
      <c r="AI122" s="71">
        <f t="shared" si="652"/>
        <v>1.1268250301319698</v>
      </c>
      <c r="AJ122" s="71">
        <f t="shared" si="645"/>
        <v>1.1268250301319698</v>
      </c>
      <c r="AK122" s="71">
        <f t="shared" ref="AK122:AM122" si="653">(1+AK119)^AK120</f>
        <v>1.1268250301319698</v>
      </c>
      <c r="AL122" s="71">
        <f t="shared" si="653"/>
        <v>1.1268250301319698</v>
      </c>
      <c r="AM122" s="71">
        <f t="shared" si="653"/>
        <v>1.1268250301319698</v>
      </c>
      <c r="AN122" s="71">
        <f t="shared" si="645"/>
        <v>1.1268250301319698</v>
      </c>
      <c r="AO122" s="71">
        <f t="shared" ref="AO122:AQ122" si="654">(1+AO119)^AO120</f>
        <v>1.1268250301319698</v>
      </c>
      <c r="AP122" s="71">
        <f t="shared" si="654"/>
        <v>1.1268250301319698</v>
      </c>
      <c r="AQ122" s="71">
        <f t="shared" si="654"/>
        <v>1.1268250301319698</v>
      </c>
      <c r="AR122" s="71">
        <f t="shared" si="645"/>
        <v>1.1268250301319698</v>
      </c>
      <c r="AS122" s="81"/>
      <c r="AT122" s="81"/>
      <c r="AU122" s="81"/>
    </row>
    <row r="123" spans="2:47">
      <c r="C123" s="72">
        <f>C122*C119</f>
        <v>1.1268250301319697E-2</v>
      </c>
      <c r="D123" s="72"/>
      <c r="E123" s="72">
        <f>E122*E119</f>
        <v>1.1268250301319697E-2</v>
      </c>
      <c r="F123" s="72">
        <f>F122*F119</f>
        <v>1.1268250301319697E-2</v>
      </c>
      <c r="G123" s="72">
        <f>G122*G119</f>
        <v>1.1268250301319697E-2</v>
      </c>
      <c r="H123" s="72">
        <f>H122*H119</f>
        <v>1.1268250301319697E-2</v>
      </c>
      <c r="I123" s="72">
        <f t="shared" ref="I123:J123" si="655">I122*I119</f>
        <v>1.1268250301319697E-2</v>
      </c>
      <c r="J123" s="72">
        <f t="shared" si="655"/>
        <v>1.1268250301319697E-2</v>
      </c>
      <c r="K123" s="72">
        <f t="shared" ref="K123" si="656">K122*K119</f>
        <v>1.1268250301319697E-2</v>
      </c>
      <c r="L123" s="72">
        <f t="shared" ref="L123:AR123" si="657">L122*L119</f>
        <v>1.1268250301319697E-2</v>
      </c>
      <c r="M123" s="72">
        <f t="shared" ref="M123:O123" si="658">M122*M119</f>
        <v>1.1268250301319697E-2</v>
      </c>
      <c r="N123" s="72">
        <f t="shared" si="658"/>
        <v>1.1268250301319697E-2</v>
      </c>
      <c r="O123" s="72">
        <f t="shared" si="658"/>
        <v>1.1268250301319697E-2</v>
      </c>
      <c r="P123" s="72">
        <f t="shared" si="657"/>
        <v>1.1268250301319697E-2</v>
      </c>
      <c r="Q123" s="72">
        <f t="shared" ref="Q123:R123" si="659">Q122*Q119</f>
        <v>1.1268250301319697E-2</v>
      </c>
      <c r="R123" s="72">
        <f t="shared" si="659"/>
        <v>1.1268250301319697E-2</v>
      </c>
      <c r="S123" s="72">
        <f t="shared" ref="S123" si="660">S122*S119</f>
        <v>1.1268250301319697E-2</v>
      </c>
      <c r="T123" s="72">
        <f t="shared" si="657"/>
        <v>1.1268250301319697E-2</v>
      </c>
      <c r="U123" s="72">
        <f t="shared" ref="U123:W123" si="661">U122*U119</f>
        <v>1.1268250301319697E-2</v>
      </c>
      <c r="V123" s="72">
        <f t="shared" si="661"/>
        <v>1.1268250301319697E-2</v>
      </c>
      <c r="W123" s="72">
        <f t="shared" si="661"/>
        <v>1.1268250301319697E-2</v>
      </c>
      <c r="X123" s="72">
        <f t="shared" si="657"/>
        <v>1.1268250301319697E-2</v>
      </c>
      <c r="Y123" s="72">
        <f t="shared" ref="Y123:AA123" si="662">Y122*Y119</f>
        <v>1.1268250301319697E-2</v>
      </c>
      <c r="Z123" s="72">
        <f t="shared" si="662"/>
        <v>1.1268250301319697E-2</v>
      </c>
      <c r="AA123" s="72">
        <f t="shared" si="662"/>
        <v>1.1268250301319697E-2</v>
      </c>
      <c r="AB123" s="72">
        <f t="shared" si="657"/>
        <v>1.1268250301319697E-2</v>
      </c>
      <c r="AC123" s="72">
        <f t="shared" ref="AC123:AE123" si="663">AC122*AC119</f>
        <v>1.1268250301319697E-2</v>
      </c>
      <c r="AD123" s="72">
        <f t="shared" si="663"/>
        <v>1.1268250301319697E-2</v>
      </c>
      <c r="AE123" s="72">
        <f t="shared" si="663"/>
        <v>1.1268250301319697E-2</v>
      </c>
      <c r="AF123" s="72">
        <f t="shared" si="657"/>
        <v>1.1268250301319697E-2</v>
      </c>
      <c r="AG123" s="72">
        <f t="shared" ref="AG123:AI123" si="664">AG122*AG119</f>
        <v>1.1268250301319697E-2</v>
      </c>
      <c r="AH123" s="72">
        <f t="shared" si="664"/>
        <v>1.1268250301319697E-2</v>
      </c>
      <c r="AI123" s="72">
        <f t="shared" si="664"/>
        <v>1.1268250301319697E-2</v>
      </c>
      <c r="AJ123" s="72">
        <f t="shared" si="657"/>
        <v>1.1268250301319697E-2</v>
      </c>
      <c r="AK123" s="72">
        <f t="shared" ref="AK123:AM123" si="665">AK122*AK119</f>
        <v>1.1268250301319697E-2</v>
      </c>
      <c r="AL123" s="72">
        <f t="shared" si="665"/>
        <v>1.1268250301319697E-2</v>
      </c>
      <c r="AM123" s="72">
        <f t="shared" si="665"/>
        <v>1.1268250301319697E-2</v>
      </c>
      <c r="AN123" s="72">
        <f t="shared" si="657"/>
        <v>1.1268250301319697E-2</v>
      </c>
      <c r="AO123" s="72">
        <f t="shared" ref="AO123:AQ123" si="666">AO122*AO119</f>
        <v>1.1268250301319697E-2</v>
      </c>
      <c r="AP123" s="72">
        <f t="shared" si="666"/>
        <v>1.1268250301319697E-2</v>
      </c>
      <c r="AQ123" s="72">
        <f t="shared" si="666"/>
        <v>1.1268250301319697E-2</v>
      </c>
      <c r="AR123" s="72">
        <f t="shared" si="657"/>
        <v>1.1268250301319697E-2</v>
      </c>
      <c r="AS123" s="82"/>
      <c r="AT123" s="82"/>
      <c r="AU123" s="82"/>
    </row>
    <row r="124" spans="2:47">
      <c r="C124" s="73">
        <f>C122-1</f>
        <v>0.12682503013196977</v>
      </c>
      <c r="D124" s="73"/>
      <c r="E124" s="73">
        <f>E122-1</f>
        <v>0.12682503013196977</v>
      </c>
      <c r="F124" s="73">
        <f>F122-1</f>
        <v>0.12682503013196977</v>
      </c>
      <c r="G124" s="73">
        <f>G122-1</f>
        <v>0.12682503013196977</v>
      </c>
      <c r="H124" s="73">
        <f>H122-1</f>
        <v>0.12682503013196977</v>
      </c>
      <c r="I124" s="73">
        <f t="shared" ref="I124:J124" si="667">I122-1</f>
        <v>0.12682503013196977</v>
      </c>
      <c r="J124" s="73">
        <f t="shared" si="667"/>
        <v>0.12682503013196977</v>
      </c>
      <c r="K124" s="73">
        <f t="shared" ref="K124" si="668">K122-1</f>
        <v>0.12682503013196977</v>
      </c>
      <c r="L124" s="73">
        <f t="shared" ref="L124:AR124" si="669">L122-1</f>
        <v>0.12682503013196977</v>
      </c>
      <c r="M124" s="73">
        <f t="shared" ref="M124:O124" si="670">M122-1</f>
        <v>0.12682503013196977</v>
      </c>
      <c r="N124" s="73">
        <f t="shared" si="670"/>
        <v>0.12682503013196977</v>
      </c>
      <c r="O124" s="73">
        <f t="shared" si="670"/>
        <v>0.12682503013196977</v>
      </c>
      <c r="P124" s="73">
        <f t="shared" si="669"/>
        <v>0.12682503013196977</v>
      </c>
      <c r="Q124" s="73">
        <f t="shared" ref="Q124:R124" si="671">Q122-1</f>
        <v>0.12682503013196977</v>
      </c>
      <c r="R124" s="73">
        <f t="shared" si="671"/>
        <v>0.12682503013196977</v>
      </c>
      <c r="S124" s="73">
        <f t="shared" ref="S124" si="672">S122-1</f>
        <v>0.12682503013196977</v>
      </c>
      <c r="T124" s="73">
        <f t="shared" si="669"/>
        <v>0.12682503013196977</v>
      </c>
      <c r="U124" s="73">
        <f t="shared" ref="U124:W124" si="673">U122-1</f>
        <v>0.12682503013196977</v>
      </c>
      <c r="V124" s="73">
        <f t="shared" si="673"/>
        <v>0.12682503013196977</v>
      </c>
      <c r="W124" s="73">
        <f t="shared" si="673"/>
        <v>0.12682503013196977</v>
      </c>
      <c r="X124" s="73">
        <f t="shared" si="669"/>
        <v>0.12682503013196977</v>
      </c>
      <c r="Y124" s="73">
        <f t="shared" ref="Y124:AA124" si="674">Y122-1</f>
        <v>0.12682503013196977</v>
      </c>
      <c r="Z124" s="73">
        <f t="shared" si="674"/>
        <v>0.12682503013196977</v>
      </c>
      <c r="AA124" s="73">
        <f t="shared" si="674"/>
        <v>0.12682503013196977</v>
      </c>
      <c r="AB124" s="73">
        <f t="shared" si="669"/>
        <v>0.12682503013196977</v>
      </c>
      <c r="AC124" s="73">
        <f t="shared" ref="AC124:AE124" si="675">AC122-1</f>
        <v>0.12682503013196977</v>
      </c>
      <c r="AD124" s="73">
        <f t="shared" si="675"/>
        <v>0.12682503013196977</v>
      </c>
      <c r="AE124" s="73">
        <f t="shared" si="675"/>
        <v>0.12682503013196977</v>
      </c>
      <c r="AF124" s="73">
        <f t="shared" si="669"/>
        <v>0.12682503013196977</v>
      </c>
      <c r="AG124" s="73">
        <f t="shared" ref="AG124:AI124" si="676">AG122-1</f>
        <v>0.12682503013196977</v>
      </c>
      <c r="AH124" s="73">
        <f t="shared" si="676"/>
        <v>0.12682503013196977</v>
      </c>
      <c r="AI124" s="73">
        <f t="shared" si="676"/>
        <v>0.12682503013196977</v>
      </c>
      <c r="AJ124" s="73">
        <f t="shared" si="669"/>
        <v>0.12682503013196977</v>
      </c>
      <c r="AK124" s="73">
        <f t="shared" ref="AK124:AM124" si="677">AK122-1</f>
        <v>0.12682503013196977</v>
      </c>
      <c r="AL124" s="73">
        <f t="shared" si="677"/>
        <v>0.12682503013196977</v>
      </c>
      <c r="AM124" s="73">
        <f t="shared" si="677"/>
        <v>0.12682503013196977</v>
      </c>
      <c r="AN124" s="73">
        <f t="shared" si="669"/>
        <v>0.12682503013196977</v>
      </c>
      <c r="AO124" s="73">
        <f t="shared" ref="AO124:AQ124" si="678">AO122-1</f>
        <v>0.12682503013196977</v>
      </c>
      <c r="AP124" s="73">
        <f t="shared" si="678"/>
        <v>0.12682503013196977</v>
      </c>
      <c r="AQ124" s="73">
        <f t="shared" si="678"/>
        <v>0.12682503013196977</v>
      </c>
      <c r="AR124" s="73">
        <f t="shared" si="669"/>
        <v>0.12682503013196977</v>
      </c>
      <c r="AS124" s="83"/>
      <c r="AT124" s="83"/>
      <c r="AU124" s="83"/>
    </row>
    <row r="125" spans="2:47">
      <c r="C125" s="73">
        <f>C123/C124</f>
        <v>8.8848788678341672E-2</v>
      </c>
      <c r="D125" s="73"/>
      <c r="E125" s="73">
        <f>E123/E124</f>
        <v>8.8848788678341672E-2</v>
      </c>
      <c r="F125" s="73">
        <f>F123/F124</f>
        <v>8.8848788678341672E-2</v>
      </c>
      <c r="G125" s="73">
        <f>G123/G124</f>
        <v>8.8848788678341672E-2</v>
      </c>
      <c r="H125" s="73">
        <f>H123/H124</f>
        <v>8.8848788678341672E-2</v>
      </c>
      <c r="I125" s="73">
        <f t="shared" ref="I125:J125" si="679">I123/I124</f>
        <v>8.8848788678341672E-2</v>
      </c>
      <c r="J125" s="73">
        <f t="shared" si="679"/>
        <v>8.8848788678341672E-2</v>
      </c>
      <c r="K125" s="73">
        <f t="shared" ref="K125" si="680">K123/K124</f>
        <v>8.8848788678341672E-2</v>
      </c>
      <c r="L125" s="73">
        <f t="shared" ref="L125:AR125" si="681">L123/L124</f>
        <v>8.8848788678341672E-2</v>
      </c>
      <c r="M125" s="73">
        <f t="shared" ref="M125:O125" si="682">M123/M124</f>
        <v>8.8848788678341672E-2</v>
      </c>
      <c r="N125" s="73">
        <f t="shared" si="682"/>
        <v>8.8848788678341672E-2</v>
      </c>
      <c r="O125" s="73">
        <f t="shared" si="682"/>
        <v>8.8848788678341672E-2</v>
      </c>
      <c r="P125" s="73">
        <f t="shared" si="681"/>
        <v>8.8848788678341672E-2</v>
      </c>
      <c r="Q125" s="73">
        <f t="shared" ref="Q125:R125" si="683">Q123/Q124</f>
        <v>8.8848788678341672E-2</v>
      </c>
      <c r="R125" s="73">
        <f t="shared" si="683"/>
        <v>8.8848788678341672E-2</v>
      </c>
      <c r="S125" s="73">
        <f t="shared" ref="S125" si="684">S123/S124</f>
        <v>8.8848788678341672E-2</v>
      </c>
      <c r="T125" s="73">
        <f t="shared" si="681"/>
        <v>8.8848788678341672E-2</v>
      </c>
      <c r="U125" s="73">
        <f t="shared" ref="U125:W125" si="685">U123/U124</f>
        <v>8.8848788678341672E-2</v>
      </c>
      <c r="V125" s="73">
        <f t="shared" si="685"/>
        <v>8.8848788678341672E-2</v>
      </c>
      <c r="W125" s="73">
        <f t="shared" si="685"/>
        <v>8.8848788678341672E-2</v>
      </c>
      <c r="X125" s="73">
        <f t="shared" si="681"/>
        <v>8.8848788678341672E-2</v>
      </c>
      <c r="Y125" s="73">
        <f t="shared" ref="Y125:AA125" si="686">Y123/Y124</f>
        <v>8.8848788678341672E-2</v>
      </c>
      <c r="Z125" s="73">
        <f t="shared" si="686"/>
        <v>8.8848788678341672E-2</v>
      </c>
      <c r="AA125" s="73">
        <f t="shared" si="686"/>
        <v>8.8848788678341672E-2</v>
      </c>
      <c r="AB125" s="73">
        <f t="shared" si="681"/>
        <v>8.8848788678341672E-2</v>
      </c>
      <c r="AC125" s="73">
        <f t="shared" ref="AC125:AE125" si="687">AC123/AC124</f>
        <v>8.8848788678341672E-2</v>
      </c>
      <c r="AD125" s="73">
        <f t="shared" si="687"/>
        <v>8.8848788678341672E-2</v>
      </c>
      <c r="AE125" s="73">
        <f t="shared" si="687"/>
        <v>8.8848788678341672E-2</v>
      </c>
      <c r="AF125" s="73">
        <f t="shared" si="681"/>
        <v>8.8848788678341672E-2</v>
      </c>
      <c r="AG125" s="73">
        <f t="shared" ref="AG125:AI125" si="688">AG123/AG124</f>
        <v>8.8848788678341672E-2</v>
      </c>
      <c r="AH125" s="73">
        <f t="shared" si="688"/>
        <v>8.8848788678341672E-2</v>
      </c>
      <c r="AI125" s="73">
        <f t="shared" si="688"/>
        <v>8.8848788678341672E-2</v>
      </c>
      <c r="AJ125" s="73">
        <f t="shared" si="681"/>
        <v>8.8848788678341672E-2</v>
      </c>
      <c r="AK125" s="73">
        <f t="shared" ref="AK125:AM125" si="689">AK123/AK124</f>
        <v>8.8848788678341672E-2</v>
      </c>
      <c r="AL125" s="73">
        <f t="shared" si="689"/>
        <v>8.8848788678341672E-2</v>
      </c>
      <c r="AM125" s="73">
        <f t="shared" si="689"/>
        <v>8.8848788678341672E-2</v>
      </c>
      <c r="AN125" s="73">
        <f t="shared" si="681"/>
        <v>8.8848788678341672E-2</v>
      </c>
      <c r="AO125" s="73">
        <f t="shared" ref="AO125:AQ125" si="690">AO123/AO124</f>
        <v>8.8848788678341672E-2</v>
      </c>
      <c r="AP125" s="73">
        <f t="shared" si="690"/>
        <v>8.8848788678341672E-2</v>
      </c>
      <c r="AQ125" s="73">
        <f t="shared" si="690"/>
        <v>8.8848788678341672E-2</v>
      </c>
      <c r="AR125" s="73">
        <f t="shared" si="681"/>
        <v>8.8848788678341672E-2</v>
      </c>
      <c r="AS125" s="83"/>
      <c r="AT125" s="83"/>
      <c r="AU125" s="83"/>
    </row>
    <row r="126" spans="2:47" s="63" customFormat="1">
      <c r="B126" s="63" t="s">
        <v>17</v>
      </c>
      <c r="C126" s="66">
        <f>C125*C115</f>
        <v>2447.7841280883131</v>
      </c>
      <c r="D126" s="66"/>
      <c r="E126" s="66">
        <f>E125*E115</f>
        <v>2918.6827080835237</v>
      </c>
      <c r="F126" s="66">
        <f t="shared" ref="F126:K126" si="691">F125*F115</f>
        <v>5366.4668361718368</v>
      </c>
      <c r="G126" s="66">
        <f t="shared" si="691"/>
        <v>7814.2509642601499</v>
      </c>
      <c r="H126" s="66">
        <f t="shared" si="691"/>
        <v>10262.035092348464</v>
      </c>
      <c r="I126" s="66">
        <f t="shared" si="691"/>
        <v>12709.819220436777</v>
      </c>
      <c r="J126" s="66">
        <f t="shared" si="691"/>
        <v>15157.60334852509</v>
      </c>
      <c r="K126" s="66">
        <f t="shared" si="691"/>
        <v>17605.387476613403</v>
      </c>
      <c r="L126" s="66">
        <f t="shared" ref="L126:AR126" si="692">L125*L115</f>
        <v>20053.171604701714</v>
      </c>
      <c r="M126" s="66">
        <f t="shared" ref="M126:O126" si="693">M125*M115</f>
        <v>22500.955732790029</v>
      </c>
      <c r="N126" s="66">
        <f t="shared" si="693"/>
        <v>24948.739860878341</v>
      </c>
      <c r="O126" s="66">
        <f t="shared" si="693"/>
        <v>27396.523988966655</v>
      </c>
      <c r="P126" s="66">
        <f t="shared" si="692"/>
        <v>29844.308117054967</v>
      </c>
      <c r="Q126" s="66">
        <f t="shared" ref="Q126:R126" si="694">Q125*Q115</f>
        <v>32292.092245143282</v>
      </c>
      <c r="R126" s="66">
        <f t="shared" si="694"/>
        <v>34739.876373231593</v>
      </c>
      <c r="S126" s="66">
        <f t="shared" ref="S126" si="695">S125*S115</f>
        <v>37187.660501319908</v>
      </c>
      <c r="T126" s="66">
        <f t="shared" si="692"/>
        <v>39635.444629408223</v>
      </c>
      <c r="U126" s="66">
        <f t="shared" ref="U126:W126" si="696">U125*U115</f>
        <v>42083.22875749653</v>
      </c>
      <c r="V126" s="66">
        <f t="shared" si="696"/>
        <v>44531.012885584845</v>
      </c>
      <c r="W126" s="66">
        <f t="shared" si="696"/>
        <v>46978.79701367316</v>
      </c>
      <c r="X126" s="66">
        <f t="shared" si="692"/>
        <v>49426.581141761475</v>
      </c>
      <c r="Y126" s="66">
        <f t="shared" ref="Y126:AA126" si="697">Y125*Y115</f>
        <v>51874.365269849783</v>
      </c>
      <c r="Z126" s="66">
        <f t="shared" si="697"/>
        <v>54322.149397938098</v>
      </c>
      <c r="AA126" s="66">
        <f t="shared" si="697"/>
        <v>56769.933526026412</v>
      </c>
      <c r="AB126" s="66">
        <f t="shared" si="692"/>
        <v>59217.717654114727</v>
      </c>
      <c r="AC126" s="66">
        <f t="shared" ref="AC126:AE126" si="698">AC125*AC115</f>
        <v>61665.501782203035</v>
      </c>
      <c r="AD126" s="66">
        <f t="shared" si="698"/>
        <v>64113.28591029135</v>
      </c>
      <c r="AE126" s="66">
        <f t="shared" si="698"/>
        <v>66561.070038379665</v>
      </c>
      <c r="AF126" s="66">
        <f t="shared" si="692"/>
        <v>69008.85416646798</v>
      </c>
      <c r="AG126" s="66">
        <f t="shared" ref="AG126:AI126" si="699">AG125*AG115</f>
        <v>71456.638294556295</v>
      </c>
      <c r="AH126" s="66">
        <f t="shared" si="699"/>
        <v>73904.422422644609</v>
      </c>
      <c r="AI126" s="66">
        <f t="shared" si="699"/>
        <v>76352.20655073291</v>
      </c>
      <c r="AJ126" s="66">
        <f t="shared" si="692"/>
        <v>78799.990678821225</v>
      </c>
      <c r="AK126" s="66">
        <f t="shared" ref="AK126:AM126" si="700">AK125*AK115</f>
        <v>81247.77480690954</v>
      </c>
      <c r="AL126" s="66">
        <f t="shared" si="700"/>
        <v>83695.558934997855</v>
      </c>
      <c r="AM126" s="66">
        <f t="shared" si="700"/>
        <v>86143.343063086169</v>
      </c>
      <c r="AN126" s="66">
        <f t="shared" si="692"/>
        <v>88591.127191174484</v>
      </c>
      <c r="AO126" s="66">
        <f t="shared" ref="AO126:AQ126" si="701">AO125*AO115</f>
        <v>91038.911319262799</v>
      </c>
      <c r="AP126" s="66">
        <f t="shared" si="701"/>
        <v>93486.695447351114</v>
      </c>
      <c r="AQ126" s="66">
        <f t="shared" si="701"/>
        <v>95934.479575439414</v>
      </c>
      <c r="AR126" s="66">
        <f t="shared" si="692"/>
        <v>98382.263703527729</v>
      </c>
      <c r="AS126" s="76"/>
      <c r="AT126" s="76"/>
      <c r="AU126" s="76"/>
    </row>
    <row r="127" spans="2:47">
      <c r="C127" s="4"/>
      <c r="D127" s="4"/>
      <c r="E127" s="4"/>
      <c r="F127" s="4"/>
      <c r="G127" s="4"/>
      <c r="H127" s="4"/>
      <c r="I127" s="4"/>
      <c r="J127" s="4"/>
      <c r="K127" s="4"/>
      <c r="L127" s="4"/>
      <c r="M127" s="4"/>
      <c r="AB127" s="4"/>
      <c r="AC127" s="4"/>
      <c r="AD127" s="4"/>
      <c r="AE127" s="4"/>
      <c r="AF127" s="4"/>
      <c r="AG127" s="4"/>
      <c r="AH127" s="4"/>
      <c r="AI127" s="4"/>
      <c r="AJ127" s="4"/>
      <c r="AK127" s="4"/>
      <c r="AL127" s="4"/>
      <c r="AM127" s="4"/>
      <c r="AN127" s="4"/>
      <c r="AO127" s="4"/>
      <c r="AP127" s="4"/>
      <c r="AQ127" s="4"/>
      <c r="AR127" s="4"/>
      <c r="AS127" s="76"/>
      <c r="AT127" s="76"/>
      <c r="AU127" s="76"/>
    </row>
    <row r="128" spans="2:47">
      <c r="B128" t="s">
        <v>34</v>
      </c>
      <c r="C128" s="4">
        <f>C108-C109</f>
        <v>4373.409537059757</v>
      </c>
      <c r="D128" s="4"/>
      <c r="E128" s="4">
        <f>E108-E109</f>
        <v>10024.192497002281</v>
      </c>
      <c r="F128" s="4">
        <f>F108-F109</f>
        <v>14397.602034062045</v>
      </c>
      <c r="G128" s="4">
        <f>G108-G109</f>
        <v>18771.011571121795</v>
      </c>
      <c r="H128" s="4">
        <f>H108-H109</f>
        <v>23144.421108181559</v>
      </c>
      <c r="I128" s="4">
        <f t="shared" ref="I128:J128" si="702">I108-I109</f>
        <v>27517.830645241309</v>
      </c>
      <c r="J128" s="4">
        <f t="shared" si="702"/>
        <v>31891.240182301088</v>
      </c>
      <c r="K128" s="4">
        <f t="shared" ref="K128" si="703">K108-K109</f>
        <v>36264.649719360837</v>
      </c>
      <c r="L128" s="4">
        <f t="shared" ref="L128:AR128" si="704">L108-L109</f>
        <v>40638.059256420587</v>
      </c>
      <c r="M128" s="4">
        <f t="shared" ref="M128:O128" si="705">M108-M109</f>
        <v>45011.468793480366</v>
      </c>
      <c r="N128" s="4">
        <f t="shared" si="705"/>
        <v>49384.878330540087</v>
      </c>
      <c r="O128" s="4">
        <f t="shared" si="705"/>
        <v>53758.287867599865</v>
      </c>
      <c r="P128" s="4">
        <f t="shared" si="704"/>
        <v>58131.697404659586</v>
      </c>
      <c r="Q128" s="4">
        <f t="shared" ref="Q128:R128" si="706">Q108-Q109</f>
        <v>62505.106941719365</v>
      </c>
      <c r="R128" s="4">
        <f t="shared" si="706"/>
        <v>66878.516478779144</v>
      </c>
      <c r="S128" s="4">
        <f t="shared" ref="S128" si="707">S108-S109</f>
        <v>71251.926015838864</v>
      </c>
      <c r="T128" s="4">
        <f t="shared" si="704"/>
        <v>75625.335552898701</v>
      </c>
      <c r="U128" s="4">
        <f t="shared" ref="U128:W128" si="708">U108-U109</f>
        <v>79998.745089958364</v>
      </c>
      <c r="V128" s="4">
        <f t="shared" si="708"/>
        <v>84372.154627018142</v>
      </c>
      <c r="W128" s="4">
        <f t="shared" si="708"/>
        <v>88745.564164077863</v>
      </c>
      <c r="X128" s="4">
        <f t="shared" si="704"/>
        <v>93118.9737011377</v>
      </c>
      <c r="Y128" s="4">
        <f t="shared" ref="Y128:AA128" si="709">Y108-Y109</f>
        <v>97492.383238197421</v>
      </c>
      <c r="Z128" s="4">
        <f t="shared" si="709"/>
        <v>101865.79277525714</v>
      </c>
      <c r="AA128" s="4">
        <f t="shared" si="709"/>
        <v>106239.20231231698</v>
      </c>
      <c r="AB128" s="4">
        <f t="shared" si="704"/>
        <v>110612.6118493767</v>
      </c>
      <c r="AC128" s="4">
        <f t="shared" ref="AC128:AE128" si="710">AC108-AC109</f>
        <v>114986.02138643642</v>
      </c>
      <c r="AD128" s="4">
        <f t="shared" si="710"/>
        <v>119359.43092349614</v>
      </c>
      <c r="AE128" s="4">
        <f t="shared" si="710"/>
        <v>123732.84046055598</v>
      </c>
      <c r="AF128" s="4">
        <f t="shared" si="704"/>
        <v>128106.24999761581</v>
      </c>
      <c r="AG128" s="4">
        <f t="shared" ref="AG128:AI128" si="711">AG108-AG109</f>
        <v>132479.65953467553</v>
      </c>
      <c r="AH128" s="4">
        <f t="shared" si="711"/>
        <v>136853.06907173526</v>
      </c>
      <c r="AI128" s="4">
        <f t="shared" si="711"/>
        <v>141226.47860879498</v>
      </c>
      <c r="AJ128" s="4">
        <f t="shared" si="704"/>
        <v>145599.8881458547</v>
      </c>
      <c r="AK128" s="4">
        <f t="shared" ref="AK128:AM128" si="712">AK108-AK109</f>
        <v>149973.29768291442</v>
      </c>
      <c r="AL128" s="4">
        <f t="shared" si="712"/>
        <v>154346.70721997425</v>
      </c>
      <c r="AM128" s="4">
        <f t="shared" si="712"/>
        <v>158720.11675703409</v>
      </c>
      <c r="AN128" s="4">
        <f t="shared" si="704"/>
        <v>163093.52629409381</v>
      </c>
      <c r="AO128" s="4">
        <f t="shared" ref="AO128:AQ128" si="713">AO108-AO109</f>
        <v>167466.93583115353</v>
      </c>
      <c r="AP128" s="4">
        <f t="shared" si="713"/>
        <v>171840.34536821349</v>
      </c>
      <c r="AQ128" s="4">
        <f t="shared" si="713"/>
        <v>176213.75490527297</v>
      </c>
      <c r="AR128" s="4">
        <f t="shared" si="704"/>
        <v>180587.16444233269</v>
      </c>
      <c r="AS128" s="76"/>
      <c r="AT128" s="76"/>
      <c r="AU128" s="76"/>
    </row>
    <row r="129" spans="2:47">
      <c r="B129" t="s">
        <v>35</v>
      </c>
      <c r="C129" s="7">
        <f>C128/C108</f>
        <v>0.14889008821199073</v>
      </c>
      <c r="D129" s="7"/>
      <c r="E129" s="7">
        <f>E128/E108</f>
        <v>0.28620766910929496</v>
      </c>
      <c r="F129" s="7">
        <f>F128/F108</f>
        <v>0.22357357384901805</v>
      </c>
      <c r="G129" s="7">
        <f>G128/G108</f>
        <v>0.20017925856419588</v>
      </c>
      <c r="H129" s="7">
        <f>H128/H108</f>
        <v>0.18794534823343184</v>
      </c>
      <c r="I129" s="7">
        <f t="shared" ref="I129:J129" si="714">I128/I108</f>
        <v>0.18042369556939333</v>
      </c>
      <c r="J129" s="7">
        <f t="shared" si="714"/>
        <v>0.1753313691760966</v>
      </c>
      <c r="K129" s="7">
        <f t="shared" ref="K129" si="715">K128/K108</f>
        <v>0.171655077020855</v>
      </c>
      <c r="L129" s="7">
        <f t="shared" ref="L129:AR129" si="716">L128/L108</f>
        <v>0.16887627577280798</v>
      </c>
      <c r="M129" s="7">
        <f t="shared" ref="M129:O129" si="717">M128/M108</f>
        <v>0.16670206267389187</v>
      </c>
      <c r="N129" s="7">
        <f t="shared" si="717"/>
        <v>0.16495448469516893</v>
      </c>
      <c r="O129" s="7">
        <f t="shared" si="717"/>
        <v>0.16351918674442614</v>
      </c>
      <c r="P129" s="7">
        <f t="shared" si="716"/>
        <v>0.16231933064270351</v>
      </c>
      <c r="Q129" s="7">
        <f t="shared" ref="Q129:R129" si="718">Q128/Q108</f>
        <v>0.16130137596127245</v>
      </c>
      <c r="R129" s="7">
        <f t="shared" si="718"/>
        <v>0.16042687218251878</v>
      </c>
      <c r="S129" s="7">
        <f t="shared" ref="S129" si="719">S128/S108</f>
        <v>0.15966749242290085</v>
      </c>
      <c r="T129" s="7">
        <f t="shared" si="716"/>
        <v>0.15900190738364842</v>
      </c>
      <c r="U129" s="7">
        <f t="shared" ref="U129:W129" si="720">U128/U108</f>
        <v>0.15841375026725604</v>
      </c>
      <c r="V129" s="7">
        <f t="shared" si="720"/>
        <v>0.15789025288173622</v>
      </c>
      <c r="W129" s="7">
        <f t="shared" si="720"/>
        <v>0.15742130813156785</v>
      </c>
      <c r="X129" s="7">
        <f t="shared" si="716"/>
        <v>0.15699881108180283</v>
      </c>
      <c r="Y129" s="7">
        <f t="shared" ref="Y129:AA129" si="721">Y128/Y108</f>
        <v>0.15661618658053822</v>
      </c>
      <c r="Z129" s="7">
        <f t="shared" si="721"/>
        <v>0.15626804459484389</v>
      </c>
      <c r="AA129" s="7">
        <f t="shared" si="721"/>
        <v>0.15594992471324509</v>
      </c>
      <c r="AB129" s="7">
        <f t="shared" si="716"/>
        <v>0.15565810401465607</v>
      </c>
      <c r="AC129" s="7">
        <f t="shared" ref="AC129:AE129" si="722">AC128/AC108</f>
        <v>0.15538945069664806</v>
      </c>
      <c r="AD129" s="7">
        <f t="shared" si="722"/>
        <v>0.15514131123371522</v>
      </c>
      <c r="AE129" s="7">
        <f t="shared" si="722"/>
        <v>0.15491142243407771</v>
      </c>
      <c r="AF129" s="7">
        <f t="shared" si="716"/>
        <v>0.15469784221286176</v>
      </c>
      <c r="AG129" s="7">
        <f t="shared" ref="AG129:AI129" si="723">AG128/AG108</f>
        <v>0.1544988945936836</v>
      </c>
      <c r="AH129" s="7">
        <f t="shared" si="723"/>
        <v>0.15431312563982971</v>
      </c>
      <c r="AI129" s="7">
        <f t="shared" si="723"/>
        <v>0.15413926786228041</v>
      </c>
      <c r="AJ129" s="7">
        <f t="shared" si="716"/>
        <v>0.15397621126134961</v>
      </c>
      <c r="AK129" s="7">
        <f t="shared" ref="AK129:AM129" si="724">AK128/AK108</f>
        <v>0.15382297960296495</v>
      </c>
      <c r="AL129" s="7">
        <f t="shared" si="724"/>
        <v>0.15367871085793175</v>
      </c>
      <c r="AM129" s="7">
        <f t="shared" si="724"/>
        <v>0.15354264097613543</v>
      </c>
      <c r="AN129" s="7">
        <f t="shared" si="716"/>
        <v>0.15341409035066936</v>
      </c>
      <c r="AO129" s="7">
        <f t="shared" ref="AO129:AQ129" si="725">AO128/AO108</f>
        <v>0.15329245246561532</v>
      </c>
      <c r="AP129" s="7">
        <f t="shared" si="725"/>
        <v>0.15317718432725075</v>
      </c>
      <c r="AQ129" s="7">
        <f t="shared" si="725"/>
        <v>0.1530677983601513</v>
      </c>
      <c r="AR129" s="7">
        <f t="shared" si="716"/>
        <v>0.15296385551306213</v>
      </c>
      <c r="AS129" s="38"/>
      <c r="AT129" s="38"/>
      <c r="AU129" s="38"/>
    </row>
    <row r="133" spans="2:47" ht="21">
      <c r="B133" s="65"/>
      <c r="C133" s="65"/>
      <c r="D133" s="65"/>
      <c r="E133" s="65"/>
      <c r="F133" s="65"/>
      <c r="G133" s="65"/>
      <c r="H133" s="84"/>
      <c r="I133" s="84"/>
      <c r="J133" s="84"/>
      <c r="K133" s="84"/>
      <c r="L133" s="84"/>
      <c r="M133" s="84"/>
      <c r="N133" s="90"/>
      <c r="O133" s="90"/>
      <c r="P133" s="90"/>
      <c r="Q133" s="90"/>
      <c r="R133" s="90"/>
      <c r="S133" s="90"/>
      <c r="T133" s="90"/>
      <c r="U133" s="90"/>
      <c r="V133" s="90"/>
      <c r="W133" s="90"/>
      <c r="X133" s="90"/>
      <c r="Y133" s="90"/>
      <c r="Z133" s="90"/>
      <c r="AA133" s="90"/>
      <c r="AB133" s="84"/>
      <c r="AC133" s="84"/>
      <c r="AD133" s="84"/>
      <c r="AE133" s="84"/>
      <c r="AF133" s="84"/>
      <c r="AG133" s="84"/>
      <c r="AH133" s="84"/>
      <c r="AI133" s="84"/>
      <c r="AJ133" s="84"/>
      <c r="AK133" s="84"/>
      <c r="AL133" s="84"/>
      <c r="AM133" s="84"/>
      <c r="AN133" s="84"/>
      <c r="AO133" s="84"/>
      <c r="AP133" s="84"/>
      <c r="AQ133" s="84"/>
      <c r="AR133" s="84"/>
      <c r="AS133" s="84"/>
      <c r="AT133" s="84"/>
      <c r="AU133" s="84"/>
    </row>
    <row r="134" spans="2:47">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76"/>
      <c r="AT134" s="76"/>
      <c r="AU134" s="76"/>
    </row>
    <row r="135" spans="2:47">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76"/>
      <c r="AT135" s="76"/>
      <c r="AU135" s="76"/>
    </row>
    <row r="136" spans="2:47">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76"/>
      <c r="AT136" s="76"/>
      <c r="AU136" s="76"/>
    </row>
    <row r="137" spans="2:47">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76"/>
      <c r="AT137" s="76"/>
      <c r="AU137" s="76"/>
    </row>
    <row r="138" spans="2:47">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76"/>
      <c r="AT138" s="76"/>
      <c r="AU138" s="76"/>
    </row>
    <row r="139" spans="2:47">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76"/>
      <c r="AT139" s="76"/>
      <c r="AU139" s="76"/>
    </row>
    <row r="140" spans="2:47">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76"/>
      <c r="AT140" s="76"/>
      <c r="AU140" s="76"/>
    </row>
    <row r="141" spans="2:47">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85"/>
      <c r="AK141" s="85"/>
      <c r="AL141" s="85"/>
      <c r="AM141" s="85"/>
      <c r="AN141" s="85"/>
      <c r="AO141" s="85"/>
      <c r="AP141" s="85"/>
      <c r="AQ141" s="85"/>
      <c r="AR141" s="85"/>
      <c r="AS141" s="77"/>
      <c r="AT141" s="77"/>
      <c r="AU141" s="77"/>
    </row>
    <row r="142" spans="2:47">
      <c r="H142" s="86"/>
      <c r="I142" s="86"/>
      <c r="J142" s="86"/>
      <c r="K142" s="86"/>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c r="AQ142" s="86"/>
      <c r="AR142" s="86"/>
      <c r="AS142" s="80"/>
      <c r="AT142" s="80"/>
      <c r="AU142" s="80"/>
    </row>
    <row r="143" spans="2:47">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38"/>
      <c r="AT143" s="38"/>
      <c r="AU143" s="38"/>
    </row>
    <row r="144" spans="2:47">
      <c r="H144" s="86"/>
      <c r="I144" s="86"/>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c r="AQ144" s="86"/>
      <c r="AR144" s="86"/>
      <c r="AS144" s="80"/>
      <c r="AT144" s="80"/>
      <c r="AU144" s="80"/>
    </row>
    <row r="145" spans="8:47">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76"/>
      <c r="AT145" s="76"/>
      <c r="AU145" s="76"/>
    </row>
    <row r="146" spans="8:4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1"/>
      <c r="AT146" s="81"/>
      <c r="AU146" s="81"/>
    </row>
    <row r="147" spans="8:47">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2"/>
      <c r="AT147" s="82"/>
      <c r="AU147" s="82"/>
    </row>
    <row r="148" spans="8:47">
      <c r="H148" s="89"/>
      <c r="I148" s="89"/>
      <c r="J148" s="89"/>
      <c r="K148" s="89"/>
      <c r="L148" s="89"/>
      <c r="M148" s="89"/>
      <c r="N148" s="89"/>
      <c r="O148" s="89"/>
      <c r="P148" s="89"/>
      <c r="Q148" s="89"/>
      <c r="R148" s="89"/>
      <c r="S148" s="89"/>
      <c r="T148" s="89"/>
      <c r="U148" s="89"/>
      <c r="V148" s="89"/>
      <c r="W148" s="89"/>
      <c r="X148" s="89"/>
      <c r="Y148" s="89"/>
      <c r="Z148" s="89"/>
      <c r="AA148" s="89"/>
      <c r="AB148" s="89"/>
      <c r="AC148" s="89"/>
      <c r="AD148" s="89"/>
      <c r="AE148" s="89"/>
      <c r="AF148" s="89"/>
      <c r="AG148" s="89"/>
      <c r="AH148" s="89"/>
      <c r="AI148" s="89"/>
      <c r="AJ148" s="89"/>
      <c r="AK148" s="89"/>
      <c r="AL148" s="89"/>
      <c r="AM148" s="89"/>
      <c r="AN148" s="89"/>
      <c r="AO148" s="89"/>
      <c r="AP148" s="89"/>
      <c r="AQ148" s="89"/>
      <c r="AR148" s="89"/>
      <c r="AS148" s="83"/>
      <c r="AT148" s="83"/>
      <c r="AU148" s="83"/>
    </row>
    <row r="149" spans="8:47">
      <c r="H149" s="89"/>
      <c r="I149" s="89"/>
      <c r="J149" s="89"/>
      <c r="K149" s="89"/>
      <c r="L149" s="89"/>
      <c r="M149" s="89"/>
      <c r="N149" s="89"/>
      <c r="O149" s="89"/>
      <c r="P149" s="89"/>
      <c r="Q149" s="89"/>
      <c r="R149" s="89"/>
      <c r="S149" s="89"/>
      <c r="T149" s="89"/>
      <c r="U149" s="89"/>
      <c r="V149" s="89"/>
      <c r="W149" s="89"/>
      <c r="X149" s="89"/>
      <c r="Y149" s="89"/>
      <c r="Z149" s="89"/>
      <c r="AA149" s="89"/>
      <c r="AB149" s="89"/>
      <c r="AC149" s="89"/>
      <c r="AD149" s="89"/>
      <c r="AE149" s="89"/>
      <c r="AF149" s="89"/>
      <c r="AG149" s="89"/>
      <c r="AH149" s="89"/>
      <c r="AI149" s="89"/>
      <c r="AJ149" s="89"/>
      <c r="AK149" s="89"/>
      <c r="AL149" s="89"/>
      <c r="AM149" s="89"/>
      <c r="AN149" s="89"/>
      <c r="AO149" s="89"/>
      <c r="AP149" s="89"/>
      <c r="AQ149" s="89"/>
      <c r="AR149" s="89"/>
      <c r="AS149" s="83"/>
      <c r="AT149" s="83"/>
      <c r="AU149" s="83"/>
    </row>
    <row r="150" spans="8:47">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76"/>
      <c r="AT150" s="76"/>
      <c r="AU150" s="76"/>
    </row>
    <row r="151" spans="8:47">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76"/>
      <c r="AT151" s="76"/>
      <c r="AU151" s="76"/>
    </row>
    <row r="152" spans="8:47">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76"/>
      <c r="AT152" s="76"/>
      <c r="AU152" s="76"/>
    </row>
    <row r="153" spans="8:47">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38"/>
      <c r="AT153" s="38"/>
      <c r="AU15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C1BD9-DA70-4037-B286-B1EAA43CCABC}">
  <dimension ref="B1:BK135"/>
  <sheetViews>
    <sheetView workbookViewId="0">
      <selection activeCell="C3" sqref="C3"/>
    </sheetView>
  </sheetViews>
  <sheetFormatPr defaultColWidth="8.88671875" defaultRowHeight="14.4"/>
  <cols>
    <col min="1" max="1" width="2.88671875" customWidth="1"/>
    <col min="2" max="2" width="27.33203125" customWidth="1"/>
    <col min="3" max="3" width="13.44140625" customWidth="1"/>
    <col min="4" max="9" width="15.6640625" customWidth="1"/>
    <col min="10" max="10" width="4.6640625" customWidth="1"/>
    <col min="11" max="16" width="10.6640625" customWidth="1"/>
    <col min="17" max="17" width="8.5546875" customWidth="1"/>
    <col min="18" max="18" width="21.6640625" customWidth="1"/>
    <col min="19" max="19" width="12.5546875" customWidth="1"/>
    <col min="20" max="20" width="10.33203125" customWidth="1"/>
    <col min="21" max="21" width="3.33203125" customWidth="1"/>
    <col min="22" max="63" width="15.6640625" customWidth="1"/>
  </cols>
  <sheetData>
    <row r="1" spans="2:63">
      <c r="B1" t="s">
        <v>37</v>
      </c>
      <c r="C1" s="1">
        <f>'DATA ENTRY'!F16</f>
        <v>852.8487877766371</v>
      </c>
    </row>
    <row r="2" spans="2:63">
      <c r="B2" s="2" t="s">
        <v>38</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3">
        <v>37</v>
      </c>
      <c r="AO2" s="3">
        <v>38</v>
      </c>
      <c r="AP2" s="3">
        <v>39</v>
      </c>
      <c r="AQ2" s="3">
        <v>40</v>
      </c>
      <c r="AR2" s="3">
        <v>41</v>
      </c>
      <c r="AS2" s="3">
        <v>42</v>
      </c>
      <c r="AT2" s="3">
        <v>43</v>
      </c>
      <c r="AU2" s="3">
        <v>44</v>
      </c>
      <c r="AV2" s="3">
        <v>45</v>
      </c>
      <c r="AW2" s="3">
        <v>46</v>
      </c>
      <c r="AX2" s="3">
        <v>47</v>
      </c>
      <c r="AY2" s="3">
        <v>48</v>
      </c>
      <c r="AZ2" s="3">
        <v>49</v>
      </c>
      <c r="BA2" s="3">
        <v>50</v>
      </c>
      <c r="BB2" s="3">
        <v>51</v>
      </c>
      <c r="BC2" s="3">
        <v>52</v>
      </c>
      <c r="BD2" s="3">
        <v>53</v>
      </c>
      <c r="BE2" s="3">
        <v>54</v>
      </c>
      <c r="BF2" s="3">
        <v>55</v>
      </c>
      <c r="BG2" s="3">
        <v>56</v>
      </c>
      <c r="BH2" s="3">
        <v>57</v>
      </c>
      <c r="BI2" s="3">
        <v>58</v>
      </c>
      <c r="BJ2" s="3">
        <v>59</v>
      </c>
      <c r="BK2" s="3">
        <v>60</v>
      </c>
    </row>
    <row r="3" spans="2:63">
      <c r="B3" s="2" t="s">
        <v>6</v>
      </c>
      <c r="C3" s="4">
        <f>'DATA ENTRY'!F4</f>
        <v>40936.741813278582</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2:63">
      <c r="B4" s="2" t="s">
        <v>14</v>
      </c>
      <c r="C4" s="4">
        <f>'DATA ENTRY'!F13</f>
        <v>34415.833333333336</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row>
    <row r="5" spans="2:63">
      <c r="B5" s="2" t="s">
        <v>9</v>
      </c>
      <c r="C5" s="4">
        <f>'DATA ENTRY'!F8</f>
        <v>2550</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2:63">
      <c r="B6" s="2" t="s">
        <v>10</v>
      </c>
      <c r="C6" s="4">
        <f>'DATA ENTRY'!F9</f>
        <v>1200</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2:63">
      <c r="B7" s="2" t="s">
        <v>11</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2:63">
      <c r="B8" s="2" t="s">
        <v>12</v>
      </c>
      <c r="C8" s="4">
        <f>'DATA ENTRY'!G11</f>
        <v>0</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2:63">
      <c r="B9" s="2" t="s">
        <v>13</v>
      </c>
      <c r="C9" s="4">
        <f>'DATA ENTRY'!F12</f>
        <v>365.83333333333331</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row>
    <row r="10" spans="2:63">
      <c r="B10" s="5" t="s">
        <v>39</v>
      </c>
      <c r="C10" s="6">
        <f>C4-C5-C6-C7-C8-C9</f>
        <v>30300.000000000004</v>
      </c>
      <c r="D10" s="6">
        <f t="shared" ref="D10:BK10" si="0">-$C1</f>
        <v>-852.8487877766371</v>
      </c>
      <c r="E10" s="6">
        <f t="shared" si="0"/>
        <v>-852.8487877766371</v>
      </c>
      <c r="F10" s="6">
        <f t="shared" si="0"/>
        <v>-852.8487877766371</v>
      </c>
      <c r="G10" s="6">
        <f t="shared" si="0"/>
        <v>-852.8487877766371</v>
      </c>
      <c r="H10" s="6">
        <f t="shared" si="0"/>
        <v>-852.8487877766371</v>
      </c>
      <c r="I10" s="6">
        <f t="shared" si="0"/>
        <v>-852.8487877766371</v>
      </c>
      <c r="J10" s="6">
        <f t="shared" si="0"/>
        <v>-852.8487877766371</v>
      </c>
      <c r="K10" s="6">
        <f t="shared" si="0"/>
        <v>-852.8487877766371</v>
      </c>
      <c r="L10" s="6">
        <f t="shared" si="0"/>
        <v>-852.8487877766371</v>
      </c>
      <c r="M10" s="6">
        <f t="shared" si="0"/>
        <v>-852.8487877766371</v>
      </c>
      <c r="N10" s="6">
        <f t="shared" si="0"/>
        <v>-852.8487877766371</v>
      </c>
      <c r="O10" s="6">
        <f t="shared" si="0"/>
        <v>-852.8487877766371</v>
      </c>
      <c r="P10" s="6">
        <f t="shared" si="0"/>
        <v>-852.8487877766371</v>
      </c>
      <c r="Q10" s="6">
        <f t="shared" si="0"/>
        <v>-852.8487877766371</v>
      </c>
      <c r="R10" s="6">
        <f t="shared" si="0"/>
        <v>-852.8487877766371</v>
      </c>
      <c r="S10" s="6">
        <f t="shared" si="0"/>
        <v>-852.8487877766371</v>
      </c>
      <c r="T10" s="6">
        <f t="shared" si="0"/>
        <v>-852.8487877766371</v>
      </c>
      <c r="U10" s="6">
        <f t="shared" si="0"/>
        <v>-852.8487877766371</v>
      </c>
      <c r="V10" s="6">
        <f t="shared" si="0"/>
        <v>-852.8487877766371</v>
      </c>
      <c r="W10" s="6">
        <f t="shared" si="0"/>
        <v>-852.8487877766371</v>
      </c>
      <c r="X10" s="6">
        <f t="shared" si="0"/>
        <v>-852.8487877766371</v>
      </c>
      <c r="Y10" s="6">
        <f t="shared" si="0"/>
        <v>-852.8487877766371</v>
      </c>
      <c r="Z10" s="6">
        <f t="shared" si="0"/>
        <v>-852.8487877766371</v>
      </c>
      <c r="AA10" s="6">
        <f t="shared" si="0"/>
        <v>-852.8487877766371</v>
      </c>
      <c r="AB10" s="6">
        <f t="shared" si="0"/>
        <v>-852.8487877766371</v>
      </c>
      <c r="AC10" s="6">
        <f t="shared" si="0"/>
        <v>-852.8487877766371</v>
      </c>
      <c r="AD10" s="6">
        <f t="shared" si="0"/>
        <v>-852.8487877766371</v>
      </c>
      <c r="AE10" s="6">
        <f t="shared" si="0"/>
        <v>-852.8487877766371</v>
      </c>
      <c r="AF10" s="6">
        <f t="shared" si="0"/>
        <v>-852.8487877766371</v>
      </c>
      <c r="AG10" s="6">
        <f t="shared" si="0"/>
        <v>-852.8487877766371</v>
      </c>
      <c r="AH10" s="6">
        <f t="shared" si="0"/>
        <v>-852.8487877766371</v>
      </c>
      <c r="AI10" s="6">
        <f t="shared" si="0"/>
        <v>-852.8487877766371</v>
      </c>
      <c r="AJ10" s="6">
        <f t="shared" si="0"/>
        <v>-852.8487877766371</v>
      </c>
      <c r="AK10" s="6">
        <f t="shared" si="0"/>
        <v>-852.8487877766371</v>
      </c>
      <c r="AL10" s="6">
        <f t="shared" si="0"/>
        <v>-852.8487877766371</v>
      </c>
      <c r="AM10" s="6">
        <f t="shared" si="0"/>
        <v>-852.8487877766371</v>
      </c>
      <c r="AN10" s="6">
        <f t="shared" si="0"/>
        <v>-852.8487877766371</v>
      </c>
      <c r="AO10" s="6">
        <f t="shared" si="0"/>
        <v>-852.8487877766371</v>
      </c>
      <c r="AP10" s="6">
        <f t="shared" si="0"/>
        <v>-852.8487877766371</v>
      </c>
      <c r="AQ10" s="6">
        <f t="shared" si="0"/>
        <v>-852.8487877766371</v>
      </c>
      <c r="AR10" s="6">
        <f t="shared" si="0"/>
        <v>-852.8487877766371</v>
      </c>
      <c r="AS10" s="6">
        <f t="shared" si="0"/>
        <v>-852.8487877766371</v>
      </c>
      <c r="AT10" s="6">
        <f t="shared" si="0"/>
        <v>-852.8487877766371</v>
      </c>
      <c r="AU10" s="6">
        <f t="shared" si="0"/>
        <v>-852.8487877766371</v>
      </c>
      <c r="AV10" s="6">
        <f t="shared" si="0"/>
        <v>-852.8487877766371</v>
      </c>
      <c r="AW10" s="6">
        <f t="shared" si="0"/>
        <v>-852.8487877766371</v>
      </c>
      <c r="AX10" s="6">
        <f t="shared" si="0"/>
        <v>-852.8487877766371</v>
      </c>
      <c r="AY10" s="6">
        <f t="shared" si="0"/>
        <v>-852.8487877766371</v>
      </c>
      <c r="AZ10" s="6">
        <f t="shared" si="0"/>
        <v>-852.8487877766371</v>
      </c>
      <c r="BA10" s="6">
        <f t="shared" si="0"/>
        <v>-852.8487877766371</v>
      </c>
      <c r="BB10" s="6">
        <f t="shared" si="0"/>
        <v>-852.8487877766371</v>
      </c>
      <c r="BC10" s="6">
        <f t="shared" si="0"/>
        <v>-852.8487877766371</v>
      </c>
      <c r="BD10" s="6">
        <f t="shared" si="0"/>
        <v>-852.8487877766371</v>
      </c>
      <c r="BE10" s="6">
        <f t="shared" si="0"/>
        <v>-852.8487877766371</v>
      </c>
      <c r="BF10" s="6">
        <f t="shared" si="0"/>
        <v>-852.8487877766371</v>
      </c>
      <c r="BG10" s="6">
        <f t="shared" si="0"/>
        <v>-852.8487877766371</v>
      </c>
      <c r="BH10" s="6">
        <f t="shared" si="0"/>
        <v>-852.8487877766371</v>
      </c>
      <c r="BI10" s="6">
        <f t="shared" si="0"/>
        <v>-852.8487877766371</v>
      </c>
      <c r="BJ10" s="6">
        <f t="shared" si="0"/>
        <v>-852.8487877766371</v>
      </c>
      <c r="BK10" s="6">
        <f t="shared" si="0"/>
        <v>-852.8487877766371</v>
      </c>
    </row>
    <row r="12" spans="2:63">
      <c r="B12" t="s">
        <v>40</v>
      </c>
      <c r="C12" s="7">
        <f>IRR(C10:BK10)</f>
        <v>1.9103335362123275E-2</v>
      </c>
      <c r="D12">
        <f>C12/5</f>
        <v>3.8206670724246551E-3</v>
      </c>
    </row>
    <row r="13" spans="2:63">
      <c r="C13" s="8"/>
    </row>
    <row r="14" spans="2:63">
      <c r="B14" t="s">
        <v>86</v>
      </c>
      <c r="C14" s="9"/>
    </row>
    <row r="15" spans="2:63">
      <c r="B15" t="s">
        <v>32</v>
      </c>
      <c r="C15" s="10">
        <f>'DATA ENTRY'!G14/12</f>
        <v>7.4999999999999997E-3</v>
      </c>
    </row>
    <row r="16" spans="2:63">
      <c r="B16" t="s">
        <v>16</v>
      </c>
      <c r="C16" s="110">
        <f>'DATA ENTRY'!G15</f>
        <v>9.4100503202476204E-2</v>
      </c>
    </row>
    <row r="19" spans="2:21" ht="15" thickBot="1">
      <c r="H19" s="11"/>
    </row>
    <row r="20" spans="2:21">
      <c r="B20" s="1"/>
      <c r="C20" s="233" t="s">
        <v>41</v>
      </c>
      <c r="D20" s="234"/>
      <c r="E20" s="234"/>
      <c r="F20" s="234"/>
      <c r="G20" s="234"/>
      <c r="H20" s="235"/>
      <c r="I20" s="34"/>
      <c r="J20" s="39"/>
      <c r="K20" s="40"/>
      <c r="L20" s="40"/>
      <c r="M20" s="40"/>
      <c r="N20" s="40"/>
      <c r="O20" s="41"/>
      <c r="P20" s="40"/>
      <c r="Q20" s="40"/>
      <c r="R20" s="40"/>
      <c r="S20" s="40"/>
      <c r="T20" s="40"/>
      <c r="U20" s="57"/>
    </row>
    <row r="21" spans="2:21">
      <c r="C21" s="236"/>
      <c r="D21" s="237"/>
      <c r="E21" s="237"/>
      <c r="F21" s="237"/>
      <c r="G21" s="237"/>
      <c r="H21" s="238"/>
      <c r="J21" s="42"/>
      <c r="K21" s="43"/>
      <c r="L21" s="43"/>
      <c r="M21" s="43"/>
      <c r="N21" s="43"/>
      <c r="O21" s="111"/>
      <c r="P21" s="43"/>
      <c r="Q21" s="43"/>
      <c r="R21" s="43"/>
      <c r="S21" s="43"/>
      <c r="T21" s="43"/>
      <c r="U21" s="58"/>
    </row>
    <row r="22" spans="2:21">
      <c r="C22" s="12" t="s">
        <v>42</v>
      </c>
      <c r="D22" s="202" t="s">
        <v>243</v>
      </c>
      <c r="E22" s="13"/>
      <c r="F22" s="14"/>
      <c r="G22" s="2" t="s">
        <v>43</v>
      </c>
      <c r="H22" s="15"/>
      <c r="J22" s="42"/>
      <c r="K22" s="43"/>
      <c r="L22" s="43"/>
      <c r="M22" s="43"/>
      <c r="N22" s="43"/>
      <c r="O22" s="44"/>
      <c r="P22" s="43"/>
      <c r="Q22" s="43"/>
      <c r="R22" s="43"/>
      <c r="S22" s="43"/>
      <c r="T22" s="43"/>
      <c r="U22" s="58"/>
    </row>
    <row r="23" spans="2:21">
      <c r="C23" s="16" t="s">
        <v>44</v>
      </c>
      <c r="D23" s="203" t="s">
        <v>244</v>
      </c>
      <c r="E23" s="18" t="s">
        <v>45</v>
      </c>
      <c r="F23" s="204" t="s">
        <v>245</v>
      </c>
      <c r="G23" s="2" t="s">
        <v>46</v>
      </c>
      <c r="H23" s="20">
        <f>C10</f>
        <v>30300.000000000004</v>
      </c>
      <c r="J23" s="42"/>
      <c r="K23" s="43"/>
      <c r="L23" s="43"/>
      <c r="M23" s="43"/>
      <c r="N23" s="43"/>
      <c r="O23" s="44"/>
      <c r="P23" s="43"/>
      <c r="Q23" s="43"/>
      <c r="R23" s="43"/>
      <c r="S23" s="43"/>
      <c r="T23" s="43"/>
      <c r="U23" s="58"/>
    </row>
    <row r="24" spans="2:21" ht="21">
      <c r="C24" s="239" t="s">
        <v>47</v>
      </c>
      <c r="D24" s="12" t="s">
        <v>48</v>
      </c>
      <c r="E24" s="61">
        <v>45842</v>
      </c>
      <c r="F24" s="2" t="s">
        <v>49</v>
      </c>
      <c r="G24" s="21">
        <f>B87</f>
        <v>47699</v>
      </c>
      <c r="H24" s="15"/>
      <c r="J24" s="42"/>
      <c r="K24" s="240" t="s">
        <v>58</v>
      </c>
      <c r="L24" s="240"/>
      <c r="M24" s="240"/>
      <c r="N24" s="240"/>
      <c r="O24" s="240"/>
      <c r="P24" s="240"/>
      <c r="Q24" s="240"/>
      <c r="R24" s="240"/>
      <c r="S24" s="240"/>
      <c r="T24" s="240"/>
      <c r="U24" s="58"/>
    </row>
    <row r="25" spans="2:21">
      <c r="C25" s="239"/>
      <c r="D25" s="2" t="s">
        <v>50</v>
      </c>
      <c r="E25" s="2">
        <v>48</v>
      </c>
      <c r="F25" s="2" t="s">
        <v>51</v>
      </c>
      <c r="G25" s="2"/>
      <c r="H25" s="15"/>
      <c r="J25" s="42"/>
      <c r="K25" s="241" t="s">
        <v>59</v>
      </c>
      <c r="L25" s="241"/>
      <c r="M25" s="241"/>
      <c r="N25" s="241"/>
      <c r="O25" s="241"/>
      <c r="P25" s="241"/>
      <c r="Q25" s="241"/>
      <c r="R25" s="241"/>
      <c r="S25" s="241"/>
      <c r="T25" s="241"/>
      <c r="U25" s="58"/>
    </row>
    <row r="26" spans="2:21">
      <c r="C26" s="239"/>
      <c r="D26" s="2" t="s">
        <v>52</v>
      </c>
      <c r="E26" s="22" t="s">
        <v>53</v>
      </c>
      <c r="F26" s="22" t="s">
        <v>54</v>
      </c>
      <c r="G26" s="22" t="s">
        <v>55</v>
      </c>
      <c r="H26" s="23" t="s">
        <v>56</v>
      </c>
      <c r="J26" s="42"/>
      <c r="K26" s="43"/>
      <c r="L26" s="43"/>
      <c r="M26" s="43"/>
      <c r="N26" s="43"/>
      <c r="O26" s="44"/>
      <c r="P26" s="43"/>
      <c r="Q26" s="43"/>
      <c r="R26" s="43"/>
      <c r="S26" s="43"/>
      <c r="T26" s="43"/>
      <c r="U26" s="58"/>
    </row>
    <row r="27" spans="2:21" ht="17.399999999999999">
      <c r="C27" s="239"/>
      <c r="D27" s="2" t="s">
        <v>57</v>
      </c>
      <c r="E27" s="2"/>
      <c r="F27" s="2"/>
      <c r="G27" s="2"/>
      <c r="H27" s="24">
        <f>C10</f>
        <v>30300.000000000004</v>
      </c>
      <c r="J27" s="42"/>
      <c r="K27" s="242" t="s">
        <v>60</v>
      </c>
      <c r="L27" s="242"/>
      <c r="M27" s="242"/>
      <c r="N27" s="242"/>
      <c r="O27" s="242"/>
      <c r="P27" s="242"/>
      <c r="Q27" s="242"/>
      <c r="R27" s="242"/>
      <c r="S27" s="242"/>
      <c r="T27" s="242"/>
      <c r="U27" s="58"/>
    </row>
    <row r="28" spans="2:21">
      <c r="B28" s="25">
        <f>DATE(YEAR(E$24),MONTH(E$24)+D28+1,DAY(E$24))</f>
        <v>45904</v>
      </c>
      <c r="C28" s="26" t="str">
        <f t="shared" ref="C28:C87" si="1">TEXT(B28,"mmm-yyyy")</f>
        <v>Sep-2025</v>
      </c>
      <c r="D28" s="27">
        <v>1</v>
      </c>
      <c r="E28" s="28">
        <f t="shared" ref="E28:E87" si="2">C$1</f>
        <v>852.8487877766371</v>
      </c>
      <c r="F28" s="29">
        <f>E28-G28</f>
        <v>274.01772630430185</v>
      </c>
      <c r="G28" s="30">
        <f t="shared" ref="G28:G87" si="3">H27*C$12</f>
        <v>578.83106147233525</v>
      </c>
      <c r="H28" s="31">
        <f>H27-F28</f>
        <v>30025.982273695703</v>
      </c>
      <c r="J28" s="42"/>
      <c r="K28" s="112"/>
      <c r="L28" s="112"/>
      <c r="M28" s="112"/>
      <c r="N28" s="112"/>
      <c r="O28" s="111"/>
      <c r="P28" s="112"/>
      <c r="Q28" s="43"/>
      <c r="R28" s="43"/>
      <c r="S28" s="43"/>
      <c r="T28" s="43"/>
      <c r="U28" s="58"/>
    </row>
    <row r="29" spans="2:21" ht="15.6">
      <c r="B29" s="25">
        <f t="shared" ref="B29:B87" si="4">DATE(YEAR(E$24),MONTH(E$24)+D29+1,DAY(E$24))</f>
        <v>45934</v>
      </c>
      <c r="C29" s="26" t="str">
        <f t="shared" si="1"/>
        <v>Oct-2025</v>
      </c>
      <c r="D29" s="27">
        <v>2</v>
      </c>
      <c r="E29" s="28">
        <f t="shared" si="2"/>
        <v>852.8487877766371</v>
      </c>
      <c r="F29" s="29">
        <f t="shared" ref="F29:F87" si="5">E29-G29</f>
        <v>279.2523788250594</v>
      </c>
      <c r="G29" s="30">
        <f t="shared" si="3"/>
        <v>573.5964089515777</v>
      </c>
      <c r="H29" s="31">
        <f t="shared" ref="H29:H87" si="6">H28-F29</f>
        <v>29746.729894870645</v>
      </c>
      <c r="J29" s="42"/>
      <c r="K29" s="112"/>
      <c r="L29" s="112"/>
      <c r="M29" s="112"/>
      <c r="N29" s="112"/>
      <c r="O29" s="111"/>
      <c r="P29" s="112"/>
      <c r="Q29" s="43"/>
      <c r="R29" s="113" t="s">
        <v>61</v>
      </c>
      <c r="S29" s="232">
        <f>E24</f>
        <v>45842</v>
      </c>
      <c r="T29" s="232"/>
      <c r="U29" s="58"/>
    </row>
    <row r="30" spans="2:21" ht="15.6">
      <c r="B30" s="25">
        <f t="shared" si="4"/>
        <v>45965</v>
      </c>
      <c r="C30" s="26" t="str">
        <f t="shared" si="1"/>
        <v>Nov-2025</v>
      </c>
      <c r="D30" s="27">
        <v>3</v>
      </c>
      <c r="E30" s="28">
        <f t="shared" si="2"/>
        <v>852.8487877766371</v>
      </c>
      <c r="F30" s="29">
        <f t="shared" si="5"/>
        <v>284.58703066842509</v>
      </c>
      <c r="G30" s="30">
        <f t="shared" si="3"/>
        <v>568.26175710821201</v>
      </c>
      <c r="H30" s="31">
        <f t="shared" si="6"/>
        <v>29462.142864202218</v>
      </c>
      <c r="J30" s="42"/>
      <c r="K30" s="112"/>
      <c r="L30" s="112"/>
      <c r="M30" s="112"/>
      <c r="N30" s="112"/>
      <c r="O30" s="111"/>
      <c r="P30" s="112"/>
      <c r="Q30" s="43"/>
      <c r="R30" s="113" t="s">
        <v>62</v>
      </c>
      <c r="S30" s="244" t="s">
        <v>63</v>
      </c>
      <c r="T30" s="244"/>
      <c r="U30" s="58"/>
    </row>
    <row r="31" spans="2:21" ht="15.6">
      <c r="B31" s="25">
        <f t="shared" si="4"/>
        <v>45995</v>
      </c>
      <c r="C31" s="32" t="str">
        <f t="shared" si="1"/>
        <v>Dec-2025</v>
      </c>
      <c r="D31" s="33">
        <v>4</v>
      </c>
      <c r="E31" s="28">
        <f t="shared" si="2"/>
        <v>852.8487877766371</v>
      </c>
      <c r="F31" s="29">
        <f t="shared" si="5"/>
        <v>290.02359215499496</v>
      </c>
      <c r="G31" s="30">
        <f t="shared" si="3"/>
        <v>562.82519562164214</v>
      </c>
      <c r="H31" s="31">
        <f t="shared" si="6"/>
        <v>29172.119272047225</v>
      </c>
      <c r="J31" s="42"/>
      <c r="K31" s="112"/>
      <c r="L31" s="112"/>
      <c r="M31" s="112"/>
      <c r="N31" s="112"/>
      <c r="O31" s="111"/>
      <c r="P31" s="112"/>
      <c r="Q31" s="43"/>
      <c r="R31" s="113"/>
      <c r="S31" s="114"/>
      <c r="T31" s="43"/>
      <c r="U31" s="58"/>
    </row>
    <row r="32" spans="2:21" ht="15.6">
      <c r="B32" s="25">
        <f t="shared" si="4"/>
        <v>46026</v>
      </c>
      <c r="C32" s="32" t="str">
        <f t="shared" si="1"/>
        <v>Jan-2026</v>
      </c>
      <c r="D32" s="2">
        <v>5</v>
      </c>
      <c r="E32" s="28">
        <f t="shared" si="2"/>
        <v>852.8487877766371</v>
      </c>
      <c r="F32" s="29">
        <f t="shared" si="5"/>
        <v>295.56401009885951</v>
      </c>
      <c r="G32" s="30">
        <f t="shared" si="3"/>
        <v>557.28477767777758</v>
      </c>
      <c r="H32" s="31">
        <f t="shared" si="6"/>
        <v>28876.555261948364</v>
      </c>
      <c r="J32" s="45"/>
      <c r="K32" s="113" t="s">
        <v>64</v>
      </c>
      <c r="L32" s="113"/>
      <c r="M32" s="113"/>
      <c r="N32" s="245" t="str">
        <f>D22</f>
        <v>Garcia,Carlito Vasquez</v>
      </c>
      <c r="O32" s="245"/>
      <c r="P32" s="245"/>
      <c r="Q32" s="245"/>
      <c r="R32" s="245"/>
      <c r="S32" s="245"/>
      <c r="T32" s="48"/>
      <c r="U32" s="59"/>
    </row>
    <row r="33" spans="2:21" ht="15.6">
      <c r="B33" s="25">
        <f t="shared" si="4"/>
        <v>46057</v>
      </c>
      <c r="C33" s="32" t="str">
        <f t="shared" si="1"/>
        <v>Feb-2026</v>
      </c>
      <c r="D33" s="2">
        <v>6</v>
      </c>
      <c r="E33" s="28">
        <f t="shared" si="2"/>
        <v>852.8487877766371</v>
      </c>
      <c r="F33" s="29">
        <f t="shared" si="5"/>
        <v>301.21026850475198</v>
      </c>
      <c r="G33" s="30">
        <f t="shared" si="3"/>
        <v>551.63851927188512</v>
      </c>
      <c r="H33" s="31">
        <f t="shared" si="6"/>
        <v>28575.344993443614</v>
      </c>
      <c r="J33" s="45"/>
      <c r="K33" s="113" t="s">
        <v>65</v>
      </c>
      <c r="L33" s="113"/>
      <c r="M33" s="113"/>
      <c r="N33" s="246" t="str">
        <f>D23</f>
        <v>O-121478</v>
      </c>
      <c r="O33" s="247"/>
      <c r="P33" s="247"/>
      <c r="Q33" s="247"/>
      <c r="R33" s="247"/>
      <c r="S33" s="247"/>
      <c r="T33" s="48"/>
      <c r="U33" s="59"/>
    </row>
    <row r="34" spans="2:21" ht="15.6">
      <c r="B34" s="25">
        <f t="shared" si="4"/>
        <v>46085</v>
      </c>
      <c r="C34" s="32" t="str">
        <f t="shared" si="1"/>
        <v>Mar-2026</v>
      </c>
      <c r="D34" s="2">
        <v>7</v>
      </c>
      <c r="E34" s="28">
        <f t="shared" si="2"/>
        <v>852.8487877766371</v>
      </c>
      <c r="F34" s="29">
        <f t="shared" si="5"/>
        <v>306.96438927851341</v>
      </c>
      <c r="G34" s="30">
        <f t="shared" si="3"/>
        <v>545.88439849812369</v>
      </c>
      <c r="H34" s="31">
        <f t="shared" si="6"/>
        <v>28268.380604165101</v>
      </c>
      <c r="J34" s="45"/>
      <c r="K34" s="113" t="s">
        <v>45</v>
      </c>
      <c r="L34" s="113"/>
      <c r="M34" s="113"/>
      <c r="N34" s="248" t="str">
        <f>F23</f>
        <v>Lot 1 Blk 221 GRP, Zone 13, Pembo Makati City</v>
      </c>
      <c r="O34" s="248"/>
      <c r="P34" s="248"/>
      <c r="Q34" s="248"/>
      <c r="R34" s="248"/>
      <c r="S34" s="248"/>
      <c r="T34" s="48"/>
      <c r="U34" s="59"/>
    </row>
    <row r="35" spans="2:21" ht="15.6">
      <c r="B35" s="25">
        <f t="shared" si="4"/>
        <v>46116</v>
      </c>
      <c r="C35" s="32" t="str">
        <f t="shared" si="1"/>
        <v>Apr-2026</v>
      </c>
      <c r="D35" s="2">
        <v>8</v>
      </c>
      <c r="E35" s="28">
        <f t="shared" si="2"/>
        <v>852.8487877766371</v>
      </c>
      <c r="F35" s="29">
        <f t="shared" si="5"/>
        <v>312.82843295113025</v>
      </c>
      <c r="G35" s="30">
        <f t="shared" si="3"/>
        <v>540.02035482550684</v>
      </c>
      <c r="H35" s="31">
        <f t="shared" si="6"/>
        <v>27955.552171213971</v>
      </c>
      <c r="J35" s="42"/>
      <c r="K35" s="112"/>
      <c r="L35" s="112"/>
      <c r="M35" s="112"/>
      <c r="N35" s="46"/>
      <c r="O35" s="48"/>
      <c r="P35" s="48"/>
      <c r="Q35" s="43"/>
      <c r="R35" s="43"/>
      <c r="S35" s="43"/>
      <c r="T35" s="43"/>
      <c r="U35" s="58"/>
    </row>
    <row r="36" spans="2:21" ht="15.6">
      <c r="B36" s="25">
        <f t="shared" si="4"/>
        <v>46146</v>
      </c>
      <c r="C36" s="32" t="str">
        <f t="shared" si="1"/>
        <v>May-2026</v>
      </c>
      <c r="D36" s="2">
        <v>9</v>
      </c>
      <c r="E36" s="28">
        <f t="shared" si="2"/>
        <v>852.8487877766371</v>
      </c>
      <c r="F36" s="29">
        <f t="shared" si="5"/>
        <v>318.80449941660311</v>
      </c>
      <c r="G36" s="30">
        <f t="shared" si="3"/>
        <v>534.04428836003399</v>
      </c>
      <c r="H36" s="31">
        <f t="shared" si="6"/>
        <v>27636.747671797366</v>
      </c>
      <c r="J36" s="42"/>
      <c r="K36" s="112"/>
      <c r="L36" s="113" t="s">
        <v>66</v>
      </c>
      <c r="M36" s="112"/>
      <c r="N36" s="112"/>
      <c r="O36" s="111"/>
      <c r="P36" s="112"/>
      <c r="Q36" s="115"/>
      <c r="R36" s="249">
        <f>C4</f>
        <v>34415.833333333336</v>
      </c>
      <c r="S36" s="249"/>
      <c r="T36" s="249"/>
      <c r="U36" s="58"/>
    </row>
    <row r="37" spans="2:21" ht="15.6">
      <c r="B37" s="25">
        <f t="shared" si="4"/>
        <v>46177</v>
      </c>
      <c r="C37" s="32" t="str">
        <f t="shared" si="1"/>
        <v>Jun-2026</v>
      </c>
      <c r="D37" s="2">
        <v>10</v>
      </c>
      <c r="E37" s="28">
        <f t="shared" si="2"/>
        <v>852.8487877766371</v>
      </c>
      <c r="F37" s="29">
        <f t="shared" si="5"/>
        <v>324.89472868391238</v>
      </c>
      <c r="G37" s="30">
        <f t="shared" si="3"/>
        <v>527.95405909272472</v>
      </c>
      <c r="H37" s="31">
        <f t="shared" si="6"/>
        <v>27311.852943113452</v>
      </c>
      <c r="J37" s="42"/>
      <c r="K37" s="112"/>
      <c r="L37" s="113"/>
      <c r="M37" s="112"/>
      <c r="N37" s="112"/>
      <c r="O37" s="111"/>
      <c r="P37" s="112"/>
      <c r="Q37" s="115"/>
      <c r="R37" s="250"/>
      <c r="S37" s="250"/>
      <c r="T37" s="250"/>
      <c r="U37" s="58"/>
    </row>
    <row r="38" spans="2:21" ht="15.6">
      <c r="B38" s="25">
        <f t="shared" si="4"/>
        <v>46207</v>
      </c>
      <c r="C38" s="32" t="str">
        <f t="shared" si="1"/>
        <v>Jul-2026</v>
      </c>
      <c r="D38" s="2">
        <v>11</v>
      </c>
      <c r="E38" s="28">
        <f t="shared" si="2"/>
        <v>852.8487877766371</v>
      </c>
      <c r="F38" s="29">
        <f t="shared" si="5"/>
        <v>331.10130164334726</v>
      </c>
      <c r="G38" s="30">
        <f t="shared" si="3"/>
        <v>521.74748613328984</v>
      </c>
      <c r="H38" s="31">
        <f t="shared" si="6"/>
        <v>26980.751641470106</v>
      </c>
      <c r="J38" s="49"/>
      <c r="K38" s="116"/>
      <c r="L38" s="117" t="s">
        <v>67</v>
      </c>
      <c r="M38" s="116" t="s">
        <v>68</v>
      </c>
      <c r="N38" s="116"/>
      <c r="O38" s="118"/>
      <c r="P38" s="116"/>
      <c r="Q38" s="46"/>
      <c r="R38" s="249">
        <f>-C14</f>
        <v>0</v>
      </c>
      <c r="S38" s="249"/>
      <c r="T38" s="249"/>
      <c r="U38" s="47"/>
    </row>
    <row r="39" spans="2:21" ht="15.6">
      <c r="B39" s="25">
        <f t="shared" si="4"/>
        <v>46238</v>
      </c>
      <c r="C39" s="32" t="str">
        <f t="shared" si="1"/>
        <v>Aug-2026</v>
      </c>
      <c r="D39" s="2">
        <v>12</v>
      </c>
      <c r="E39" s="28">
        <f t="shared" si="2"/>
        <v>852.8487877766371</v>
      </c>
      <c r="F39" s="29">
        <f t="shared" si="5"/>
        <v>337.42644084747565</v>
      </c>
      <c r="G39" s="30">
        <f t="shared" si="3"/>
        <v>515.42234692916145</v>
      </c>
      <c r="H39" s="31">
        <f t="shared" si="6"/>
        <v>26643.325200622628</v>
      </c>
      <c r="J39" s="49"/>
      <c r="K39" s="116"/>
      <c r="L39" s="117" t="s">
        <v>67</v>
      </c>
      <c r="M39" s="116" t="s">
        <v>69</v>
      </c>
      <c r="N39" s="116"/>
      <c r="O39" s="118"/>
      <c r="P39" s="116"/>
      <c r="Q39" s="46"/>
      <c r="R39" s="249">
        <f>-C8</f>
        <v>0</v>
      </c>
      <c r="S39" s="249"/>
      <c r="T39" s="249"/>
      <c r="U39" s="47"/>
    </row>
    <row r="40" spans="2:21" ht="15.6">
      <c r="B40" s="25">
        <f t="shared" si="4"/>
        <v>46269</v>
      </c>
      <c r="C40" s="32" t="str">
        <f t="shared" si="1"/>
        <v>Sep-2026</v>
      </c>
      <c r="D40" s="2">
        <v>13</v>
      </c>
      <c r="E40" s="28">
        <f t="shared" si="2"/>
        <v>852.8487877766371</v>
      </c>
      <c r="F40" s="29">
        <f t="shared" si="5"/>
        <v>343.87241130703262</v>
      </c>
      <c r="G40" s="30">
        <f t="shared" si="3"/>
        <v>508.97637646960447</v>
      </c>
      <c r="H40" s="31">
        <f t="shared" si="6"/>
        <v>26299.452789315597</v>
      </c>
      <c r="J40" s="49"/>
      <c r="K40" s="116"/>
      <c r="L40" s="117" t="s">
        <v>67</v>
      </c>
      <c r="M40" s="116" t="s">
        <v>70</v>
      </c>
      <c r="N40" s="116"/>
      <c r="O40" s="118"/>
      <c r="P40" s="116"/>
      <c r="Q40" s="46"/>
      <c r="R40" s="243">
        <f>-C7</f>
        <v>0</v>
      </c>
      <c r="S40" s="243"/>
      <c r="T40" s="243"/>
      <c r="U40" s="47"/>
    </row>
    <row r="41" spans="2:21" ht="15.6">
      <c r="B41" s="25">
        <f t="shared" si="4"/>
        <v>46299</v>
      </c>
      <c r="C41" s="32" t="str">
        <f t="shared" si="1"/>
        <v>Oct-2026</v>
      </c>
      <c r="D41" s="2">
        <v>14</v>
      </c>
      <c r="E41" s="28">
        <f t="shared" si="2"/>
        <v>852.8487877766371</v>
      </c>
      <c r="F41" s="29">
        <f t="shared" si="5"/>
        <v>350.44152130201286</v>
      </c>
      <c r="G41" s="30">
        <f t="shared" si="3"/>
        <v>502.40726647462424</v>
      </c>
      <c r="H41" s="31">
        <f t="shared" si="6"/>
        <v>25949.011268013586</v>
      </c>
      <c r="J41" s="49"/>
      <c r="K41" s="116"/>
      <c r="L41" s="117" t="s">
        <v>67</v>
      </c>
      <c r="M41" s="116" t="s">
        <v>9</v>
      </c>
      <c r="N41" s="116"/>
      <c r="O41" s="118"/>
      <c r="P41" s="116"/>
      <c r="Q41" s="46"/>
      <c r="R41" s="243">
        <f>-C5</f>
        <v>-2550</v>
      </c>
      <c r="S41" s="243"/>
      <c r="T41" s="243"/>
      <c r="U41" s="47"/>
    </row>
    <row r="42" spans="2:21" ht="15.6">
      <c r="B42" s="25">
        <f t="shared" si="4"/>
        <v>46330</v>
      </c>
      <c r="C42" s="32" t="str">
        <f t="shared" si="1"/>
        <v>Nov-2026</v>
      </c>
      <c r="D42" s="2">
        <v>15</v>
      </c>
      <c r="E42" s="28">
        <f t="shared" si="2"/>
        <v>852.8487877766371</v>
      </c>
      <c r="F42" s="29">
        <f t="shared" si="5"/>
        <v>357.13612320825786</v>
      </c>
      <c r="G42" s="30">
        <f t="shared" si="3"/>
        <v>495.71266456837924</v>
      </c>
      <c r="H42" s="31">
        <f t="shared" si="6"/>
        <v>25591.87514480533</v>
      </c>
      <c r="J42" s="49"/>
      <c r="K42" s="116"/>
      <c r="L42" s="117" t="s">
        <v>67</v>
      </c>
      <c r="M42" s="116" t="s">
        <v>71</v>
      </c>
      <c r="N42" s="116"/>
      <c r="O42" s="118"/>
      <c r="P42" s="116"/>
      <c r="Q42" s="46"/>
      <c r="R42" s="243">
        <f>-C6</f>
        <v>-1200</v>
      </c>
      <c r="S42" s="243"/>
      <c r="T42" s="243"/>
      <c r="U42" s="47"/>
    </row>
    <row r="43" spans="2:21" ht="15">
      <c r="B43" s="25">
        <f t="shared" si="4"/>
        <v>46360</v>
      </c>
      <c r="C43" s="32" t="str">
        <f t="shared" si="1"/>
        <v>Dec-2026</v>
      </c>
      <c r="D43" s="2">
        <v>16</v>
      </c>
      <c r="E43" s="28">
        <f t="shared" si="2"/>
        <v>852.8487877766371</v>
      </c>
      <c r="F43" s="29">
        <f t="shared" si="5"/>
        <v>363.95861433983373</v>
      </c>
      <c r="G43" s="30">
        <f t="shared" si="3"/>
        <v>488.89017343680337</v>
      </c>
      <c r="H43" s="31">
        <f t="shared" si="6"/>
        <v>25227.916530465496</v>
      </c>
      <c r="J43" s="16"/>
      <c r="L43" s="117" t="s">
        <v>67</v>
      </c>
      <c r="M43" s="116" t="s">
        <v>13</v>
      </c>
      <c r="R43" s="243">
        <f>-C9</f>
        <v>-365.83333333333331</v>
      </c>
      <c r="S43" s="243"/>
      <c r="T43" s="243"/>
      <c r="U43" s="119"/>
    </row>
    <row r="44" spans="2:21" ht="15.6">
      <c r="B44" s="25">
        <f t="shared" si="4"/>
        <v>46391</v>
      </c>
      <c r="C44" s="32" t="str">
        <f t="shared" si="1"/>
        <v>Jan-2027</v>
      </c>
      <c r="D44" s="2">
        <v>17</v>
      </c>
      <c r="E44" s="28">
        <f t="shared" si="2"/>
        <v>852.8487877766371</v>
      </c>
      <c r="F44" s="29">
        <f t="shared" si="5"/>
        <v>370.91143780750127</v>
      </c>
      <c r="G44" s="30">
        <f t="shared" si="3"/>
        <v>481.93734996913582</v>
      </c>
      <c r="H44" s="31">
        <f t="shared" si="6"/>
        <v>24857.005092657993</v>
      </c>
      <c r="J44" s="42"/>
      <c r="K44" s="112"/>
      <c r="L44" s="113" t="s">
        <v>72</v>
      </c>
      <c r="M44" s="112"/>
      <c r="N44" s="112"/>
      <c r="O44" s="111"/>
      <c r="P44" s="112"/>
      <c r="Q44" s="43"/>
      <c r="R44" s="249">
        <f>SUM(R36:T43)</f>
        <v>30300.000000000004</v>
      </c>
      <c r="S44" s="249"/>
      <c r="T44" s="249"/>
      <c r="U44" s="58"/>
    </row>
    <row r="45" spans="2:21">
      <c r="B45" s="25">
        <f t="shared" si="4"/>
        <v>46422</v>
      </c>
      <c r="C45" s="32" t="str">
        <f t="shared" si="1"/>
        <v>Feb-2027</v>
      </c>
      <c r="D45" s="2">
        <v>18</v>
      </c>
      <c r="E45" s="28">
        <f t="shared" si="2"/>
        <v>852.8487877766371</v>
      </c>
      <c r="F45" s="29">
        <f t="shared" si="5"/>
        <v>377.99708339358534</v>
      </c>
      <c r="G45" s="30">
        <f t="shared" si="3"/>
        <v>474.85170438305175</v>
      </c>
      <c r="H45" s="31">
        <f t="shared" si="6"/>
        <v>24479.008009264409</v>
      </c>
      <c r="J45" s="42"/>
      <c r="K45" s="43"/>
      <c r="L45" s="43"/>
      <c r="M45" s="43"/>
      <c r="N45" s="43"/>
      <c r="O45" s="44"/>
      <c r="P45" s="43"/>
      <c r="Q45" s="43"/>
      <c r="R45" s="43"/>
      <c r="S45" s="43"/>
      <c r="T45" s="43"/>
      <c r="U45" s="58"/>
    </row>
    <row r="46" spans="2:21">
      <c r="B46" s="25">
        <f t="shared" si="4"/>
        <v>46450</v>
      </c>
      <c r="C46" s="32" t="str">
        <f t="shared" si="1"/>
        <v>Mar-2027</v>
      </c>
      <c r="D46" s="2">
        <v>19</v>
      </c>
      <c r="E46" s="28">
        <f t="shared" si="2"/>
        <v>852.8487877766371</v>
      </c>
      <c r="F46" s="29">
        <f t="shared" si="5"/>
        <v>385.21808844355746</v>
      </c>
      <c r="G46" s="30">
        <f t="shared" si="3"/>
        <v>467.63069933307963</v>
      </c>
      <c r="H46" s="31">
        <f t="shared" si="6"/>
        <v>24093.789920820851</v>
      </c>
      <c r="J46" s="42"/>
      <c r="K46" s="120" t="s">
        <v>73</v>
      </c>
      <c r="L46" s="120"/>
      <c r="M46" s="120"/>
      <c r="N46" s="120"/>
      <c r="O46" s="120"/>
      <c r="P46" s="120"/>
      <c r="Q46" s="120"/>
      <c r="R46" s="120"/>
      <c r="S46" s="120"/>
      <c r="T46" s="120"/>
      <c r="U46" s="58"/>
    </row>
    <row r="47" spans="2:21">
      <c r="B47" s="25">
        <f t="shared" si="4"/>
        <v>46481</v>
      </c>
      <c r="C47" s="32" t="str">
        <f t="shared" si="1"/>
        <v>Apr-2027</v>
      </c>
      <c r="D47" s="2">
        <v>20</v>
      </c>
      <c r="E47" s="28">
        <f t="shared" si="2"/>
        <v>852.8487877766371</v>
      </c>
      <c r="F47" s="29">
        <f t="shared" si="5"/>
        <v>392.57703877465082</v>
      </c>
      <c r="G47" s="30">
        <f t="shared" si="3"/>
        <v>460.27174900198628</v>
      </c>
      <c r="H47" s="31">
        <f t="shared" si="6"/>
        <v>23701.212882046199</v>
      </c>
      <c r="J47" s="42"/>
      <c r="K47" s="43"/>
      <c r="L47" s="43"/>
      <c r="M47" s="43"/>
      <c r="N47" s="43"/>
      <c r="O47" s="44"/>
      <c r="P47" s="43"/>
      <c r="Q47" s="43"/>
      <c r="R47" s="43"/>
      <c r="S47" s="43"/>
      <c r="T47" s="43"/>
      <c r="U47" s="58"/>
    </row>
    <row r="48" spans="2:21" ht="15">
      <c r="B48" s="25">
        <f t="shared" si="4"/>
        <v>46511</v>
      </c>
      <c r="C48" s="32" t="str">
        <f t="shared" si="1"/>
        <v>May-2027</v>
      </c>
      <c r="D48" s="2">
        <v>21</v>
      </c>
      <c r="E48" s="28">
        <f t="shared" si="2"/>
        <v>852.8487877766371</v>
      </c>
      <c r="F48" s="29">
        <f t="shared" si="5"/>
        <v>400.07656960183226</v>
      </c>
      <c r="G48" s="30">
        <f t="shared" si="3"/>
        <v>452.77221817480483</v>
      </c>
      <c r="H48" s="31">
        <f t="shared" si="6"/>
        <v>23301.136312444367</v>
      </c>
      <c r="J48" s="42"/>
      <c r="K48" s="43"/>
      <c r="L48" s="121" t="s">
        <v>91</v>
      </c>
      <c r="M48" s="116"/>
      <c r="N48" s="116"/>
      <c r="O48" s="116"/>
      <c r="P48" s="116"/>
      <c r="Q48" s="116"/>
      <c r="R48" s="255">
        <f>E25</f>
        <v>48</v>
      </c>
      <c r="S48" s="255"/>
      <c r="T48" s="109" t="s">
        <v>85</v>
      </c>
      <c r="U48" s="58"/>
    </row>
    <row r="49" spans="2:21" ht="15">
      <c r="B49" s="25">
        <f t="shared" si="4"/>
        <v>46542</v>
      </c>
      <c r="C49" s="32" t="str">
        <f t="shared" si="1"/>
        <v>Jun-2027</v>
      </c>
      <c r="D49" s="2">
        <v>22</v>
      </c>
      <c r="E49" s="28">
        <f t="shared" si="2"/>
        <v>852.8487877766371</v>
      </c>
      <c r="F49" s="29">
        <f t="shared" si="5"/>
        <v>407.71936648146391</v>
      </c>
      <c r="G49" s="30">
        <f t="shared" si="3"/>
        <v>445.12942129517319</v>
      </c>
      <c r="H49" s="31">
        <f t="shared" si="6"/>
        <v>22893.416945962905</v>
      </c>
      <c r="J49" s="42"/>
      <c r="K49" s="43"/>
      <c r="L49" s="116" t="s">
        <v>87</v>
      </c>
      <c r="M49" s="116"/>
      <c r="N49" s="116"/>
      <c r="O49" s="116"/>
      <c r="P49" s="116"/>
      <c r="Q49" s="116"/>
      <c r="R49" s="256">
        <f>C1</f>
        <v>852.8487877766371</v>
      </c>
      <c r="S49" s="256"/>
      <c r="T49" s="256"/>
      <c r="U49" s="58"/>
    </row>
    <row r="50" spans="2:21" ht="15">
      <c r="B50" s="25">
        <f t="shared" si="4"/>
        <v>46572</v>
      </c>
      <c r="C50" s="32" t="str">
        <f t="shared" si="1"/>
        <v>Jul-2027</v>
      </c>
      <c r="D50" s="2">
        <v>23</v>
      </c>
      <c r="E50" s="28">
        <f t="shared" si="2"/>
        <v>852.8487877766371</v>
      </c>
      <c r="F50" s="29">
        <f t="shared" si="5"/>
        <v>415.50816627299173</v>
      </c>
      <c r="G50" s="30">
        <f t="shared" si="3"/>
        <v>437.34062150364537</v>
      </c>
      <c r="H50" s="31">
        <f t="shared" si="6"/>
        <v>22477.908779689911</v>
      </c>
      <c r="J50" s="42"/>
      <c r="K50" s="43"/>
      <c r="L50" s="116" t="s">
        <v>74</v>
      </c>
      <c r="M50" s="116"/>
      <c r="N50" s="116"/>
      <c r="O50" s="116"/>
      <c r="P50" s="116"/>
      <c r="Q50" s="116"/>
      <c r="R50" s="257">
        <f>B28</f>
        <v>45904</v>
      </c>
      <c r="S50" s="257"/>
      <c r="T50" s="257"/>
      <c r="U50" s="58"/>
    </row>
    <row r="51" spans="2:21" ht="15">
      <c r="B51" s="25">
        <f t="shared" si="4"/>
        <v>46603</v>
      </c>
      <c r="C51" s="32" t="str">
        <f t="shared" si="1"/>
        <v>Aug-2027</v>
      </c>
      <c r="D51" s="2">
        <v>24</v>
      </c>
      <c r="E51" s="28">
        <f t="shared" si="2"/>
        <v>852.8487877766371</v>
      </c>
      <c r="F51" s="29">
        <f t="shared" si="5"/>
        <v>423.44575811900557</v>
      </c>
      <c r="G51" s="30">
        <f t="shared" si="3"/>
        <v>429.40302965763152</v>
      </c>
      <c r="H51" s="31">
        <f t="shared" si="6"/>
        <v>22054.463021570904</v>
      </c>
      <c r="J51" s="42"/>
      <c r="K51" s="43"/>
      <c r="L51" s="116" t="s">
        <v>75</v>
      </c>
      <c r="M51" s="116"/>
      <c r="N51" s="116"/>
      <c r="O51" s="116"/>
      <c r="P51" s="116"/>
      <c r="Q51" s="116"/>
      <c r="R51" s="257">
        <f>G24</f>
        <v>47699</v>
      </c>
      <c r="S51" s="257"/>
      <c r="T51" s="257"/>
      <c r="U51" s="58"/>
    </row>
    <row r="52" spans="2:21" ht="15">
      <c r="B52" s="25">
        <f t="shared" si="4"/>
        <v>46634</v>
      </c>
      <c r="C52" s="32" t="str">
        <f t="shared" si="1"/>
        <v>Sep-2027</v>
      </c>
      <c r="D52" s="2">
        <v>25</v>
      </c>
      <c r="E52" s="28">
        <f t="shared" si="2"/>
        <v>852.8487877766371</v>
      </c>
      <c r="F52" s="29">
        <f t="shared" si="5"/>
        <v>431.53498444402152</v>
      </c>
      <c r="G52" s="30">
        <f t="shared" si="3"/>
        <v>421.31380333261558</v>
      </c>
      <c r="H52" s="31">
        <f t="shared" si="6"/>
        <v>21622.928037126883</v>
      </c>
      <c r="J52" s="42"/>
      <c r="K52" s="43"/>
      <c r="L52" s="116" t="s">
        <v>76</v>
      </c>
      <c r="M52" s="116"/>
      <c r="N52" s="116"/>
      <c r="O52" s="116"/>
      <c r="P52" s="116"/>
      <c r="Q52" s="116"/>
      <c r="R52" s="258">
        <f>C16</f>
        <v>9.4100503202476204E-2</v>
      </c>
      <c r="S52" s="258"/>
      <c r="T52" s="258"/>
      <c r="U52" s="58"/>
    </row>
    <row r="53" spans="2:21" ht="15">
      <c r="B53" s="25">
        <f t="shared" si="4"/>
        <v>46664</v>
      </c>
      <c r="C53" s="32" t="str">
        <f t="shared" si="1"/>
        <v>Oct-2027</v>
      </c>
      <c r="D53" s="2">
        <v>26</v>
      </c>
      <c r="E53" s="28">
        <f t="shared" si="2"/>
        <v>852.8487877766371</v>
      </c>
      <c r="F53" s="29">
        <f t="shared" si="5"/>
        <v>439.77874197234428</v>
      </c>
      <c r="G53" s="30">
        <f t="shared" si="3"/>
        <v>413.07004580429282</v>
      </c>
      <c r="H53" s="31">
        <f t="shared" si="6"/>
        <v>21183.149295154541</v>
      </c>
      <c r="J53" s="42"/>
      <c r="K53" s="43"/>
      <c r="L53" s="116" t="s">
        <v>77</v>
      </c>
      <c r="M53" s="116"/>
      <c r="N53" s="116"/>
      <c r="O53" s="116"/>
      <c r="P53" s="116"/>
      <c r="Q53" s="116"/>
      <c r="R53" s="258">
        <f>C15</f>
        <v>7.4999999999999997E-3</v>
      </c>
      <c r="S53" s="258"/>
      <c r="T53" s="258"/>
      <c r="U53" s="58"/>
    </row>
    <row r="54" spans="2:21" ht="15" thickBot="1">
      <c r="B54" s="25">
        <f t="shared" si="4"/>
        <v>46695</v>
      </c>
      <c r="C54" s="32" t="str">
        <f t="shared" si="1"/>
        <v>Nov-2027</v>
      </c>
      <c r="D54" s="2">
        <v>27</v>
      </c>
      <c r="E54" s="28">
        <f t="shared" si="2"/>
        <v>852.8487877766371</v>
      </c>
      <c r="F54" s="29">
        <f t="shared" si="5"/>
        <v>448.17998276537463</v>
      </c>
      <c r="G54" s="30">
        <f t="shared" si="3"/>
        <v>404.66880501126246</v>
      </c>
      <c r="H54" s="31">
        <f t="shared" si="6"/>
        <v>20734.969312389167</v>
      </c>
      <c r="J54" s="42"/>
      <c r="K54" s="50"/>
      <c r="L54" s="50"/>
      <c r="M54" s="50"/>
      <c r="N54" s="50"/>
      <c r="O54" s="51"/>
      <c r="P54" s="50"/>
      <c r="Q54" s="50"/>
      <c r="R54" s="50"/>
      <c r="S54" s="50"/>
      <c r="T54" s="50"/>
      <c r="U54" s="58"/>
    </row>
    <row r="55" spans="2:21" ht="15" thickTop="1">
      <c r="B55" s="25">
        <f t="shared" si="4"/>
        <v>46725</v>
      </c>
      <c r="C55" s="32" t="str">
        <f t="shared" si="1"/>
        <v>Dec-2027</v>
      </c>
      <c r="D55" s="2">
        <v>28</v>
      </c>
      <c r="E55" s="28">
        <f t="shared" si="2"/>
        <v>852.8487877766371</v>
      </c>
      <c r="F55" s="29">
        <f t="shared" si="5"/>
        <v>456.74171527873222</v>
      </c>
      <c r="G55" s="30">
        <f t="shared" si="3"/>
        <v>396.10707249790488</v>
      </c>
      <c r="H55" s="31">
        <f t="shared" si="6"/>
        <v>20278.227597110435</v>
      </c>
      <c r="J55" s="42"/>
      <c r="K55" s="43"/>
      <c r="L55" s="43"/>
      <c r="M55" s="43"/>
      <c r="N55" s="43"/>
      <c r="O55" s="44"/>
      <c r="P55" s="43"/>
      <c r="Q55" s="43"/>
      <c r="R55" s="43"/>
      <c r="S55" s="43"/>
      <c r="T55" s="43"/>
      <c r="U55" s="58"/>
    </row>
    <row r="56" spans="2:21">
      <c r="B56" s="25">
        <f t="shared" si="4"/>
        <v>46756</v>
      </c>
      <c r="C56" s="32" t="str">
        <f t="shared" si="1"/>
        <v>Jan-2028</v>
      </c>
      <c r="D56" s="2">
        <v>29</v>
      </c>
      <c r="E56" s="28">
        <f t="shared" si="2"/>
        <v>852.8487877766371</v>
      </c>
      <c r="F56" s="29">
        <f t="shared" si="5"/>
        <v>465.46700543957326</v>
      </c>
      <c r="G56" s="30">
        <f t="shared" si="3"/>
        <v>387.38178233706384</v>
      </c>
      <c r="H56" s="31">
        <f t="shared" si="6"/>
        <v>19812.760591670864</v>
      </c>
      <c r="J56" s="42"/>
      <c r="K56" s="43" t="s">
        <v>78</v>
      </c>
      <c r="L56" s="43"/>
      <c r="M56" s="43"/>
      <c r="O56" s="43"/>
      <c r="P56" s="43"/>
      <c r="R56" s="43" t="s">
        <v>89</v>
      </c>
      <c r="S56" s="43"/>
      <c r="T56" s="43"/>
      <c r="U56" s="58"/>
    </row>
    <row r="57" spans="2:21" ht="15.75" customHeight="1">
      <c r="B57" s="25">
        <f t="shared" si="4"/>
        <v>46787</v>
      </c>
      <c r="C57" s="32" t="str">
        <f t="shared" si="1"/>
        <v>Feb-2028</v>
      </c>
      <c r="D57" s="2">
        <v>30</v>
      </c>
      <c r="E57" s="28">
        <f t="shared" si="2"/>
        <v>852.8487877766371</v>
      </c>
      <c r="F57" s="29">
        <f t="shared" si="5"/>
        <v>474.35897774448864</v>
      </c>
      <c r="G57" s="30">
        <f t="shared" si="3"/>
        <v>378.48981003214845</v>
      </c>
      <c r="H57" s="31">
        <f t="shared" si="6"/>
        <v>19338.401613926373</v>
      </c>
      <c r="J57" s="42"/>
      <c r="K57" s="43"/>
      <c r="L57" s="43"/>
      <c r="M57" s="43"/>
      <c r="N57" s="43"/>
      <c r="O57" s="43"/>
      <c r="P57" s="43"/>
      <c r="Q57" s="43"/>
      <c r="R57" s="43"/>
      <c r="S57" s="43"/>
      <c r="T57" s="43"/>
      <c r="U57" s="58"/>
    </row>
    <row r="58" spans="2:21">
      <c r="B58" s="25">
        <f t="shared" si="4"/>
        <v>46816</v>
      </c>
      <c r="C58" s="32" t="str">
        <f t="shared" si="1"/>
        <v>Mar-2028</v>
      </c>
      <c r="D58" s="2">
        <v>31</v>
      </c>
      <c r="E58" s="28">
        <f t="shared" si="2"/>
        <v>852.8487877766371</v>
      </c>
      <c r="F58" s="29">
        <f t="shared" si="5"/>
        <v>483.4208163783756</v>
      </c>
      <c r="G58" s="30">
        <f t="shared" si="3"/>
        <v>369.42797139826149</v>
      </c>
      <c r="H58" s="31">
        <f t="shared" si="6"/>
        <v>18854.980797547996</v>
      </c>
      <c r="J58" s="16"/>
      <c r="U58" s="119"/>
    </row>
    <row r="59" spans="2:21">
      <c r="B59" s="25">
        <f t="shared" si="4"/>
        <v>46847</v>
      </c>
      <c r="C59" s="32" t="str">
        <f t="shared" si="1"/>
        <v>Apr-2028</v>
      </c>
      <c r="D59" s="2">
        <v>32</v>
      </c>
      <c r="E59" s="28">
        <f t="shared" si="2"/>
        <v>852.8487877766371</v>
      </c>
      <c r="F59" s="29">
        <f t="shared" si="5"/>
        <v>492.65576635468312</v>
      </c>
      <c r="G59" s="30">
        <f t="shared" si="3"/>
        <v>360.19302142195397</v>
      </c>
      <c r="H59" s="31">
        <f t="shared" si="6"/>
        <v>18362.325031193312</v>
      </c>
      <c r="J59" s="16"/>
      <c r="U59" s="119"/>
    </row>
    <row r="60" spans="2:21">
      <c r="B60" s="25">
        <f t="shared" si="4"/>
        <v>46877</v>
      </c>
      <c r="C60" s="32" t="str">
        <f t="shared" si="1"/>
        <v>May-2028</v>
      </c>
      <c r="D60" s="2">
        <v>33</v>
      </c>
      <c r="E60" s="28">
        <f t="shared" si="2"/>
        <v>852.8487877766371</v>
      </c>
      <c r="F60" s="29">
        <f t="shared" si="5"/>
        <v>502.06713467744055</v>
      </c>
      <c r="G60" s="30">
        <f t="shared" si="3"/>
        <v>350.78165309919655</v>
      </c>
      <c r="H60" s="31">
        <f t="shared" si="6"/>
        <v>17860.257896515872</v>
      </c>
      <c r="J60" s="42"/>
      <c r="K60" s="259" t="s">
        <v>88</v>
      </c>
      <c r="L60" s="259"/>
      <c r="M60" s="259"/>
      <c r="N60" s="112"/>
      <c r="O60" s="112"/>
      <c r="P60" s="112"/>
      <c r="R60" s="253" t="s">
        <v>80</v>
      </c>
      <c r="S60" s="253"/>
      <c r="T60" s="253"/>
      <c r="U60" s="58"/>
    </row>
    <row r="61" spans="2:21">
      <c r="B61" s="25">
        <f t="shared" si="4"/>
        <v>46908</v>
      </c>
      <c r="C61" s="32" t="str">
        <f t="shared" si="1"/>
        <v>Jun-2028</v>
      </c>
      <c r="D61" s="2">
        <v>34</v>
      </c>
      <c r="E61" s="28">
        <f t="shared" si="2"/>
        <v>852.8487877766371</v>
      </c>
      <c r="F61" s="29">
        <f t="shared" si="5"/>
        <v>511.658291525484</v>
      </c>
      <c r="G61" s="30">
        <f t="shared" si="3"/>
        <v>341.19049625115309</v>
      </c>
      <c r="H61" s="31">
        <f t="shared" si="6"/>
        <v>17348.599604990388</v>
      </c>
      <c r="J61" s="42"/>
      <c r="K61" s="52" t="s">
        <v>81</v>
      </c>
      <c r="L61" s="52"/>
      <c r="M61" s="52"/>
      <c r="N61" s="43"/>
      <c r="O61" s="44"/>
      <c r="P61" s="43"/>
      <c r="R61" s="260" t="s">
        <v>90</v>
      </c>
      <c r="S61" s="251"/>
      <c r="T61" s="251"/>
      <c r="U61" s="58"/>
    </row>
    <row r="62" spans="2:21">
      <c r="B62" s="25">
        <f t="shared" si="4"/>
        <v>46938</v>
      </c>
      <c r="C62" s="32" t="str">
        <f t="shared" si="1"/>
        <v>Jul-2028</v>
      </c>
      <c r="D62" s="2">
        <v>35</v>
      </c>
      <c r="E62" s="28">
        <f t="shared" si="2"/>
        <v>852.8487877766371</v>
      </c>
      <c r="F62" s="29">
        <f t="shared" si="5"/>
        <v>521.43267145930633</v>
      </c>
      <c r="G62" s="30">
        <f t="shared" si="3"/>
        <v>331.41611631733076</v>
      </c>
      <c r="H62" s="31">
        <f t="shared" si="6"/>
        <v>16827.16693353108</v>
      </c>
      <c r="J62" s="16"/>
      <c r="U62" s="119"/>
    </row>
    <row r="63" spans="2:21">
      <c r="B63" s="25">
        <f t="shared" si="4"/>
        <v>46969</v>
      </c>
      <c r="C63" s="32" t="str">
        <f t="shared" si="1"/>
        <v>Aug-2028</v>
      </c>
      <c r="D63" s="2">
        <v>36</v>
      </c>
      <c r="E63" s="28">
        <f t="shared" si="2"/>
        <v>852.8487877766371</v>
      </c>
      <c r="F63" s="29">
        <f t="shared" si="5"/>
        <v>531.3937746509614</v>
      </c>
      <c r="G63" s="30">
        <f t="shared" si="3"/>
        <v>321.45501312567575</v>
      </c>
      <c r="H63" s="31">
        <f t="shared" si="6"/>
        <v>16295.773158880118</v>
      </c>
      <c r="J63" s="16"/>
      <c r="U63" s="119"/>
    </row>
    <row r="64" spans="2:21">
      <c r="B64" s="25">
        <f t="shared" si="4"/>
        <v>47000</v>
      </c>
      <c r="C64" s="32" t="str">
        <f t="shared" si="1"/>
        <v>Sep-2028</v>
      </c>
      <c r="D64" s="2">
        <v>37</v>
      </c>
      <c r="E64" s="28">
        <f t="shared" si="2"/>
        <v>852.8487877766371</v>
      </c>
      <c r="F64" s="29">
        <f t="shared" si="5"/>
        <v>541.54516813746318</v>
      </c>
      <c r="G64" s="30">
        <f t="shared" si="3"/>
        <v>311.30361963917386</v>
      </c>
      <c r="H64" s="31">
        <f t="shared" si="6"/>
        <v>15754.227990742655</v>
      </c>
      <c r="J64" s="16"/>
      <c r="U64" s="119"/>
    </row>
    <row r="65" spans="2:21">
      <c r="B65" s="25">
        <f t="shared" si="4"/>
        <v>47030</v>
      </c>
      <c r="C65" s="32" t="str">
        <f t="shared" si="1"/>
        <v>Oct-2028</v>
      </c>
      <c r="D65" s="2">
        <v>38</v>
      </c>
      <c r="E65" s="28">
        <f t="shared" si="2"/>
        <v>852.8487877766371</v>
      </c>
      <c r="F65" s="29">
        <f t="shared" si="5"/>
        <v>551.89048709813062</v>
      </c>
      <c r="G65" s="30">
        <f t="shared" si="3"/>
        <v>300.95830067850648</v>
      </c>
      <c r="H65" s="31">
        <f t="shared" si="6"/>
        <v>15202.337503644523</v>
      </c>
      <c r="J65" s="42"/>
      <c r="K65" s="43"/>
      <c r="L65" s="43"/>
      <c r="M65" s="43"/>
      <c r="N65" s="43"/>
      <c r="O65" s="44"/>
      <c r="P65" s="43"/>
      <c r="Q65" s="43"/>
      <c r="R65" s="43"/>
      <c r="S65" s="43"/>
      <c r="T65" s="43"/>
      <c r="U65" s="58"/>
    </row>
    <row r="66" spans="2:21">
      <c r="B66" s="25">
        <f t="shared" si="4"/>
        <v>47061</v>
      </c>
      <c r="C66" s="32" t="str">
        <f t="shared" si="1"/>
        <v>Nov-2028</v>
      </c>
      <c r="D66" s="2">
        <v>39</v>
      </c>
      <c r="E66" s="28">
        <f t="shared" si="2"/>
        <v>852.8487877766371</v>
      </c>
      <c r="F66" s="29">
        <f t="shared" si="5"/>
        <v>562.43343615633182</v>
      </c>
      <c r="G66" s="30">
        <f t="shared" si="3"/>
        <v>290.41535162030527</v>
      </c>
      <c r="H66" s="31">
        <f t="shared" si="6"/>
        <v>14639.904067488191</v>
      </c>
      <c r="J66" s="42"/>
      <c r="K66" s="43" t="s">
        <v>83</v>
      </c>
      <c r="L66" s="43"/>
      <c r="M66" s="43"/>
      <c r="N66" s="43"/>
      <c r="O66" s="44"/>
      <c r="P66" s="43"/>
      <c r="Q66" s="43"/>
      <c r="R66" s="43" t="s">
        <v>79</v>
      </c>
      <c r="S66" s="43"/>
      <c r="T66" s="43"/>
      <c r="U66" s="58"/>
    </row>
    <row r="67" spans="2:21">
      <c r="B67" s="25">
        <f t="shared" si="4"/>
        <v>47091</v>
      </c>
      <c r="C67" s="32" t="str">
        <f t="shared" si="1"/>
        <v>Dec-2028</v>
      </c>
      <c r="D67" s="2">
        <v>40</v>
      </c>
      <c r="E67" s="28">
        <f t="shared" si="2"/>
        <v>852.8487877766371</v>
      </c>
      <c r="F67" s="29">
        <f t="shared" si="5"/>
        <v>573.17779070609754</v>
      </c>
      <c r="G67" s="30">
        <f t="shared" si="3"/>
        <v>279.6709970705395</v>
      </c>
      <c r="H67" s="31">
        <f t="shared" si="6"/>
        <v>14066.726276782094</v>
      </c>
      <c r="J67" s="42"/>
      <c r="K67" s="43"/>
      <c r="L67" s="43"/>
      <c r="M67" s="43"/>
      <c r="N67" s="43"/>
      <c r="O67" s="44"/>
      <c r="P67" s="43"/>
      <c r="Q67" s="43"/>
      <c r="R67" s="43"/>
      <c r="S67" s="43"/>
      <c r="T67" s="43"/>
      <c r="U67" s="58"/>
    </row>
    <row r="68" spans="2:21">
      <c r="B68" s="25">
        <f t="shared" si="4"/>
        <v>47122</v>
      </c>
      <c r="C68" s="32" t="str">
        <f t="shared" si="1"/>
        <v>Jan-2029</v>
      </c>
      <c r="D68" s="2">
        <v>41</v>
      </c>
      <c r="E68" s="28">
        <f t="shared" si="2"/>
        <v>852.8487877766371</v>
      </c>
      <c r="F68" s="29">
        <f t="shared" si="5"/>
        <v>584.1273982640771</v>
      </c>
      <c r="G68" s="30">
        <f t="shared" si="3"/>
        <v>268.72138951256005</v>
      </c>
      <c r="H68" s="31">
        <f t="shared" si="6"/>
        <v>13482.598878518016</v>
      </c>
      <c r="J68" s="16"/>
      <c r="U68" s="119"/>
    </row>
    <row r="69" spans="2:21">
      <c r="B69" s="25">
        <f t="shared" si="4"/>
        <v>47153</v>
      </c>
      <c r="C69" s="32" t="str">
        <f t="shared" si="1"/>
        <v>Feb-2029</v>
      </c>
      <c r="D69" s="2">
        <v>42</v>
      </c>
      <c r="E69" s="28">
        <f t="shared" si="2"/>
        <v>852.8487877766371</v>
      </c>
      <c r="F69" s="29">
        <f t="shared" si="5"/>
        <v>595.28617984732023</v>
      </c>
      <c r="G69" s="30">
        <f t="shared" si="3"/>
        <v>257.56260792931681</v>
      </c>
      <c r="H69" s="31">
        <f t="shared" si="6"/>
        <v>12887.312698670696</v>
      </c>
      <c r="J69" s="16"/>
      <c r="R69" s="259" t="s">
        <v>242</v>
      </c>
      <c r="S69" s="259"/>
      <c r="U69" s="119"/>
    </row>
    <row r="70" spans="2:21">
      <c r="B70" s="25">
        <f t="shared" si="4"/>
        <v>47181</v>
      </c>
      <c r="C70" s="32" t="str">
        <f t="shared" si="1"/>
        <v>Mar-2029</v>
      </c>
      <c r="D70" s="2">
        <v>43</v>
      </c>
      <c r="E70" s="28">
        <f t="shared" si="2"/>
        <v>852.8487877766371</v>
      </c>
      <c r="F70" s="29">
        <f t="shared" si="5"/>
        <v>606.65813137738087</v>
      </c>
      <c r="G70" s="30">
        <f t="shared" si="3"/>
        <v>246.19065639925623</v>
      </c>
      <c r="H70" s="31">
        <f t="shared" si="6"/>
        <v>12280.654567293315</v>
      </c>
      <c r="J70" s="42"/>
      <c r="K70" s="53" t="s">
        <v>84</v>
      </c>
      <c r="L70" s="53"/>
      <c r="M70" s="53"/>
      <c r="N70" s="43"/>
      <c r="O70" s="44"/>
      <c r="P70" s="43"/>
      <c r="Q70" s="43"/>
      <c r="R70" s="252" t="s">
        <v>82</v>
      </c>
      <c r="S70" s="252"/>
      <c r="T70" s="43"/>
      <c r="U70" s="58"/>
    </row>
    <row r="71" spans="2:21" ht="15" thickBot="1">
      <c r="B71" s="25">
        <f t="shared" si="4"/>
        <v>47212</v>
      </c>
      <c r="C71" s="32" t="str">
        <f t="shared" si="1"/>
        <v>Apr-2029</v>
      </c>
      <c r="D71" s="2">
        <v>44</v>
      </c>
      <c r="E71" s="28">
        <f t="shared" si="2"/>
        <v>852.8487877766371</v>
      </c>
      <c r="F71" s="29">
        <f t="shared" si="5"/>
        <v>618.24732511124193</v>
      </c>
      <c r="G71" s="30">
        <f t="shared" si="3"/>
        <v>234.6014626653951</v>
      </c>
      <c r="H71" s="31">
        <f t="shared" si="6"/>
        <v>11662.407242182073</v>
      </c>
      <c r="J71" s="54"/>
      <c r="K71" s="55"/>
      <c r="L71" s="55"/>
      <c r="M71" s="55"/>
      <c r="N71" s="55"/>
      <c r="O71" s="56"/>
      <c r="P71" s="55"/>
      <c r="Q71" s="55"/>
      <c r="R71" s="55"/>
      <c r="S71" s="55"/>
      <c r="T71" s="55"/>
      <c r="U71" s="60"/>
    </row>
    <row r="72" spans="2:21">
      <c r="B72" s="25">
        <f t="shared" si="4"/>
        <v>47242</v>
      </c>
      <c r="C72" s="32" t="str">
        <f t="shared" si="1"/>
        <v>May-2029</v>
      </c>
      <c r="D72" s="2">
        <v>45</v>
      </c>
      <c r="E72" s="28">
        <f t="shared" si="2"/>
        <v>852.8487877766371</v>
      </c>
      <c r="F72" s="29">
        <f t="shared" si="5"/>
        <v>630.05791109957772</v>
      </c>
      <c r="G72" s="30">
        <f t="shared" si="3"/>
        <v>222.79087667705937</v>
      </c>
      <c r="H72" s="31">
        <f t="shared" si="6"/>
        <v>11032.349331082496</v>
      </c>
    </row>
    <row r="73" spans="2:21">
      <c r="B73" s="25">
        <f t="shared" si="4"/>
        <v>47273</v>
      </c>
      <c r="C73" s="32" t="str">
        <f t="shared" si="1"/>
        <v>Jun-2029</v>
      </c>
      <c r="D73" s="2">
        <v>46</v>
      </c>
      <c r="E73" s="28">
        <f t="shared" si="2"/>
        <v>852.8487877766371</v>
      </c>
      <c r="F73" s="29">
        <f t="shared" si="5"/>
        <v>642.09411867287179</v>
      </c>
      <c r="G73" s="30">
        <f t="shared" si="3"/>
        <v>210.75466910376531</v>
      </c>
      <c r="H73" s="31">
        <f t="shared" si="6"/>
        <v>10390.255212409624</v>
      </c>
    </row>
    <row r="74" spans="2:21">
      <c r="B74" s="25">
        <f t="shared" si="4"/>
        <v>47303</v>
      </c>
      <c r="C74" s="32" t="str">
        <f t="shared" si="1"/>
        <v>Jul-2029</v>
      </c>
      <c r="D74" s="2">
        <v>47</v>
      </c>
      <c r="E74" s="28">
        <f t="shared" si="2"/>
        <v>852.8487877766371</v>
      </c>
      <c r="F74" s="29">
        <f t="shared" si="5"/>
        <v>654.36025795592661</v>
      </c>
      <c r="G74" s="30">
        <f t="shared" si="3"/>
        <v>198.48852982071045</v>
      </c>
      <c r="H74" s="31">
        <f t="shared" si="6"/>
        <v>9735.8949544536972</v>
      </c>
    </row>
    <row r="75" spans="2:21">
      <c r="B75" s="25">
        <f t="shared" si="4"/>
        <v>47334</v>
      </c>
      <c r="C75" s="32" t="str">
        <f t="shared" si="1"/>
        <v>Aug-2029</v>
      </c>
      <c r="D75" s="2">
        <v>48</v>
      </c>
      <c r="E75" s="28">
        <f t="shared" si="2"/>
        <v>852.8487877766371</v>
      </c>
      <c r="F75" s="29">
        <f t="shared" si="5"/>
        <v>666.86072141130421</v>
      </c>
      <c r="G75" s="30">
        <f t="shared" si="3"/>
        <v>185.98806636533288</v>
      </c>
      <c r="H75" s="31">
        <f t="shared" si="6"/>
        <v>9069.0342330423937</v>
      </c>
    </row>
    <row r="76" spans="2:21">
      <c r="B76" s="25">
        <f t="shared" si="4"/>
        <v>47365</v>
      </c>
      <c r="C76" s="32" t="str">
        <f t="shared" si="1"/>
        <v>Sep-2029</v>
      </c>
      <c r="D76" s="2">
        <v>49</v>
      </c>
      <c r="E76" s="28">
        <f t="shared" si="2"/>
        <v>852.8487877766371</v>
      </c>
      <c r="F76" s="29">
        <f t="shared" si="5"/>
        <v>679.59998541225184</v>
      </c>
      <c r="G76" s="30">
        <f t="shared" si="3"/>
        <v>173.24880236438528</v>
      </c>
      <c r="H76" s="31">
        <f t="shared" si="6"/>
        <v>8389.4342476301426</v>
      </c>
    </row>
    <row r="77" spans="2:21">
      <c r="B77" s="25">
        <f t="shared" si="4"/>
        <v>47395</v>
      </c>
      <c r="C77" s="32" t="str">
        <f t="shared" si="1"/>
        <v>Oct-2029</v>
      </c>
      <c r="D77" s="2">
        <v>50</v>
      </c>
      <c r="E77" s="28">
        <f t="shared" si="2"/>
        <v>852.8487877766371</v>
      </c>
      <c r="F77" s="29">
        <f t="shared" si="5"/>
        <v>692.58261184567618</v>
      </c>
      <c r="G77" s="30">
        <f t="shared" si="3"/>
        <v>160.26617593096097</v>
      </c>
      <c r="H77" s="31">
        <f t="shared" si="6"/>
        <v>7696.8516357844665</v>
      </c>
    </row>
    <row r="78" spans="2:21">
      <c r="B78" s="25">
        <f t="shared" si="4"/>
        <v>47426</v>
      </c>
      <c r="C78" s="32" t="str">
        <f t="shared" si="1"/>
        <v>Nov-2029</v>
      </c>
      <c r="D78" s="2">
        <v>51</v>
      </c>
      <c r="E78" s="28">
        <f t="shared" si="2"/>
        <v>852.8487877766371</v>
      </c>
      <c r="F78" s="29">
        <f t="shared" si="5"/>
        <v>705.81324974573931</v>
      </c>
      <c r="G78" s="30">
        <f t="shared" si="3"/>
        <v>147.03553803089778</v>
      </c>
      <c r="H78" s="31">
        <f t="shared" si="6"/>
        <v>6991.0383860387274</v>
      </c>
    </row>
    <row r="79" spans="2:21">
      <c r="B79" s="25">
        <f t="shared" si="4"/>
        <v>47456</v>
      </c>
      <c r="C79" s="32" t="str">
        <f t="shared" si="1"/>
        <v>Dec-2029</v>
      </c>
      <c r="D79" s="2">
        <v>52</v>
      </c>
      <c r="E79" s="28">
        <f t="shared" si="2"/>
        <v>852.8487877766371</v>
      </c>
      <c r="F79" s="29">
        <f t="shared" si="5"/>
        <v>719.29663695866225</v>
      </c>
      <c r="G79" s="30">
        <f t="shared" si="3"/>
        <v>133.55215081797485</v>
      </c>
      <c r="H79" s="31">
        <f t="shared" si="6"/>
        <v>6271.7417490800653</v>
      </c>
    </row>
    <row r="80" spans="2:21">
      <c r="B80" s="25">
        <f t="shared" si="4"/>
        <v>47487</v>
      </c>
      <c r="C80" s="32" t="str">
        <f t="shared" si="1"/>
        <v>Jan-2030</v>
      </c>
      <c r="D80" s="2">
        <v>53</v>
      </c>
      <c r="E80" s="28">
        <f t="shared" si="2"/>
        <v>852.8487877766371</v>
      </c>
      <c r="F80" s="29">
        <f t="shared" si="5"/>
        <v>733.03760183933105</v>
      </c>
      <c r="G80" s="30">
        <f t="shared" si="3"/>
        <v>119.81118593730609</v>
      </c>
      <c r="H80" s="31">
        <f t="shared" si="6"/>
        <v>5538.7041472407345</v>
      </c>
    </row>
    <row r="81" spans="2:22">
      <c r="B81" s="25">
        <f t="shared" si="4"/>
        <v>47518</v>
      </c>
      <c r="C81" s="32" t="str">
        <f t="shared" si="1"/>
        <v>Feb-2030</v>
      </c>
      <c r="D81" s="2">
        <v>54</v>
      </c>
      <c r="E81" s="28">
        <f t="shared" si="2"/>
        <v>852.8487877766371</v>
      </c>
      <c r="F81" s="29">
        <f t="shared" si="5"/>
        <v>747.04106498031433</v>
      </c>
      <c r="G81" s="30">
        <f t="shared" si="3"/>
        <v>105.80772279632276</v>
      </c>
      <c r="H81" s="31">
        <f t="shared" si="6"/>
        <v>4791.6630822604202</v>
      </c>
    </row>
    <row r="82" spans="2:22">
      <c r="B82" s="25">
        <f t="shared" si="4"/>
        <v>47546</v>
      </c>
      <c r="C82" s="32" t="str">
        <f t="shared" si="1"/>
        <v>Mar-2030</v>
      </c>
      <c r="D82" s="2">
        <v>55</v>
      </c>
      <c r="E82" s="28">
        <f t="shared" si="2"/>
        <v>852.8487877766371</v>
      </c>
      <c r="F82" s="29">
        <f t="shared" si="5"/>
        <v>761.31204097391105</v>
      </c>
      <c r="G82" s="30">
        <f t="shared" si="3"/>
        <v>91.536746802726086</v>
      </c>
      <c r="H82" s="31">
        <f t="shared" si="6"/>
        <v>4030.3510412865089</v>
      </c>
    </row>
    <row r="83" spans="2:22">
      <c r="B83" s="25">
        <f t="shared" si="4"/>
        <v>47577</v>
      </c>
      <c r="C83" s="32" t="str">
        <f t="shared" si="1"/>
        <v>Apr-2030</v>
      </c>
      <c r="D83" s="2">
        <v>56</v>
      </c>
      <c r="E83" s="28">
        <f t="shared" si="2"/>
        <v>852.8487877766371</v>
      </c>
      <c r="F83" s="29">
        <f t="shared" si="5"/>
        <v>775.85564020785819</v>
      </c>
      <c r="G83" s="30">
        <f t="shared" si="3"/>
        <v>76.993147568778923</v>
      </c>
      <c r="H83" s="31">
        <f t="shared" si="6"/>
        <v>3254.4954010786505</v>
      </c>
    </row>
    <row r="84" spans="2:22">
      <c r="B84" s="25">
        <f t="shared" si="4"/>
        <v>47607</v>
      </c>
      <c r="C84" s="32" t="str">
        <f t="shared" si="1"/>
        <v>May-2030</v>
      </c>
      <c r="D84" s="2">
        <v>57</v>
      </c>
      <c r="E84" s="28">
        <f t="shared" si="2"/>
        <v>852.8487877766371</v>
      </c>
      <c r="F84" s="29">
        <f t="shared" si="5"/>
        <v>790.67707069534379</v>
      </c>
      <c r="G84" s="30">
        <f t="shared" si="3"/>
        <v>62.171717081293352</v>
      </c>
      <c r="H84" s="31">
        <f t="shared" si="6"/>
        <v>2463.8183303833066</v>
      </c>
    </row>
    <row r="85" spans="2:22">
      <c r="B85" s="25">
        <f t="shared" si="4"/>
        <v>47638</v>
      </c>
      <c r="C85" s="32" t="str">
        <f t="shared" si="1"/>
        <v>Jun-2030</v>
      </c>
      <c r="D85" s="2">
        <v>58</v>
      </c>
      <c r="E85" s="28">
        <f t="shared" si="2"/>
        <v>852.8487877766371</v>
      </c>
      <c r="F85" s="29">
        <f t="shared" si="5"/>
        <v>805.78163993997816</v>
      </c>
      <c r="G85" s="30">
        <f t="shared" si="3"/>
        <v>47.067147836658947</v>
      </c>
      <c r="H85" s="31">
        <f t="shared" si="6"/>
        <v>1658.0366904433286</v>
      </c>
    </row>
    <row r="86" spans="2:22">
      <c r="B86" s="25">
        <f t="shared" si="4"/>
        <v>47668</v>
      </c>
      <c r="C86" s="32" t="str">
        <f t="shared" si="1"/>
        <v>Jul-2030</v>
      </c>
      <c r="D86" s="2">
        <v>59</v>
      </c>
      <c r="E86" s="28">
        <f t="shared" si="2"/>
        <v>852.8487877766371</v>
      </c>
      <c r="F86" s="29">
        <f t="shared" si="5"/>
        <v>821.17475683639327</v>
      </c>
      <c r="G86" s="30">
        <f t="shared" si="3"/>
        <v>31.674030940243881</v>
      </c>
      <c r="H86" s="31">
        <f t="shared" si="6"/>
        <v>836.86193360693528</v>
      </c>
    </row>
    <row r="87" spans="2:22" ht="15" thickBot="1">
      <c r="B87" s="25">
        <f t="shared" si="4"/>
        <v>47699</v>
      </c>
      <c r="C87" s="32" t="str">
        <f t="shared" si="1"/>
        <v>Aug-2030</v>
      </c>
      <c r="D87" s="62">
        <v>60</v>
      </c>
      <c r="E87" s="28">
        <f t="shared" si="2"/>
        <v>852.8487877766371</v>
      </c>
      <c r="F87" s="29">
        <f t="shared" si="5"/>
        <v>836.8619336071489</v>
      </c>
      <c r="G87" s="30">
        <f t="shared" si="3"/>
        <v>15.986854169488227</v>
      </c>
      <c r="H87" s="31">
        <f t="shared" si="6"/>
        <v>-2.1361756807891652E-10</v>
      </c>
    </row>
    <row r="88" spans="2:22">
      <c r="C88" s="35"/>
      <c r="D88" s="36"/>
      <c r="E88" s="36">
        <f t="shared" ref="E88:G88" si="7">SUM(E28:E87)</f>
        <v>51170.927266598272</v>
      </c>
      <c r="F88" s="36">
        <f t="shared" si="7"/>
        <v>30300.000000000218</v>
      </c>
      <c r="G88" s="36">
        <f t="shared" si="7"/>
        <v>20870.927266597999</v>
      </c>
      <c r="H88" s="37"/>
      <c r="I88" s="38"/>
      <c r="J88" s="38"/>
    </row>
    <row r="91" spans="2:22">
      <c r="V91" s="43"/>
    </row>
    <row r="92" spans="2:22" ht="15.75" customHeight="1">
      <c r="V92" s="43"/>
    </row>
    <row r="93" spans="2:22" ht="15" customHeight="1">
      <c r="V93" s="43"/>
    </row>
    <row r="94" spans="2:22" ht="15" customHeight="1">
      <c r="V94" s="43"/>
    </row>
    <row r="95" spans="2:22">
      <c r="V95" s="43"/>
    </row>
    <row r="96" spans="2:22">
      <c r="V96" s="43"/>
    </row>
    <row r="97" spans="22:22">
      <c r="V97" s="43"/>
    </row>
    <row r="98" spans="22:22">
      <c r="V98" s="43"/>
    </row>
    <row r="99" spans="22:22">
      <c r="V99" s="43"/>
    </row>
    <row r="100" spans="22:22">
      <c r="V100" s="43"/>
    </row>
    <row r="101" spans="22:22">
      <c r="V101" s="43"/>
    </row>
    <row r="102" spans="22:22">
      <c r="V102" s="43"/>
    </row>
    <row r="103" spans="22:22" ht="15.6">
      <c r="V103" s="48"/>
    </row>
    <row r="104" spans="22:22" ht="15.6">
      <c r="V104" s="48"/>
    </row>
    <row r="105" spans="22:22" ht="15.6">
      <c r="V105" s="48"/>
    </row>
    <row r="106" spans="22:22">
      <c r="V106" s="43"/>
    </row>
    <row r="107" spans="22:22">
      <c r="V107" s="43"/>
    </row>
    <row r="108" spans="22:22">
      <c r="V108" s="43"/>
    </row>
    <row r="109" spans="22:22" ht="15.6">
      <c r="V109" s="46"/>
    </row>
    <row r="110" spans="22:22" ht="15.6">
      <c r="V110" s="46"/>
    </row>
    <row r="111" spans="22:22" ht="15.75" customHeight="1">
      <c r="V111" s="46"/>
    </row>
    <row r="112" spans="22:22" ht="15.6">
      <c r="V112" s="46"/>
    </row>
    <row r="113" spans="22:22" ht="15.6">
      <c r="V113" s="46"/>
    </row>
    <row r="114" spans="22:22">
      <c r="V114" s="43"/>
    </row>
    <row r="115" spans="22:22">
      <c r="V115" s="43"/>
    </row>
    <row r="116" spans="22:22">
      <c r="V116" s="43"/>
    </row>
    <row r="117" spans="22:22">
      <c r="V117" s="43"/>
    </row>
    <row r="118" spans="22:22">
      <c r="V118" s="43"/>
    </row>
    <row r="119" spans="22:22">
      <c r="V119" s="43"/>
    </row>
    <row r="120" spans="22:22">
      <c r="V120" s="43"/>
    </row>
    <row r="121" spans="22:22">
      <c r="V121" s="43"/>
    </row>
    <row r="122" spans="22:22">
      <c r="V122" s="43"/>
    </row>
    <row r="123" spans="22:22">
      <c r="V123" s="43"/>
    </row>
    <row r="124" spans="22:22">
      <c r="V124" s="43"/>
    </row>
    <row r="125" spans="22:22">
      <c r="V125" s="43"/>
    </row>
    <row r="126" spans="22:22">
      <c r="V126" s="43"/>
    </row>
    <row r="127" spans="22:22">
      <c r="V127" s="43"/>
    </row>
    <row r="128" spans="22:22">
      <c r="V128" s="43"/>
    </row>
    <row r="129" spans="10:22">
      <c r="V129" s="43"/>
    </row>
    <row r="130" spans="10:22">
      <c r="V130" s="43"/>
    </row>
    <row r="131" spans="10:22">
      <c r="V131" s="43"/>
    </row>
    <row r="132" spans="10:22">
      <c r="V132" s="43"/>
    </row>
    <row r="133" spans="10:22">
      <c r="V133" s="43"/>
    </row>
    <row r="134" spans="10:22">
      <c r="V134" s="43"/>
    </row>
    <row r="135" spans="10:22">
      <c r="J135" s="43"/>
      <c r="K135" s="43"/>
      <c r="L135" s="43"/>
      <c r="M135" s="43"/>
      <c r="N135" s="43"/>
      <c r="O135" s="44"/>
      <c r="P135" s="43"/>
      <c r="Q135" s="43"/>
      <c r="R135" s="43"/>
      <c r="S135" s="43"/>
      <c r="T135" s="43"/>
      <c r="U135" s="43"/>
      <c r="V135" s="43"/>
    </row>
  </sheetData>
  <protectedRanges>
    <protectedRange sqref="E25" name="Range20"/>
    <protectedRange sqref="G24" name="Range19"/>
    <protectedRange sqref="E24" name="Range18"/>
    <protectedRange sqref="D23" name="Range17"/>
    <protectedRange sqref="F23" name="Range16"/>
    <protectedRange sqref="G24" name="Range15"/>
    <protectedRange sqref="H22" name="Range14"/>
    <protectedRange sqref="D22" name="Range13"/>
    <protectedRange sqref="C1" name="Range12"/>
    <protectedRange sqref="C3:C9" name="Range11"/>
    <protectedRange sqref="C10:BK10" name="Range21"/>
    <protectedRange sqref="C12" name="Range22"/>
    <protectedRange sqref="B28:C87" name="Range23"/>
  </protectedRanges>
  <mergeCells count="30">
    <mergeCell ref="S30:T30"/>
    <mergeCell ref="N32:S32"/>
    <mergeCell ref="S29:T29"/>
    <mergeCell ref="C20:H21"/>
    <mergeCell ref="C24:C27"/>
    <mergeCell ref="K24:T24"/>
    <mergeCell ref="K25:T25"/>
    <mergeCell ref="K27:T27"/>
    <mergeCell ref="N33:S33"/>
    <mergeCell ref="N34:S34"/>
    <mergeCell ref="R36:T36"/>
    <mergeCell ref="K60:M60"/>
    <mergeCell ref="R60:T60"/>
    <mergeCell ref="R52:T52"/>
    <mergeCell ref="R53:T53"/>
    <mergeCell ref="R43:T43"/>
    <mergeCell ref="R42:T42"/>
    <mergeCell ref="R44:T44"/>
    <mergeCell ref="R48:S48"/>
    <mergeCell ref="R37:T37"/>
    <mergeCell ref="R38:T38"/>
    <mergeCell ref="R39:T39"/>
    <mergeCell ref="R40:T40"/>
    <mergeCell ref="R41:T41"/>
    <mergeCell ref="R61:T61"/>
    <mergeCell ref="R69:S69"/>
    <mergeCell ref="R70:S70"/>
    <mergeCell ref="R49:T49"/>
    <mergeCell ref="R50:T50"/>
    <mergeCell ref="R51:T5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K135"/>
  <sheetViews>
    <sheetView workbookViewId="0">
      <selection activeCell="D33" sqref="D33"/>
    </sheetView>
  </sheetViews>
  <sheetFormatPr defaultColWidth="8.88671875" defaultRowHeight="14.4"/>
  <cols>
    <col min="1" max="1" width="2.88671875" customWidth="1"/>
    <col min="2" max="2" width="27.33203125" customWidth="1"/>
    <col min="3" max="3" width="13.44140625" customWidth="1"/>
    <col min="4" max="9" width="15.6640625" customWidth="1"/>
    <col min="10" max="10" width="4.6640625" customWidth="1"/>
    <col min="11" max="16" width="10.6640625" customWidth="1"/>
    <col min="17" max="17" width="8.5546875" customWidth="1"/>
    <col min="18" max="18" width="21.6640625" customWidth="1"/>
    <col min="19" max="19" width="12.5546875" customWidth="1"/>
    <col min="20" max="20" width="10.33203125" customWidth="1"/>
    <col min="21" max="21" width="3.33203125" customWidth="1"/>
    <col min="22" max="63" width="15.6640625" customWidth="1"/>
  </cols>
  <sheetData>
    <row r="1" spans="2:63">
      <c r="B1" t="s">
        <v>37</v>
      </c>
      <c r="C1" s="1">
        <f>'DATA ENTRY'!G16</f>
        <v>1541.3493922672235</v>
      </c>
    </row>
    <row r="2" spans="2:63">
      <c r="B2" s="2" t="s">
        <v>38</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3">
        <v>37</v>
      </c>
      <c r="AO2" s="3">
        <v>38</v>
      </c>
      <c r="AP2" s="3">
        <v>39</v>
      </c>
      <c r="AQ2" s="3">
        <v>40</v>
      </c>
      <c r="AR2" s="3">
        <v>41</v>
      </c>
      <c r="AS2" s="3">
        <v>42</v>
      </c>
      <c r="AT2" s="3">
        <v>43</v>
      </c>
      <c r="AU2" s="3">
        <v>44</v>
      </c>
      <c r="AV2" s="3">
        <v>45</v>
      </c>
      <c r="AW2" s="3">
        <v>46</v>
      </c>
      <c r="AX2" s="3">
        <v>47</v>
      </c>
      <c r="AY2" s="3">
        <v>48</v>
      </c>
      <c r="AZ2" s="3">
        <v>49</v>
      </c>
      <c r="BA2" s="3">
        <v>50</v>
      </c>
      <c r="BB2" s="3">
        <v>51</v>
      </c>
      <c r="BC2" s="3">
        <v>52</v>
      </c>
      <c r="BD2" s="3">
        <v>53</v>
      </c>
      <c r="BE2" s="3">
        <v>54</v>
      </c>
      <c r="BF2" s="3">
        <v>55</v>
      </c>
      <c r="BG2" s="3">
        <v>56</v>
      </c>
      <c r="BH2" s="3">
        <v>57</v>
      </c>
      <c r="BI2" s="3">
        <v>58</v>
      </c>
      <c r="BJ2" s="3">
        <v>59</v>
      </c>
      <c r="BK2" s="3">
        <v>60</v>
      </c>
    </row>
    <row r="3" spans="2:63">
      <c r="B3" s="2" t="s">
        <v>6</v>
      </c>
      <c r="C3" s="4">
        <f>'DATA ENTRY'!G4</f>
        <v>92480.963536033407</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2:63">
      <c r="B4" s="2" t="s">
        <v>14</v>
      </c>
      <c r="C4" s="4">
        <f>'DATA ENTRY'!G13</f>
        <v>74252</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row>
    <row r="5" spans="2:63">
      <c r="B5" s="2" t="s">
        <v>9</v>
      </c>
      <c r="C5" s="4">
        <f>'DATA ENTRY'!G8</f>
        <v>4477</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2:63">
      <c r="B6" s="2" t="s">
        <v>10</v>
      </c>
      <c r="C6" s="4">
        <f>'DATA ENTRY'!G9</f>
        <v>2220</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2:63">
      <c r="B7" s="2" t="s">
        <v>11</v>
      </c>
      <c r="C7" s="4">
        <f>'DATA ENTRY'!G10</f>
        <v>30000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2:63">
      <c r="B8" s="2" t="s">
        <v>12</v>
      </c>
      <c r="C8" s="4">
        <f>'DATA ENTRY'!G11</f>
        <v>0</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2:63">
      <c r="B9" s="2" t="s">
        <v>13</v>
      </c>
      <c r="C9" s="4">
        <f>'DATA ENTRY'!G12</f>
        <v>555</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row>
    <row r="10" spans="2:63">
      <c r="B10" s="5" t="s">
        <v>39</v>
      </c>
      <c r="C10" s="6">
        <f>C4-C5-C6-C7-C8-C9</f>
        <v>37000</v>
      </c>
      <c r="D10" s="6">
        <f t="shared" ref="D10:AI10" si="0">-$C1</f>
        <v>-1541.3493922672235</v>
      </c>
      <c r="E10" s="6">
        <f t="shared" si="0"/>
        <v>-1541.3493922672235</v>
      </c>
      <c r="F10" s="6">
        <f t="shared" si="0"/>
        <v>-1541.3493922672235</v>
      </c>
      <c r="G10" s="6">
        <f t="shared" si="0"/>
        <v>-1541.3493922672235</v>
      </c>
      <c r="H10" s="6">
        <f t="shared" si="0"/>
        <v>-1541.3493922672235</v>
      </c>
      <c r="I10" s="6">
        <f t="shared" si="0"/>
        <v>-1541.3493922672235</v>
      </c>
      <c r="J10" s="6">
        <f t="shared" si="0"/>
        <v>-1541.3493922672235</v>
      </c>
      <c r="K10" s="6">
        <f t="shared" si="0"/>
        <v>-1541.3493922672235</v>
      </c>
      <c r="L10" s="6">
        <f t="shared" si="0"/>
        <v>-1541.3493922672235</v>
      </c>
      <c r="M10" s="6">
        <f t="shared" si="0"/>
        <v>-1541.3493922672235</v>
      </c>
      <c r="N10" s="6">
        <f t="shared" si="0"/>
        <v>-1541.3493922672235</v>
      </c>
      <c r="O10" s="6">
        <f t="shared" si="0"/>
        <v>-1541.3493922672235</v>
      </c>
      <c r="P10" s="6">
        <f t="shared" si="0"/>
        <v>-1541.3493922672235</v>
      </c>
      <c r="Q10" s="6">
        <f t="shared" si="0"/>
        <v>-1541.3493922672235</v>
      </c>
      <c r="R10" s="6">
        <f t="shared" si="0"/>
        <v>-1541.3493922672235</v>
      </c>
      <c r="S10" s="6">
        <f t="shared" si="0"/>
        <v>-1541.3493922672235</v>
      </c>
      <c r="T10" s="6">
        <f t="shared" si="0"/>
        <v>-1541.3493922672235</v>
      </c>
      <c r="U10" s="6">
        <f t="shared" si="0"/>
        <v>-1541.3493922672235</v>
      </c>
      <c r="V10" s="6">
        <f t="shared" si="0"/>
        <v>-1541.3493922672235</v>
      </c>
      <c r="W10" s="6">
        <f t="shared" si="0"/>
        <v>-1541.3493922672235</v>
      </c>
      <c r="X10" s="6">
        <f t="shared" si="0"/>
        <v>-1541.3493922672235</v>
      </c>
      <c r="Y10" s="6">
        <f t="shared" si="0"/>
        <v>-1541.3493922672235</v>
      </c>
      <c r="Z10" s="6">
        <f t="shared" si="0"/>
        <v>-1541.3493922672235</v>
      </c>
      <c r="AA10" s="6">
        <f t="shared" si="0"/>
        <v>-1541.3493922672235</v>
      </c>
      <c r="AB10" s="6">
        <f t="shared" si="0"/>
        <v>-1541.3493922672235</v>
      </c>
      <c r="AC10" s="6">
        <f t="shared" si="0"/>
        <v>-1541.3493922672235</v>
      </c>
      <c r="AD10" s="6">
        <f t="shared" si="0"/>
        <v>-1541.3493922672235</v>
      </c>
      <c r="AE10" s="6">
        <f t="shared" si="0"/>
        <v>-1541.3493922672235</v>
      </c>
      <c r="AF10" s="6">
        <f t="shared" si="0"/>
        <v>-1541.3493922672235</v>
      </c>
      <c r="AG10" s="6">
        <f t="shared" si="0"/>
        <v>-1541.3493922672235</v>
      </c>
      <c r="AH10" s="6">
        <f t="shared" si="0"/>
        <v>-1541.3493922672235</v>
      </c>
      <c r="AI10" s="6">
        <f t="shared" si="0"/>
        <v>-1541.3493922672235</v>
      </c>
      <c r="AJ10" s="6">
        <f t="shared" ref="AJ10:BK10" si="1">-$C1</f>
        <v>-1541.3493922672235</v>
      </c>
      <c r="AK10" s="6">
        <f t="shared" si="1"/>
        <v>-1541.3493922672235</v>
      </c>
      <c r="AL10" s="6">
        <f t="shared" si="1"/>
        <v>-1541.3493922672235</v>
      </c>
      <c r="AM10" s="6">
        <f t="shared" si="1"/>
        <v>-1541.3493922672235</v>
      </c>
      <c r="AN10" s="6">
        <f t="shared" si="1"/>
        <v>-1541.3493922672235</v>
      </c>
      <c r="AO10" s="6">
        <f t="shared" si="1"/>
        <v>-1541.3493922672235</v>
      </c>
      <c r="AP10" s="6">
        <f t="shared" si="1"/>
        <v>-1541.3493922672235</v>
      </c>
      <c r="AQ10" s="6">
        <f t="shared" si="1"/>
        <v>-1541.3493922672235</v>
      </c>
      <c r="AR10" s="6">
        <f t="shared" si="1"/>
        <v>-1541.3493922672235</v>
      </c>
      <c r="AS10" s="6">
        <f t="shared" si="1"/>
        <v>-1541.3493922672235</v>
      </c>
      <c r="AT10" s="6">
        <f t="shared" si="1"/>
        <v>-1541.3493922672235</v>
      </c>
      <c r="AU10" s="6">
        <f t="shared" si="1"/>
        <v>-1541.3493922672235</v>
      </c>
      <c r="AV10" s="6">
        <f t="shared" si="1"/>
        <v>-1541.3493922672235</v>
      </c>
      <c r="AW10" s="6">
        <f t="shared" si="1"/>
        <v>-1541.3493922672235</v>
      </c>
      <c r="AX10" s="6">
        <f t="shared" si="1"/>
        <v>-1541.3493922672235</v>
      </c>
      <c r="AY10" s="6">
        <f t="shared" si="1"/>
        <v>-1541.3493922672235</v>
      </c>
      <c r="AZ10" s="6">
        <f t="shared" si="1"/>
        <v>-1541.3493922672235</v>
      </c>
      <c r="BA10" s="6">
        <f t="shared" si="1"/>
        <v>-1541.3493922672235</v>
      </c>
      <c r="BB10" s="6">
        <f t="shared" si="1"/>
        <v>-1541.3493922672235</v>
      </c>
      <c r="BC10" s="6">
        <f t="shared" si="1"/>
        <v>-1541.3493922672235</v>
      </c>
      <c r="BD10" s="6">
        <f t="shared" si="1"/>
        <v>-1541.3493922672235</v>
      </c>
      <c r="BE10" s="6">
        <f t="shared" si="1"/>
        <v>-1541.3493922672235</v>
      </c>
      <c r="BF10" s="6">
        <f t="shared" si="1"/>
        <v>-1541.3493922672235</v>
      </c>
      <c r="BG10" s="6">
        <f t="shared" si="1"/>
        <v>-1541.3493922672235</v>
      </c>
      <c r="BH10" s="6">
        <f t="shared" si="1"/>
        <v>-1541.3493922672235</v>
      </c>
      <c r="BI10" s="6">
        <f t="shared" si="1"/>
        <v>-1541.3493922672235</v>
      </c>
      <c r="BJ10" s="6">
        <f t="shared" si="1"/>
        <v>-1541.3493922672235</v>
      </c>
      <c r="BK10" s="6">
        <f t="shared" si="1"/>
        <v>-1541.3493922672235</v>
      </c>
    </row>
    <row r="12" spans="2:63">
      <c r="B12" t="s">
        <v>40</v>
      </c>
      <c r="C12" s="7">
        <f>IRR(C10:BK10)</f>
        <v>3.6929293835975541E-2</v>
      </c>
      <c r="D12">
        <f>C12/5</f>
        <v>7.3858587671951081E-3</v>
      </c>
    </row>
    <row r="13" spans="2:63">
      <c r="C13" s="8"/>
    </row>
    <row r="14" spans="2:63">
      <c r="B14" t="s">
        <v>86</v>
      </c>
      <c r="C14" s="9"/>
    </row>
    <row r="15" spans="2:63">
      <c r="B15" t="s">
        <v>32</v>
      </c>
      <c r="C15" s="10">
        <f>'DATA ENTRY'!G14/12</f>
        <v>7.4999999999999997E-3</v>
      </c>
    </row>
    <row r="16" spans="2:63">
      <c r="B16" t="s">
        <v>16</v>
      </c>
      <c r="C16" s="110">
        <f>'DATA ENTRY'!G15</f>
        <v>9.4100503202476204E-2</v>
      </c>
    </row>
    <row r="19" spans="2:21" ht="15" thickBot="1">
      <c r="H19" s="11"/>
    </row>
    <row r="20" spans="2:21">
      <c r="B20" s="1"/>
      <c r="C20" s="233" t="s">
        <v>41</v>
      </c>
      <c r="D20" s="234"/>
      <c r="E20" s="234"/>
      <c r="F20" s="234"/>
      <c r="G20" s="234"/>
      <c r="H20" s="235"/>
      <c r="I20" s="34"/>
      <c r="J20" s="39"/>
      <c r="K20" s="40"/>
      <c r="L20" s="40"/>
      <c r="M20" s="40"/>
      <c r="N20" s="40"/>
      <c r="O20" s="41"/>
      <c r="P20" s="40"/>
      <c r="Q20" s="40"/>
      <c r="R20" s="40"/>
      <c r="S20" s="40"/>
      <c r="T20" s="40"/>
      <c r="U20" s="57"/>
    </row>
    <row r="21" spans="2:21">
      <c r="C21" s="236"/>
      <c r="D21" s="237"/>
      <c r="E21" s="237"/>
      <c r="F21" s="237"/>
      <c r="G21" s="237"/>
      <c r="H21" s="238"/>
      <c r="J21" s="42"/>
      <c r="K21" s="43"/>
      <c r="L21" s="43"/>
      <c r="M21" s="43"/>
      <c r="N21" s="43"/>
      <c r="O21" s="111"/>
      <c r="P21" s="43"/>
      <c r="Q21" s="43"/>
      <c r="R21" s="43"/>
      <c r="S21" s="43"/>
      <c r="T21" s="43"/>
      <c r="U21" s="58"/>
    </row>
    <row r="22" spans="2:21">
      <c r="C22" s="12" t="s">
        <v>42</v>
      </c>
      <c r="D22" s="199" t="s">
        <v>237</v>
      </c>
      <c r="E22" s="13"/>
      <c r="F22" s="14"/>
      <c r="G22" s="2" t="s">
        <v>43</v>
      </c>
      <c r="H22" s="15"/>
      <c r="J22" s="42"/>
      <c r="K22" s="43"/>
      <c r="L22" s="43"/>
      <c r="M22" s="43"/>
      <c r="N22" s="43"/>
      <c r="O22" s="44"/>
      <c r="P22" s="43"/>
      <c r="Q22" s="43"/>
      <c r="R22" s="43"/>
      <c r="S22" s="43"/>
      <c r="T22" s="43"/>
      <c r="U22" s="58"/>
    </row>
    <row r="23" spans="2:21">
      <c r="C23" s="16" t="s">
        <v>44</v>
      </c>
      <c r="D23" s="17" t="s">
        <v>238</v>
      </c>
      <c r="E23" s="18" t="s">
        <v>45</v>
      </c>
      <c r="F23" s="19" t="s">
        <v>239</v>
      </c>
      <c r="G23" s="2" t="s">
        <v>46</v>
      </c>
      <c r="H23" s="20">
        <f>C10</f>
        <v>37000</v>
      </c>
      <c r="J23" s="42"/>
      <c r="K23" s="43"/>
      <c r="L23" s="43"/>
      <c r="M23" s="43"/>
      <c r="N23" s="43"/>
      <c r="O23" s="44"/>
      <c r="P23" s="43"/>
      <c r="Q23" s="43"/>
      <c r="R23" s="43"/>
      <c r="S23" s="43"/>
      <c r="T23" s="43"/>
      <c r="U23" s="58"/>
    </row>
    <row r="24" spans="2:21" ht="21">
      <c r="C24" s="239" t="s">
        <v>47</v>
      </c>
      <c r="D24" s="12" t="s">
        <v>48</v>
      </c>
      <c r="E24" s="61">
        <v>45832</v>
      </c>
      <c r="F24" s="2" t="s">
        <v>49</v>
      </c>
      <c r="G24" s="21">
        <f>B87</f>
        <v>47688</v>
      </c>
      <c r="H24" s="15"/>
      <c r="J24" s="42"/>
      <c r="K24" s="240" t="s">
        <v>58</v>
      </c>
      <c r="L24" s="240"/>
      <c r="M24" s="240"/>
      <c r="N24" s="240"/>
      <c r="O24" s="240"/>
      <c r="P24" s="240"/>
      <c r="Q24" s="240"/>
      <c r="R24" s="240"/>
      <c r="S24" s="240"/>
      <c r="T24" s="240"/>
      <c r="U24" s="58"/>
    </row>
    <row r="25" spans="2:21">
      <c r="C25" s="239"/>
      <c r="D25" s="2" t="s">
        <v>50</v>
      </c>
      <c r="E25" s="2">
        <v>60</v>
      </c>
      <c r="F25" s="2" t="s">
        <v>51</v>
      </c>
      <c r="G25" s="2"/>
      <c r="H25" s="15"/>
      <c r="J25" s="42"/>
      <c r="K25" s="241" t="s">
        <v>59</v>
      </c>
      <c r="L25" s="241"/>
      <c r="M25" s="241"/>
      <c r="N25" s="241"/>
      <c r="O25" s="241"/>
      <c r="P25" s="241"/>
      <c r="Q25" s="241"/>
      <c r="R25" s="241"/>
      <c r="S25" s="241"/>
      <c r="T25" s="241"/>
      <c r="U25" s="58"/>
    </row>
    <row r="26" spans="2:21">
      <c r="C26" s="239"/>
      <c r="D26" s="2" t="s">
        <v>52</v>
      </c>
      <c r="E26" s="22" t="s">
        <v>53</v>
      </c>
      <c r="F26" s="22" t="s">
        <v>54</v>
      </c>
      <c r="G26" s="22" t="s">
        <v>55</v>
      </c>
      <c r="H26" s="23" t="s">
        <v>56</v>
      </c>
      <c r="J26" s="42"/>
      <c r="K26" s="43"/>
      <c r="L26" s="43"/>
      <c r="M26" s="43"/>
      <c r="N26" s="43"/>
      <c r="O26" s="44"/>
      <c r="P26" s="43"/>
      <c r="Q26" s="43"/>
      <c r="R26" s="43"/>
      <c r="S26" s="43"/>
      <c r="T26" s="43"/>
      <c r="U26" s="58"/>
    </row>
    <row r="27" spans="2:21" ht="17.399999999999999">
      <c r="C27" s="239"/>
      <c r="D27" s="2" t="s">
        <v>57</v>
      </c>
      <c r="E27" s="2"/>
      <c r="F27" s="2"/>
      <c r="G27" s="2"/>
      <c r="H27" s="24">
        <f>C10</f>
        <v>37000</v>
      </c>
      <c r="J27" s="42"/>
      <c r="K27" s="242" t="s">
        <v>60</v>
      </c>
      <c r="L27" s="242"/>
      <c r="M27" s="242"/>
      <c r="N27" s="242"/>
      <c r="O27" s="242"/>
      <c r="P27" s="242"/>
      <c r="Q27" s="242"/>
      <c r="R27" s="242"/>
      <c r="S27" s="242"/>
      <c r="T27" s="242"/>
      <c r="U27" s="58"/>
    </row>
    <row r="28" spans="2:21">
      <c r="B28" s="25">
        <f>DATE(YEAR(E$24),MONTH(E$24)+D28+1,DAY(E$24))</f>
        <v>45893</v>
      </c>
      <c r="C28" s="26" t="str">
        <f t="shared" ref="C28:C87" si="2">TEXT(B28,"mmm-yyyy")</f>
        <v>Aug-2025</v>
      </c>
      <c r="D28" s="27">
        <v>1</v>
      </c>
      <c r="E28" s="28">
        <f t="shared" ref="E28:E59" si="3">C$1</f>
        <v>1541.3493922672235</v>
      </c>
      <c r="F28" s="29">
        <f>E28-G28</f>
        <v>174.96552033612852</v>
      </c>
      <c r="G28" s="30">
        <f t="shared" ref="G28:G87" si="4">H27*C$12</f>
        <v>1366.383871931095</v>
      </c>
      <c r="H28" s="31">
        <f>H27-F28</f>
        <v>36825.034479663875</v>
      </c>
      <c r="J28" s="42"/>
      <c r="K28" s="112"/>
      <c r="L28" s="112"/>
      <c r="M28" s="112"/>
      <c r="N28" s="112"/>
      <c r="O28" s="111"/>
      <c r="P28" s="112"/>
      <c r="Q28" s="43"/>
      <c r="R28" s="43"/>
      <c r="S28" s="43"/>
      <c r="T28" s="43"/>
      <c r="U28" s="58"/>
    </row>
    <row r="29" spans="2:21" ht="15.6">
      <c r="B29" s="25">
        <f t="shared" ref="B29:B60" si="5">DATE(YEAR(E$24),MONTH(E$24)+D29+1,DAY(E$24))</f>
        <v>45924</v>
      </c>
      <c r="C29" s="26" t="str">
        <f t="shared" si="2"/>
        <v>Sep-2025</v>
      </c>
      <c r="D29" s="27">
        <v>2</v>
      </c>
      <c r="E29" s="28">
        <f t="shared" si="3"/>
        <v>1541.3493922672235</v>
      </c>
      <c r="F29" s="29">
        <f t="shared" ref="F29:F60" si="6">E29-G29</f>
        <v>181.42687344778551</v>
      </c>
      <c r="G29" s="30">
        <f t="shared" si="4"/>
        <v>1359.922518819438</v>
      </c>
      <c r="H29" s="31">
        <f t="shared" ref="H29:H60" si="7">H28-F29</f>
        <v>36643.607606216086</v>
      </c>
      <c r="J29" s="42"/>
      <c r="K29" s="112"/>
      <c r="L29" s="112"/>
      <c r="M29" s="112"/>
      <c r="N29" s="112"/>
      <c r="O29" s="111"/>
      <c r="P29" s="112"/>
      <c r="Q29" s="43"/>
      <c r="R29" s="113" t="s">
        <v>61</v>
      </c>
      <c r="S29" s="232">
        <f>E24</f>
        <v>45832</v>
      </c>
      <c r="T29" s="232"/>
      <c r="U29" s="58"/>
    </row>
    <row r="30" spans="2:21" ht="15.6">
      <c r="B30" s="25">
        <f t="shared" si="5"/>
        <v>45954</v>
      </c>
      <c r="C30" s="26" t="str">
        <f t="shared" si="2"/>
        <v>Oct-2025</v>
      </c>
      <c r="D30" s="27">
        <v>3</v>
      </c>
      <c r="E30" s="28">
        <f t="shared" si="3"/>
        <v>1541.3493922672235</v>
      </c>
      <c r="F30" s="29">
        <f t="shared" si="6"/>
        <v>188.12683976708126</v>
      </c>
      <c r="G30" s="30">
        <f t="shared" si="4"/>
        <v>1353.2225525001422</v>
      </c>
      <c r="H30" s="31">
        <f t="shared" si="7"/>
        <v>36455.480766449007</v>
      </c>
      <c r="J30" s="42"/>
      <c r="K30" s="112"/>
      <c r="L30" s="112"/>
      <c r="M30" s="112"/>
      <c r="N30" s="112"/>
      <c r="O30" s="111"/>
      <c r="P30" s="112"/>
      <c r="Q30" s="43"/>
      <c r="R30" s="113" t="s">
        <v>62</v>
      </c>
      <c r="S30" s="244" t="s">
        <v>63</v>
      </c>
      <c r="T30" s="244"/>
      <c r="U30" s="58"/>
    </row>
    <row r="31" spans="2:21" ht="15.6">
      <c r="B31" s="25">
        <f t="shared" si="5"/>
        <v>45985</v>
      </c>
      <c r="C31" s="32" t="str">
        <f t="shared" si="2"/>
        <v>Nov-2025</v>
      </c>
      <c r="D31" s="33">
        <v>4</v>
      </c>
      <c r="E31" s="28">
        <f t="shared" si="3"/>
        <v>1541.3493922672235</v>
      </c>
      <c r="F31" s="29">
        <f t="shared" si="6"/>
        <v>195.07423111127332</v>
      </c>
      <c r="G31" s="30">
        <f t="shared" si="4"/>
        <v>1346.2751611559502</v>
      </c>
      <c r="H31" s="31">
        <f t="shared" si="7"/>
        <v>36260.406535337737</v>
      </c>
      <c r="J31" s="42"/>
      <c r="K31" s="112"/>
      <c r="L31" s="112"/>
      <c r="M31" s="112"/>
      <c r="N31" s="112"/>
      <c r="O31" s="111"/>
      <c r="P31" s="112"/>
      <c r="Q31" s="43"/>
      <c r="R31" s="113"/>
      <c r="S31" s="114"/>
      <c r="T31" s="43"/>
      <c r="U31" s="58"/>
    </row>
    <row r="32" spans="2:21" ht="15.6">
      <c r="B32" s="25">
        <f t="shared" si="5"/>
        <v>46015</v>
      </c>
      <c r="C32" s="32" t="str">
        <f t="shared" si="2"/>
        <v>Dec-2025</v>
      </c>
      <c r="D32" s="2">
        <v>5</v>
      </c>
      <c r="E32" s="28">
        <f t="shared" si="3"/>
        <v>1541.3493922672235</v>
      </c>
      <c r="F32" s="29">
        <f t="shared" si="6"/>
        <v>202.27818471180831</v>
      </c>
      <c r="G32" s="30">
        <f t="shared" si="4"/>
        <v>1339.0712075554152</v>
      </c>
      <c r="H32" s="31">
        <f t="shared" si="7"/>
        <v>36058.128350625928</v>
      </c>
      <c r="J32" s="45"/>
      <c r="K32" s="113" t="s">
        <v>64</v>
      </c>
      <c r="L32" s="113"/>
      <c r="M32" s="113"/>
      <c r="N32" s="245" t="str">
        <f>D22</f>
        <v xml:space="preserve">Martin, Ricardo Barroga </v>
      </c>
      <c r="O32" s="245"/>
      <c r="P32" s="245"/>
      <c r="Q32" s="245"/>
      <c r="R32" s="245"/>
      <c r="S32" s="245"/>
      <c r="T32" s="48"/>
      <c r="U32" s="59"/>
    </row>
    <row r="33" spans="2:21" ht="15.6">
      <c r="B33" s="25">
        <f t="shared" si="5"/>
        <v>46046</v>
      </c>
      <c r="C33" s="32" t="str">
        <f t="shared" si="2"/>
        <v>Jan-2026</v>
      </c>
      <c r="D33" s="2">
        <v>6</v>
      </c>
      <c r="E33" s="28">
        <f t="shared" si="3"/>
        <v>1541.3493922672235</v>
      </c>
      <c r="F33" s="29">
        <f t="shared" si="6"/>
        <v>209.74817523163847</v>
      </c>
      <c r="G33" s="30">
        <f t="shared" si="4"/>
        <v>1331.601217035585</v>
      </c>
      <c r="H33" s="31">
        <f t="shared" si="7"/>
        <v>35848.38017539429</v>
      </c>
      <c r="J33" s="45"/>
      <c r="K33" s="113" t="s">
        <v>65</v>
      </c>
      <c r="L33" s="113"/>
      <c r="M33" s="113"/>
      <c r="N33" s="246" t="str">
        <f>D23</f>
        <v>O-127212</v>
      </c>
      <c r="O33" s="247"/>
      <c r="P33" s="247"/>
      <c r="Q33" s="247"/>
      <c r="R33" s="247"/>
      <c r="S33" s="247"/>
      <c r="T33" s="48"/>
      <c r="U33" s="59"/>
    </row>
    <row r="34" spans="2:21" ht="15.6">
      <c r="B34" s="25">
        <f t="shared" si="5"/>
        <v>46077</v>
      </c>
      <c r="C34" s="32" t="str">
        <f t="shared" si="2"/>
        <v>Feb-2026</v>
      </c>
      <c r="D34" s="2">
        <v>7</v>
      </c>
      <c r="E34" s="28">
        <f t="shared" si="3"/>
        <v>1541.3493922672235</v>
      </c>
      <c r="F34" s="29">
        <f t="shared" si="6"/>
        <v>217.49402722632726</v>
      </c>
      <c r="G34" s="30">
        <f t="shared" si="4"/>
        <v>1323.8553650408962</v>
      </c>
      <c r="H34" s="31">
        <f t="shared" si="7"/>
        <v>35630.886148167963</v>
      </c>
      <c r="J34" s="45"/>
      <c r="K34" s="113" t="s">
        <v>45</v>
      </c>
      <c r="L34" s="113"/>
      <c r="M34" s="113"/>
      <c r="N34" s="248" t="str">
        <f>F23</f>
        <v xml:space="preserve">B4 L14 Derosa St MS2, LNC Brgy Navarro, Gen Trias Cavite </v>
      </c>
      <c r="O34" s="248"/>
      <c r="P34" s="248"/>
      <c r="Q34" s="248"/>
      <c r="R34" s="248"/>
      <c r="S34" s="248"/>
      <c r="T34" s="48"/>
      <c r="U34" s="59"/>
    </row>
    <row r="35" spans="2:21" ht="15.6">
      <c r="B35" s="25">
        <f t="shared" si="5"/>
        <v>46105</v>
      </c>
      <c r="C35" s="32" t="str">
        <f t="shared" si="2"/>
        <v>Mar-2026</v>
      </c>
      <c r="D35" s="2">
        <v>8</v>
      </c>
      <c r="E35" s="28">
        <f t="shared" si="3"/>
        <v>1541.3493922672235</v>
      </c>
      <c r="F35" s="29">
        <f t="shared" si="6"/>
        <v>225.52592806533812</v>
      </c>
      <c r="G35" s="30">
        <f t="shared" si="4"/>
        <v>1315.8234642018854</v>
      </c>
      <c r="H35" s="31">
        <f t="shared" si="7"/>
        <v>35405.360220102622</v>
      </c>
      <c r="J35" s="42"/>
      <c r="K35" s="112"/>
      <c r="L35" s="112"/>
      <c r="M35" s="112"/>
      <c r="N35" s="46"/>
      <c r="O35" s="48"/>
      <c r="P35" s="48"/>
      <c r="Q35" s="43"/>
      <c r="R35" s="43"/>
      <c r="S35" s="43"/>
      <c r="T35" s="43"/>
      <c r="U35" s="58"/>
    </row>
    <row r="36" spans="2:21" ht="15.6">
      <c r="B36" s="25">
        <f t="shared" si="5"/>
        <v>46136</v>
      </c>
      <c r="C36" s="32" t="str">
        <f t="shared" si="2"/>
        <v>Apr-2026</v>
      </c>
      <c r="D36" s="2">
        <v>9</v>
      </c>
      <c r="E36" s="28">
        <f t="shared" si="3"/>
        <v>1541.3493922672235</v>
      </c>
      <c r="F36" s="29">
        <f t="shared" si="6"/>
        <v>233.85444133049418</v>
      </c>
      <c r="G36" s="30">
        <f t="shared" si="4"/>
        <v>1307.4949509367293</v>
      </c>
      <c r="H36" s="31">
        <f t="shared" si="7"/>
        <v>35171.505778772131</v>
      </c>
      <c r="J36" s="42"/>
      <c r="K36" s="112"/>
      <c r="L36" s="113" t="s">
        <v>66</v>
      </c>
      <c r="M36" s="112"/>
      <c r="N36" s="112"/>
      <c r="O36" s="111"/>
      <c r="P36" s="112"/>
      <c r="Q36" s="115"/>
      <c r="R36" s="249">
        <f>C4</f>
        <v>74252</v>
      </c>
      <c r="S36" s="249"/>
      <c r="T36" s="249"/>
      <c r="U36" s="58"/>
    </row>
    <row r="37" spans="2:21" ht="15.6">
      <c r="B37" s="25">
        <f t="shared" si="5"/>
        <v>46166</v>
      </c>
      <c r="C37" s="32" t="str">
        <f t="shared" si="2"/>
        <v>May-2026</v>
      </c>
      <c r="D37" s="2">
        <v>10</v>
      </c>
      <c r="E37" s="28">
        <f t="shared" si="3"/>
        <v>1541.3493922672235</v>
      </c>
      <c r="F37" s="29">
        <f t="shared" si="6"/>
        <v>242.49052070923562</v>
      </c>
      <c r="G37" s="30">
        <f t="shared" si="4"/>
        <v>1298.8588715579879</v>
      </c>
      <c r="H37" s="31">
        <f t="shared" si="7"/>
        <v>34929.015258062893</v>
      </c>
      <c r="J37" s="42"/>
      <c r="K37" s="112"/>
      <c r="L37" s="113"/>
      <c r="M37" s="112"/>
      <c r="N37" s="112"/>
      <c r="O37" s="111"/>
      <c r="P37" s="112"/>
      <c r="Q37" s="115"/>
      <c r="R37" s="250"/>
      <c r="S37" s="250"/>
      <c r="T37" s="250"/>
      <c r="U37" s="58"/>
    </row>
    <row r="38" spans="2:21" ht="15.6">
      <c r="B38" s="25">
        <f t="shared" si="5"/>
        <v>46197</v>
      </c>
      <c r="C38" s="32" t="str">
        <f t="shared" si="2"/>
        <v>Jun-2026</v>
      </c>
      <c r="D38" s="2">
        <v>11</v>
      </c>
      <c r="E38" s="28">
        <f t="shared" si="3"/>
        <v>1541.3493922672235</v>
      </c>
      <c r="F38" s="29">
        <f t="shared" si="6"/>
        <v>251.44552440094594</v>
      </c>
      <c r="G38" s="30">
        <f t="shared" si="4"/>
        <v>1289.9038678662776</v>
      </c>
      <c r="H38" s="31">
        <f t="shared" si="7"/>
        <v>34677.569733661949</v>
      </c>
      <c r="J38" s="49"/>
      <c r="K38" s="116"/>
      <c r="L38" s="117" t="s">
        <v>67</v>
      </c>
      <c r="M38" s="116" t="s">
        <v>68</v>
      </c>
      <c r="N38" s="116"/>
      <c r="O38" s="118"/>
      <c r="P38" s="116"/>
      <c r="Q38" s="46"/>
      <c r="R38" s="249">
        <f>-C14</f>
        <v>0</v>
      </c>
      <c r="S38" s="249"/>
      <c r="T38" s="249"/>
      <c r="U38" s="47"/>
    </row>
    <row r="39" spans="2:21" ht="15.6">
      <c r="B39" s="25">
        <f t="shared" si="5"/>
        <v>46227</v>
      </c>
      <c r="C39" s="32" t="str">
        <f t="shared" si="2"/>
        <v>Jul-2026</v>
      </c>
      <c r="D39" s="2">
        <v>12</v>
      </c>
      <c r="E39" s="28">
        <f t="shared" si="3"/>
        <v>1541.3493922672235</v>
      </c>
      <c r="F39" s="29">
        <f t="shared" si="6"/>
        <v>260.73123005528942</v>
      </c>
      <c r="G39" s="30">
        <f t="shared" si="4"/>
        <v>1280.6181622119341</v>
      </c>
      <c r="H39" s="31">
        <f t="shared" si="7"/>
        <v>34416.838503606661</v>
      </c>
      <c r="J39" s="49"/>
      <c r="K39" s="116"/>
      <c r="L39" s="117" t="s">
        <v>67</v>
      </c>
      <c r="M39" s="116" t="s">
        <v>69</v>
      </c>
      <c r="N39" s="116"/>
      <c r="O39" s="118"/>
      <c r="P39" s="116"/>
      <c r="Q39" s="46"/>
      <c r="R39" s="249">
        <f>-C8</f>
        <v>0</v>
      </c>
      <c r="S39" s="249"/>
      <c r="T39" s="249"/>
      <c r="U39" s="47"/>
    </row>
    <row r="40" spans="2:21" ht="15.6">
      <c r="B40" s="25">
        <f t="shared" si="5"/>
        <v>46258</v>
      </c>
      <c r="C40" s="32" t="str">
        <f t="shared" si="2"/>
        <v>Aug-2026</v>
      </c>
      <c r="D40" s="2">
        <v>13</v>
      </c>
      <c r="E40" s="28">
        <f t="shared" si="3"/>
        <v>1541.3493922672235</v>
      </c>
      <c r="F40" s="29">
        <f t="shared" si="6"/>
        <v>270.35985026221647</v>
      </c>
      <c r="G40" s="30">
        <f t="shared" si="4"/>
        <v>1270.989542005007</v>
      </c>
      <c r="H40" s="31">
        <f t="shared" si="7"/>
        <v>34146.478653344442</v>
      </c>
      <c r="J40" s="49"/>
      <c r="K40" s="116"/>
      <c r="L40" s="117" t="s">
        <v>67</v>
      </c>
      <c r="M40" s="116" t="s">
        <v>70</v>
      </c>
      <c r="N40" s="116"/>
      <c r="O40" s="118"/>
      <c r="P40" s="116"/>
      <c r="Q40" s="46"/>
      <c r="R40" s="243">
        <f>-C7</f>
        <v>-30000</v>
      </c>
      <c r="S40" s="243"/>
      <c r="T40" s="243"/>
      <c r="U40" s="47"/>
    </row>
    <row r="41" spans="2:21" ht="15.6">
      <c r="B41" s="25">
        <f t="shared" si="5"/>
        <v>46289</v>
      </c>
      <c r="C41" s="32" t="str">
        <f t="shared" si="2"/>
        <v>Sep-2026</v>
      </c>
      <c r="D41" s="2">
        <v>14</v>
      </c>
      <c r="E41" s="28">
        <f t="shared" si="3"/>
        <v>1541.3493922672235</v>
      </c>
      <c r="F41" s="29">
        <f t="shared" si="6"/>
        <v>280.34404861400026</v>
      </c>
      <c r="G41" s="30">
        <f t="shared" si="4"/>
        <v>1261.0053436532232</v>
      </c>
      <c r="H41" s="31">
        <f t="shared" si="7"/>
        <v>33866.13460473044</v>
      </c>
      <c r="J41" s="49"/>
      <c r="K41" s="116"/>
      <c r="L41" s="117" t="s">
        <v>67</v>
      </c>
      <c r="M41" s="116" t="s">
        <v>9</v>
      </c>
      <c r="N41" s="116"/>
      <c r="O41" s="118"/>
      <c r="P41" s="116"/>
      <c r="Q41" s="46"/>
      <c r="R41" s="243">
        <f>-C5</f>
        <v>-4477</v>
      </c>
      <c r="S41" s="243"/>
      <c r="T41" s="243"/>
      <c r="U41" s="47"/>
    </row>
    <row r="42" spans="2:21" ht="15.6">
      <c r="B42" s="25">
        <f t="shared" si="5"/>
        <v>46319</v>
      </c>
      <c r="C42" s="32" t="str">
        <f t="shared" si="2"/>
        <v>Oct-2026</v>
      </c>
      <c r="D42" s="2">
        <v>15</v>
      </c>
      <c r="E42" s="28">
        <f t="shared" si="3"/>
        <v>1541.3493922672235</v>
      </c>
      <c r="F42" s="29">
        <f t="shared" si="6"/>
        <v>290.69695636043366</v>
      </c>
      <c r="G42" s="30">
        <f t="shared" si="4"/>
        <v>1250.6524359067898</v>
      </c>
      <c r="H42" s="31">
        <f t="shared" si="7"/>
        <v>33575.437648370003</v>
      </c>
      <c r="J42" s="49"/>
      <c r="K42" s="116"/>
      <c r="L42" s="117" t="s">
        <v>67</v>
      </c>
      <c r="M42" s="116" t="s">
        <v>71</v>
      </c>
      <c r="N42" s="116"/>
      <c r="O42" s="118"/>
      <c r="P42" s="116"/>
      <c r="Q42" s="46"/>
      <c r="R42" s="243">
        <f>-C6</f>
        <v>-2220</v>
      </c>
      <c r="S42" s="243"/>
      <c r="T42" s="243"/>
      <c r="U42" s="47"/>
    </row>
    <row r="43" spans="2:21" ht="15">
      <c r="B43" s="25">
        <f t="shared" si="5"/>
        <v>46350</v>
      </c>
      <c r="C43" s="32" t="str">
        <f t="shared" si="2"/>
        <v>Nov-2026</v>
      </c>
      <c r="D43" s="2">
        <v>16</v>
      </c>
      <c r="E43" s="28">
        <f t="shared" si="3"/>
        <v>1541.3493922672235</v>
      </c>
      <c r="F43" s="29">
        <f t="shared" si="6"/>
        <v>301.43218967909206</v>
      </c>
      <c r="G43" s="30">
        <f t="shared" si="4"/>
        <v>1239.9172025881314</v>
      </c>
      <c r="H43" s="31">
        <f t="shared" si="7"/>
        <v>33274.00545869091</v>
      </c>
      <c r="J43" s="16"/>
      <c r="L43" s="117" t="s">
        <v>67</v>
      </c>
      <c r="M43" s="116" t="s">
        <v>13</v>
      </c>
      <c r="R43" s="243">
        <f>-C9</f>
        <v>-555</v>
      </c>
      <c r="S43" s="243"/>
      <c r="T43" s="243"/>
      <c r="U43" s="119"/>
    </row>
    <row r="44" spans="2:21" ht="15.6">
      <c r="B44" s="25">
        <f t="shared" si="5"/>
        <v>46380</v>
      </c>
      <c r="C44" s="32" t="str">
        <f t="shared" si="2"/>
        <v>Dec-2026</v>
      </c>
      <c r="D44" s="2">
        <v>17</v>
      </c>
      <c r="E44" s="28">
        <f t="shared" si="3"/>
        <v>1541.3493922672235</v>
      </c>
      <c r="F44" s="29">
        <f t="shared" si="6"/>
        <v>312.56386758337271</v>
      </c>
      <c r="G44" s="30">
        <f t="shared" si="4"/>
        <v>1228.7855246838508</v>
      </c>
      <c r="H44" s="31">
        <f t="shared" si="7"/>
        <v>32961.441591107534</v>
      </c>
      <c r="J44" s="42"/>
      <c r="K44" s="112"/>
      <c r="L44" s="113" t="s">
        <v>72</v>
      </c>
      <c r="M44" s="112"/>
      <c r="N44" s="112"/>
      <c r="O44" s="111"/>
      <c r="P44" s="112"/>
      <c r="Q44" s="43"/>
      <c r="R44" s="249">
        <f>SUM(R36:T43)</f>
        <v>37000</v>
      </c>
      <c r="S44" s="249"/>
      <c r="T44" s="249"/>
      <c r="U44" s="58"/>
    </row>
    <row r="45" spans="2:21">
      <c r="B45" s="25">
        <f t="shared" si="5"/>
        <v>46411</v>
      </c>
      <c r="C45" s="32" t="str">
        <f t="shared" si="2"/>
        <v>Jan-2027</v>
      </c>
      <c r="D45" s="2">
        <v>18</v>
      </c>
      <c r="E45" s="28">
        <f t="shared" si="3"/>
        <v>1541.3493922672235</v>
      </c>
      <c r="F45" s="29">
        <f t="shared" si="6"/>
        <v>324.10663049186815</v>
      </c>
      <c r="G45" s="30">
        <f t="shared" si="4"/>
        <v>1217.2427617753553</v>
      </c>
      <c r="H45" s="31">
        <f t="shared" si="7"/>
        <v>32637.334960615666</v>
      </c>
      <c r="J45" s="42"/>
      <c r="K45" s="43"/>
      <c r="L45" s="43"/>
      <c r="M45" s="43"/>
      <c r="N45" s="43"/>
      <c r="O45" s="44"/>
      <c r="P45" s="43"/>
      <c r="Q45" s="43"/>
      <c r="R45" s="43"/>
      <c r="S45" s="43"/>
      <c r="T45" s="43"/>
      <c r="U45" s="58"/>
    </row>
    <row r="46" spans="2:21">
      <c r="B46" s="25">
        <f t="shared" si="5"/>
        <v>46442</v>
      </c>
      <c r="C46" s="32" t="str">
        <f t="shared" si="2"/>
        <v>Feb-2027</v>
      </c>
      <c r="D46" s="2">
        <v>19</v>
      </c>
      <c r="E46" s="28">
        <f t="shared" si="3"/>
        <v>1541.3493922672235</v>
      </c>
      <c r="F46" s="29">
        <f t="shared" si="6"/>
        <v>336.07565948349043</v>
      </c>
      <c r="G46" s="30">
        <f t="shared" si="4"/>
        <v>1205.2737327837331</v>
      </c>
      <c r="H46" s="31">
        <f t="shared" si="7"/>
        <v>32301.259301132177</v>
      </c>
      <c r="J46" s="42"/>
      <c r="K46" s="120" t="s">
        <v>73</v>
      </c>
      <c r="L46" s="120"/>
      <c r="M46" s="120"/>
      <c r="N46" s="120"/>
      <c r="O46" s="120"/>
      <c r="P46" s="120"/>
      <c r="Q46" s="120"/>
      <c r="R46" s="120"/>
      <c r="S46" s="120"/>
      <c r="T46" s="120"/>
      <c r="U46" s="58"/>
    </row>
    <row r="47" spans="2:21">
      <c r="B47" s="25">
        <f t="shared" si="5"/>
        <v>46470</v>
      </c>
      <c r="C47" s="32" t="str">
        <f t="shared" si="2"/>
        <v>Mar-2027</v>
      </c>
      <c r="D47" s="2">
        <v>20</v>
      </c>
      <c r="E47" s="28">
        <f t="shared" si="3"/>
        <v>1541.3493922672235</v>
      </c>
      <c r="F47" s="29">
        <f t="shared" si="6"/>
        <v>348.48669626367541</v>
      </c>
      <c r="G47" s="30">
        <f t="shared" si="4"/>
        <v>1192.8626960035481</v>
      </c>
      <c r="H47" s="31">
        <f t="shared" si="7"/>
        <v>31952.7726048685</v>
      </c>
      <c r="J47" s="42"/>
      <c r="K47" s="43"/>
      <c r="L47" s="43"/>
      <c r="M47" s="43"/>
      <c r="N47" s="43"/>
      <c r="O47" s="44"/>
      <c r="P47" s="43"/>
      <c r="Q47" s="43"/>
      <c r="R47" s="43"/>
      <c r="S47" s="43"/>
      <c r="T47" s="43"/>
      <c r="U47" s="58"/>
    </row>
    <row r="48" spans="2:21" ht="15">
      <c r="B48" s="25">
        <f t="shared" si="5"/>
        <v>46501</v>
      </c>
      <c r="C48" s="32" t="str">
        <f t="shared" si="2"/>
        <v>Apr-2027</v>
      </c>
      <c r="D48" s="2">
        <v>21</v>
      </c>
      <c r="E48" s="28">
        <f t="shared" si="3"/>
        <v>1541.3493922672235</v>
      </c>
      <c r="F48" s="29">
        <f t="shared" si="6"/>
        <v>361.35606386792506</v>
      </c>
      <c r="G48" s="30">
        <f t="shared" si="4"/>
        <v>1179.9933283992984</v>
      </c>
      <c r="H48" s="31">
        <f t="shared" si="7"/>
        <v>31591.416541000573</v>
      </c>
      <c r="J48" s="42"/>
      <c r="K48" s="43"/>
      <c r="L48" s="121" t="s">
        <v>91</v>
      </c>
      <c r="M48" s="116"/>
      <c r="N48" s="116"/>
      <c r="O48" s="116"/>
      <c r="P48" s="116"/>
      <c r="Q48" s="116"/>
      <c r="R48" s="255">
        <f>E25</f>
        <v>60</v>
      </c>
      <c r="S48" s="255"/>
      <c r="T48" s="109" t="s">
        <v>85</v>
      </c>
      <c r="U48" s="58"/>
    </row>
    <row r="49" spans="2:21" ht="15">
      <c r="B49" s="25">
        <f t="shared" si="5"/>
        <v>46531</v>
      </c>
      <c r="C49" s="32" t="str">
        <f t="shared" si="2"/>
        <v>May-2027</v>
      </c>
      <c r="D49" s="2">
        <v>22</v>
      </c>
      <c r="E49" s="28">
        <f t="shared" si="3"/>
        <v>1541.3493922672235</v>
      </c>
      <c r="F49" s="29">
        <f t="shared" si="6"/>
        <v>374.70068812991531</v>
      </c>
      <c r="G49" s="30">
        <f t="shared" si="4"/>
        <v>1166.6487041373082</v>
      </c>
      <c r="H49" s="31">
        <f t="shared" si="7"/>
        <v>31216.715852870657</v>
      </c>
      <c r="J49" s="42"/>
      <c r="K49" s="43"/>
      <c r="L49" s="116" t="s">
        <v>87</v>
      </c>
      <c r="M49" s="116"/>
      <c r="N49" s="116"/>
      <c r="O49" s="116"/>
      <c r="P49" s="116"/>
      <c r="Q49" s="116"/>
      <c r="R49" s="256">
        <f>C1</f>
        <v>1541.3493922672235</v>
      </c>
      <c r="S49" s="256"/>
      <c r="T49" s="256"/>
      <c r="U49" s="58"/>
    </row>
    <row r="50" spans="2:21" ht="15">
      <c r="B50" s="25">
        <f t="shared" si="5"/>
        <v>46562</v>
      </c>
      <c r="C50" s="32" t="str">
        <f t="shared" si="2"/>
        <v>Jun-2027</v>
      </c>
      <c r="D50" s="2">
        <v>23</v>
      </c>
      <c r="E50" s="28">
        <f t="shared" si="3"/>
        <v>1541.3493922672235</v>
      </c>
      <c r="F50" s="29">
        <f t="shared" si="6"/>
        <v>388.53811994240709</v>
      </c>
      <c r="G50" s="30">
        <f t="shared" si="4"/>
        <v>1152.8112723248164</v>
      </c>
      <c r="H50" s="31">
        <f t="shared" si="7"/>
        <v>30828.177732928249</v>
      </c>
      <c r="J50" s="42"/>
      <c r="K50" s="43"/>
      <c r="L50" s="116" t="s">
        <v>74</v>
      </c>
      <c r="M50" s="116"/>
      <c r="N50" s="116"/>
      <c r="O50" s="116"/>
      <c r="P50" s="116"/>
      <c r="Q50" s="116"/>
      <c r="R50" s="257">
        <f>B28</f>
        <v>45893</v>
      </c>
      <c r="S50" s="257"/>
      <c r="T50" s="257"/>
      <c r="U50" s="58"/>
    </row>
    <row r="51" spans="2:21" ht="15">
      <c r="B51" s="25">
        <f t="shared" si="5"/>
        <v>46592</v>
      </c>
      <c r="C51" s="32" t="str">
        <f t="shared" si="2"/>
        <v>Jul-2027</v>
      </c>
      <c r="D51" s="2">
        <v>24</v>
      </c>
      <c r="E51" s="28">
        <f t="shared" si="3"/>
        <v>1541.3493922672235</v>
      </c>
      <c r="F51" s="29">
        <f t="shared" si="6"/>
        <v>402.8865583402378</v>
      </c>
      <c r="G51" s="30">
        <f t="shared" si="4"/>
        <v>1138.4628339269857</v>
      </c>
      <c r="H51" s="31">
        <f t="shared" si="7"/>
        <v>30425.291174588012</v>
      </c>
      <c r="J51" s="42"/>
      <c r="K51" s="43"/>
      <c r="L51" s="116" t="s">
        <v>75</v>
      </c>
      <c r="M51" s="116"/>
      <c r="N51" s="116"/>
      <c r="O51" s="116"/>
      <c r="P51" s="116"/>
      <c r="Q51" s="116"/>
      <c r="R51" s="257">
        <f>G24</f>
        <v>47688</v>
      </c>
      <c r="S51" s="257"/>
      <c r="T51" s="257"/>
      <c r="U51" s="58"/>
    </row>
    <row r="52" spans="2:21" ht="15">
      <c r="B52" s="25">
        <f t="shared" si="5"/>
        <v>46623</v>
      </c>
      <c r="C52" s="32" t="str">
        <f t="shared" si="2"/>
        <v>Aug-2027</v>
      </c>
      <c r="D52" s="2">
        <v>25</v>
      </c>
      <c r="E52" s="28">
        <f t="shared" si="3"/>
        <v>1541.3493922672235</v>
      </c>
      <c r="F52" s="29">
        <f t="shared" si="6"/>
        <v>417.76487443574933</v>
      </c>
      <c r="G52" s="30">
        <f t="shared" si="4"/>
        <v>1123.5845178314742</v>
      </c>
      <c r="H52" s="31">
        <f t="shared" si="7"/>
        <v>30007.526300152262</v>
      </c>
      <c r="J52" s="42"/>
      <c r="K52" s="43"/>
      <c r="L52" s="116" t="s">
        <v>76</v>
      </c>
      <c r="M52" s="116"/>
      <c r="N52" s="116"/>
      <c r="O52" s="116"/>
      <c r="P52" s="116"/>
      <c r="Q52" s="116"/>
      <c r="R52" s="258">
        <f>C16</f>
        <v>9.4100503202476204E-2</v>
      </c>
      <c r="S52" s="258"/>
      <c r="T52" s="258"/>
      <c r="U52" s="58"/>
    </row>
    <row r="53" spans="2:21" ht="15">
      <c r="B53" s="25">
        <f t="shared" si="5"/>
        <v>46654</v>
      </c>
      <c r="C53" s="32" t="str">
        <f t="shared" si="2"/>
        <v>Sep-2027</v>
      </c>
      <c r="D53" s="2">
        <v>26</v>
      </c>
      <c r="E53" s="28">
        <f t="shared" si="3"/>
        <v>1541.3493922672235</v>
      </c>
      <c r="F53" s="29">
        <f t="shared" si="6"/>
        <v>433.19263623813663</v>
      </c>
      <c r="G53" s="30">
        <f t="shared" si="4"/>
        <v>1108.1567560290869</v>
      </c>
      <c r="H53" s="31">
        <f t="shared" si="7"/>
        <v>29574.333663914123</v>
      </c>
      <c r="J53" s="42"/>
      <c r="K53" s="43"/>
      <c r="L53" s="116" t="s">
        <v>77</v>
      </c>
      <c r="M53" s="116"/>
      <c r="N53" s="116"/>
      <c r="O53" s="116"/>
      <c r="P53" s="116"/>
      <c r="Q53" s="116"/>
      <c r="R53" s="258">
        <f>C15</f>
        <v>7.4999999999999997E-3</v>
      </c>
      <c r="S53" s="258"/>
      <c r="T53" s="258"/>
      <c r="U53" s="58"/>
    </row>
    <row r="54" spans="2:21" ht="15" thickBot="1">
      <c r="B54" s="25">
        <f t="shared" si="5"/>
        <v>46684</v>
      </c>
      <c r="C54" s="32" t="str">
        <f t="shared" si="2"/>
        <v>Oct-2027</v>
      </c>
      <c r="D54" s="2">
        <v>27</v>
      </c>
      <c r="E54" s="28">
        <f t="shared" si="3"/>
        <v>1541.3493922672235</v>
      </c>
      <c r="F54" s="29">
        <f t="shared" si="6"/>
        <v>449.19013438935576</v>
      </c>
      <c r="G54" s="30">
        <f t="shared" si="4"/>
        <v>1092.1592578778677</v>
      </c>
      <c r="H54" s="31">
        <f t="shared" si="7"/>
        <v>29125.143529524768</v>
      </c>
      <c r="J54" s="42"/>
      <c r="K54" s="50"/>
      <c r="L54" s="50"/>
      <c r="M54" s="50"/>
      <c r="N54" s="50"/>
      <c r="O54" s="51"/>
      <c r="P54" s="50"/>
      <c r="Q54" s="50"/>
      <c r="R54" s="50"/>
      <c r="S54" s="50"/>
      <c r="T54" s="50"/>
      <c r="U54" s="58"/>
    </row>
    <row r="55" spans="2:21" ht="15" thickTop="1">
      <c r="B55" s="25">
        <f t="shared" si="5"/>
        <v>46715</v>
      </c>
      <c r="C55" s="32" t="str">
        <f t="shared" si="2"/>
        <v>Nov-2027</v>
      </c>
      <c r="D55" s="2">
        <v>28</v>
      </c>
      <c r="E55" s="28">
        <f t="shared" si="3"/>
        <v>1541.3493922672235</v>
      </c>
      <c r="F55" s="29">
        <f t="shared" si="6"/>
        <v>465.77840885044156</v>
      </c>
      <c r="G55" s="30">
        <f t="shared" si="4"/>
        <v>1075.5709834167819</v>
      </c>
      <c r="H55" s="31">
        <f t="shared" si="7"/>
        <v>28659.365120674327</v>
      </c>
      <c r="J55" s="42"/>
      <c r="K55" s="43"/>
      <c r="L55" s="43"/>
      <c r="M55" s="43"/>
      <c r="N55" s="43"/>
      <c r="O55" s="44"/>
      <c r="P55" s="43"/>
      <c r="Q55" s="43"/>
      <c r="R55" s="43"/>
      <c r="S55" s="43"/>
      <c r="T55" s="43"/>
      <c r="U55" s="58"/>
    </row>
    <row r="56" spans="2:21">
      <c r="B56" s="25">
        <f t="shared" si="5"/>
        <v>46745</v>
      </c>
      <c r="C56" s="32" t="str">
        <f t="shared" si="2"/>
        <v>Dec-2027</v>
      </c>
      <c r="D56" s="2">
        <v>29</v>
      </c>
      <c r="E56" s="28">
        <f t="shared" si="3"/>
        <v>1541.3493922672235</v>
      </c>
      <c r="F56" s="29">
        <f t="shared" si="6"/>
        <v>482.97927657333275</v>
      </c>
      <c r="G56" s="30">
        <f t="shared" si="4"/>
        <v>1058.3701156938907</v>
      </c>
      <c r="H56" s="31">
        <f t="shared" si="7"/>
        <v>28176.385844100994</v>
      </c>
      <c r="J56" s="42"/>
      <c r="K56" s="43" t="s">
        <v>78</v>
      </c>
      <c r="L56" s="43"/>
      <c r="M56" s="43"/>
      <c r="O56" s="43"/>
      <c r="P56" s="43"/>
      <c r="R56" s="43" t="s">
        <v>89</v>
      </c>
      <c r="S56" s="43"/>
      <c r="T56" s="43"/>
      <c r="U56" s="58"/>
    </row>
    <row r="57" spans="2:21" ht="15.75" customHeight="1">
      <c r="B57" s="25">
        <f t="shared" si="5"/>
        <v>46776</v>
      </c>
      <c r="C57" s="32" t="str">
        <f t="shared" si="2"/>
        <v>Jan-2028</v>
      </c>
      <c r="D57" s="2">
        <v>30</v>
      </c>
      <c r="E57" s="28">
        <f t="shared" si="3"/>
        <v>1541.3493922672235</v>
      </c>
      <c r="F57" s="29">
        <f t="shared" si="6"/>
        <v>500.81536019459622</v>
      </c>
      <c r="G57" s="30">
        <f t="shared" si="4"/>
        <v>1040.5340320726273</v>
      </c>
      <c r="H57" s="31">
        <f t="shared" si="7"/>
        <v>27675.570483906398</v>
      </c>
      <c r="J57" s="42"/>
      <c r="K57" s="43"/>
      <c r="L57" s="43"/>
      <c r="M57" s="43"/>
      <c r="N57" s="43"/>
      <c r="O57" s="43"/>
      <c r="P57" s="43"/>
      <c r="Q57" s="43"/>
      <c r="R57" s="43"/>
      <c r="S57" s="43"/>
      <c r="T57" s="43"/>
      <c r="U57" s="58"/>
    </row>
    <row r="58" spans="2:21">
      <c r="B58" s="25">
        <f t="shared" si="5"/>
        <v>46807</v>
      </c>
      <c r="C58" s="32" t="str">
        <f t="shared" si="2"/>
        <v>Feb-2028</v>
      </c>
      <c r="D58" s="2">
        <v>31</v>
      </c>
      <c r="E58" s="28">
        <f t="shared" si="3"/>
        <v>1541.3493922672235</v>
      </c>
      <c r="F58" s="29">
        <f t="shared" si="6"/>
        <v>519.31011778879235</v>
      </c>
      <c r="G58" s="30">
        <f t="shared" si="4"/>
        <v>1022.0392744784311</v>
      </c>
      <c r="H58" s="31">
        <f t="shared" si="7"/>
        <v>27156.260366117607</v>
      </c>
      <c r="J58" s="16"/>
      <c r="U58" s="119"/>
    </row>
    <row r="59" spans="2:21">
      <c r="B59" s="25">
        <f t="shared" si="5"/>
        <v>46836</v>
      </c>
      <c r="C59" s="32" t="str">
        <f t="shared" si="2"/>
        <v>Mar-2028</v>
      </c>
      <c r="D59" s="2">
        <v>32</v>
      </c>
      <c r="E59" s="28">
        <f t="shared" si="3"/>
        <v>1541.3493922672235</v>
      </c>
      <c r="F59" s="29">
        <f t="shared" si="6"/>
        <v>538.48787372060963</v>
      </c>
      <c r="G59" s="30">
        <f t="shared" si="4"/>
        <v>1002.8615185466139</v>
      </c>
      <c r="H59" s="31">
        <f t="shared" si="7"/>
        <v>26617.772492396998</v>
      </c>
      <c r="J59" s="16"/>
      <c r="U59" s="119"/>
    </row>
    <row r="60" spans="2:21">
      <c r="B60" s="25">
        <f t="shared" si="5"/>
        <v>46867</v>
      </c>
      <c r="C60" s="32" t="str">
        <f t="shared" si="2"/>
        <v>Apr-2028</v>
      </c>
      <c r="D60" s="2">
        <v>33</v>
      </c>
      <c r="E60" s="28">
        <f t="shared" ref="E60:E87" si="8">C$1</f>
        <v>1541.3493922672235</v>
      </c>
      <c r="F60" s="29">
        <f t="shared" si="6"/>
        <v>558.3738506363477</v>
      </c>
      <c r="G60" s="30">
        <f t="shared" si="4"/>
        <v>982.9755416308758</v>
      </c>
      <c r="H60" s="31">
        <f t="shared" si="7"/>
        <v>26059.39864176065</v>
      </c>
      <c r="J60" s="42"/>
      <c r="K60" s="259" t="s">
        <v>88</v>
      </c>
      <c r="L60" s="259"/>
      <c r="M60" s="259"/>
      <c r="N60" s="112"/>
      <c r="O60" s="112"/>
      <c r="P60" s="112"/>
      <c r="R60" s="253" t="s">
        <v>80</v>
      </c>
      <c r="S60" s="253"/>
      <c r="T60" s="253"/>
      <c r="U60" s="58"/>
    </row>
    <row r="61" spans="2:21">
      <c r="B61" s="25">
        <f t="shared" ref="B61:B87" si="9">DATE(YEAR(E$24),MONTH(E$24)+D61+1,DAY(E$24))</f>
        <v>46897</v>
      </c>
      <c r="C61" s="32" t="str">
        <f t="shared" si="2"/>
        <v>May-2028</v>
      </c>
      <c r="D61" s="2">
        <v>34</v>
      </c>
      <c r="E61" s="28">
        <f t="shared" si="8"/>
        <v>1541.3493922672235</v>
      </c>
      <c r="F61" s="29">
        <f t="shared" ref="F61:F87" si="10">E61-G61</f>
        <v>578.99420263682248</v>
      </c>
      <c r="G61" s="30">
        <f t="shared" si="4"/>
        <v>962.35518963040101</v>
      </c>
      <c r="H61" s="31">
        <f t="shared" ref="H61:H87" si="11">H60-F61</f>
        <v>25480.404439123828</v>
      </c>
      <c r="J61" s="42"/>
      <c r="K61" s="52" t="s">
        <v>81</v>
      </c>
      <c r="L61" s="52"/>
      <c r="M61" s="52"/>
      <c r="N61" s="43"/>
      <c r="O61" s="44"/>
      <c r="P61" s="43"/>
      <c r="R61" s="260" t="s">
        <v>90</v>
      </c>
      <c r="S61" s="251"/>
      <c r="T61" s="251"/>
      <c r="U61" s="58"/>
    </row>
    <row r="62" spans="2:21">
      <c r="B62" s="25">
        <f t="shared" si="9"/>
        <v>46928</v>
      </c>
      <c r="C62" s="32" t="str">
        <f t="shared" si="2"/>
        <v>Jun-2028</v>
      </c>
      <c r="D62" s="2">
        <v>35</v>
      </c>
      <c r="E62" s="28">
        <f t="shared" si="8"/>
        <v>1541.3493922672235</v>
      </c>
      <c r="F62" s="29">
        <f t="shared" si="10"/>
        <v>600.37604967532411</v>
      </c>
      <c r="G62" s="30">
        <f t="shared" si="4"/>
        <v>940.97334259189938</v>
      </c>
      <c r="H62" s="31">
        <f t="shared" si="11"/>
        <v>24880.028389448504</v>
      </c>
      <c r="J62" s="16"/>
      <c r="U62" s="119"/>
    </row>
    <row r="63" spans="2:21">
      <c r="B63" s="25">
        <f t="shared" si="9"/>
        <v>46958</v>
      </c>
      <c r="C63" s="32" t="str">
        <f t="shared" si="2"/>
        <v>Jul-2028</v>
      </c>
      <c r="D63" s="2">
        <v>36</v>
      </c>
      <c r="E63" s="28">
        <f t="shared" si="8"/>
        <v>1541.3493922672235</v>
      </c>
      <c r="F63" s="29">
        <f t="shared" si="10"/>
        <v>622.5475132258664</v>
      </c>
      <c r="G63" s="30">
        <f t="shared" si="4"/>
        <v>918.8018790413571</v>
      </c>
      <c r="H63" s="31">
        <f t="shared" si="11"/>
        <v>24257.480876222638</v>
      </c>
      <c r="J63" s="16"/>
      <c r="U63" s="119"/>
    </row>
    <row r="64" spans="2:21">
      <c r="B64" s="25">
        <f t="shared" si="9"/>
        <v>46989</v>
      </c>
      <c r="C64" s="32" t="str">
        <f t="shared" si="2"/>
        <v>Aug-2028</v>
      </c>
      <c r="D64" s="2">
        <v>37</v>
      </c>
      <c r="E64" s="28">
        <f t="shared" si="8"/>
        <v>1541.3493922672235</v>
      </c>
      <c r="F64" s="29">
        <f t="shared" si="10"/>
        <v>645.53775326864024</v>
      </c>
      <c r="G64" s="30">
        <f t="shared" si="4"/>
        <v>895.81163899858325</v>
      </c>
      <c r="H64" s="31">
        <f t="shared" si="11"/>
        <v>23611.943122953999</v>
      </c>
      <c r="J64" s="16"/>
      <c r="U64" s="119"/>
    </row>
    <row r="65" spans="2:21">
      <c r="B65" s="25">
        <f t="shared" si="9"/>
        <v>47020</v>
      </c>
      <c r="C65" s="32" t="str">
        <f t="shared" si="2"/>
        <v>Sep-2028</v>
      </c>
      <c r="D65" s="2">
        <v>38</v>
      </c>
      <c r="E65" s="28">
        <f t="shared" si="8"/>
        <v>1541.3493922672235</v>
      </c>
      <c r="F65" s="29">
        <f t="shared" si="10"/>
        <v>669.3770066413133</v>
      </c>
      <c r="G65" s="30">
        <f t="shared" si="4"/>
        <v>871.97238562591019</v>
      </c>
      <c r="H65" s="31">
        <f t="shared" si="11"/>
        <v>22942.566116312686</v>
      </c>
      <c r="J65" s="42"/>
      <c r="K65" s="43"/>
      <c r="L65" s="43"/>
      <c r="M65" s="43"/>
      <c r="N65" s="43"/>
      <c r="O65" s="44"/>
      <c r="P65" s="43"/>
      <c r="Q65" s="43"/>
      <c r="R65" s="43"/>
      <c r="S65" s="43"/>
      <c r="T65" s="43"/>
      <c r="U65" s="58"/>
    </row>
    <row r="66" spans="2:21">
      <c r="B66" s="25">
        <f t="shared" si="9"/>
        <v>47050</v>
      </c>
      <c r="C66" s="32" t="str">
        <f t="shared" si="2"/>
        <v>Oct-2028</v>
      </c>
      <c r="D66" s="2">
        <v>39</v>
      </c>
      <c r="E66" s="28">
        <f t="shared" si="8"/>
        <v>1541.3493922672235</v>
      </c>
      <c r="F66" s="29">
        <f t="shared" si="10"/>
        <v>694.09662680661609</v>
      </c>
      <c r="G66" s="30">
        <f t="shared" si="4"/>
        <v>847.25276546060741</v>
      </c>
      <c r="H66" s="31">
        <f t="shared" si="11"/>
        <v>22248.469489506071</v>
      </c>
      <c r="J66" s="42"/>
      <c r="K66" s="43" t="s">
        <v>83</v>
      </c>
      <c r="L66" s="43"/>
      <c r="M66" s="43"/>
      <c r="N66" s="43"/>
      <c r="O66" s="44"/>
      <c r="P66" s="43"/>
      <c r="Q66" s="43"/>
      <c r="R66" s="43" t="s">
        <v>79</v>
      </c>
      <c r="S66" s="43"/>
      <c r="T66" s="43"/>
      <c r="U66" s="58"/>
    </row>
    <row r="67" spans="2:21">
      <c r="B67" s="25">
        <f t="shared" si="9"/>
        <v>47081</v>
      </c>
      <c r="C67" s="32" t="str">
        <f t="shared" si="2"/>
        <v>Nov-2028</v>
      </c>
      <c r="D67" s="2">
        <v>40</v>
      </c>
      <c r="E67" s="28">
        <f t="shared" si="8"/>
        <v>1541.3493922672235</v>
      </c>
      <c r="F67" s="29">
        <f t="shared" si="10"/>
        <v>719.72912508851709</v>
      </c>
      <c r="G67" s="30">
        <f t="shared" si="4"/>
        <v>821.6202671787064</v>
      </c>
      <c r="H67" s="31">
        <f t="shared" si="11"/>
        <v>21528.740364417554</v>
      </c>
      <c r="J67" s="42"/>
      <c r="K67" s="43"/>
      <c r="L67" s="43"/>
      <c r="M67" s="43"/>
      <c r="N67" s="43"/>
      <c r="O67" s="44"/>
      <c r="P67" s="43"/>
      <c r="Q67" s="43"/>
      <c r="R67" s="43"/>
      <c r="S67" s="43"/>
      <c r="T67" s="43"/>
      <c r="U67" s="58"/>
    </row>
    <row r="68" spans="2:21">
      <c r="B68" s="25">
        <f t="shared" si="9"/>
        <v>47111</v>
      </c>
      <c r="C68" s="32" t="str">
        <f t="shared" si="2"/>
        <v>Dec-2028</v>
      </c>
      <c r="D68" s="2">
        <v>41</v>
      </c>
      <c r="E68" s="28">
        <f t="shared" si="8"/>
        <v>1541.3493922672235</v>
      </c>
      <c r="F68" s="29">
        <f t="shared" si="10"/>
        <v>746.30821343122045</v>
      </c>
      <c r="G68" s="30">
        <f t="shared" si="4"/>
        <v>795.04117883600304</v>
      </c>
      <c r="H68" s="31">
        <f t="shared" si="11"/>
        <v>20782.432150986333</v>
      </c>
      <c r="J68" s="16"/>
      <c r="U68" s="119"/>
    </row>
    <row r="69" spans="2:21">
      <c r="B69" s="25">
        <f t="shared" si="9"/>
        <v>47142</v>
      </c>
      <c r="C69" s="32" t="str">
        <f t="shared" si="2"/>
        <v>Jan-2029</v>
      </c>
      <c r="D69" s="2">
        <v>42</v>
      </c>
      <c r="E69" s="28">
        <f t="shared" si="8"/>
        <v>1541.3493922672235</v>
      </c>
      <c r="F69" s="29">
        <f t="shared" si="10"/>
        <v>773.86884873722397</v>
      </c>
      <c r="G69" s="30">
        <f t="shared" si="4"/>
        <v>767.48054352999952</v>
      </c>
      <c r="H69" s="31">
        <f t="shared" si="11"/>
        <v>20008.563302249109</v>
      </c>
      <c r="J69" s="16"/>
      <c r="R69" s="259" t="s">
        <v>242</v>
      </c>
      <c r="S69" s="259"/>
      <c r="U69" s="119"/>
    </row>
    <row r="70" spans="2:21">
      <c r="B70" s="25">
        <f t="shared" si="9"/>
        <v>47173</v>
      </c>
      <c r="C70" s="32" t="str">
        <f t="shared" si="2"/>
        <v>Feb-2029</v>
      </c>
      <c r="D70" s="2">
        <v>43</v>
      </c>
      <c r="E70" s="28">
        <f t="shared" si="8"/>
        <v>1541.3493922672235</v>
      </c>
      <c r="F70" s="29">
        <f t="shared" si="10"/>
        <v>802.44727884274903</v>
      </c>
      <c r="G70" s="30">
        <f t="shared" si="4"/>
        <v>738.90211342447446</v>
      </c>
      <c r="H70" s="31">
        <f t="shared" si="11"/>
        <v>19206.116023406361</v>
      </c>
      <c r="J70" s="42"/>
      <c r="K70" s="53" t="s">
        <v>84</v>
      </c>
      <c r="L70" s="53"/>
      <c r="M70" s="53"/>
      <c r="N70" s="43"/>
      <c r="O70" s="44"/>
      <c r="P70" s="43"/>
      <c r="Q70" s="43"/>
      <c r="R70" s="252" t="s">
        <v>82</v>
      </c>
      <c r="S70" s="252"/>
      <c r="T70" s="43"/>
      <c r="U70" s="58"/>
    </row>
    <row r="71" spans="2:21" ht="15" thickBot="1">
      <c r="B71" s="25">
        <f t="shared" si="9"/>
        <v>47201</v>
      </c>
      <c r="C71" s="32" t="str">
        <f t="shared" si="2"/>
        <v>Mar-2029</v>
      </c>
      <c r="D71" s="2">
        <v>44</v>
      </c>
      <c r="E71" s="28">
        <f t="shared" si="8"/>
        <v>1541.3493922672235</v>
      </c>
      <c r="F71" s="29">
        <f t="shared" si="10"/>
        <v>832.08109019101187</v>
      </c>
      <c r="G71" s="30">
        <f t="shared" si="4"/>
        <v>709.26830207621163</v>
      </c>
      <c r="H71" s="31">
        <f t="shared" si="11"/>
        <v>18374.034933215349</v>
      </c>
      <c r="J71" s="54"/>
      <c r="K71" s="55"/>
      <c r="L71" s="55"/>
      <c r="M71" s="55"/>
      <c r="N71" s="55"/>
      <c r="O71" s="56"/>
      <c r="P71" s="55"/>
      <c r="Q71" s="55"/>
      <c r="R71" s="55"/>
      <c r="S71" s="55"/>
      <c r="T71" s="55"/>
      <c r="U71" s="60"/>
    </row>
    <row r="72" spans="2:21">
      <c r="B72" s="25">
        <f t="shared" si="9"/>
        <v>47232</v>
      </c>
      <c r="C72" s="32" t="str">
        <f t="shared" si="2"/>
        <v>Apr-2029</v>
      </c>
      <c r="D72" s="2">
        <v>45</v>
      </c>
      <c r="E72" s="28">
        <f t="shared" si="8"/>
        <v>1541.3493922672235</v>
      </c>
      <c r="F72" s="29">
        <f t="shared" si="10"/>
        <v>862.80925726603459</v>
      </c>
      <c r="G72" s="30">
        <f t="shared" si="4"/>
        <v>678.5401350011889</v>
      </c>
      <c r="H72" s="31">
        <f t="shared" si="11"/>
        <v>17511.225675949314</v>
      </c>
    </row>
    <row r="73" spans="2:21">
      <c r="B73" s="25">
        <f t="shared" si="9"/>
        <v>47262</v>
      </c>
      <c r="C73" s="32" t="str">
        <f t="shared" si="2"/>
        <v>May-2029</v>
      </c>
      <c r="D73" s="2">
        <v>46</v>
      </c>
      <c r="E73" s="28">
        <f t="shared" si="8"/>
        <v>1541.3493922672235</v>
      </c>
      <c r="F73" s="29">
        <f t="shared" si="10"/>
        <v>894.6721938520119</v>
      </c>
      <c r="G73" s="30">
        <f t="shared" si="4"/>
        <v>646.67719841521159</v>
      </c>
      <c r="H73" s="31">
        <f t="shared" si="11"/>
        <v>16616.553482097301</v>
      </c>
    </row>
    <row r="74" spans="2:21">
      <c r="B74" s="25">
        <f t="shared" si="9"/>
        <v>47293</v>
      </c>
      <c r="C74" s="32" t="str">
        <f t="shared" si="2"/>
        <v>Jun-2029</v>
      </c>
      <c r="D74" s="2">
        <v>47</v>
      </c>
      <c r="E74" s="28">
        <f t="shared" si="8"/>
        <v>1541.3493922672235</v>
      </c>
      <c r="F74" s="29">
        <f t="shared" si="10"/>
        <v>927.71180618564972</v>
      </c>
      <c r="G74" s="30">
        <f t="shared" si="4"/>
        <v>613.63758608157377</v>
      </c>
      <c r="H74" s="31">
        <f t="shared" si="11"/>
        <v>15688.841675911652</v>
      </c>
    </row>
    <row r="75" spans="2:21">
      <c r="B75" s="25">
        <f t="shared" si="9"/>
        <v>47323</v>
      </c>
      <c r="C75" s="32" t="str">
        <f t="shared" si="2"/>
        <v>Jul-2029</v>
      </c>
      <c r="D75" s="2">
        <v>48</v>
      </c>
      <c r="E75" s="28">
        <f t="shared" si="8"/>
        <v>1541.3493922672235</v>
      </c>
      <c r="F75" s="29">
        <f t="shared" si="10"/>
        <v>961.97154807138315</v>
      </c>
      <c r="G75" s="30">
        <f t="shared" si="4"/>
        <v>579.37784419584034</v>
      </c>
      <c r="H75" s="31">
        <f t="shared" si="11"/>
        <v>14726.870127840268</v>
      </c>
    </row>
    <row r="76" spans="2:21">
      <c r="B76" s="25">
        <f t="shared" si="9"/>
        <v>47354</v>
      </c>
      <c r="C76" s="32" t="str">
        <f t="shared" si="2"/>
        <v>Aug-2029</v>
      </c>
      <c r="D76" s="2">
        <v>49</v>
      </c>
      <c r="E76" s="28">
        <f t="shared" si="8"/>
        <v>1541.3493922672235</v>
      </c>
      <c r="F76" s="29">
        <f t="shared" si="10"/>
        <v>997.49647803195955</v>
      </c>
      <c r="G76" s="30">
        <f t="shared" si="4"/>
        <v>543.85291423526394</v>
      </c>
      <c r="H76" s="31">
        <f t="shared" si="11"/>
        <v>13729.373649808309</v>
      </c>
    </row>
    <row r="77" spans="2:21">
      <c r="B77" s="25">
        <f t="shared" si="9"/>
        <v>47385</v>
      </c>
      <c r="C77" s="32" t="str">
        <f t="shared" si="2"/>
        <v>Sep-2029</v>
      </c>
      <c r="D77" s="2">
        <v>50</v>
      </c>
      <c r="E77" s="28">
        <f t="shared" si="8"/>
        <v>1541.3493922672235</v>
      </c>
      <c r="F77" s="29">
        <f t="shared" si="10"/>
        <v>1034.3333185695524</v>
      </c>
      <c r="G77" s="30">
        <f t="shared" si="4"/>
        <v>507.016073697671</v>
      </c>
      <c r="H77" s="31">
        <f t="shared" si="11"/>
        <v>12695.040331238757</v>
      </c>
    </row>
    <row r="78" spans="2:21">
      <c r="B78" s="25">
        <f t="shared" si="9"/>
        <v>47415</v>
      </c>
      <c r="C78" s="32" t="str">
        <f t="shared" si="2"/>
        <v>Oct-2029</v>
      </c>
      <c r="D78" s="2">
        <v>51</v>
      </c>
      <c r="E78" s="28">
        <f t="shared" si="8"/>
        <v>1541.3493922672235</v>
      </c>
      <c r="F78" s="29">
        <f t="shared" si="10"/>
        <v>1072.5305176153472</v>
      </c>
      <c r="G78" s="30">
        <f t="shared" si="4"/>
        <v>468.81887465187634</v>
      </c>
      <c r="H78" s="31">
        <f t="shared" si="11"/>
        <v>11622.50981362341</v>
      </c>
    </row>
    <row r="79" spans="2:21">
      <c r="B79" s="25">
        <f t="shared" si="9"/>
        <v>47446</v>
      </c>
      <c r="C79" s="32" t="str">
        <f t="shared" si="2"/>
        <v>Nov-2029</v>
      </c>
      <c r="D79" s="2">
        <v>52</v>
      </c>
      <c r="E79" s="28">
        <f t="shared" si="8"/>
        <v>1541.3493922672235</v>
      </c>
      <c r="F79" s="29">
        <f t="shared" si="10"/>
        <v>1112.1383122484153</v>
      </c>
      <c r="G79" s="30">
        <f t="shared" si="4"/>
        <v>429.21108001880822</v>
      </c>
      <c r="H79" s="31">
        <f t="shared" si="11"/>
        <v>10510.371501374995</v>
      </c>
    </row>
    <row r="80" spans="2:21">
      <c r="B80" s="25">
        <f t="shared" si="9"/>
        <v>47476</v>
      </c>
      <c r="C80" s="32" t="str">
        <f t="shared" si="2"/>
        <v>Dec-2029</v>
      </c>
      <c r="D80" s="2">
        <v>53</v>
      </c>
      <c r="E80" s="28">
        <f t="shared" si="8"/>
        <v>1541.3493922672235</v>
      </c>
      <c r="F80" s="29">
        <f t="shared" si="10"/>
        <v>1153.2087947676828</v>
      </c>
      <c r="G80" s="30">
        <f t="shared" si="4"/>
        <v>388.1405974995406</v>
      </c>
      <c r="H80" s="31">
        <f t="shared" si="11"/>
        <v>9357.1627066073124</v>
      </c>
    </row>
    <row r="81" spans="2:22">
      <c r="B81" s="25">
        <f t="shared" si="9"/>
        <v>47507</v>
      </c>
      <c r="C81" s="32" t="str">
        <f t="shared" si="2"/>
        <v>Jan-2030</v>
      </c>
      <c r="D81" s="2">
        <v>54</v>
      </c>
      <c r="E81" s="28">
        <f t="shared" si="8"/>
        <v>1541.3493922672235</v>
      </c>
      <c r="F81" s="29">
        <f t="shared" si="10"/>
        <v>1195.7959812038898</v>
      </c>
      <c r="G81" s="30">
        <f t="shared" si="4"/>
        <v>345.55341106333361</v>
      </c>
      <c r="H81" s="31">
        <f t="shared" si="11"/>
        <v>8161.3667254034226</v>
      </c>
    </row>
    <row r="82" spans="2:22">
      <c r="B82" s="25">
        <f t="shared" si="9"/>
        <v>47538</v>
      </c>
      <c r="C82" s="32" t="str">
        <f t="shared" si="2"/>
        <v>Feb-2030</v>
      </c>
      <c r="D82" s="2">
        <v>55</v>
      </c>
      <c r="E82" s="28">
        <f t="shared" si="8"/>
        <v>1541.3493922672235</v>
      </c>
      <c r="F82" s="29">
        <f t="shared" si="10"/>
        <v>1239.9558823616471</v>
      </c>
      <c r="G82" s="30">
        <f t="shared" si="4"/>
        <v>301.39350990557648</v>
      </c>
      <c r="H82" s="31">
        <f t="shared" si="11"/>
        <v>6921.4108430417755</v>
      </c>
    </row>
    <row r="83" spans="2:22">
      <c r="B83" s="25">
        <f t="shared" si="9"/>
        <v>47566</v>
      </c>
      <c r="C83" s="32" t="str">
        <f t="shared" si="2"/>
        <v>Mar-2030</v>
      </c>
      <c r="D83" s="2">
        <v>56</v>
      </c>
      <c r="E83" s="28">
        <f t="shared" si="8"/>
        <v>1541.3493922672235</v>
      </c>
      <c r="F83" s="29">
        <f t="shared" si="10"/>
        <v>1285.7465774850266</v>
      </c>
      <c r="G83" s="30">
        <f t="shared" si="4"/>
        <v>255.6028147821969</v>
      </c>
      <c r="H83" s="31">
        <f t="shared" si="11"/>
        <v>5635.6642655567484</v>
      </c>
    </row>
    <row r="84" spans="2:22">
      <c r="B84" s="25">
        <f t="shared" si="9"/>
        <v>47597</v>
      </c>
      <c r="C84" s="32" t="str">
        <f t="shared" si="2"/>
        <v>Apr-2030</v>
      </c>
      <c r="D84" s="2">
        <v>57</v>
      </c>
      <c r="E84" s="28">
        <f t="shared" si="8"/>
        <v>1541.3493922672235</v>
      </c>
      <c r="F84" s="29">
        <f t="shared" si="10"/>
        <v>1333.228290643571</v>
      </c>
      <c r="G84" s="30">
        <f t="shared" si="4"/>
        <v>208.12110162365246</v>
      </c>
      <c r="H84" s="31">
        <f t="shared" si="11"/>
        <v>4302.4359749131772</v>
      </c>
    </row>
    <row r="85" spans="2:22">
      <c r="B85" s="25">
        <f t="shared" si="9"/>
        <v>47627</v>
      </c>
      <c r="C85" s="32" t="str">
        <f t="shared" si="2"/>
        <v>May-2030</v>
      </c>
      <c r="D85" s="2">
        <v>58</v>
      </c>
      <c r="E85" s="28">
        <f t="shared" si="8"/>
        <v>1541.3493922672235</v>
      </c>
      <c r="F85" s="29">
        <f t="shared" si="10"/>
        <v>1382.4634699391829</v>
      </c>
      <c r="G85" s="30">
        <f t="shared" si="4"/>
        <v>158.88592232804061</v>
      </c>
      <c r="H85" s="31">
        <f t="shared" si="11"/>
        <v>2919.9725049739945</v>
      </c>
    </row>
    <row r="86" spans="2:22">
      <c r="B86" s="25">
        <f t="shared" si="9"/>
        <v>47658</v>
      </c>
      <c r="C86" s="32" t="str">
        <f t="shared" si="2"/>
        <v>Jun-2030</v>
      </c>
      <c r="D86" s="2">
        <v>59</v>
      </c>
      <c r="E86" s="28">
        <f t="shared" si="8"/>
        <v>1541.3493922672235</v>
      </c>
      <c r="F86" s="29">
        <f t="shared" si="10"/>
        <v>1433.5168696380692</v>
      </c>
      <c r="G86" s="30">
        <f t="shared" si="4"/>
        <v>107.8325226291542</v>
      </c>
      <c r="H86" s="31">
        <f t="shared" si="11"/>
        <v>1486.4556353359253</v>
      </c>
    </row>
    <row r="87" spans="2:22" ht="15" thickBot="1">
      <c r="B87" s="25">
        <f t="shared" si="9"/>
        <v>47688</v>
      </c>
      <c r="C87" s="32" t="str">
        <f t="shared" si="2"/>
        <v>Jul-2030</v>
      </c>
      <c r="D87" s="62">
        <v>60</v>
      </c>
      <c r="E87" s="28">
        <f t="shared" si="8"/>
        <v>1541.3493922672235</v>
      </c>
      <c r="F87" s="29">
        <f t="shared" si="10"/>
        <v>1486.4556353357614</v>
      </c>
      <c r="G87" s="30">
        <f t="shared" si="4"/>
        <v>54.893756931462093</v>
      </c>
      <c r="H87" s="31">
        <f t="shared" si="11"/>
        <v>1.6393641999457031E-10</v>
      </c>
    </row>
    <row r="88" spans="2:22">
      <c r="C88" s="35"/>
      <c r="D88" s="36"/>
      <c r="E88" s="36">
        <f t="shared" ref="E88:G88" si="12">SUM(E28:E87)</f>
        <v>92480.963536033305</v>
      </c>
      <c r="F88" s="36">
        <f t="shared" si="12"/>
        <v>36999.99999999984</v>
      </c>
      <c r="G88" s="36">
        <f t="shared" si="12"/>
        <v>55480.963536033567</v>
      </c>
      <c r="H88" s="37"/>
      <c r="I88" s="38"/>
      <c r="J88" s="38"/>
    </row>
    <row r="91" spans="2:22">
      <c r="V91" s="43"/>
    </row>
    <row r="92" spans="2:22" ht="15.75" customHeight="1">
      <c r="V92" s="43"/>
    </row>
    <row r="93" spans="2:22" ht="15" customHeight="1">
      <c r="V93" s="43"/>
    </row>
    <row r="94" spans="2:22" ht="15" customHeight="1">
      <c r="V94" s="43"/>
    </row>
    <row r="95" spans="2:22">
      <c r="V95" s="43"/>
    </row>
    <row r="96" spans="2:22">
      <c r="V96" s="43"/>
    </row>
    <row r="97" spans="22:22">
      <c r="V97" s="43"/>
    </row>
    <row r="98" spans="22:22">
      <c r="V98" s="43"/>
    </row>
    <row r="99" spans="22:22">
      <c r="V99" s="43"/>
    </row>
    <row r="100" spans="22:22">
      <c r="V100" s="43"/>
    </row>
    <row r="101" spans="22:22">
      <c r="V101" s="43"/>
    </row>
    <row r="102" spans="22:22">
      <c r="V102" s="43"/>
    </row>
    <row r="103" spans="22:22" ht="15.6">
      <c r="V103" s="48"/>
    </row>
    <row r="104" spans="22:22" ht="15.6">
      <c r="V104" s="48"/>
    </row>
    <row r="105" spans="22:22" ht="15.6">
      <c r="V105" s="48"/>
    </row>
    <row r="106" spans="22:22">
      <c r="V106" s="43"/>
    </row>
    <row r="107" spans="22:22">
      <c r="V107" s="43"/>
    </row>
    <row r="108" spans="22:22">
      <c r="V108" s="43"/>
    </row>
    <row r="109" spans="22:22" ht="15.6">
      <c r="V109" s="46"/>
    </row>
    <row r="110" spans="22:22" ht="15.6">
      <c r="V110" s="46"/>
    </row>
    <row r="111" spans="22:22" ht="15.75" customHeight="1">
      <c r="V111" s="46"/>
    </row>
    <row r="112" spans="22:22" ht="15.6">
      <c r="V112" s="46"/>
    </row>
    <row r="113" spans="22:22" ht="15.6">
      <c r="V113" s="46"/>
    </row>
    <row r="114" spans="22:22">
      <c r="V114" s="43"/>
    </row>
    <row r="115" spans="22:22">
      <c r="V115" s="43"/>
    </row>
    <row r="116" spans="22:22">
      <c r="V116" s="43"/>
    </row>
    <row r="117" spans="22:22">
      <c r="V117" s="43"/>
    </row>
    <row r="118" spans="22:22">
      <c r="V118" s="43"/>
    </row>
    <row r="119" spans="22:22">
      <c r="V119" s="43"/>
    </row>
    <row r="120" spans="22:22">
      <c r="V120" s="43"/>
    </row>
    <row r="121" spans="22:22">
      <c r="V121" s="43"/>
    </row>
    <row r="122" spans="22:22">
      <c r="V122" s="43"/>
    </row>
    <row r="123" spans="22:22">
      <c r="V123" s="43"/>
    </row>
    <row r="124" spans="22:22">
      <c r="V124" s="43"/>
    </row>
    <row r="125" spans="22:22">
      <c r="V125" s="43"/>
    </row>
    <row r="126" spans="22:22">
      <c r="V126" s="43"/>
    </row>
    <row r="127" spans="22:22">
      <c r="V127" s="43"/>
    </row>
    <row r="128" spans="22:22">
      <c r="V128" s="43"/>
    </row>
    <row r="129" spans="10:22">
      <c r="V129" s="43"/>
    </row>
    <row r="130" spans="10:22">
      <c r="V130" s="43"/>
    </row>
    <row r="131" spans="10:22">
      <c r="V131" s="43"/>
    </row>
    <row r="132" spans="10:22">
      <c r="V132" s="43"/>
    </row>
    <row r="133" spans="10:22">
      <c r="V133" s="43"/>
    </row>
    <row r="134" spans="10:22">
      <c r="V134" s="43"/>
    </row>
    <row r="135" spans="10:22">
      <c r="J135" s="43"/>
      <c r="K135" s="43"/>
      <c r="L135" s="43"/>
      <c r="M135" s="43"/>
      <c r="N135" s="43"/>
      <c r="O135" s="44"/>
      <c r="P135" s="43"/>
      <c r="Q135" s="43"/>
      <c r="R135" s="43"/>
      <c r="S135" s="43"/>
      <c r="T135" s="43"/>
      <c r="U135" s="43"/>
      <c r="V135" s="43"/>
    </row>
  </sheetData>
  <protectedRanges>
    <protectedRange sqref="E25" name="Range20"/>
    <protectedRange sqref="G24" name="Range19"/>
    <protectedRange sqref="E24" name="Range18"/>
    <protectedRange sqref="D23" name="Range17"/>
    <protectedRange sqref="F23" name="Range16"/>
    <protectedRange sqref="G24" name="Range15"/>
    <protectedRange sqref="H22" name="Range14"/>
    <protectedRange sqref="D22" name="Range13"/>
    <protectedRange sqref="C1" name="Range12"/>
    <protectedRange sqref="C3:C9" name="Range11"/>
    <protectedRange sqref="C10:BK10" name="Range21"/>
    <protectedRange sqref="C12" name="Range22"/>
    <protectedRange sqref="B28:C87" name="Range23"/>
  </protectedRanges>
  <mergeCells count="30">
    <mergeCell ref="K60:M60"/>
    <mergeCell ref="R69:S69"/>
    <mergeCell ref="R70:S70"/>
    <mergeCell ref="R60:T60"/>
    <mergeCell ref="R61:T61"/>
    <mergeCell ref="C24:C27"/>
    <mergeCell ref="C20:H21"/>
    <mergeCell ref="N34:S34"/>
    <mergeCell ref="R43:T43"/>
    <mergeCell ref="R53:T53"/>
    <mergeCell ref="R48:S48"/>
    <mergeCell ref="R51:T51"/>
    <mergeCell ref="R52:T52"/>
    <mergeCell ref="R49:T49"/>
    <mergeCell ref="R50:T50"/>
    <mergeCell ref="R39:T39"/>
    <mergeCell ref="R40:T40"/>
    <mergeCell ref="R41:T41"/>
    <mergeCell ref="R42:T42"/>
    <mergeCell ref="R44:T44"/>
    <mergeCell ref="N32:S32"/>
    <mergeCell ref="N33:S33"/>
    <mergeCell ref="R36:T36"/>
    <mergeCell ref="R37:T37"/>
    <mergeCell ref="R38:T38"/>
    <mergeCell ref="K24:T24"/>
    <mergeCell ref="K25:T25"/>
    <mergeCell ref="K27:T27"/>
    <mergeCell ref="S29:T29"/>
    <mergeCell ref="S30:T30"/>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8A708-B748-4346-899C-EB92FDD97925}">
  <sheetPr>
    <pageSetUpPr fitToPage="1"/>
  </sheetPr>
  <dimension ref="B1:BK135"/>
  <sheetViews>
    <sheetView topLeftCell="A4" zoomScaleNormal="100" workbookViewId="0">
      <selection activeCell="K14" sqref="K14"/>
    </sheetView>
  </sheetViews>
  <sheetFormatPr defaultColWidth="8.88671875" defaultRowHeight="14.4"/>
  <cols>
    <col min="1" max="1" width="2.88671875" customWidth="1"/>
    <col min="2" max="2" width="27.33203125" customWidth="1"/>
    <col min="3" max="3" width="13.44140625" customWidth="1"/>
    <col min="4" max="9" width="15.6640625" customWidth="1"/>
    <col min="10" max="10" width="4.6640625" customWidth="1"/>
    <col min="11" max="16" width="10.6640625" customWidth="1"/>
    <col min="17" max="17" width="8.5546875" customWidth="1"/>
    <col min="18" max="18" width="21.6640625" customWidth="1"/>
    <col min="19" max="19" width="12.5546875" customWidth="1"/>
    <col min="20" max="20" width="10.33203125" customWidth="1"/>
    <col min="21" max="21" width="3.33203125" customWidth="1"/>
    <col min="22" max="63" width="15.6640625" customWidth="1"/>
  </cols>
  <sheetData>
    <row r="1" spans="2:63">
      <c r="B1" t="s">
        <v>37</v>
      </c>
      <c r="C1" s="1">
        <f>'DATA ENTRY'!D16</f>
        <v>949.99785840431502</v>
      </c>
    </row>
    <row r="2" spans="2:63">
      <c r="B2" s="2" t="s">
        <v>38</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3">
        <v>37</v>
      </c>
      <c r="AO2" s="3">
        <v>38</v>
      </c>
      <c r="AP2" s="3">
        <v>39</v>
      </c>
      <c r="AQ2" s="3">
        <v>40</v>
      </c>
      <c r="AR2" s="3">
        <v>41</v>
      </c>
      <c r="AS2" s="3">
        <v>42</v>
      </c>
      <c r="AT2" s="3">
        <v>43</v>
      </c>
      <c r="AU2" s="3">
        <v>44</v>
      </c>
      <c r="AV2" s="3">
        <v>45</v>
      </c>
      <c r="AW2" s="3">
        <v>46</v>
      </c>
      <c r="AX2" s="3">
        <v>47</v>
      </c>
      <c r="AY2" s="3">
        <v>48</v>
      </c>
      <c r="AZ2" s="3">
        <v>49</v>
      </c>
      <c r="BA2" s="3">
        <v>50</v>
      </c>
      <c r="BB2" s="3">
        <v>51</v>
      </c>
      <c r="BC2" s="3">
        <v>52</v>
      </c>
      <c r="BD2" s="3">
        <v>53</v>
      </c>
      <c r="BE2" s="3">
        <v>54</v>
      </c>
      <c r="BF2" s="3">
        <v>55</v>
      </c>
      <c r="BG2" s="3">
        <v>56</v>
      </c>
      <c r="BH2" s="3">
        <v>57</v>
      </c>
      <c r="BI2" s="3">
        <v>58</v>
      </c>
      <c r="BJ2" s="3">
        <v>59</v>
      </c>
      <c r="BK2" s="3">
        <v>60</v>
      </c>
    </row>
    <row r="3" spans="2:63">
      <c r="B3" s="2" t="s">
        <v>6</v>
      </c>
      <c r="C3" s="4">
        <f>'DATA ENTRY'!D4</f>
        <v>22799.94860170356</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2:63">
      <c r="B4" s="2" t="s">
        <v>14</v>
      </c>
      <c r="C4" s="4">
        <f>'DATA ENTRY'!D13</f>
        <v>20181.172399999999</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row>
    <row r="5" spans="2:63">
      <c r="B5" s="2" t="s">
        <v>9</v>
      </c>
      <c r="C5" s="4">
        <f>'DATA ENTRY'!D8</f>
        <v>1198.47</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2:63">
      <c r="B6" s="2" t="s">
        <v>10</v>
      </c>
      <c r="C6" s="4">
        <f>'DATA ENTRY'!D9</f>
        <v>383.5104</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2:63">
      <c r="B7" s="2" t="s">
        <v>11</v>
      </c>
      <c r="C7" s="4">
        <f>'DATA ENTRY'!D10</f>
        <v>2000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2:63">
      <c r="B8" s="2" t="s">
        <v>12</v>
      </c>
      <c r="C8" s="4">
        <f>'DATA ENTRY'!D11</f>
        <v>300</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2:63">
      <c r="B9" s="2" t="s">
        <v>13</v>
      </c>
      <c r="C9" s="4">
        <f>'DATA ENTRY'!D12</f>
        <v>319.59200000000004</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row>
    <row r="10" spans="2:63">
      <c r="B10" s="5" t="s">
        <v>39</v>
      </c>
      <c r="C10" s="6">
        <f>C4-C5-C6-C7-C8-C9</f>
        <v>15979.599999999999</v>
      </c>
      <c r="D10" s="6">
        <f t="shared" ref="D10:BK10" si="0">-$C1</f>
        <v>-949.99785840431502</v>
      </c>
      <c r="E10" s="6">
        <f t="shared" si="0"/>
        <v>-949.99785840431502</v>
      </c>
      <c r="F10" s="6">
        <f t="shared" si="0"/>
        <v>-949.99785840431502</v>
      </c>
      <c r="G10" s="6">
        <f t="shared" si="0"/>
        <v>-949.99785840431502</v>
      </c>
      <c r="H10" s="6">
        <f t="shared" si="0"/>
        <v>-949.99785840431502</v>
      </c>
      <c r="I10" s="6">
        <f t="shared" si="0"/>
        <v>-949.99785840431502</v>
      </c>
      <c r="J10" s="6">
        <f t="shared" si="0"/>
        <v>-949.99785840431502</v>
      </c>
      <c r="K10" s="6">
        <f t="shared" si="0"/>
        <v>-949.99785840431502</v>
      </c>
      <c r="L10" s="6">
        <f t="shared" si="0"/>
        <v>-949.99785840431502</v>
      </c>
      <c r="M10" s="6">
        <f t="shared" si="0"/>
        <v>-949.99785840431502</v>
      </c>
      <c r="N10" s="6">
        <f t="shared" si="0"/>
        <v>-949.99785840431502</v>
      </c>
      <c r="O10" s="6">
        <f t="shared" si="0"/>
        <v>-949.99785840431502</v>
      </c>
      <c r="P10" s="6">
        <f t="shared" si="0"/>
        <v>-949.99785840431502</v>
      </c>
      <c r="Q10" s="6">
        <f t="shared" si="0"/>
        <v>-949.99785840431502</v>
      </c>
      <c r="R10" s="6">
        <f t="shared" si="0"/>
        <v>-949.99785840431502</v>
      </c>
      <c r="S10" s="6">
        <f t="shared" si="0"/>
        <v>-949.99785840431502</v>
      </c>
      <c r="T10" s="6">
        <f t="shared" si="0"/>
        <v>-949.99785840431502</v>
      </c>
      <c r="U10" s="6">
        <f t="shared" si="0"/>
        <v>-949.99785840431502</v>
      </c>
      <c r="V10" s="6">
        <f t="shared" si="0"/>
        <v>-949.99785840431502</v>
      </c>
      <c r="W10" s="6">
        <f t="shared" si="0"/>
        <v>-949.99785840431502</v>
      </c>
      <c r="X10" s="6">
        <f t="shared" si="0"/>
        <v>-949.99785840431502</v>
      </c>
      <c r="Y10" s="6">
        <f t="shared" si="0"/>
        <v>-949.99785840431502</v>
      </c>
      <c r="Z10" s="6">
        <f t="shared" si="0"/>
        <v>-949.99785840431502</v>
      </c>
      <c r="AA10" s="6">
        <f t="shared" si="0"/>
        <v>-949.99785840431502</v>
      </c>
      <c r="AB10" s="6">
        <f t="shared" si="0"/>
        <v>-949.99785840431502</v>
      </c>
      <c r="AC10" s="6">
        <f t="shared" si="0"/>
        <v>-949.99785840431502</v>
      </c>
      <c r="AD10" s="6">
        <f t="shared" si="0"/>
        <v>-949.99785840431502</v>
      </c>
      <c r="AE10" s="6">
        <f t="shared" si="0"/>
        <v>-949.99785840431502</v>
      </c>
      <c r="AF10" s="6">
        <f t="shared" si="0"/>
        <v>-949.99785840431502</v>
      </c>
      <c r="AG10" s="6">
        <f t="shared" si="0"/>
        <v>-949.99785840431502</v>
      </c>
      <c r="AH10" s="6">
        <f t="shared" si="0"/>
        <v>-949.99785840431502</v>
      </c>
      <c r="AI10" s="6">
        <f t="shared" si="0"/>
        <v>-949.99785840431502</v>
      </c>
      <c r="AJ10" s="6">
        <f t="shared" si="0"/>
        <v>-949.99785840431502</v>
      </c>
      <c r="AK10" s="6">
        <f t="shared" si="0"/>
        <v>-949.99785840431502</v>
      </c>
      <c r="AL10" s="6">
        <f t="shared" si="0"/>
        <v>-949.99785840431502</v>
      </c>
      <c r="AM10" s="6">
        <f t="shared" si="0"/>
        <v>-949.99785840431502</v>
      </c>
      <c r="AN10" s="6">
        <f t="shared" si="0"/>
        <v>-949.99785840431502</v>
      </c>
      <c r="AO10" s="6">
        <f t="shared" si="0"/>
        <v>-949.99785840431502</v>
      </c>
      <c r="AP10" s="6">
        <f t="shared" si="0"/>
        <v>-949.99785840431502</v>
      </c>
      <c r="AQ10" s="6">
        <f t="shared" si="0"/>
        <v>-949.99785840431502</v>
      </c>
      <c r="AR10" s="6">
        <f t="shared" si="0"/>
        <v>-949.99785840431502</v>
      </c>
      <c r="AS10" s="6">
        <f t="shared" si="0"/>
        <v>-949.99785840431502</v>
      </c>
      <c r="AT10" s="6">
        <f t="shared" si="0"/>
        <v>-949.99785840431502</v>
      </c>
      <c r="AU10" s="6">
        <f t="shared" si="0"/>
        <v>-949.99785840431502</v>
      </c>
      <c r="AV10" s="6">
        <f t="shared" si="0"/>
        <v>-949.99785840431502</v>
      </c>
      <c r="AW10" s="6">
        <f t="shared" si="0"/>
        <v>-949.99785840431502</v>
      </c>
      <c r="AX10" s="6">
        <f t="shared" si="0"/>
        <v>-949.99785840431502</v>
      </c>
      <c r="AY10" s="6">
        <f t="shared" si="0"/>
        <v>-949.99785840431502</v>
      </c>
      <c r="AZ10" s="6">
        <f t="shared" si="0"/>
        <v>-949.99785840431502</v>
      </c>
      <c r="BA10" s="6">
        <f t="shared" si="0"/>
        <v>-949.99785840431502</v>
      </c>
      <c r="BB10" s="6">
        <f t="shared" si="0"/>
        <v>-949.99785840431502</v>
      </c>
      <c r="BC10" s="6">
        <f t="shared" si="0"/>
        <v>-949.99785840431502</v>
      </c>
      <c r="BD10" s="6">
        <f t="shared" si="0"/>
        <v>-949.99785840431502</v>
      </c>
      <c r="BE10" s="6">
        <f t="shared" si="0"/>
        <v>-949.99785840431502</v>
      </c>
      <c r="BF10" s="6">
        <f t="shared" si="0"/>
        <v>-949.99785840431502</v>
      </c>
      <c r="BG10" s="6">
        <f t="shared" si="0"/>
        <v>-949.99785840431502</v>
      </c>
      <c r="BH10" s="6">
        <f t="shared" si="0"/>
        <v>-949.99785840431502</v>
      </c>
      <c r="BI10" s="6">
        <f t="shared" si="0"/>
        <v>-949.99785840431502</v>
      </c>
      <c r="BJ10" s="6">
        <f t="shared" si="0"/>
        <v>-949.99785840431502</v>
      </c>
      <c r="BK10" s="6">
        <f t="shared" si="0"/>
        <v>-949.99785840431502</v>
      </c>
    </row>
    <row r="12" spans="2:63">
      <c r="B12" t="s">
        <v>40</v>
      </c>
      <c r="C12" s="7">
        <f>IRR(C10:AA10)</f>
        <v>3.0632825618161608E-2</v>
      </c>
      <c r="D12">
        <f>C12/5</f>
        <v>6.1265651236323219E-3</v>
      </c>
    </row>
    <row r="13" spans="2:63">
      <c r="C13" s="8"/>
    </row>
    <row r="14" spans="2:63">
      <c r="B14" t="s">
        <v>86</v>
      </c>
      <c r="C14" s="9"/>
    </row>
    <row r="15" spans="2:63">
      <c r="B15" t="s">
        <v>32</v>
      </c>
      <c r="C15" s="10">
        <f>'DATA ENTRY'!G14/12</f>
        <v>7.4999999999999997E-3</v>
      </c>
    </row>
    <row r="16" spans="2:63">
      <c r="B16" t="s">
        <v>16</v>
      </c>
      <c r="C16" s="110">
        <f>'DATA ENTRY'!G15</f>
        <v>9.4100503202476204E-2</v>
      </c>
    </row>
    <row r="19" spans="2:21" ht="15" thickBot="1">
      <c r="H19" s="11"/>
    </row>
    <row r="20" spans="2:21">
      <c r="B20" s="1"/>
      <c r="C20" s="233" t="s">
        <v>41</v>
      </c>
      <c r="D20" s="234"/>
      <c r="E20" s="234"/>
      <c r="F20" s="234"/>
      <c r="G20" s="234"/>
      <c r="H20" s="235"/>
      <c r="I20" s="34"/>
      <c r="J20" s="39"/>
      <c r="K20" s="40"/>
      <c r="L20" s="40"/>
      <c r="M20" s="40"/>
      <c r="N20" s="40"/>
      <c r="O20" s="41"/>
      <c r="P20" s="40"/>
      <c r="Q20" s="40"/>
      <c r="R20" s="40"/>
      <c r="S20" s="40"/>
      <c r="T20" s="40"/>
      <c r="U20" s="57"/>
    </row>
    <row r="21" spans="2:21">
      <c r="C21" s="236"/>
      <c r="D21" s="237"/>
      <c r="E21" s="237"/>
      <c r="F21" s="237"/>
      <c r="G21" s="237"/>
      <c r="H21" s="238"/>
      <c r="J21" s="42"/>
      <c r="K21" s="43"/>
      <c r="L21" s="43"/>
      <c r="M21" s="43"/>
      <c r="N21" s="43"/>
      <c r="O21" s="111"/>
      <c r="P21" s="43"/>
      <c r="Q21" s="43"/>
      <c r="R21" s="43"/>
      <c r="S21" s="43"/>
      <c r="T21" s="43"/>
      <c r="U21" s="58"/>
    </row>
    <row r="22" spans="2:21">
      <c r="C22" s="12" t="s">
        <v>42</v>
      </c>
      <c r="D22" s="225" t="s">
        <v>265</v>
      </c>
      <c r="E22" s="13"/>
      <c r="F22" s="14"/>
      <c r="G22" s="2" t="s">
        <v>43</v>
      </c>
      <c r="H22" s="15" t="s">
        <v>264</v>
      </c>
      <c r="J22" s="42"/>
      <c r="K22" s="43"/>
      <c r="L22" s="43"/>
      <c r="M22" s="43"/>
      <c r="N22" s="43"/>
      <c r="O22" s="44"/>
      <c r="P22" s="43"/>
      <c r="Q22" s="43"/>
      <c r="R22" s="43"/>
      <c r="S22" s="43"/>
      <c r="T22" s="43"/>
      <c r="U22" s="58"/>
    </row>
    <row r="23" spans="2:21">
      <c r="C23" s="16" t="s">
        <v>44</v>
      </c>
      <c r="D23" s="227">
        <v>716611</v>
      </c>
      <c r="E23" s="18" t="s">
        <v>45</v>
      </c>
      <c r="F23" s="226" t="s">
        <v>266</v>
      </c>
      <c r="G23" s="2" t="s">
        <v>46</v>
      </c>
      <c r="H23" s="20">
        <f>C10</f>
        <v>15979.599999999999</v>
      </c>
      <c r="J23" s="42"/>
      <c r="K23" s="43"/>
      <c r="L23" s="43"/>
      <c r="M23" s="43"/>
      <c r="N23" s="43"/>
      <c r="O23" s="44"/>
      <c r="P23" s="43"/>
      <c r="Q23" s="43"/>
      <c r="R23" s="43"/>
      <c r="S23" s="43"/>
      <c r="T23" s="43"/>
      <c r="U23" s="58"/>
    </row>
    <row r="24" spans="2:21" ht="21">
      <c r="C24" s="239" t="s">
        <v>47</v>
      </c>
      <c r="D24" s="12" t="s">
        <v>48</v>
      </c>
      <c r="E24" s="61">
        <v>46035</v>
      </c>
      <c r="F24" s="2" t="s">
        <v>49</v>
      </c>
      <c r="G24" s="21" t="str">
        <f>C51</f>
        <v>Mar-2028</v>
      </c>
      <c r="H24" s="15"/>
      <c r="J24" s="42"/>
      <c r="K24" s="240" t="s">
        <v>58</v>
      </c>
      <c r="L24" s="240"/>
      <c r="M24" s="240"/>
      <c r="N24" s="240"/>
      <c r="O24" s="240"/>
      <c r="P24" s="240"/>
      <c r="Q24" s="240"/>
      <c r="R24" s="240"/>
      <c r="S24" s="240"/>
      <c r="T24" s="240"/>
      <c r="U24" s="58"/>
    </row>
    <row r="25" spans="2:21">
      <c r="C25" s="239"/>
      <c r="D25" s="2" t="s">
        <v>50</v>
      </c>
      <c r="E25" s="2">
        <v>24</v>
      </c>
      <c r="F25" s="2" t="s">
        <v>51</v>
      </c>
      <c r="G25" s="2"/>
      <c r="H25" s="15"/>
      <c r="J25" s="42"/>
      <c r="K25" s="241" t="s">
        <v>59</v>
      </c>
      <c r="L25" s="241"/>
      <c r="M25" s="241"/>
      <c r="N25" s="241"/>
      <c r="O25" s="241"/>
      <c r="P25" s="241"/>
      <c r="Q25" s="241"/>
      <c r="R25" s="241"/>
      <c r="S25" s="241"/>
      <c r="T25" s="241"/>
      <c r="U25" s="58"/>
    </row>
    <row r="26" spans="2:21">
      <c r="C26" s="239"/>
      <c r="D26" s="2" t="s">
        <v>52</v>
      </c>
      <c r="E26" s="22" t="s">
        <v>53</v>
      </c>
      <c r="F26" s="22" t="s">
        <v>54</v>
      </c>
      <c r="G26" s="22" t="s">
        <v>55</v>
      </c>
      <c r="H26" s="23" t="s">
        <v>56</v>
      </c>
      <c r="J26" s="42"/>
      <c r="K26" s="43"/>
      <c r="L26" s="43"/>
      <c r="M26" s="43"/>
      <c r="N26" s="43"/>
      <c r="O26" s="44"/>
      <c r="P26" s="43"/>
      <c r="Q26" s="43"/>
      <c r="R26" s="43"/>
      <c r="S26" s="43"/>
      <c r="T26" s="43"/>
      <c r="U26" s="58"/>
    </row>
    <row r="27" spans="2:21" ht="17.399999999999999">
      <c r="C27" s="239"/>
      <c r="D27" s="2" t="s">
        <v>57</v>
      </c>
      <c r="E27" s="2"/>
      <c r="F27" s="2"/>
      <c r="G27" s="2"/>
      <c r="H27" s="24">
        <f>C10</f>
        <v>15979.599999999999</v>
      </c>
      <c r="J27" s="42"/>
      <c r="K27" s="242" t="s">
        <v>60</v>
      </c>
      <c r="L27" s="242"/>
      <c r="M27" s="242"/>
      <c r="N27" s="242"/>
      <c r="O27" s="242"/>
      <c r="P27" s="242"/>
      <c r="Q27" s="242"/>
      <c r="R27" s="242"/>
      <c r="S27" s="242"/>
      <c r="T27" s="242"/>
      <c r="U27" s="58"/>
    </row>
    <row r="28" spans="2:21">
      <c r="B28" s="25">
        <f>DATE(YEAR(E$24),MONTH(E$24)+D28+2,DAY(E$24))</f>
        <v>46125</v>
      </c>
      <c r="C28" s="220" t="str">
        <f t="shared" ref="C28:C51" si="1">TEXT(B28,"mmm-yyyy")</f>
        <v>Apr-2026</v>
      </c>
      <c r="D28" s="27">
        <v>1</v>
      </c>
      <c r="E28" s="28">
        <f t="shared" ref="E28:E51" si="2">C$1</f>
        <v>949.99785840431502</v>
      </c>
      <c r="F28" s="29">
        <f>E28-G28</f>
        <v>460.49755815633984</v>
      </c>
      <c r="G28" s="30">
        <f t="shared" ref="G28:G51" si="3">H27*C$12</f>
        <v>489.50030024797519</v>
      </c>
      <c r="H28" s="29">
        <f>H27-F28</f>
        <v>15519.102441843659</v>
      </c>
      <c r="J28" s="42"/>
      <c r="K28" s="112"/>
      <c r="L28" s="112"/>
      <c r="M28" s="112"/>
      <c r="N28" s="112"/>
      <c r="O28" s="111"/>
      <c r="P28" s="112"/>
      <c r="Q28" s="43"/>
      <c r="R28" s="43"/>
      <c r="S28" s="43"/>
      <c r="T28" s="43"/>
      <c r="U28" s="58"/>
    </row>
    <row r="29" spans="2:21" ht="15.6">
      <c r="B29" s="25">
        <f t="shared" ref="B29:B51" si="4">DATE(YEAR(E$24),MONTH(E$24)+D29+2,DAY(E$24))</f>
        <v>46155</v>
      </c>
      <c r="C29" s="220" t="str">
        <f t="shared" si="1"/>
        <v>May-2026</v>
      </c>
      <c r="D29" s="27">
        <v>2</v>
      </c>
      <c r="E29" s="28">
        <f t="shared" si="2"/>
        <v>949.99785840431502</v>
      </c>
      <c r="F29" s="29">
        <f t="shared" ref="F29:F51" si="5">E29-G29</f>
        <v>474.60389955293221</v>
      </c>
      <c r="G29" s="30">
        <f t="shared" si="3"/>
        <v>475.39395885138282</v>
      </c>
      <c r="H29" s="29">
        <f t="shared" ref="H29:H51" si="6">H28-F29</f>
        <v>15044.498542290727</v>
      </c>
      <c r="J29" s="42"/>
      <c r="K29" s="112"/>
      <c r="L29" s="112"/>
      <c r="M29" s="112"/>
      <c r="N29" s="112"/>
      <c r="O29" s="111"/>
      <c r="P29" s="112"/>
      <c r="Q29" s="43"/>
      <c r="R29" s="113" t="s">
        <v>61</v>
      </c>
      <c r="S29" s="232">
        <f>E24</f>
        <v>46035</v>
      </c>
      <c r="T29" s="232"/>
      <c r="U29" s="58"/>
    </row>
    <row r="30" spans="2:21" ht="15.6">
      <c r="B30" s="25">
        <f t="shared" si="4"/>
        <v>46186</v>
      </c>
      <c r="C30" s="220" t="str">
        <f t="shared" si="1"/>
        <v>Jun-2026</v>
      </c>
      <c r="D30" s="27">
        <v>3</v>
      </c>
      <c r="E30" s="28">
        <f t="shared" si="2"/>
        <v>949.99785840431502</v>
      </c>
      <c r="F30" s="29">
        <f t="shared" si="5"/>
        <v>489.14235804563668</v>
      </c>
      <c r="G30" s="30">
        <f t="shared" si="3"/>
        <v>460.85550035867834</v>
      </c>
      <c r="H30" s="29">
        <f t="shared" si="6"/>
        <v>14555.356184245091</v>
      </c>
      <c r="J30" s="42"/>
      <c r="K30" s="112"/>
      <c r="L30" s="112"/>
      <c r="M30" s="112"/>
      <c r="N30" s="112"/>
      <c r="O30" s="111"/>
      <c r="P30" s="112"/>
      <c r="Q30" s="43"/>
      <c r="R30" s="113" t="s">
        <v>62</v>
      </c>
      <c r="S30" s="271" t="str">
        <f>H22</f>
        <v>LRV-060</v>
      </c>
      <c r="T30" s="271"/>
      <c r="U30" s="58"/>
    </row>
    <row r="31" spans="2:21" ht="15.6">
      <c r="B31" s="25">
        <f t="shared" si="4"/>
        <v>46216</v>
      </c>
      <c r="C31" s="221" t="str">
        <f t="shared" si="1"/>
        <v>Jul-2026</v>
      </c>
      <c r="D31" s="224">
        <v>4</v>
      </c>
      <c r="E31" s="28">
        <f t="shared" si="2"/>
        <v>949.99785840431502</v>
      </c>
      <c r="F31" s="29">
        <f t="shared" si="5"/>
        <v>504.12617060210505</v>
      </c>
      <c r="G31" s="30">
        <f t="shared" si="3"/>
        <v>445.87168780220998</v>
      </c>
      <c r="H31" s="29">
        <f t="shared" si="6"/>
        <v>14051.230013642986</v>
      </c>
      <c r="J31" s="42"/>
      <c r="K31" s="112"/>
      <c r="L31" s="112"/>
      <c r="M31" s="112"/>
      <c r="N31" s="112"/>
      <c r="O31" s="111"/>
      <c r="P31" s="112"/>
      <c r="Q31" s="43"/>
      <c r="R31" s="113"/>
      <c r="S31" s="114"/>
      <c r="T31" s="43"/>
      <c r="U31" s="58"/>
    </row>
    <row r="32" spans="2:21" ht="15.6">
      <c r="B32" s="25">
        <f t="shared" si="4"/>
        <v>46247</v>
      </c>
      <c r="C32" s="221" t="str">
        <f t="shared" si="1"/>
        <v>Aug-2026</v>
      </c>
      <c r="D32" s="2">
        <v>5</v>
      </c>
      <c r="E32" s="28">
        <f t="shared" si="2"/>
        <v>949.99785840431502</v>
      </c>
      <c r="F32" s="29">
        <f t="shared" si="5"/>
        <v>519.56897967571092</v>
      </c>
      <c r="G32" s="30">
        <f t="shared" si="3"/>
        <v>430.4288787286041</v>
      </c>
      <c r="H32" s="29">
        <f t="shared" si="6"/>
        <v>13531.661033967275</v>
      </c>
      <c r="J32" s="45"/>
      <c r="K32" s="113" t="s">
        <v>64</v>
      </c>
      <c r="L32" s="113"/>
      <c r="M32" s="113"/>
      <c r="N32" s="245" t="str">
        <f>D22</f>
        <v>YADAO, MELENCIO C.</v>
      </c>
      <c r="O32" s="245"/>
      <c r="P32" s="245"/>
      <c r="Q32" s="245"/>
      <c r="R32" s="245"/>
      <c r="S32" s="245"/>
      <c r="T32" s="48"/>
      <c r="U32" s="59"/>
    </row>
    <row r="33" spans="2:21" ht="15.6">
      <c r="B33" s="25">
        <f t="shared" si="4"/>
        <v>46278</v>
      </c>
      <c r="C33" s="221" t="str">
        <f t="shared" si="1"/>
        <v>Sep-2026</v>
      </c>
      <c r="D33" s="2">
        <v>6</v>
      </c>
      <c r="E33" s="28">
        <f t="shared" si="2"/>
        <v>949.99785840431502</v>
      </c>
      <c r="F33" s="29">
        <f t="shared" si="5"/>
        <v>535.48484562672309</v>
      </c>
      <c r="G33" s="30">
        <f t="shared" si="3"/>
        <v>414.51301277759194</v>
      </c>
      <c r="H33" s="29">
        <f t="shared" si="6"/>
        <v>12996.176188340552</v>
      </c>
      <c r="J33" s="45"/>
      <c r="K33" s="113" t="s">
        <v>65</v>
      </c>
      <c r="L33" s="113"/>
      <c r="M33" s="113"/>
      <c r="N33" s="247">
        <f>D23</f>
        <v>716611</v>
      </c>
      <c r="O33" s="247"/>
      <c r="P33" s="247"/>
      <c r="Q33" s="247"/>
      <c r="R33" s="247"/>
      <c r="S33" s="247"/>
      <c r="T33" s="48"/>
      <c r="U33" s="59"/>
    </row>
    <row r="34" spans="2:21" ht="15.6">
      <c r="B34" s="25">
        <f t="shared" si="4"/>
        <v>46308</v>
      </c>
      <c r="C34" s="221" t="str">
        <f t="shared" si="1"/>
        <v>Oct-2026</v>
      </c>
      <c r="D34" s="2">
        <v>7</v>
      </c>
      <c r="E34" s="28">
        <f t="shared" si="2"/>
        <v>949.99785840431502</v>
      </c>
      <c r="F34" s="29">
        <f t="shared" si="5"/>
        <v>551.88825952397474</v>
      </c>
      <c r="G34" s="30">
        <f t="shared" si="3"/>
        <v>398.10959888034034</v>
      </c>
      <c r="H34" s="29">
        <f t="shared" si="6"/>
        <v>12444.287928816579</v>
      </c>
      <c r="J34" s="45"/>
      <c r="K34" s="113" t="s">
        <v>45</v>
      </c>
      <c r="L34" s="113"/>
      <c r="M34" s="113"/>
      <c r="N34" s="248" t="str">
        <f>F23</f>
        <v>2 CONCHITA ST., PASAY CITY</v>
      </c>
      <c r="O34" s="248"/>
      <c r="P34" s="248"/>
      <c r="Q34" s="248"/>
      <c r="R34" s="248"/>
      <c r="S34" s="248"/>
      <c r="T34" s="48"/>
      <c r="U34" s="59"/>
    </row>
    <row r="35" spans="2:21" ht="15.6">
      <c r="B35" s="25">
        <f t="shared" si="4"/>
        <v>46339</v>
      </c>
      <c r="C35" s="221" t="str">
        <f t="shared" si="1"/>
        <v>Nov-2026</v>
      </c>
      <c r="D35" s="2">
        <v>8</v>
      </c>
      <c r="E35" s="28">
        <f t="shared" si="2"/>
        <v>949.99785840431502</v>
      </c>
      <c r="F35" s="29">
        <f t="shared" si="5"/>
        <v>568.79415633868325</v>
      </c>
      <c r="G35" s="30">
        <f t="shared" si="3"/>
        <v>381.20370206563172</v>
      </c>
      <c r="H35" s="29">
        <f t="shared" si="6"/>
        <v>11875.493772477896</v>
      </c>
      <c r="J35" s="42"/>
      <c r="K35" s="112"/>
      <c r="L35" s="112"/>
      <c r="M35" s="112"/>
      <c r="N35" s="46"/>
      <c r="O35" s="48"/>
      <c r="P35" s="48"/>
      <c r="Q35" s="43"/>
      <c r="R35" s="43"/>
      <c r="S35" s="43"/>
      <c r="T35" s="43"/>
      <c r="U35" s="58"/>
    </row>
    <row r="36" spans="2:21" ht="15.6">
      <c r="B36" s="25">
        <f t="shared" si="4"/>
        <v>46369</v>
      </c>
      <c r="C36" s="221" t="str">
        <f t="shared" si="1"/>
        <v>Dec-2026</v>
      </c>
      <c r="D36" s="2">
        <v>9</v>
      </c>
      <c r="E36" s="28">
        <f t="shared" si="2"/>
        <v>949.99785840431502</v>
      </c>
      <c r="F36" s="29">
        <f t="shared" si="5"/>
        <v>586.21792854243552</v>
      </c>
      <c r="G36" s="30">
        <f t="shared" si="3"/>
        <v>363.77992986187951</v>
      </c>
      <c r="H36" s="29">
        <f t="shared" si="6"/>
        <v>11289.27584393546</v>
      </c>
      <c r="J36" s="42"/>
      <c r="K36" s="112"/>
      <c r="L36" s="113" t="s">
        <v>66</v>
      </c>
      <c r="M36" s="112"/>
      <c r="N36" s="112"/>
      <c r="O36" s="111"/>
      <c r="P36" s="112"/>
      <c r="Q36" s="115"/>
      <c r="R36" s="249">
        <f>C4</f>
        <v>20181.172399999999</v>
      </c>
      <c r="S36" s="249"/>
      <c r="T36" s="249"/>
      <c r="U36" s="58"/>
    </row>
    <row r="37" spans="2:21" ht="15.6">
      <c r="B37" s="25">
        <f t="shared" si="4"/>
        <v>46400</v>
      </c>
      <c r="C37" s="221" t="str">
        <f t="shared" si="1"/>
        <v>Jan-2027</v>
      </c>
      <c r="D37" s="2">
        <v>10</v>
      </c>
      <c r="E37" s="28">
        <f t="shared" si="2"/>
        <v>949.99785840431502</v>
      </c>
      <c r="F37" s="29">
        <f t="shared" si="5"/>
        <v>604.17544012171584</v>
      </c>
      <c r="G37" s="30">
        <f t="shared" si="3"/>
        <v>345.82241828259919</v>
      </c>
      <c r="H37" s="29">
        <f t="shared" si="6"/>
        <v>10685.100403813743</v>
      </c>
      <c r="J37" s="42"/>
      <c r="K37" s="112"/>
      <c r="L37" s="113"/>
      <c r="M37" s="112"/>
      <c r="N37" s="112"/>
      <c r="O37" s="111"/>
      <c r="P37" s="112"/>
      <c r="Q37" s="115"/>
      <c r="R37" s="250"/>
      <c r="S37" s="250"/>
      <c r="T37" s="250"/>
      <c r="U37" s="58"/>
    </row>
    <row r="38" spans="2:21" ht="15.6">
      <c r="B38" s="25">
        <f t="shared" si="4"/>
        <v>46431</v>
      </c>
      <c r="C38" s="221" t="str">
        <f t="shared" si="1"/>
        <v>Feb-2027</v>
      </c>
      <c r="D38" s="2">
        <v>11</v>
      </c>
      <c r="E38" s="28">
        <f t="shared" si="2"/>
        <v>949.99785840431502</v>
      </c>
      <c r="F38" s="29">
        <f t="shared" si="5"/>
        <v>622.68304102174045</v>
      </c>
      <c r="G38" s="30">
        <f t="shared" si="3"/>
        <v>327.31481738257457</v>
      </c>
      <c r="H38" s="29">
        <f t="shared" si="6"/>
        <v>10062.417362792003</v>
      </c>
      <c r="J38" s="49"/>
      <c r="K38" s="116"/>
      <c r="L38" s="117" t="s">
        <v>67</v>
      </c>
      <c r="M38" s="116" t="s">
        <v>68</v>
      </c>
      <c r="N38" s="116"/>
      <c r="O38" s="118"/>
      <c r="P38" s="116"/>
      <c r="Q38" s="46"/>
      <c r="R38" s="249">
        <f>-C14</f>
        <v>0</v>
      </c>
      <c r="S38" s="249"/>
      <c r="T38" s="249"/>
      <c r="U38" s="47"/>
    </row>
    <row r="39" spans="2:21" ht="15.6">
      <c r="B39" s="25">
        <f t="shared" si="4"/>
        <v>46459</v>
      </c>
      <c r="C39" s="221" t="str">
        <f t="shared" si="1"/>
        <v>Mar-2027</v>
      </c>
      <c r="D39" s="2">
        <v>12</v>
      </c>
      <c r="E39" s="28">
        <f t="shared" si="2"/>
        <v>949.99785840431502</v>
      </c>
      <c r="F39" s="29">
        <f t="shared" si="5"/>
        <v>641.75758203274609</v>
      </c>
      <c r="G39" s="30">
        <f t="shared" si="3"/>
        <v>308.240276371569</v>
      </c>
      <c r="H39" s="29">
        <f t="shared" si="6"/>
        <v>9420.659780759257</v>
      </c>
      <c r="J39" s="49"/>
      <c r="K39" s="116"/>
      <c r="L39" s="117" t="s">
        <v>67</v>
      </c>
      <c r="M39" s="116" t="s">
        <v>69</v>
      </c>
      <c r="N39" s="116"/>
      <c r="O39" s="118"/>
      <c r="P39" s="116"/>
      <c r="Q39" s="46"/>
      <c r="R39" s="249">
        <f>-C8</f>
        <v>-300</v>
      </c>
      <c r="S39" s="249"/>
      <c r="T39" s="249"/>
      <c r="U39" s="47"/>
    </row>
    <row r="40" spans="2:21" ht="15.6">
      <c r="B40" s="25">
        <f t="shared" si="4"/>
        <v>46490</v>
      </c>
      <c r="C40" s="221" t="str">
        <f t="shared" si="1"/>
        <v>Apr-2027</v>
      </c>
      <c r="D40" s="2">
        <v>13</v>
      </c>
      <c r="E40" s="28">
        <f t="shared" si="2"/>
        <v>949.99785840431502</v>
      </c>
      <c r="F40" s="29">
        <f t="shared" si="5"/>
        <v>661.41643013228816</v>
      </c>
      <c r="G40" s="30">
        <f t="shared" si="3"/>
        <v>288.58142827202687</v>
      </c>
      <c r="H40" s="29">
        <f t="shared" si="6"/>
        <v>8759.2433506269681</v>
      </c>
      <c r="J40" s="49"/>
      <c r="K40" s="116"/>
      <c r="L40" s="117" t="s">
        <v>67</v>
      </c>
      <c r="M40" s="116" t="s">
        <v>70</v>
      </c>
      <c r="N40" s="116"/>
      <c r="O40" s="118"/>
      <c r="P40" s="116"/>
      <c r="Q40" s="46"/>
      <c r="R40" s="243">
        <f>-C7</f>
        <v>-2000</v>
      </c>
      <c r="S40" s="243"/>
      <c r="T40" s="243"/>
      <c r="U40" s="47"/>
    </row>
    <row r="41" spans="2:21" ht="15.6">
      <c r="B41" s="25">
        <f t="shared" si="4"/>
        <v>46520</v>
      </c>
      <c r="C41" s="221" t="str">
        <f t="shared" si="1"/>
        <v>May-2027</v>
      </c>
      <c r="D41" s="2">
        <v>14</v>
      </c>
      <c r="E41" s="28">
        <f t="shared" si="2"/>
        <v>949.99785840431502</v>
      </c>
      <c r="F41" s="29">
        <f t="shared" si="5"/>
        <v>681.67748429751759</v>
      </c>
      <c r="G41" s="30">
        <f t="shared" si="3"/>
        <v>268.32037410679749</v>
      </c>
      <c r="H41" s="29">
        <f t="shared" si="6"/>
        <v>8077.5658663294507</v>
      </c>
      <c r="J41" s="49"/>
      <c r="K41" s="116"/>
      <c r="L41" s="117" t="s">
        <v>67</v>
      </c>
      <c r="M41" s="116" t="s">
        <v>9</v>
      </c>
      <c r="N41" s="116"/>
      <c r="O41" s="118"/>
      <c r="P41" s="116"/>
      <c r="Q41" s="46"/>
      <c r="R41" s="243">
        <f>-C5</f>
        <v>-1198.47</v>
      </c>
      <c r="S41" s="243"/>
      <c r="T41" s="243"/>
      <c r="U41" s="47"/>
    </row>
    <row r="42" spans="2:21" ht="15.6">
      <c r="B42" s="25">
        <f t="shared" si="4"/>
        <v>46551</v>
      </c>
      <c r="C42" s="221" t="str">
        <f t="shared" si="1"/>
        <v>Jun-2027</v>
      </c>
      <c r="D42" s="2">
        <v>15</v>
      </c>
      <c r="E42" s="28">
        <f t="shared" si="2"/>
        <v>949.99785840431502</v>
      </c>
      <c r="F42" s="29">
        <f t="shared" si="5"/>
        <v>702.55919180183048</v>
      </c>
      <c r="G42" s="30">
        <f t="shared" si="3"/>
        <v>247.43866660248455</v>
      </c>
      <c r="H42" s="29">
        <f t="shared" si="6"/>
        <v>7375.0066745276199</v>
      </c>
      <c r="J42" s="49"/>
      <c r="K42" s="116"/>
      <c r="L42" s="117" t="s">
        <v>67</v>
      </c>
      <c r="M42" s="116" t="s">
        <v>71</v>
      </c>
      <c r="N42" s="116"/>
      <c r="O42" s="118"/>
      <c r="P42" s="116"/>
      <c r="Q42" s="46"/>
      <c r="R42" s="243">
        <f>-C6</f>
        <v>-383.5104</v>
      </c>
      <c r="S42" s="243"/>
      <c r="T42" s="243"/>
      <c r="U42" s="47"/>
    </row>
    <row r="43" spans="2:21" ht="15">
      <c r="B43" s="25">
        <f t="shared" si="4"/>
        <v>46581</v>
      </c>
      <c r="C43" s="221" t="str">
        <f t="shared" si="1"/>
        <v>Jul-2027</v>
      </c>
      <c r="D43" s="2">
        <v>16</v>
      </c>
      <c r="E43" s="28">
        <f t="shared" si="2"/>
        <v>949.99785840431502</v>
      </c>
      <c r="F43" s="29">
        <f t="shared" si="5"/>
        <v>724.08056501073247</v>
      </c>
      <c r="G43" s="30">
        <f t="shared" si="3"/>
        <v>225.91729339358253</v>
      </c>
      <c r="H43" s="29">
        <f t="shared" si="6"/>
        <v>6650.9261095168877</v>
      </c>
      <c r="J43" s="16"/>
      <c r="L43" s="117" t="s">
        <v>67</v>
      </c>
      <c r="M43" s="116" t="s">
        <v>13</v>
      </c>
      <c r="R43" s="243">
        <f>-C9</f>
        <v>-319.59200000000004</v>
      </c>
      <c r="S43" s="243"/>
      <c r="T43" s="243"/>
      <c r="U43" s="119"/>
    </row>
    <row r="44" spans="2:21" ht="15.6">
      <c r="B44" s="25">
        <f t="shared" si="4"/>
        <v>46612</v>
      </c>
      <c r="C44" s="221" t="str">
        <f t="shared" si="1"/>
        <v>Aug-2027</v>
      </c>
      <c r="D44" s="2">
        <v>17</v>
      </c>
      <c r="E44" s="28">
        <f t="shared" si="2"/>
        <v>949.99785840431502</v>
      </c>
      <c r="F44" s="29">
        <f t="shared" si="5"/>
        <v>746.26119869220622</v>
      </c>
      <c r="G44" s="30">
        <f t="shared" si="3"/>
        <v>203.73665971210883</v>
      </c>
      <c r="H44" s="29">
        <f t="shared" si="6"/>
        <v>5904.6649108246811</v>
      </c>
      <c r="J44" s="42"/>
      <c r="K44" s="112"/>
      <c r="L44" s="113" t="s">
        <v>72</v>
      </c>
      <c r="M44" s="112"/>
      <c r="N44" s="112"/>
      <c r="O44" s="111"/>
      <c r="P44" s="112"/>
      <c r="Q44" s="43"/>
      <c r="R44" s="249">
        <f>SUM(R36:T43)</f>
        <v>15979.599999999999</v>
      </c>
      <c r="S44" s="249"/>
      <c r="T44" s="249"/>
      <c r="U44" s="58"/>
    </row>
    <row r="45" spans="2:21">
      <c r="B45" s="25">
        <f t="shared" si="4"/>
        <v>46643</v>
      </c>
      <c r="C45" s="221" t="str">
        <f t="shared" si="1"/>
        <v>Sep-2027</v>
      </c>
      <c r="D45" s="2">
        <v>18</v>
      </c>
      <c r="E45" s="28">
        <f t="shared" si="2"/>
        <v>949.99785840431502</v>
      </c>
      <c r="F45" s="29">
        <f t="shared" si="5"/>
        <v>769.12128785734478</v>
      </c>
      <c r="G45" s="30">
        <f t="shared" si="3"/>
        <v>180.87657054697021</v>
      </c>
      <c r="H45" s="29">
        <f t="shared" si="6"/>
        <v>5135.543622967336</v>
      </c>
      <c r="J45" s="42"/>
      <c r="K45" s="43"/>
      <c r="L45" s="43"/>
      <c r="M45" s="43"/>
      <c r="N45" s="43"/>
      <c r="O45" s="44"/>
      <c r="P45" s="43"/>
      <c r="Q45" s="43"/>
      <c r="R45" s="43"/>
      <c r="S45" s="43"/>
      <c r="T45" s="43"/>
      <c r="U45" s="58"/>
    </row>
    <row r="46" spans="2:21">
      <c r="B46" s="25">
        <f t="shared" si="4"/>
        <v>46673</v>
      </c>
      <c r="C46" s="221" t="str">
        <f t="shared" si="1"/>
        <v>Oct-2027</v>
      </c>
      <c r="D46" s="2">
        <v>19</v>
      </c>
      <c r="E46" s="28">
        <f t="shared" si="2"/>
        <v>949.99785840431502</v>
      </c>
      <c r="F46" s="29">
        <f t="shared" si="5"/>
        <v>792.6816461474948</v>
      </c>
      <c r="G46" s="30">
        <f t="shared" si="3"/>
        <v>157.31621225682028</v>
      </c>
      <c r="H46" s="29">
        <f t="shared" si="6"/>
        <v>4342.8619768198414</v>
      </c>
      <c r="J46" s="42"/>
      <c r="K46" s="120" t="s">
        <v>73</v>
      </c>
      <c r="L46" s="120"/>
      <c r="M46" s="120"/>
      <c r="N46" s="120"/>
      <c r="O46" s="120"/>
      <c r="P46" s="120"/>
      <c r="Q46" s="120"/>
      <c r="R46" s="120"/>
      <c r="S46" s="120"/>
      <c r="T46" s="120"/>
      <c r="U46" s="58"/>
    </row>
    <row r="47" spans="2:21">
      <c r="B47" s="25">
        <f t="shared" si="4"/>
        <v>46704</v>
      </c>
      <c r="C47" s="221" t="str">
        <f t="shared" si="1"/>
        <v>Nov-2027</v>
      </c>
      <c r="D47" s="2">
        <v>20</v>
      </c>
      <c r="E47" s="28">
        <f t="shared" si="2"/>
        <v>949.99785840431502</v>
      </c>
      <c r="F47" s="29">
        <f t="shared" si="5"/>
        <v>816.96372478464821</v>
      </c>
      <c r="G47" s="30">
        <f t="shared" si="3"/>
        <v>133.03413361966679</v>
      </c>
      <c r="H47" s="29">
        <f t="shared" si="6"/>
        <v>3525.8982520351933</v>
      </c>
      <c r="J47" s="42"/>
      <c r="K47" s="43"/>
      <c r="L47" s="43"/>
      <c r="M47" s="43"/>
      <c r="N47" s="43"/>
      <c r="O47" s="44"/>
      <c r="P47" s="43"/>
      <c r="Q47" s="43"/>
      <c r="R47" s="43"/>
      <c r="S47" s="43"/>
      <c r="T47" s="43"/>
      <c r="U47" s="58"/>
    </row>
    <row r="48" spans="2:21" ht="15">
      <c r="B48" s="25">
        <f t="shared" si="4"/>
        <v>46734</v>
      </c>
      <c r="C48" s="221" t="str">
        <f t="shared" si="1"/>
        <v>Dec-2027</v>
      </c>
      <c r="D48" s="2">
        <v>21</v>
      </c>
      <c r="E48" s="28">
        <f t="shared" si="2"/>
        <v>949.99785840431502</v>
      </c>
      <c r="F48" s="29">
        <f t="shared" si="5"/>
        <v>841.98963210234012</v>
      </c>
      <c r="G48" s="30">
        <f t="shared" si="3"/>
        <v>108.0082263019749</v>
      </c>
      <c r="H48" s="29">
        <f t="shared" si="6"/>
        <v>2683.9086199328531</v>
      </c>
      <c r="J48" s="42"/>
      <c r="K48" s="43"/>
      <c r="L48" s="121" t="s">
        <v>91</v>
      </c>
      <c r="M48" s="116"/>
      <c r="N48" s="116"/>
      <c r="O48" s="116"/>
      <c r="P48" s="116"/>
      <c r="Q48" s="116"/>
      <c r="R48" s="255">
        <f>E25</f>
        <v>24</v>
      </c>
      <c r="S48" s="255"/>
      <c r="T48" s="109" t="s">
        <v>85</v>
      </c>
      <c r="U48" s="58"/>
    </row>
    <row r="49" spans="2:21" ht="15">
      <c r="B49" s="25">
        <f t="shared" si="4"/>
        <v>46765</v>
      </c>
      <c r="C49" s="221" t="str">
        <f t="shared" si="1"/>
        <v>Jan-2028</v>
      </c>
      <c r="D49" s="2">
        <v>22</v>
      </c>
      <c r="E49" s="28">
        <f t="shared" si="2"/>
        <v>949.99785840431502</v>
      </c>
      <c r="F49" s="29">
        <f t="shared" si="5"/>
        <v>867.78215367483119</v>
      </c>
      <c r="G49" s="30">
        <f t="shared" si="3"/>
        <v>82.215704729483861</v>
      </c>
      <c r="H49" s="29">
        <f t="shared" si="6"/>
        <v>1816.126466258022</v>
      </c>
      <c r="J49" s="42"/>
      <c r="K49" s="43"/>
      <c r="L49" s="116" t="s">
        <v>87</v>
      </c>
      <c r="M49" s="116"/>
      <c r="N49" s="116"/>
      <c r="O49" s="116"/>
      <c r="P49" s="116"/>
      <c r="Q49" s="116"/>
      <c r="R49" s="256">
        <f>C1</f>
        <v>949.99785840431502</v>
      </c>
      <c r="S49" s="256"/>
      <c r="T49" s="256"/>
      <c r="U49" s="58"/>
    </row>
    <row r="50" spans="2:21" ht="15">
      <c r="B50" s="25">
        <f t="shared" si="4"/>
        <v>46796</v>
      </c>
      <c r="C50" s="221" t="str">
        <f t="shared" si="1"/>
        <v>Feb-2028</v>
      </c>
      <c r="D50" s="2">
        <v>23</v>
      </c>
      <c r="E50" s="28">
        <f t="shared" si="2"/>
        <v>949.99785840431502</v>
      </c>
      <c r="F50" s="29">
        <f t="shared" si="5"/>
        <v>894.36477306290499</v>
      </c>
      <c r="G50" s="30">
        <f t="shared" si="3"/>
        <v>55.633085341410052</v>
      </c>
      <c r="H50" s="29">
        <f t="shared" si="6"/>
        <v>921.761693195117</v>
      </c>
      <c r="J50" s="42"/>
      <c r="K50" s="43"/>
      <c r="L50" s="116" t="s">
        <v>74</v>
      </c>
      <c r="M50" s="116"/>
      <c r="N50" s="116"/>
      <c r="O50" s="116"/>
      <c r="P50" s="116"/>
      <c r="Q50" s="116"/>
      <c r="R50" s="257">
        <f>B28</f>
        <v>46125</v>
      </c>
      <c r="S50" s="257"/>
      <c r="T50" s="257"/>
      <c r="U50" s="58"/>
    </row>
    <row r="51" spans="2:21" ht="15">
      <c r="B51" s="25">
        <f t="shared" si="4"/>
        <v>46825</v>
      </c>
      <c r="C51" s="221" t="str">
        <f t="shared" si="1"/>
        <v>Mar-2028</v>
      </c>
      <c r="D51" s="2">
        <v>24</v>
      </c>
      <c r="E51" s="28">
        <f t="shared" si="2"/>
        <v>949.99785840431502</v>
      </c>
      <c r="F51" s="29">
        <f t="shared" si="5"/>
        <v>921.7616931951676</v>
      </c>
      <c r="G51" s="30">
        <f t="shared" si="3"/>
        <v>28.236165209147401</v>
      </c>
      <c r="H51" s="29">
        <f t="shared" si="6"/>
        <v>-5.0590642786119133E-11</v>
      </c>
      <c r="J51" s="42"/>
      <c r="K51" s="43"/>
      <c r="L51" s="116" t="s">
        <v>75</v>
      </c>
      <c r="M51" s="116"/>
      <c r="N51" s="116"/>
      <c r="O51" s="116"/>
      <c r="P51" s="116"/>
      <c r="Q51" s="116"/>
      <c r="R51" s="257" t="str">
        <f>G24</f>
        <v>Mar-2028</v>
      </c>
      <c r="S51" s="257"/>
      <c r="T51" s="257"/>
      <c r="U51" s="58"/>
    </row>
    <row r="52" spans="2:21" ht="15">
      <c r="B52" s="214"/>
      <c r="C52" s="222"/>
      <c r="D52" s="212"/>
      <c r="E52" s="223">
        <f ca="1">SUM(E28:E52)</f>
        <v>31944.058250707363</v>
      </c>
      <c r="F52" s="223">
        <f ca="1">SUM(F28:F52)</f>
        <v>24999.999999995947</v>
      </c>
      <c r="G52" s="223">
        <f ca="1">SUM(G28:G52)</f>
        <v>6944.0582507114377</v>
      </c>
      <c r="H52" s="213"/>
      <c r="J52" s="42"/>
      <c r="K52" s="43"/>
      <c r="L52" s="116" t="s">
        <v>76</v>
      </c>
      <c r="M52" s="116"/>
      <c r="N52" s="116"/>
      <c r="O52" s="116"/>
      <c r="P52" s="116"/>
      <c r="Q52" s="116"/>
      <c r="R52" s="258">
        <f>C16</f>
        <v>9.4100503202476204E-2</v>
      </c>
      <c r="S52" s="258"/>
      <c r="T52" s="258"/>
      <c r="U52" s="58"/>
    </row>
    <row r="53" spans="2:21" ht="15">
      <c r="B53" s="214"/>
      <c r="C53" s="215"/>
      <c r="D53" s="216"/>
      <c r="H53" s="218"/>
      <c r="J53" s="42"/>
      <c r="K53" s="43"/>
      <c r="L53" s="116" t="s">
        <v>77</v>
      </c>
      <c r="M53" s="116"/>
      <c r="N53" s="116"/>
      <c r="O53" s="116"/>
      <c r="P53" s="116"/>
      <c r="Q53" s="116"/>
      <c r="R53" s="258">
        <f>C15</f>
        <v>7.4999999999999997E-3</v>
      </c>
      <c r="S53" s="258"/>
      <c r="T53" s="258"/>
      <c r="U53" s="58"/>
    </row>
    <row r="54" spans="2:21" ht="15" thickBot="1">
      <c r="B54" s="214"/>
      <c r="C54" s="215"/>
      <c r="D54" s="216"/>
      <c r="E54" s="217"/>
      <c r="F54" s="218"/>
      <c r="G54" s="219"/>
      <c r="H54" s="218"/>
      <c r="J54" s="42"/>
      <c r="K54" s="50"/>
      <c r="L54" s="50"/>
      <c r="M54" s="50"/>
      <c r="N54" s="50"/>
      <c r="O54" s="51"/>
      <c r="P54" s="50"/>
      <c r="Q54" s="50"/>
      <c r="R54" s="50"/>
      <c r="S54" s="50"/>
      <c r="T54" s="50"/>
      <c r="U54" s="58"/>
    </row>
    <row r="55" spans="2:21" ht="15" thickTop="1">
      <c r="B55" s="214"/>
      <c r="C55" s="215"/>
      <c r="D55" s="216"/>
      <c r="E55" s="217"/>
      <c r="F55" s="218"/>
      <c r="G55" s="219"/>
      <c r="H55" s="218"/>
      <c r="J55" s="42"/>
      <c r="K55" s="43"/>
      <c r="L55" s="43"/>
      <c r="M55" s="43"/>
      <c r="N55" s="43"/>
      <c r="O55" s="44"/>
      <c r="P55" s="43"/>
      <c r="Q55" s="43"/>
      <c r="R55" s="43"/>
      <c r="S55" s="43"/>
      <c r="T55" s="43"/>
      <c r="U55" s="58"/>
    </row>
    <row r="56" spans="2:21">
      <c r="B56" s="214"/>
      <c r="C56" s="215"/>
      <c r="D56" s="216"/>
      <c r="E56" s="217"/>
      <c r="F56" s="218"/>
      <c r="G56" s="219"/>
      <c r="H56" s="218"/>
      <c r="J56" s="42"/>
      <c r="K56" s="43" t="s">
        <v>78</v>
      </c>
      <c r="L56" s="43"/>
      <c r="M56" s="43"/>
      <c r="O56" s="43"/>
      <c r="P56" s="43"/>
      <c r="R56" s="43" t="s">
        <v>89</v>
      </c>
      <c r="S56" s="43"/>
      <c r="T56" s="43"/>
      <c r="U56" s="58"/>
    </row>
    <row r="57" spans="2:21" ht="15.75" customHeight="1">
      <c r="B57" s="214"/>
      <c r="C57" s="215"/>
      <c r="D57" s="216"/>
      <c r="E57" s="217"/>
      <c r="F57" s="218"/>
      <c r="G57" s="219"/>
      <c r="H57" s="218"/>
      <c r="J57" s="42"/>
      <c r="K57" s="43"/>
      <c r="L57" s="43"/>
      <c r="M57" s="43"/>
      <c r="N57" s="43"/>
      <c r="O57" s="43"/>
      <c r="P57" s="43"/>
      <c r="Q57" s="43"/>
      <c r="R57" s="43"/>
      <c r="S57" s="43"/>
      <c r="T57" s="43"/>
      <c r="U57" s="58"/>
    </row>
    <row r="58" spans="2:21">
      <c r="B58" s="214"/>
      <c r="C58" s="215"/>
      <c r="D58" s="216"/>
      <c r="E58" s="217"/>
      <c r="F58" s="218"/>
      <c r="G58" s="219"/>
      <c r="H58" s="218"/>
      <c r="J58" s="16"/>
      <c r="U58" s="119"/>
    </row>
    <row r="59" spans="2:21">
      <c r="B59" s="214"/>
      <c r="C59" s="215"/>
      <c r="D59" s="216"/>
      <c r="E59" s="217"/>
      <c r="F59" s="218"/>
      <c r="G59" s="219"/>
      <c r="H59" s="218"/>
      <c r="J59" s="16"/>
      <c r="U59" s="119"/>
    </row>
    <row r="60" spans="2:21">
      <c r="B60" s="214"/>
      <c r="C60" s="215"/>
      <c r="D60" s="216"/>
      <c r="E60" s="217"/>
      <c r="F60" s="218"/>
      <c r="G60" s="219"/>
      <c r="H60" s="218"/>
      <c r="J60" s="42"/>
      <c r="K60" s="259" t="s">
        <v>273</v>
      </c>
      <c r="L60" s="259"/>
      <c r="M60" s="259"/>
      <c r="N60" s="112"/>
      <c r="O60" s="112"/>
      <c r="P60" s="112"/>
      <c r="R60" s="253" t="s">
        <v>80</v>
      </c>
      <c r="S60" s="253"/>
      <c r="T60" s="253"/>
      <c r="U60" s="58"/>
    </row>
    <row r="61" spans="2:21">
      <c r="B61" s="214"/>
      <c r="C61" s="215"/>
      <c r="D61" s="216"/>
      <c r="E61" s="217"/>
      <c r="F61" s="218"/>
      <c r="G61" s="219"/>
      <c r="H61" s="218"/>
      <c r="J61" s="42"/>
      <c r="K61" s="252" t="s">
        <v>267</v>
      </c>
      <c r="L61" s="252"/>
      <c r="M61" s="252"/>
      <c r="N61" s="43"/>
      <c r="O61" s="44"/>
      <c r="P61" s="43"/>
      <c r="R61" s="260" t="s">
        <v>90</v>
      </c>
      <c r="S61" s="251"/>
      <c r="T61" s="251"/>
      <c r="U61" s="58"/>
    </row>
    <row r="62" spans="2:21">
      <c r="B62" s="214"/>
      <c r="C62" s="215"/>
      <c r="D62" s="216"/>
      <c r="E62" s="217"/>
      <c r="F62" s="218"/>
      <c r="G62" s="219"/>
      <c r="H62" s="218"/>
      <c r="J62" s="16"/>
      <c r="U62" s="119"/>
    </row>
    <row r="63" spans="2:21">
      <c r="B63" s="214"/>
      <c r="C63" s="215"/>
      <c r="D63" s="216"/>
      <c r="E63" s="217"/>
      <c r="F63" s="218"/>
      <c r="G63" s="219"/>
      <c r="H63" s="218"/>
      <c r="J63" s="16"/>
      <c r="U63" s="119"/>
    </row>
    <row r="64" spans="2:21">
      <c r="B64" s="214"/>
      <c r="C64" s="215"/>
      <c r="D64" s="216"/>
      <c r="E64" s="217"/>
      <c r="F64" s="218"/>
      <c r="G64" s="219"/>
      <c r="H64" s="218"/>
      <c r="J64" s="16"/>
      <c r="U64" s="119"/>
    </row>
    <row r="65" spans="2:21">
      <c r="B65" s="214"/>
      <c r="C65" s="215"/>
      <c r="D65" s="216"/>
      <c r="E65" s="217"/>
      <c r="F65" s="218"/>
      <c r="G65" s="219"/>
      <c r="H65" s="218"/>
      <c r="J65" s="42"/>
      <c r="K65" s="43"/>
      <c r="L65" s="43"/>
      <c r="M65" s="43"/>
      <c r="N65" s="43"/>
      <c r="O65" s="44"/>
      <c r="P65" s="43"/>
      <c r="Q65" s="43"/>
      <c r="R65" s="43"/>
      <c r="S65" s="43"/>
      <c r="T65" s="43"/>
      <c r="U65" s="58"/>
    </row>
    <row r="66" spans="2:21">
      <c r="B66" s="214"/>
      <c r="C66" s="215"/>
      <c r="D66" s="216"/>
      <c r="E66" s="217"/>
      <c r="F66" s="218"/>
      <c r="G66" s="219"/>
      <c r="H66" s="218"/>
      <c r="J66" s="42"/>
      <c r="K66" s="43" t="s">
        <v>83</v>
      </c>
      <c r="L66" s="43"/>
      <c r="M66" s="43"/>
      <c r="N66" s="43"/>
      <c r="O66" s="44"/>
      <c r="P66" s="43"/>
      <c r="Q66" s="43"/>
      <c r="R66" s="43" t="s">
        <v>79</v>
      </c>
      <c r="S66" s="43"/>
      <c r="T66" s="43"/>
      <c r="U66" s="58"/>
    </row>
    <row r="67" spans="2:21">
      <c r="B67" s="214"/>
      <c r="C67" s="215"/>
      <c r="D67" s="216"/>
      <c r="E67" s="217"/>
      <c r="F67" s="218"/>
      <c r="G67" s="219"/>
      <c r="H67" s="218"/>
      <c r="J67" s="42"/>
      <c r="K67" s="43"/>
      <c r="L67" s="43"/>
      <c r="M67" s="43"/>
      <c r="N67" s="43"/>
      <c r="O67" s="44"/>
      <c r="P67" s="43"/>
      <c r="Q67" s="43"/>
      <c r="R67" s="43"/>
      <c r="S67" s="43"/>
      <c r="T67" s="43"/>
      <c r="U67" s="58"/>
    </row>
    <row r="68" spans="2:21">
      <c r="B68" s="214"/>
      <c r="C68" s="215"/>
      <c r="D68" s="216"/>
      <c r="E68" s="217"/>
      <c r="F68" s="218"/>
      <c r="G68" s="219"/>
      <c r="H68" s="218"/>
      <c r="J68" s="16"/>
      <c r="U68" s="119"/>
    </row>
    <row r="69" spans="2:21">
      <c r="B69" s="214"/>
      <c r="C69" s="215"/>
      <c r="D69" s="216"/>
      <c r="E69" s="217"/>
      <c r="F69" s="218"/>
      <c r="G69" s="219"/>
      <c r="H69" s="218"/>
      <c r="J69" s="16"/>
      <c r="K69" s="253" t="str">
        <f>D22</f>
        <v>YADAO, MELENCIO C.</v>
      </c>
      <c r="L69" s="253"/>
      <c r="M69" s="253"/>
      <c r="R69" s="259" t="s">
        <v>242</v>
      </c>
      <c r="S69" s="259"/>
      <c r="U69" s="119"/>
    </row>
    <row r="70" spans="2:21">
      <c r="B70" s="214"/>
      <c r="C70" s="215"/>
      <c r="D70" s="216"/>
      <c r="E70" s="217"/>
      <c r="F70" s="218"/>
      <c r="G70" s="219"/>
      <c r="H70" s="218"/>
      <c r="J70" s="42"/>
      <c r="K70" s="53" t="s">
        <v>84</v>
      </c>
      <c r="L70" s="53"/>
      <c r="M70" s="53"/>
      <c r="N70" s="43"/>
      <c r="O70" s="44"/>
      <c r="P70" s="43"/>
      <c r="Q70" s="43"/>
      <c r="R70" s="252" t="s">
        <v>82</v>
      </c>
      <c r="S70" s="252"/>
      <c r="T70" s="43"/>
      <c r="U70" s="58"/>
    </row>
    <row r="71" spans="2:21" ht="15" thickBot="1">
      <c r="B71" s="214"/>
      <c r="C71" s="215"/>
      <c r="D71" s="216"/>
      <c r="E71" s="217"/>
      <c r="F71" s="218"/>
      <c r="G71" s="219"/>
      <c r="H71" s="218"/>
      <c r="J71" s="54"/>
      <c r="K71" s="55"/>
      <c r="L71" s="55"/>
      <c r="M71" s="55"/>
      <c r="N71" s="55"/>
      <c r="O71" s="56"/>
      <c r="P71" s="55"/>
      <c r="Q71" s="55"/>
      <c r="R71" s="55"/>
      <c r="S71" s="55"/>
      <c r="T71" s="55"/>
      <c r="U71" s="60"/>
    </row>
    <row r="72" spans="2:21">
      <c r="B72" s="214"/>
      <c r="C72" s="215"/>
      <c r="D72" s="216"/>
      <c r="E72" s="217"/>
      <c r="F72" s="218"/>
      <c r="G72" s="219"/>
      <c r="H72" s="218"/>
    </row>
    <row r="73" spans="2:21">
      <c r="B73" s="214"/>
      <c r="C73" s="215"/>
      <c r="D73" s="216"/>
      <c r="E73" s="217"/>
      <c r="F73" s="218"/>
      <c r="G73" s="219"/>
      <c r="H73" s="218"/>
    </row>
    <row r="74" spans="2:21">
      <c r="B74" s="214"/>
      <c r="C74" s="215"/>
      <c r="D74" s="216"/>
      <c r="E74" s="217"/>
      <c r="F74" s="218"/>
      <c r="G74" s="219"/>
      <c r="H74" s="218"/>
    </row>
    <row r="75" spans="2:21">
      <c r="B75" s="214"/>
      <c r="C75" s="215"/>
      <c r="D75" s="216"/>
      <c r="E75" s="217"/>
      <c r="F75" s="218"/>
      <c r="G75" s="219"/>
      <c r="H75" s="218"/>
    </row>
    <row r="76" spans="2:21">
      <c r="B76" s="214"/>
      <c r="C76" s="215"/>
      <c r="D76" s="216"/>
      <c r="E76" s="217"/>
      <c r="F76" s="218"/>
      <c r="G76" s="219"/>
      <c r="H76" s="218"/>
    </row>
    <row r="77" spans="2:21">
      <c r="B77" s="214"/>
      <c r="C77" s="215"/>
      <c r="D77" s="216"/>
      <c r="E77" s="217"/>
      <c r="F77" s="218"/>
      <c r="G77" s="219"/>
      <c r="H77" s="218"/>
    </row>
    <row r="78" spans="2:21">
      <c r="B78" s="214"/>
      <c r="C78" s="215"/>
      <c r="D78" s="216"/>
      <c r="E78" s="217"/>
      <c r="F78" s="218"/>
      <c r="G78" s="219"/>
      <c r="H78" s="218"/>
    </row>
    <row r="79" spans="2:21">
      <c r="B79" s="214"/>
      <c r="C79" s="215"/>
      <c r="D79" s="216"/>
      <c r="E79" s="217"/>
      <c r="F79" s="218"/>
      <c r="G79" s="219"/>
      <c r="H79" s="218"/>
    </row>
    <row r="80" spans="2:21">
      <c r="B80" s="214"/>
      <c r="C80" s="215"/>
      <c r="D80" s="216"/>
      <c r="E80" s="217"/>
      <c r="F80" s="218"/>
      <c r="G80" s="219"/>
      <c r="H80" s="218"/>
    </row>
    <row r="81" spans="2:22">
      <c r="B81" s="214"/>
      <c r="C81" s="215"/>
      <c r="D81" s="216"/>
      <c r="E81" s="217"/>
      <c r="F81" s="218"/>
      <c r="G81" s="219"/>
      <c r="H81" s="218"/>
    </row>
    <row r="82" spans="2:22">
      <c r="B82" s="214"/>
      <c r="C82" s="215"/>
      <c r="D82" s="216"/>
      <c r="E82" s="217"/>
      <c r="F82" s="218"/>
      <c r="G82" s="219"/>
      <c r="H82" s="218"/>
    </row>
    <row r="83" spans="2:22">
      <c r="B83" s="214"/>
      <c r="C83" s="215"/>
      <c r="D83" s="216"/>
      <c r="E83" s="217"/>
      <c r="F83" s="218"/>
      <c r="G83" s="219"/>
      <c r="H83" s="218"/>
    </row>
    <row r="84" spans="2:22">
      <c r="B84" s="214"/>
      <c r="C84" s="215"/>
      <c r="D84" s="216"/>
      <c r="E84" s="217"/>
      <c r="F84" s="218"/>
      <c r="G84" s="219"/>
      <c r="H84" s="218"/>
    </row>
    <row r="85" spans="2:22">
      <c r="B85" s="214"/>
      <c r="C85" s="215"/>
      <c r="D85" s="216"/>
      <c r="E85" s="217"/>
      <c r="F85" s="218"/>
      <c r="G85" s="219"/>
      <c r="H85" s="218"/>
    </row>
    <row r="86" spans="2:22">
      <c r="B86" s="214"/>
      <c r="C86" s="215"/>
      <c r="D86" s="216"/>
      <c r="E86" s="217"/>
      <c r="F86" s="218"/>
      <c r="G86" s="219"/>
      <c r="H86" s="218"/>
    </row>
    <row r="87" spans="2:22">
      <c r="B87" s="214"/>
      <c r="C87" s="215"/>
      <c r="D87" s="216"/>
      <c r="H87" s="218"/>
    </row>
    <row r="88" spans="2:22">
      <c r="C88" s="35"/>
      <c r="D88" s="36"/>
      <c r="H88" s="37"/>
      <c r="I88" s="38"/>
      <c r="J88" s="38"/>
    </row>
    <row r="91" spans="2:22">
      <c r="V91" s="43"/>
    </row>
    <row r="92" spans="2:22" ht="15.75" customHeight="1">
      <c r="V92" s="43"/>
    </row>
    <row r="93" spans="2:22" ht="15" customHeight="1">
      <c r="V93" s="43"/>
    </row>
    <row r="94" spans="2:22" ht="15" customHeight="1">
      <c r="V94" s="43"/>
    </row>
    <row r="95" spans="2:22">
      <c r="V95" s="43"/>
    </row>
    <row r="96" spans="2:22">
      <c r="V96" s="43"/>
    </row>
    <row r="97" spans="22:22">
      <c r="V97" s="43"/>
    </row>
    <row r="98" spans="22:22">
      <c r="V98" s="43"/>
    </row>
    <row r="99" spans="22:22">
      <c r="V99" s="43"/>
    </row>
    <row r="100" spans="22:22">
      <c r="V100" s="43"/>
    </row>
    <row r="101" spans="22:22">
      <c r="V101" s="43"/>
    </row>
    <row r="102" spans="22:22">
      <c r="V102" s="43"/>
    </row>
    <row r="103" spans="22:22" ht="15.6">
      <c r="V103" s="48"/>
    </row>
    <row r="104" spans="22:22" ht="15.6">
      <c r="V104" s="48"/>
    </row>
    <row r="105" spans="22:22" ht="15.6">
      <c r="V105" s="48"/>
    </row>
    <row r="106" spans="22:22">
      <c r="V106" s="43"/>
    </row>
    <row r="107" spans="22:22">
      <c r="V107" s="43"/>
    </row>
    <row r="108" spans="22:22">
      <c r="V108" s="43"/>
    </row>
    <row r="109" spans="22:22" ht="15.6">
      <c r="V109" s="46"/>
    </row>
    <row r="110" spans="22:22" ht="15.6">
      <c r="V110" s="46"/>
    </row>
    <row r="111" spans="22:22" ht="15.75" customHeight="1">
      <c r="V111" s="46"/>
    </row>
    <row r="112" spans="22:22" ht="15.6">
      <c r="V112" s="46"/>
    </row>
    <row r="113" spans="22:22" ht="15.6">
      <c r="V113" s="46"/>
    </row>
    <row r="114" spans="22:22">
      <c r="V114" s="43"/>
    </row>
    <row r="115" spans="22:22">
      <c r="V115" s="43"/>
    </row>
    <row r="116" spans="22:22">
      <c r="V116" s="43"/>
    </row>
    <row r="117" spans="22:22">
      <c r="V117" s="43"/>
    </row>
    <row r="118" spans="22:22">
      <c r="V118" s="43"/>
    </row>
    <row r="119" spans="22:22">
      <c r="V119" s="43"/>
    </row>
    <row r="120" spans="22:22">
      <c r="V120" s="43"/>
    </row>
    <row r="121" spans="22:22">
      <c r="V121" s="43"/>
    </row>
    <row r="122" spans="22:22">
      <c r="V122" s="43"/>
    </row>
    <row r="123" spans="22:22">
      <c r="V123" s="43"/>
    </row>
    <row r="124" spans="22:22">
      <c r="V124" s="43"/>
    </row>
    <row r="125" spans="22:22">
      <c r="V125" s="43"/>
    </row>
    <row r="126" spans="22:22">
      <c r="V126" s="43"/>
    </row>
    <row r="127" spans="22:22">
      <c r="V127" s="43"/>
    </row>
    <row r="128" spans="22:22">
      <c r="V128" s="43"/>
    </row>
    <row r="129" spans="10:22">
      <c r="V129" s="43"/>
    </row>
    <row r="130" spans="10:22">
      <c r="V130" s="43"/>
    </row>
    <row r="131" spans="10:22">
      <c r="V131" s="43"/>
    </row>
    <row r="132" spans="10:22">
      <c r="V132" s="43"/>
    </row>
    <row r="133" spans="10:22">
      <c r="V133" s="43"/>
    </row>
    <row r="134" spans="10:22">
      <c r="V134" s="43"/>
    </row>
    <row r="135" spans="10:22">
      <c r="J135" s="43"/>
      <c r="K135" s="43"/>
      <c r="L135" s="43"/>
      <c r="M135" s="43"/>
      <c r="N135" s="43"/>
      <c r="O135" s="44"/>
      <c r="P135" s="43"/>
      <c r="Q135" s="43"/>
      <c r="R135" s="43"/>
      <c r="S135" s="43"/>
      <c r="T135" s="43"/>
      <c r="U135" s="43"/>
      <c r="V135" s="43"/>
    </row>
  </sheetData>
  <protectedRanges>
    <protectedRange sqref="E25" name="Range20"/>
    <protectedRange sqref="G24" name="Range19"/>
    <protectedRange sqref="E24" name="Range18"/>
    <protectedRange sqref="D23" name="Range17"/>
    <protectedRange sqref="F23" name="Range16"/>
    <protectedRange sqref="G24" name="Range15"/>
    <protectedRange sqref="H22" name="Range14"/>
    <protectedRange sqref="D22" name="Range13"/>
    <protectedRange sqref="C1" name="Range12"/>
    <protectedRange sqref="C3:C9" name="Range11"/>
    <protectedRange sqref="C10:BK10" name="Range21"/>
    <protectedRange sqref="C12" name="Range22"/>
    <protectedRange sqref="B28:C87" name="Range23"/>
  </protectedRanges>
  <mergeCells count="32">
    <mergeCell ref="S29:T29"/>
    <mergeCell ref="C20:H21"/>
    <mergeCell ref="C24:C27"/>
    <mergeCell ref="K24:T24"/>
    <mergeCell ref="K25:T25"/>
    <mergeCell ref="K27:T27"/>
    <mergeCell ref="R43:T43"/>
    <mergeCell ref="S30:T30"/>
    <mergeCell ref="N32:S32"/>
    <mergeCell ref="N33:S33"/>
    <mergeCell ref="N34:S34"/>
    <mergeCell ref="R36:T36"/>
    <mergeCell ref="R37:T37"/>
    <mergeCell ref="R38:T38"/>
    <mergeCell ref="R39:T39"/>
    <mergeCell ref="R40:T40"/>
    <mergeCell ref="R41:T41"/>
    <mergeCell ref="R42:T42"/>
    <mergeCell ref="R70:S70"/>
    <mergeCell ref="R44:T44"/>
    <mergeCell ref="R48:S48"/>
    <mergeCell ref="R49:T49"/>
    <mergeCell ref="R50:T50"/>
    <mergeCell ref="R51:T51"/>
    <mergeCell ref="R52:T52"/>
    <mergeCell ref="K61:M61"/>
    <mergeCell ref="K69:M69"/>
    <mergeCell ref="R53:T53"/>
    <mergeCell ref="K60:M60"/>
    <mergeCell ref="R60:T60"/>
    <mergeCell ref="R61:T61"/>
    <mergeCell ref="R69:S69"/>
  </mergeCells>
  <printOptions horizontalCentered="1" verticalCentered="1"/>
  <pageMargins left="0" right="0" top="0" bottom="0" header="0" footer="0"/>
  <pageSetup paperSize="9"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CEDDE-8F4B-458B-A807-5FD7088A0061}">
  <sheetPr>
    <pageSetUpPr fitToPage="1"/>
  </sheetPr>
  <dimension ref="A1:AK76"/>
  <sheetViews>
    <sheetView topLeftCell="A64" zoomScale="90" zoomScaleNormal="90" workbookViewId="0">
      <selection activeCell="AI76" sqref="A1:AI76"/>
    </sheetView>
  </sheetViews>
  <sheetFormatPr defaultColWidth="4.6640625" defaultRowHeight="14.4"/>
  <cols>
    <col min="1" max="35" width="4.88671875" customWidth="1"/>
    <col min="36" max="38" width="3.6640625" customWidth="1"/>
  </cols>
  <sheetData>
    <row r="1" spans="1:35" ht="20.100000000000001" customHeight="1"/>
    <row r="2" spans="1:35" ht="20.100000000000001" customHeight="1"/>
    <row r="3" spans="1:35" ht="20.100000000000001" customHeight="1"/>
    <row r="4" spans="1:35" ht="20.100000000000001" customHeight="1"/>
    <row r="5" spans="1:35" ht="20.100000000000001" customHeight="1"/>
    <row r="6" spans="1:35" ht="20.100000000000001" customHeight="1">
      <c r="B6" s="363" t="s">
        <v>93</v>
      </c>
      <c r="C6" s="363"/>
      <c r="D6" s="363"/>
      <c r="E6" s="363"/>
      <c r="F6" s="363"/>
      <c r="G6" s="363"/>
      <c r="H6" s="363"/>
      <c r="I6" s="363"/>
      <c r="J6" s="363"/>
      <c r="K6" s="363"/>
      <c r="L6" s="363"/>
      <c r="M6" s="363"/>
      <c r="N6" s="363"/>
      <c r="O6" s="363"/>
      <c r="P6" s="363"/>
      <c r="Q6" s="363"/>
      <c r="R6" s="363"/>
      <c r="S6" s="363"/>
      <c r="T6" s="363"/>
      <c r="U6" s="363"/>
      <c r="V6" s="363"/>
      <c r="W6" s="363"/>
      <c r="X6" s="363"/>
      <c r="Y6" s="363"/>
      <c r="Z6" s="363"/>
      <c r="AA6" s="363"/>
      <c r="AB6" s="363"/>
      <c r="AC6" s="363"/>
      <c r="AD6" s="363"/>
      <c r="AE6" s="363"/>
      <c r="AF6" s="363"/>
      <c r="AG6" s="363"/>
      <c r="AH6" s="363"/>
    </row>
    <row r="7" spans="1:35" ht="20.100000000000001" customHeight="1">
      <c r="B7" s="363" t="s">
        <v>94</v>
      </c>
      <c r="C7" s="363"/>
      <c r="D7" s="363"/>
      <c r="E7" s="363"/>
      <c r="F7" s="363"/>
      <c r="G7" s="363"/>
      <c r="H7" s="363"/>
      <c r="I7" s="363"/>
      <c r="J7" s="363"/>
      <c r="K7" s="363"/>
      <c r="L7" s="363"/>
      <c r="M7" s="363"/>
      <c r="N7" s="363"/>
      <c r="O7" s="363"/>
      <c r="P7" s="363"/>
      <c r="Q7" s="363"/>
      <c r="R7" s="363"/>
      <c r="S7" s="363"/>
      <c r="T7" s="363"/>
      <c r="U7" s="363"/>
      <c r="V7" s="363"/>
      <c r="W7" s="363"/>
      <c r="X7" s="363"/>
      <c r="Y7" s="363"/>
      <c r="Z7" s="363"/>
      <c r="AA7" s="363"/>
      <c r="AB7" s="363"/>
      <c r="AC7" s="363"/>
      <c r="AD7" s="363"/>
      <c r="AE7" s="363"/>
      <c r="AF7" s="363"/>
      <c r="AG7" s="363"/>
      <c r="AH7" s="363"/>
    </row>
    <row r="8" spans="1:35" ht="20.100000000000001" customHeight="1">
      <c r="B8" s="363" t="s">
        <v>95</v>
      </c>
      <c r="C8" s="363"/>
      <c r="D8" s="363"/>
      <c r="E8" s="363"/>
      <c r="F8" s="363"/>
      <c r="G8" s="363"/>
      <c r="H8" s="363"/>
      <c r="I8" s="363"/>
      <c r="J8" s="363"/>
      <c r="K8" s="363"/>
      <c r="L8" s="363"/>
      <c r="M8" s="363"/>
      <c r="N8" s="363"/>
      <c r="O8" s="363"/>
      <c r="P8" s="363"/>
      <c r="Q8" s="363"/>
      <c r="R8" s="363"/>
      <c r="S8" s="363"/>
      <c r="T8" s="363"/>
      <c r="U8" s="363"/>
      <c r="V8" s="363"/>
      <c r="W8" s="363"/>
      <c r="X8" s="363"/>
      <c r="Y8" s="363"/>
      <c r="Z8" s="363"/>
      <c r="AA8" s="363"/>
      <c r="AB8" s="363"/>
      <c r="AC8" s="363"/>
      <c r="AD8" s="363"/>
      <c r="AE8" s="363"/>
      <c r="AF8" s="363"/>
      <c r="AG8" s="363"/>
      <c r="AH8" s="363"/>
    </row>
    <row r="9" spans="1:35" ht="20.100000000000001" customHeight="1">
      <c r="I9" s="124"/>
      <c r="J9" s="124"/>
      <c r="K9" s="124"/>
      <c r="L9" s="124"/>
    </row>
    <row r="10" spans="1:35" ht="20.100000000000001" customHeight="1">
      <c r="A10" s="125"/>
      <c r="B10" s="345" t="s">
        <v>96</v>
      </c>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s="346"/>
      <c r="AH10" s="347"/>
    </row>
    <row r="11" spans="1:35" ht="20.100000000000001" customHeight="1">
      <c r="Y11" s="364" t="s">
        <v>61</v>
      </c>
      <c r="Z11" s="364"/>
      <c r="AA11" s="126">
        <v>0</v>
      </c>
      <c r="AB11" s="127">
        <v>1</v>
      </c>
      <c r="AC11" s="127">
        <v>1</v>
      </c>
      <c r="AD11" s="127">
        <v>3</v>
      </c>
      <c r="AE11" s="127">
        <v>2</v>
      </c>
      <c r="AF11" s="127">
        <v>0</v>
      </c>
      <c r="AG11" s="127">
        <v>2</v>
      </c>
      <c r="AH11" s="128">
        <v>6</v>
      </c>
    </row>
    <row r="12" spans="1:35" ht="20.100000000000001" customHeight="1">
      <c r="AA12" s="129" t="s">
        <v>98</v>
      </c>
      <c r="AB12" s="129" t="s">
        <v>98</v>
      </c>
      <c r="AC12" s="129" t="s">
        <v>99</v>
      </c>
      <c r="AD12" s="129" t="s">
        <v>99</v>
      </c>
      <c r="AE12" s="129" t="s">
        <v>100</v>
      </c>
      <c r="AF12" s="129" t="s">
        <v>100</v>
      </c>
      <c r="AG12" s="129" t="s">
        <v>100</v>
      </c>
      <c r="AH12" s="129" t="s">
        <v>100</v>
      </c>
    </row>
    <row r="13" spans="1:35" ht="20.100000000000001" customHeight="1">
      <c r="B13" s="360" t="s">
        <v>101</v>
      </c>
      <c r="C13" s="360"/>
      <c r="D13" s="360"/>
      <c r="E13" s="360"/>
      <c r="F13" s="360"/>
      <c r="G13" s="360"/>
      <c r="H13" s="360"/>
      <c r="I13" s="360" t="s">
        <v>102</v>
      </c>
      <c r="J13" s="360"/>
      <c r="K13" s="360"/>
      <c r="L13" s="360"/>
      <c r="M13" s="360"/>
      <c r="N13" s="360"/>
      <c r="O13" s="360"/>
      <c r="P13" s="360"/>
      <c r="Q13" s="360" t="s">
        <v>103</v>
      </c>
      <c r="R13" s="360"/>
      <c r="S13" s="360"/>
      <c r="T13" s="360"/>
      <c r="U13" s="360"/>
      <c r="V13" s="360"/>
      <c r="W13" s="360"/>
      <c r="X13" s="360" t="s">
        <v>104</v>
      </c>
      <c r="Y13" s="360"/>
      <c r="Z13" s="360"/>
      <c r="AA13" s="360"/>
      <c r="AB13" s="360"/>
      <c r="AC13" s="360"/>
      <c r="AD13" s="360"/>
      <c r="AE13" s="360"/>
      <c r="AF13" s="360"/>
      <c r="AG13" s="360"/>
      <c r="AH13" s="360"/>
      <c r="AI13" s="130"/>
    </row>
    <row r="14" spans="1:35" ht="20.100000000000001" customHeight="1">
      <c r="B14" s="2"/>
      <c r="C14" s="360" t="s">
        <v>105</v>
      </c>
      <c r="D14" s="360"/>
      <c r="E14" s="360"/>
      <c r="F14" s="360"/>
      <c r="G14" s="360"/>
      <c r="H14" s="360"/>
      <c r="I14" s="2"/>
      <c r="J14" s="360" t="s">
        <v>106</v>
      </c>
      <c r="K14" s="360"/>
      <c r="L14" s="360"/>
      <c r="M14" s="360"/>
      <c r="N14" s="360"/>
      <c r="O14" s="360"/>
      <c r="P14" s="360"/>
      <c r="Q14" s="2"/>
      <c r="R14" s="131" t="s">
        <v>107</v>
      </c>
      <c r="X14" s="2"/>
      <c r="Y14" s="360" t="s">
        <v>108</v>
      </c>
      <c r="Z14" s="360"/>
      <c r="AA14" s="360"/>
      <c r="AB14" s="360"/>
      <c r="AC14" s="360"/>
      <c r="AD14" s="360"/>
      <c r="AE14" s="360"/>
      <c r="AF14" s="360"/>
      <c r="AG14" s="360"/>
      <c r="AH14" s="360"/>
    </row>
    <row r="15" spans="1:35" ht="20.100000000000001" customHeight="1">
      <c r="B15" s="2"/>
      <c r="C15" s="360" t="s">
        <v>109</v>
      </c>
      <c r="D15" s="360"/>
      <c r="E15" s="360"/>
      <c r="F15" s="360"/>
      <c r="G15" s="360"/>
      <c r="H15" s="360"/>
      <c r="I15" s="2"/>
      <c r="J15" s="360" t="s">
        <v>110</v>
      </c>
      <c r="K15" s="360"/>
      <c r="L15" s="360"/>
      <c r="M15" s="360"/>
      <c r="N15" s="360"/>
      <c r="O15" s="360"/>
      <c r="P15" s="360"/>
      <c r="Q15" s="2"/>
      <c r="R15" s="131" t="s">
        <v>111</v>
      </c>
      <c r="X15" s="2"/>
      <c r="Y15" s="360" t="s">
        <v>112</v>
      </c>
      <c r="Z15" s="360"/>
      <c r="AA15" s="360"/>
      <c r="AB15" s="360"/>
      <c r="AC15" s="360"/>
      <c r="AD15" s="360"/>
      <c r="AE15" s="360"/>
      <c r="AF15" s="360"/>
      <c r="AG15" s="360"/>
      <c r="AH15" s="360"/>
    </row>
    <row r="16" spans="1:35" ht="20.100000000000001" customHeight="1" thickBot="1">
      <c r="B16" s="2"/>
      <c r="C16" s="360" t="s">
        <v>113</v>
      </c>
      <c r="D16" s="360"/>
      <c r="E16" s="360"/>
      <c r="F16" s="360"/>
      <c r="G16" s="360"/>
      <c r="H16" s="360"/>
      <c r="I16" s="2"/>
      <c r="J16" s="360" t="s">
        <v>114</v>
      </c>
      <c r="K16" s="360"/>
      <c r="L16" s="360"/>
      <c r="M16" s="360"/>
      <c r="N16" s="360"/>
      <c r="O16" s="360"/>
      <c r="P16" s="360"/>
      <c r="Q16" s="2"/>
      <c r="R16" s="131" t="s">
        <v>115</v>
      </c>
      <c r="X16" s="2"/>
      <c r="Y16" s="131" t="s">
        <v>116</v>
      </c>
      <c r="Z16" s="131"/>
      <c r="AA16" s="365"/>
      <c r="AB16" s="365"/>
      <c r="AC16" s="365"/>
      <c r="AD16" s="365"/>
      <c r="AE16" s="365"/>
      <c r="AF16" s="131"/>
      <c r="AG16" s="131"/>
      <c r="AH16" s="131"/>
    </row>
    <row r="17" spans="2:34" ht="20.100000000000001" customHeight="1">
      <c r="B17" s="2"/>
      <c r="C17" s="360" t="s">
        <v>117</v>
      </c>
      <c r="D17" s="360"/>
      <c r="E17" s="360"/>
      <c r="F17" s="360"/>
      <c r="G17" s="360"/>
      <c r="H17" s="360"/>
      <c r="I17" s="2"/>
      <c r="J17" s="360" t="s">
        <v>118</v>
      </c>
      <c r="K17" s="360"/>
      <c r="L17" s="360"/>
      <c r="M17" s="360"/>
      <c r="N17" s="360"/>
      <c r="O17" s="360"/>
      <c r="P17" s="360"/>
      <c r="Q17" s="2"/>
      <c r="R17" s="131" t="s">
        <v>119</v>
      </c>
    </row>
    <row r="18" spans="2:34" ht="20.100000000000001" customHeight="1">
      <c r="B18" s="2"/>
      <c r="C18" s="360" t="s">
        <v>120</v>
      </c>
      <c r="D18" s="360"/>
      <c r="E18" s="360"/>
      <c r="F18" s="360"/>
      <c r="G18" s="360"/>
      <c r="H18" s="360"/>
      <c r="I18" s="2"/>
      <c r="J18" s="360" t="s">
        <v>121</v>
      </c>
      <c r="K18" s="360"/>
      <c r="L18" s="360"/>
      <c r="M18" s="360"/>
      <c r="N18" s="360"/>
      <c r="O18" s="360"/>
      <c r="P18" s="360"/>
      <c r="Q18" s="2"/>
      <c r="R18" s="131" t="s">
        <v>122</v>
      </c>
    </row>
    <row r="19" spans="2:34" ht="20.100000000000001" customHeight="1" thickBot="1">
      <c r="B19" s="251"/>
      <c r="C19" s="251"/>
      <c r="D19" s="251"/>
      <c r="E19" s="251"/>
      <c r="F19" s="251"/>
      <c r="G19" s="251"/>
      <c r="H19" s="251"/>
      <c r="I19" s="132"/>
      <c r="J19" s="131" t="s">
        <v>123</v>
      </c>
      <c r="K19" s="131"/>
      <c r="L19" s="361"/>
      <c r="M19" s="361"/>
      <c r="N19" s="361"/>
      <c r="O19" s="361"/>
      <c r="P19" s="362"/>
      <c r="Q19" s="132"/>
      <c r="R19" s="131" t="s">
        <v>116</v>
      </c>
      <c r="T19" s="354"/>
      <c r="U19" s="354"/>
      <c r="V19" s="354"/>
      <c r="W19" s="354"/>
      <c r="X19" s="354"/>
    </row>
    <row r="20" spans="2:34" ht="20.100000000000001" customHeight="1">
      <c r="B20" s="133" t="s">
        <v>124</v>
      </c>
      <c r="C20" s="134"/>
      <c r="D20" s="134"/>
      <c r="E20" s="134"/>
      <c r="F20" s="355">
        <f>'DATA ENTRY'!D5</f>
        <v>15979.6</v>
      </c>
      <c r="G20" s="355"/>
      <c r="H20" s="355"/>
      <c r="I20" s="355"/>
      <c r="J20" s="355"/>
      <c r="K20" s="355"/>
      <c r="L20" s="356"/>
      <c r="M20" s="356"/>
      <c r="N20" s="356"/>
      <c r="O20" s="356"/>
      <c r="P20" s="356"/>
      <c r="Q20" s="357"/>
      <c r="R20" s="133" t="s">
        <v>125</v>
      </c>
      <c r="S20" s="134"/>
      <c r="T20" s="135"/>
      <c r="U20" s="135"/>
      <c r="V20" s="135"/>
      <c r="W20" s="135"/>
      <c r="X20" s="356">
        <f>'DATA ENTRY'!D16</f>
        <v>949.99785840431502</v>
      </c>
      <c r="Y20" s="355"/>
      <c r="Z20" s="355"/>
      <c r="AA20" s="355"/>
      <c r="AB20" s="355"/>
      <c r="AC20" s="355"/>
      <c r="AD20" s="355"/>
      <c r="AE20" s="355"/>
      <c r="AF20" s="355"/>
      <c r="AG20" s="355"/>
      <c r="AH20" s="357"/>
    </row>
    <row r="21" spans="2:34" ht="20.100000000000001" customHeight="1">
      <c r="B21" s="136"/>
      <c r="C21" s="137"/>
      <c r="D21" s="137"/>
      <c r="E21" s="137"/>
      <c r="F21" s="282"/>
      <c r="G21" s="282"/>
      <c r="H21" s="282"/>
      <c r="I21" s="282"/>
      <c r="J21" s="282"/>
      <c r="K21" s="282"/>
      <c r="L21" s="282"/>
      <c r="M21" s="282"/>
      <c r="N21" s="282"/>
      <c r="O21" s="282"/>
      <c r="P21" s="282"/>
      <c r="Q21" s="283"/>
      <c r="R21" s="136"/>
      <c r="S21" s="137"/>
      <c r="T21" s="137"/>
      <c r="U21" s="137"/>
      <c r="V21" s="137"/>
      <c r="W21" s="137"/>
      <c r="X21" s="282"/>
      <c r="Y21" s="282"/>
      <c r="Z21" s="282"/>
      <c r="AA21" s="282"/>
      <c r="AB21" s="282"/>
      <c r="AC21" s="282"/>
      <c r="AD21" s="282"/>
      <c r="AE21" s="282"/>
      <c r="AF21" s="282"/>
      <c r="AG21" s="282"/>
      <c r="AH21" s="283"/>
    </row>
    <row r="22" spans="2:34" ht="20.100000000000001" customHeight="1">
      <c r="B22" s="335" t="s">
        <v>126</v>
      </c>
      <c r="C22" s="336"/>
      <c r="D22" s="340"/>
      <c r="E22" s="341"/>
      <c r="F22" s="341"/>
      <c r="G22" s="341"/>
      <c r="H22" s="341"/>
      <c r="I22" s="342"/>
      <c r="J22" s="139" t="s">
        <v>127</v>
      </c>
      <c r="K22" s="137"/>
      <c r="L22" s="137"/>
      <c r="M22" s="137"/>
      <c r="N22" s="358"/>
      <c r="O22" s="358"/>
      <c r="P22" s="358"/>
      <c r="Q22" s="358"/>
      <c r="R22" s="358"/>
      <c r="S22" s="358"/>
      <c r="T22" s="358"/>
      <c r="U22" s="359"/>
      <c r="V22" s="140" t="s">
        <v>128</v>
      </c>
      <c r="W22" s="141"/>
      <c r="X22" s="141"/>
      <c r="Y22" s="141"/>
      <c r="Z22" s="358"/>
      <c r="AA22" s="358"/>
      <c r="AB22" s="358"/>
      <c r="AC22" s="358"/>
      <c r="AD22" s="358"/>
      <c r="AE22" s="358"/>
      <c r="AF22" s="358"/>
      <c r="AG22" s="358"/>
      <c r="AH22" s="359"/>
    </row>
    <row r="23" spans="2:34" ht="20.100000000000001" customHeight="1">
      <c r="B23" s="333" t="s">
        <v>129</v>
      </c>
      <c r="C23" s="334"/>
      <c r="D23" s="337"/>
      <c r="E23" s="338"/>
      <c r="F23" s="338"/>
      <c r="G23" s="338"/>
      <c r="H23" s="338"/>
      <c r="I23" s="339"/>
      <c r="J23" s="143"/>
      <c r="K23" s="142" t="s">
        <v>130</v>
      </c>
      <c r="L23" s="144"/>
      <c r="M23" s="144"/>
      <c r="N23" s="144"/>
      <c r="O23" s="144"/>
      <c r="P23" s="144"/>
      <c r="Q23" s="144"/>
      <c r="R23" s="144"/>
      <c r="S23" s="144"/>
      <c r="T23" s="144"/>
      <c r="U23" s="145"/>
      <c r="V23" s="146"/>
      <c r="W23" s="333" t="s">
        <v>131</v>
      </c>
      <c r="X23" s="343"/>
      <c r="Y23" s="343"/>
      <c r="Z23" s="144"/>
      <c r="AA23" s="144"/>
      <c r="AB23" s="144"/>
      <c r="AC23" s="144"/>
      <c r="AD23" s="144"/>
      <c r="AE23" s="144"/>
      <c r="AF23" s="144"/>
      <c r="AG23" s="144"/>
      <c r="AH23" s="145"/>
    </row>
    <row r="24" spans="2:34" ht="20.100000000000001" customHeight="1">
      <c r="B24" s="335"/>
      <c r="C24" s="336"/>
      <c r="D24" s="340"/>
      <c r="E24" s="341"/>
      <c r="F24" s="341"/>
      <c r="G24" s="341"/>
      <c r="H24" s="341"/>
      <c r="I24" s="342"/>
      <c r="J24" s="2"/>
      <c r="K24" s="138" t="s">
        <v>132</v>
      </c>
      <c r="L24" s="147"/>
      <c r="M24" s="147"/>
      <c r="N24" s="147"/>
      <c r="O24" s="147"/>
      <c r="P24" s="147"/>
      <c r="Q24" s="147"/>
      <c r="R24" s="147"/>
      <c r="S24" s="147"/>
      <c r="T24" s="147"/>
      <c r="U24" s="148"/>
      <c r="V24" s="2"/>
      <c r="W24" s="335" t="s">
        <v>133</v>
      </c>
      <c r="X24" s="344"/>
      <c r="Y24" s="344"/>
      <c r="Z24" s="147"/>
      <c r="AA24" s="147"/>
      <c r="AB24" s="147"/>
      <c r="AC24" s="147"/>
      <c r="AD24" s="147"/>
      <c r="AE24" s="147"/>
      <c r="AF24" s="147"/>
      <c r="AG24" s="147"/>
      <c r="AH24" s="148"/>
    </row>
    <row r="25" spans="2:34" ht="20.100000000000001" customHeight="1">
      <c r="B25" s="345" t="s">
        <v>134</v>
      </c>
      <c r="C25" s="346"/>
      <c r="D25" s="346"/>
      <c r="E25" s="346"/>
      <c r="F25" s="346"/>
      <c r="G25" s="346"/>
      <c r="H25" s="346"/>
      <c r="I25" s="346"/>
      <c r="J25" s="346"/>
      <c r="K25" s="346"/>
      <c r="L25" s="346"/>
      <c r="M25" s="346"/>
      <c r="N25" s="346"/>
      <c r="O25" s="346"/>
      <c r="P25" s="346"/>
      <c r="Q25" s="346"/>
      <c r="R25" s="346"/>
      <c r="S25" s="346"/>
      <c r="T25" s="346"/>
      <c r="U25" s="346"/>
      <c r="V25" s="346"/>
      <c r="W25" s="346"/>
      <c r="X25" s="346"/>
      <c r="Y25" s="346"/>
      <c r="Z25" s="346"/>
      <c r="AA25" s="346"/>
      <c r="AB25" s="346"/>
      <c r="AC25" s="346"/>
      <c r="AD25" s="346"/>
      <c r="AE25" s="346"/>
      <c r="AF25" s="346"/>
      <c r="AG25" s="346"/>
      <c r="AH25" s="347"/>
    </row>
    <row r="26" spans="2:34" ht="20.100000000000001" customHeight="1" thickBot="1">
      <c r="B26" s="149" t="s">
        <v>268</v>
      </c>
      <c r="C26" s="149"/>
      <c r="D26" s="149"/>
      <c r="E26" s="149"/>
      <c r="F26" s="149"/>
      <c r="G26" s="149"/>
      <c r="H26" s="149" t="s">
        <v>269</v>
      </c>
      <c r="I26" s="149"/>
      <c r="J26" s="149"/>
      <c r="K26" s="149"/>
      <c r="L26" s="149"/>
      <c r="M26" s="149"/>
      <c r="N26" s="149"/>
      <c r="O26" s="149"/>
      <c r="P26" s="149"/>
      <c r="Q26" s="149"/>
      <c r="R26" s="149" t="s">
        <v>270</v>
      </c>
      <c r="S26" s="149"/>
      <c r="T26" s="149"/>
      <c r="U26" s="149"/>
      <c r="V26" s="149"/>
      <c r="W26" s="149"/>
      <c r="X26" s="149"/>
      <c r="Y26" s="149"/>
      <c r="Z26" s="149"/>
      <c r="AA26" s="149"/>
      <c r="AB26" s="149"/>
      <c r="AC26" s="149"/>
      <c r="AD26" s="149"/>
      <c r="AE26" s="149"/>
      <c r="AF26" s="135"/>
      <c r="AG26" s="135"/>
      <c r="AH26" s="135"/>
    </row>
    <row r="27" spans="2:34" ht="20.100000000000001" customHeight="1">
      <c r="B27" s="130" t="s">
        <v>135</v>
      </c>
      <c r="C27" s="150"/>
      <c r="D27" s="150"/>
      <c r="E27" s="130"/>
      <c r="F27" s="130"/>
      <c r="G27" s="130"/>
      <c r="H27" s="130" t="s">
        <v>136</v>
      </c>
      <c r="I27" s="130"/>
      <c r="J27" s="130"/>
      <c r="K27" s="130"/>
      <c r="L27" s="130"/>
      <c r="M27" s="130"/>
      <c r="N27" s="130"/>
      <c r="O27" s="130"/>
      <c r="Q27" s="130"/>
      <c r="R27" s="130" t="s">
        <v>137</v>
      </c>
      <c r="S27" s="130"/>
      <c r="T27" s="130"/>
      <c r="U27" s="130"/>
      <c r="V27" s="130"/>
      <c r="X27" s="130"/>
      <c r="Y27" s="130"/>
      <c r="Z27" s="130"/>
      <c r="AA27" s="130"/>
      <c r="AC27" s="130"/>
      <c r="AD27" s="130" t="s">
        <v>138</v>
      </c>
      <c r="AE27" s="130"/>
      <c r="AF27" s="151"/>
      <c r="AG27" s="152"/>
      <c r="AH27" s="152"/>
    </row>
    <row r="28" spans="2:34" ht="20.100000000000001" customHeight="1">
      <c r="B28" s="348" t="s">
        <v>139</v>
      </c>
      <c r="C28" s="349"/>
      <c r="D28" s="349"/>
      <c r="E28" s="349"/>
      <c r="F28" s="349"/>
      <c r="G28" s="350"/>
      <c r="H28" s="348" t="s">
        <v>65</v>
      </c>
      <c r="I28" s="349"/>
      <c r="J28" s="349"/>
      <c r="K28" s="349"/>
      <c r="L28" s="350"/>
      <c r="M28" s="348" t="s">
        <v>140</v>
      </c>
      <c r="N28" s="349"/>
      <c r="O28" s="349"/>
      <c r="P28" s="349"/>
      <c r="Q28" s="349"/>
      <c r="R28" s="350"/>
      <c r="S28" s="351" t="s">
        <v>141</v>
      </c>
      <c r="T28" s="352"/>
      <c r="U28" s="352"/>
      <c r="V28" s="352"/>
      <c r="W28" s="352"/>
      <c r="X28" s="352"/>
      <c r="Y28" s="352"/>
      <c r="Z28" s="352"/>
      <c r="AA28" s="351" t="s">
        <v>142</v>
      </c>
      <c r="AB28" s="352"/>
      <c r="AC28" s="352"/>
      <c r="AD28" s="352"/>
      <c r="AE28" s="352"/>
      <c r="AF28" s="352"/>
      <c r="AG28" s="352"/>
      <c r="AH28" s="353"/>
    </row>
    <row r="29" spans="2:34" ht="20.100000000000001" customHeight="1">
      <c r="B29" s="326" t="s">
        <v>271</v>
      </c>
      <c r="C29" s="327"/>
      <c r="D29" s="327"/>
      <c r="E29" s="327"/>
      <c r="F29" s="327"/>
      <c r="G29" s="328"/>
      <c r="H29" s="329">
        <v>716611</v>
      </c>
      <c r="I29" s="330"/>
      <c r="J29" s="330"/>
      <c r="K29" s="330"/>
      <c r="L29" s="331"/>
      <c r="M29" s="326" t="s">
        <v>272</v>
      </c>
      <c r="N29" s="327"/>
      <c r="O29" s="327"/>
      <c r="P29" s="327"/>
      <c r="Q29" s="327"/>
      <c r="R29" s="328"/>
      <c r="S29" s="126"/>
      <c r="T29" s="332" t="s">
        <v>97</v>
      </c>
      <c r="U29" s="332"/>
      <c r="V29" s="332" t="s">
        <v>97</v>
      </c>
      <c r="W29" s="332"/>
      <c r="X29" s="127"/>
      <c r="Y29" s="127"/>
      <c r="Z29" s="128"/>
      <c r="AA29" s="126">
        <v>1</v>
      </c>
      <c r="AB29" s="127">
        <v>2</v>
      </c>
      <c r="AC29" s="127">
        <v>0</v>
      </c>
      <c r="AD29" s="127">
        <v>1</v>
      </c>
      <c r="AE29" s="127">
        <v>2</v>
      </c>
      <c r="AF29" s="127">
        <v>0</v>
      </c>
      <c r="AG29" s="127">
        <v>0</v>
      </c>
      <c r="AH29" s="128">
        <v>4</v>
      </c>
    </row>
    <row r="30" spans="2:34" ht="20.100000000000001" customHeight="1">
      <c r="S30" s="153" t="s">
        <v>98</v>
      </c>
      <c r="T30" s="153" t="s">
        <v>98</v>
      </c>
      <c r="U30" s="153" t="s">
        <v>99</v>
      </c>
      <c r="V30" s="153" t="s">
        <v>99</v>
      </c>
      <c r="W30" s="153" t="s">
        <v>100</v>
      </c>
      <c r="X30" s="153" t="s">
        <v>100</v>
      </c>
      <c r="Y30" s="153" t="s">
        <v>100</v>
      </c>
      <c r="Z30" s="153" t="s">
        <v>100</v>
      </c>
      <c r="AA30" s="153" t="s">
        <v>98</v>
      </c>
      <c r="AB30" s="153" t="s">
        <v>98</v>
      </c>
      <c r="AC30" s="153" t="s">
        <v>99</v>
      </c>
      <c r="AD30" s="153" t="s">
        <v>99</v>
      </c>
      <c r="AE30" s="153" t="s">
        <v>100</v>
      </c>
      <c r="AF30" s="153" t="s">
        <v>100</v>
      </c>
      <c r="AG30" s="153" t="s">
        <v>100</v>
      </c>
      <c r="AH30" s="153" t="s">
        <v>100</v>
      </c>
    </row>
    <row r="31" spans="2:34" ht="20.100000000000001" customHeight="1"/>
    <row r="32" spans="2:34" ht="20.100000000000001" customHeight="1">
      <c r="B32" s="130" t="s">
        <v>143</v>
      </c>
      <c r="C32" s="130"/>
      <c r="D32" s="130"/>
      <c r="E32" s="130"/>
      <c r="F32" s="130"/>
      <c r="G32" s="130"/>
      <c r="H32" s="130"/>
      <c r="I32" s="130" t="s">
        <v>144</v>
      </c>
      <c r="J32" s="130"/>
      <c r="K32" s="130"/>
      <c r="L32" s="130"/>
      <c r="N32" s="154" t="s">
        <v>145</v>
      </c>
      <c r="O32" s="323">
        <v>65</v>
      </c>
      <c r="P32" s="324"/>
      <c r="Q32" s="325" t="s">
        <v>146</v>
      </c>
      <c r="R32" s="325"/>
      <c r="S32" s="325"/>
      <c r="T32" s="325"/>
      <c r="U32" s="155"/>
      <c r="V32" s="312" t="s">
        <v>147</v>
      </c>
      <c r="W32" s="312"/>
      <c r="X32" s="155"/>
      <c r="Y32" s="312" t="s">
        <v>148</v>
      </c>
      <c r="Z32" s="312"/>
      <c r="AA32" s="312"/>
      <c r="AB32" s="312" t="s">
        <v>149</v>
      </c>
      <c r="AC32" s="312"/>
      <c r="AD32" s="312"/>
      <c r="AE32" s="312"/>
      <c r="AF32" s="312"/>
      <c r="AG32" s="312"/>
      <c r="AH32" s="312"/>
    </row>
    <row r="33" spans="2:34" ht="20.100000000000001" customHeight="1">
      <c r="B33" s="313"/>
      <c r="C33" s="314"/>
      <c r="D33" s="314"/>
      <c r="E33" s="314"/>
      <c r="F33" s="314"/>
      <c r="G33" s="314"/>
      <c r="H33" s="315"/>
      <c r="I33" s="316">
        <v>22254</v>
      </c>
      <c r="J33" s="317"/>
      <c r="K33" s="317"/>
      <c r="L33" s="317"/>
      <c r="M33" s="317"/>
      <c r="N33" s="317"/>
      <c r="O33" s="317"/>
      <c r="P33" s="318"/>
      <c r="Q33" s="325"/>
      <c r="R33" s="325"/>
      <c r="S33" s="325"/>
      <c r="T33" s="325"/>
      <c r="U33" s="155"/>
      <c r="V33" s="312" t="s">
        <v>150</v>
      </c>
      <c r="W33" s="312"/>
      <c r="X33" s="155"/>
      <c r="Y33" s="312" t="s">
        <v>151</v>
      </c>
      <c r="Z33" s="312"/>
      <c r="AA33" s="312"/>
      <c r="AB33" s="319"/>
      <c r="AC33" s="320"/>
      <c r="AD33" s="320"/>
      <c r="AE33" s="320"/>
      <c r="AF33" s="320"/>
      <c r="AG33" s="320"/>
      <c r="AH33" s="321"/>
    </row>
    <row r="34" spans="2:34" ht="20.100000000000001" customHeight="1">
      <c r="B34" s="322" t="s">
        <v>152</v>
      </c>
      <c r="C34" s="322"/>
      <c r="D34" s="322"/>
      <c r="E34" s="322"/>
      <c r="F34" s="322"/>
      <c r="G34" s="322"/>
      <c r="H34" s="322"/>
      <c r="I34" s="322" t="s">
        <v>153</v>
      </c>
      <c r="J34" s="322"/>
      <c r="K34" s="322"/>
      <c r="L34" s="322"/>
      <c r="M34" s="322"/>
      <c r="N34" s="322"/>
      <c r="O34" s="322"/>
      <c r="P34" s="322"/>
      <c r="Q34" s="322"/>
      <c r="R34" s="322"/>
      <c r="S34" s="322"/>
      <c r="T34" s="322"/>
      <c r="U34" s="322"/>
      <c r="V34" s="322"/>
      <c r="W34" s="322"/>
      <c r="X34" s="322"/>
      <c r="Z34" s="135"/>
      <c r="AA34" s="135"/>
      <c r="AB34" s="135" t="s">
        <v>154</v>
      </c>
      <c r="AC34" s="135"/>
      <c r="AD34" s="135"/>
      <c r="AE34" s="135"/>
      <c r="AF34" s="135"/>
      <c r="AG34" s="135"/>
      <c r="AH34" s="135"/>
    </row>
    <row r="35" spans="2:34" ht="20.100000000000001" customHeight="1">
      <c r="B35" s="306"/>
      <c r="C35" s="307"/>
      <c r="D35" s="307"/>
      <c r="E35" s="307"/>
      <c r="F35" s="307"/>
      <c r="G35" s="307"/>
      <c r="H35" s="308"/>
      <c r="I35" s="309"/>
      <c r="J35" s="310"/>
      <c r="K35" s="310"/>
      <c r="L35" s="310"/>
      <c r="M35" s="310"/>
      <c r="N35" s="310"/>
      <c r="O35" s="310"/>
      <c r="P35" s="310"/>
      <c r="Q35" s="310"/>
      <c r="R35" s="310"/>
      <c r="S35" s="310"/>
      <c r="T35" s="310"/>
      <c r="U35" s="310"/>
      <c r="V35" s="310"/>
      <c r="W35" s="310"/>
      <c r="X35" s="310"/>
      <c r="Y35" s="310"/>
      <c r="Z35" s="310"/>
      <c r="AA35" s="311"/>
      <c r="AB35" s="309"/>
      <c r="AC35" s="310"/>
      <c r="AD35" s="310"/>
      <c r="AE35" s="310"/>
      <c r="AF35" s="310"/>
      <c r="AG35" s="310"/>
      <c r="AH35" s="311"/>
    </row>
    <row r="36" spans="2:34" ht="20.100000000000001" customHeight="1">
      <c r="B36" s="130" t="s">
        <v>155</v>
      </c>
      <c r="C36" s="130"/>
      <c r="D36" s="130"/>
      <c r="E36" s="130"/>
      <c r="F36" s="130"/>
      <c r="G36" s="130"/>
      <c r="H36" s="130"/>
      <c r="J36" s="130"/>
      <c r="K36" s="135" t="s">
        <v>156</v>
      </c>
      <c r="O36" s="135"/>
      <c r="P36" s="135"/>
      <c r="Q36" s="135"/>
      <c r="R36" s="135"/>
      <c r="S36" s="135"/>
      <c r="T36" s="135"/>
      <c r="U36" s="135"/>
      <c r="V36" s="135"/>
      <c r="W36" s="135"/>
      <c r="X36" s="312" t="s">
        <v>157</v>
      </c>
      <c r="Y36" s="312"/>
      <c r="Z36" s="312"/>
      <c r="AA36" s="312"/>
      <c r="AB36" s="312"/>
      <c r="AC36" s="312"/>
      <c r="AD36" s="312"/>
      <c r="AE36" s="312"/>
      <c r="AF36" s="312"/>
      <c r="AG36" s="312"/>
      <c r="AH36" s="312"/>
    </row>
    <row r="37" spans="2:34" ht="20.100000000000001" customHeight="1">
      <c r="B37" s="309"/>
      <c r="C37" s="310"/>
      <c r="D37" s="310"/>
      <c r="E37" s="310"/>
      <c r="F37" s="310"/>
      <c r="G37" s="310"/>
      <c r="H37" s="310"/>
      <c r="I37" s="310"/>
      <c r="J37" s="311"/>
      <c r="K37" s="306"/>
      <c r="L37" s="307"/>
      <c r="M37" s="307"/>
      <c r="N37" s="307"/>
      <c r="O37" s="307"/>
      <c r="P37" s="307"/>
      <c r="Q37" s="307"/>
      <c r="R37" s="307"/>
      <c r="S37" s="307"/>
      <c r="T37" s="307"/>
      <c r="U37" s="307"/>
      <c r="V37" s="307"/>
      <c r="W37" s="308"/>
      <c r="X37" s="156">
        <v>9</v>
      </c>
      <c r="Y37" s="157">
        <v>1</v>
      </c>
      <c r="Z37" s="200">
        <v>8</v>
      </c>
      <c r="AA37" s="158" t="s">
        <v>158</v>
      </c>
      <c r="AB37" s="157">
        <v>6</v>
      </c>
      <c r="AC37" s="157">
        <v>6</v>
      </c>
      <c r="AD37" s="157">
        <v>1</v>
      </c>
      <c r="AE37" s="158" t="s">
        <v>158</v>
      </c>
      <c r="AF37" s="157">
        <v>6</v>
      </c>
      <c r="AG37" s="157">
        <v>9</v>
      </c>
      <c r="AH37" s="157">
        <v>3</v>
      </c>
    </row>
    <row r="38" spans="2:34" ht="20.100000000000001" customHeight="1">
      <c r="B38" s="159" t="s">
        <v>159</v>
      </c>
      <c r="C38" s="135"/>
      <c r="D38" s="135"/>
      <c r="E38" s="135"/>
      <c r="F38" s="303" t="s">
        <v>240</v>
      </c>
      <c r="G38" s="304"/>
      <c r="H38" s="304"/>
      <c r="I38" s="304"/>
      <c r="J38" s="304"/>
      <c r="K38" s="304"/>
      <c r="L38" s="304"/>
      <c r="M38" s="304"/>
      <c r="N38" s="304"/>
      <c r="O38" s="304"/>
      <c r="P38" s="304"/>
      <c r="Q38" s="304"/>
      <c r="R38" s="304"/>
      <c r="S38" s="304"/>
      <c r="T38" s="304"/>
      <c r="U38" s="304"/>
      <c r="V38" s="304"/>
      <c r="W38" s="304"/>
      <c r="X38" s="304"/>
      <c r="Y38" s="304"/>
      <c r="Z38" s="304"/>
      <c r="AA38" s="304"/>
      <c r="AB38" s="304"/>
      <c r="AC38" s="304"/>
      <c r="AD38" s="304"/>
      <c r="AE38" s="304"/>
      <c r="AF38" s="304"/>
      <c r="AG38" s="304"/>
      <c r="AH38" s="305"/>
    </row>
    <row r="39" spans="2:34" ht="20.100000000000001" customHeight="1">
      <c r="B39" s="287" t="s">
        <v>160</v>
      </c>
      <c r="C39" s="288"/>
      <c r="D39" s="288"/>
      <c r="E39" s="288"/>
      <c r="F39" s="288"/>
      <c r="G39" s="288"/>
      <c r="H39" s="288"/>
      <c r="I39" s="288"/>
      <c r="J39" s="288"/>
      <c r="K39" s="288"/>
      <c r="L39" s="288"/>
      <c r="M39" s="288"/>
      <c r="N39" s="288"/>
      <c r="O39" s="288"/>
      <c r="P39" s="288"/>
      <c r="Q39" s="288"/>
      <c r="R39" s="288"/>
      <c r="S39" s="288"/>
      <c r="T39" s="288"/>
      <c r="U39" s="288"/>
      <c r="V39" s="288"/>
      <c r="W39" s="288"/>
      <c r="X39" s="288"/>
      <c r="Y39" s="288"/>
      <c r="Z39" s="288"/>
      <c r="AA39" s="288"/>
      <c r="AB39" s="288"/>
      <c r="AC39" s="288"/>
      <c r="AD39" s="288"/>
      <c r="AE39" s="288"/>
      <c r="AF39" s="288"/>
      <c r="AG39" s="288"/>
      <c r="AH39" s="289"/>
    </row>
    <row r="40" spans="2:34" ht="20.100000000000001" customHeight="1"/>
    <row r="41" spans="2:34" ht="20.100000000000001" customHeight="1">
      <c r="B41" s="160"/>
      <c r="C41" s="160" t="s">
        <v>161</v>
      </c>
    </row>
    <row r="42" spans="2:34" ht="20.100000000000001" customHeight="1">
      <c r="B42" s="160" t="s">
        <v>162</v>
      </c>
      <c r="C42" s="160"/>
    </row>
    <row r="43" spans="2:34" ht="20.100000000000001" customHeight="1">
      <c r="B43" s="160" t="s">
        <v>163</v>
      </c>
      <c r="C43" s="160"/>
    </row>
    <row r="44" spans="2:34" ht="20.100000000000001" customHeight="1">
      <c r="B44" s="160" t="s">
        <v>164</v>
      </c>
      <c r="C44" s="160"/>
    </row>
    <row r="45" spans="2:34" ht="20.100000000000001" customHeight="1" thickBot="1">
      <c r="Y45" s="280" t="str">
        <f>'YADAO, MELENCIO'!D22</f>
        <v>YADAO, MELENCIO C.</v>
      </c>
      <c r="Z45" s="280"/>
      <c r="AA45" s="280"/>
      <c r="AB45" s="280"/>
      <c r="AC45" s="280"/>
      <c r="AD45" s="280"/>
      <c r="AE45" s="280"/>
      <c r="AF45" s="280"/>
      <c r="AG45" s="280"/>
    </row>
    <row r="46" spans="2:34" ht="20.100000000000001" customHeight="1">
      <c r="Y46" s="273" t="s">
        <v>165</v>
      </c>
      <c r="Z46" s="251"/>
      <c r="AA46" s="251"/>
      <c r="AB46" s="251"/>
      <c r="AC46" s="251"/>
      <c r="AD46" s="251"/>
      <c r="AE46" s="251"/>
      <c r="AF46" s="251"/>
      <c r="AG46" s="251"/>
    </row>
    <row r="47" spans="2:34" ht="20.100000000000001" customHeight="1">
      <c r="B47" s="287" t="s">
        <v>166</v>
      </c>
      <c r="C47" s="288"/>
      <c r="D47" s="288"/>
      <c r="E47" s="288"/>
      <c r="F47" s="288"/>
      <c r="G47" s="288"/>
      <c r="H47" s="288"/>
      <c r="I47" s="288"/>
      <c r="J47" s="288"/>
      <c r="K47" s="288"/>
      <c r="L47" s="288"/>
      <c r="M47" s="288"/>
      <c r="N47" s="288"/>
      <c r="O47" s="288"/>
      <c r="P47" s="288"/>
      <c r="Q47" s="288"/>
      <c r="R47" s="288"/>
      <c r="S47" s="288"/>
      <c r="T47" s="288"/>
      <c r="U47" s="288"/>
      <c r="V47" s="288"/>
      <c r="W47" s="288"/>
      <c r="X47" s="288"/>
      <c r="Y47" s="288"/>
      <c r="Z47" s="288"/>
      <c r="AA47" s="288"/>
      <c r="AB47" s="288"/>
      <c r="AC47" s="288"/>
      <c r="AD47" s="288"/>
      <c r="AE47" s="288"/>
      <c r="AF47" s="288"/>
      <c r="AG47" s="288"/>
      <c r="AH47" s="289"/>
    </row>
    <row r="48" spans="2:34" ht="20.100000000000001" customHeight="1"/>
    <row r="49" spans="2:37" ht="20.100000000000001" customHeight="1">
      <c r="B49" s="160"/>
      <c r="C49" s="164" t="s">
        <v>167</v>
      </c>
    </row>
    <row r="50" spans="2:37" ht="20.100000000000001" customHeight="1">
      <c r="B50" s="164" t="s">
        <v>168</v>
      </c>
      <c r="C50" s="160"/>
    </row>
    <row r="51" spans="2:37" ht="20.100000000000001" customHeight="1">
      <c r="B51" s="160"/>
      <c r="C51" s="160"/>
    </row>
    <row r="52" spans="2:37" ht="20.100000000000001" customHeight="1" thickBot="1">
      <c r="B52" s="161"/>
      <c r="C52" s="161"/>
      <c r="D52" s="161"/>
      <c r="E52" s="161"/>
      <c r="F52" s="161"/>
      <c r="G52" s="161"/>
      <c r="H52" s="161"/>
      <c r="I52" s="161"/>
      <c r="K52" s="161"/>
      <c r="L52" s="161"/>
      <c r="M52" s="161"/>
      <c r="N52" s="161"/>
      <c r="O52" s="161"/>
      <c r="P52" s="161"/>
      <c r="Q52" s="161"/>
      <c r="T52" s="161"/>
      <c r="U52" s="161"/>
      <c r="V52" s="161"/>
      <c r="W52" s="161"/>
      <c r="X52" s="161"/>
      <c r="Y52" s="161"/>
      <c r="Z52" s="161"/>
      <c r="AB52" s="161"/>
      <c r="AC52" s="161"/>
      <c r="AD52" s="161"/>
      <c r="AE52" s="161"/>
      <c r="AF52" s="161"/>
      <c r="AG52" s="161"/>
      <c r="AH52" s="161"/>
    </row>
    <row r="53" spans="2:37" ht="20.100000000000001" customHeight="1">
      <c r="B53" s="273" t="s">
        <v>169</v>
      </c>
      <c r="C53" s="273"/>
      <c r="D53" s="273"/>
      <c r="E53" s="273"/>
      <c r="F53" s="273"/>
      <c r="G53" s="273"/>
      <c r="H53" s="273"/>
      <c r="I53" s="273"/>
      <c r="K53" s="273" t="s">
        <v>170</v>
      </c>
      <c r="L53" s="273"/>
      <c r="M53" s="273"/>
      <c r="N53" s="273"/>
      <c r="O53" s="273"/>
      <c r="P53" s="273"/>
      <c r="Q53" s="273"/>
      <c r="T53" s="273" t="s">
        <v>171</v>
      </c>
      <c r="U53" s="273"/>
      <c r="V53" s="273"/>
      <c r="W53" s="273"/>
      <c r="X53" s="273"/>
      <c r="Y53" s="273"/>
      <c r="Z53" s="273"/>
      <c r="AB53" s="273" t="s">
        <v>172</v>
      </c>
      <c r="AC53" s="273"/>
      <c r="AD53" s="273"/>
      <c r="AE53" s="273"/>
      <c r="AF53" s="273"/>
      <c r="AG53" s="273"/>
      <c r="AH53" s="273"/>
    </row>
    <row r="54" spans="2:37" ht="20.100000000000001" customHeight="1">
      <c r="B54" s="273" t="s">
        <v>173</v>
      </c>
      <c r="C54" s="273"/>
      <c r="D54" s="273"/>
      <c r="E54" s="273"/>
      <c r="F54" s="273"/>
      <c r="G54" s="273"/>
      <c r="H54" s="273"/>
      <c r="I54" s="273"/>
    </row>
    <row r="55" spans="2:37" ht="20.100000000000001" customHeight="1">
      <c r="B55" s="287" t="s">
        <v>174</v>
      </c>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1"/>
    </row>
    <row r="56" spans="2:37" ht="20.100000000000001" customHeight="1">
      <c r="B56" s="302" t="s">
        <v>175</v>
      </c>
      <c r="C56" s="302"/>
      <c r="D56" s="302"/>
      <c r="E56" s="302" t="s">
        <v>176</v>
      </c>
      <c r="F56" s="302"/>
      <c r="G56" s="302"/>
      <c r="H56" s="302"/>
      <c r="I56" s="302" t="s">
        <v>177</v>
      </c>
      <c r="J56" s="302"/>
      <c r="K56" s="302"/>
      <c r="L56" s="302"/>
      <c r="M56" s="302"/>
      <c r="N56" s="302" t="s">
        <v>178</v>
      </c>
      <c r="O56" s="302"/>
      <c r="P56" s="302"/>
      <c r="Q56" s="302" t="s">
        <v>49</v>
      </c>
      <c r="R56" s="302"/>
      <c r="S56" s="302"/>
      <c r="T56" s="302"/>
      <c r="U56" s="302"/>
      <c r="V56" s="302" t="s">
        <v>179</v>
      </c>
      <c r="W56" s="302"/>
      <c r="X56" s="302"/>
      <c r="Y56" s="302" t="s">
        <v>180</v>
      </c>
      <c r="Z56" s="302"/>
      <c r="AA56" s="302"/>
      <c r="AB56" s="302"/>
      <c r="AC56" s="302"/>
      <c r="AD56" s="302" t="s">
        <v>181</v>
      </c>
      <c r="AE56" s="302"/>
      <c r="AF56" s="302"/>
      <c r="AG56" s="302"/>
      <c r="AH56" s="302"/>
    </row>
    <row r="57" spans="2:37" ht="20.100000000000001" customHeight="1">
      <c r="B57" s="293"/>
      <c r="C57" s="293"/>
      <c r="D57" s="293"/>
      <c r="E57" s="295"/>
      <c r="F57" s="293"/>
      <c r="G57" s="293"/>
      <c r="H57" s="293"/>
      <c r="I57" s="294"/>
      <c r="J57" s="294"/>
      <c r="K57" s="294"/>
      <c r="L57" s="294"/>
      <c r="M57" s="294"/>
      <c r="N57" s="293"/>
      <c r="O57" s="293"/>
      <c r="P57" s="293"/>
      <c r="Q57" s="296"/>
      <c r="R57" s="297"/>
      <c r="S57" s="297"/>
      <c r="T57" s="297"/>
      <c r="U57" s="298"/>
      <c r="V57" s="299"/>
      <c r="W57" s="299"/>
      <c r="X57" s="299"/>
      <c r="Y57" s="293"/>
      <c r="Z57" s="293"/>
      <c r="AA57" s="293"/>
      <c r="AB57" s="293"/>
      <c r="AC57" s="293"/>
      <c r="AD57" s="294"/>
      <c r="AE57" s="294"/>
      <c r="AF57" s="294"/>
      <c r="AG57" s="294"/>
      <c r="AH57" s="294"/>
      <c r="AK57" s="1"/>
    </row>
    <row r="58" spans="2:37" ht="20.100000000000001" customHeight="1">
      <c r="B58" s="293"/>
      <c r="C58" s="293"/>
      <c r="D58" s="293"/>
      <c r="E58" s="293"/>
      <c r="F58" s="293"/>
      <c r="G58" s="293"/>
      <c r="H58" s="293"/>
      <c r="I58" s="293"/>
      <c r="J58" s="293"/>
      <c r="K58" s="293"/>
      <c r="L58" s="293"/>
      <c r="M58" s="293"/>
      <c r="N58" s="293"/>
      <c r="O58" s="293"/>
      <c r="P58" s="293"/>
      <c r="Q58" s="293"/>
      <c r="R58" s="293"/>
      <c r="S58" s="293"/>
      <c r="T58" s="293"/>
      <c r="U58" s="293"/>
      <c r="V58" s="293"/>
      <c r="W58" s="293"/>
      <c r="X58" s="293"/>
      <c r="Y58" s="293"/>
      <c r="Z58" s="293"/>
      <c r="AA58" s="293"/>
      <c r="AB58" s="293"/>
      <c r="AC58" s="293"/>
      <c r="AD58" s="293"/>
      <c r="AE58" s="293"/>
      <c r="AF58" s="293"/>
      <c r="AG58" s="293"/>
      <c r="AH58" s="293"/>
    </row>
    <row r="59" spans="2:37" ht="20.100000000000001" customHeight="1">
      <c r="B59" s="293"/>
      <c r="C59" s="293"/>
      <c r="D59" s="293"/>
      <c r="E59" s="293"/>
      <c r="F59" s="293"/>
      <c r="G59" s="293"/>
      <c r="H59" s="293"/>
      <c r="I59" s="293"/>
      <c r="J59" s="293"/>
      <c r="K59" s="293"/>
      <c r="L59" s="293"/>
      <c r="M59" s="293"/>
      <c r="N59" s="293"/>
      <c r="O59" s="293"/>
      <c r="P59" s="293"/>
      <c r="Q59" s="293"/>
      <c r="R59" s="293"/>
      <c r="S59" s="293"/>
      <c r="T59" s="293"/>
      <c r="U59" s="293"/>
      <c r="V59" s="293"/>
      <c r="W59" s="293"/>
      <c r="X59" s="293"/>
      <c r="Y59" s="293"/>
      <c r="Z59" s="293"/>
      <c r="AA59" s="293"/>
      <c r="AB59" s="293"/>
      <c r="AC59" s="293"/>
      <c r="AD59" s="293"/>
      <c r="AE59" s="293"/>
      <c r="AF59" s="293"/>
      <c r="AG59" s="293"/>
      <c r="AH59" s="293"/>
    </row>
    <row r="60" spans="2:37" ht="20.100000000000001" customHeight="1">
      <c r="B60" s="293"/>
      <c r="C60" s="293"/>
      <c r="D60" s="293"/>
      <c r="E60" s="293"/>
      <c r="F60" s="293"/>
      <c r="G60" s="293"/>
      <c r="H60" s="293"/>
      <c r="I60" s="293"/>
      <c r="J60" s="293"/>
      <c r="K60" s="293"/>
      <c r="L60" s="293"/>
      <c r="M60" s="293"/>
      <c r="N60" s="293"/>
      <c r="O60" s="293"/>
      <c r="P60" s="293"/>
      <c r="Q60" s="293"/>
      <c r="R60" s="293"/>
      <c r="S60" s="293"/>
      <c r="T60" s="293"/>
      <c r="U60" s="293"/>
      <c r="V60" s="293"/>
      <c r="W60" s="293"/>
      <c r="X60" s="293"/>
      <c r="Y60" s="293"/>
      <c r="Z60" s="293"/>
      <c r="AA60" s="293"/>
      <c r="AB60" s="293"/>
      <c r="AC60" s="293"/>
      <c r="AD60" s="293"/>
      <c r="AE60" s="293"/>
      <c r="AF60" s="293"/>
      <c r="AG60" s="293"/>
      <c r="AH60" s="293"/>
    </row>
    <row r="61" spans="2:37" ht="20.100000000000001" customHeight="1"/>
    <row r="62" spans="2:37" ht="20.100000000000001" customHeight="1">
      <c r="B62" s="287" t="s">
        <v>182</v>
      </c>
      <c r="C62" s="288"/>
      <c r="D62" s="288"/>
      <c r="E62" s="288"/>
      <c r="F62" s="288"/>
      <c r="G62" s="288"/>
      <c r="H62" s="288"/>
      <c r="I62" s="288"/>
      <c r="J62" s="288"/>
      <c r="K62" s="288"/>
      <c r="L62" s="288"/>
      <c r="M62" s="288"/>
      <c r="N62" s="288"/>
      <c r="O62" s="288"/>
      <c r="P62" s="288"/>
      <c r="Q62" s="288"/>
      <c r="R62" s="288"/>
      <c r="S62" s="288"/>
      <c r="T62" s="288"/>
      <c r="U62" s="288"/>
      <c r="V62" s="288"/>
      <c r="W62" s="288"/>
      <c r="X62" s="288"/>
      <c r="Y62" s="288"/>
      <c r="Z62" s="288"/>
      <c r="AA62" s="288"/>
      <c r="AB62" s="288"/>
      <c r="AC62" s="288"/>
      <c r="AD62" s="288"/>
      <c r="AE62" s="288"/>
      <c r="AF62" s="288"/>
      <c r="AG62" s="288"/>
      <c r="AH62" s="289"/>
    </row>
    <row r="63" spans="2:37" ht="20.100000000000001" customHeight="1">
      <c r="B63" s="290" t="s">
        <v>183</v>
      </c>
      <c r="C63" s="291"/>
      <c r="D63" s="291"/>
      <c r="E63" s="291"/>
      <c r="F63" s="292"/>
      <c r="G63" s="290" t="s">
        <v>184</v>
      </c>
      <c r="H63" s="291"/>
      <c r="I63" s="291"/>
      <c r="J63" s="292"/>
      <c r="K63" s="290" t="s">
        <v>50</v>
      </c>
      <c r="L63" s="291"/>
      <c r="M63" s="291"/>
      <c r="N63" s="292"/>
      <c r="O63" s="290" t="s">
        <v>185</v>
      </c>
      <c r="P63" s="291"/>
      <c r="Q63" s="291"/>
      <c r="R63" s="291"/>
      <c r="S63" s="291"/>
      <c r="T63" s="291"/>
      <c r="U63" s="292"/>
      <c r="V63" s="290" t="s">
        <v>186</v>
      </c>
      <c r="W63" s="291"/>
      <c r="X63" s="291"/>
      <c r="Y63" s="291"/>
      <c r="Z63" s="292"/>
      <c r="AA63" s="290" t="s">
        <v>187</v>
      </c>
      <c r="AB63" s="291"/>
      <c r="AC63" s="291"/>
      <c r="AD63" s="291"/>
      <c r="AE63" s="291"/>
      <c r="AF63" s="291"/>
      <c r="AG63" s="291"/>
      <c r="AH63" s="292"/>
    </row>
    <row r="64" spans="2:37" ht="20.100000000000001" customHeight="1">
      <c r="B64" s="281">
        <f>'DATA ENTRY'!D13</f>
        <v>20181.172399999999</v>
      </c>
      <c r="C64" s="282"/>
      <c r="D64" s="282"/>
      <c r="E64" s="282"/>
      <c r="F64" s="283"/>
      <c r="G64" s="281">
        <f>'DATA ENTRY'!D16</f>
        <v>949.99785840431502</v>
      </c>
      <c r="H64" s="282"/>
      <c r="I64" s="282"/>
      <c r="J64" s="283"/>
      <c r="K64" s="284">
        <v>24</v>
      </c>
      <c r="L64" s="285"/>
      <c r="M64" s="285"/>
      <c r="N64" s="286"/>
      <c r="O64" s="281"/>
      <c r="P64" s="282"/>
      <c r="Q64" s="282"/>
      <c r="R64" s="282"/>
      <c r="S64" s="282"/>
      <c r="T64" s="282"/>
      <c r="U64" s="283"/>
      <c r="V64" s="284"/>
      <c r="W64" s="285"/>
      <c r="X64" s="285"/>
      <c r="Y64" s="285"/>
      <c r="Z64" s="286"/>
      <c r="AA64" s="281">
        <f>'YADAO, MELENCIO'!C3</f>
        <v>22799.94860170356</v>
      </c>
      <c r="AB64" s="282"/>
      <c r="AC64" s="282"/>
      <c r="AD64" s="282"/>
      <c r="AE64" s="282"/>
      <c r="AF64" s="282"/>
      <c r="AG64" s="282"/>
      <c r="AH64" s="283"/>
    </row>
    <row r="65" spans="1:35" ht="20.100000000000001" customHeight="1">
      <c r="B65" s="272" t="s">
        <v>188</v>
      </c>
      <c r="C65" s="272"/>
      <c r="D65" s="272"/>
      <c r="E65" s="272"/>
      <c r="F65" s="272"/>
      <c r="G65" s="272"/>
      <c r="H65" s="272"/>
      <c r="I65" s="272"/>
      <c r="J65" s="272"/>
      <c r="K65" s="272"/>
      <c r="L65" s="272"/>
      <c r="M65" s="272"/>
      <c r="N65" s="272"/>
      <c r="O65" s="272"/>
      <c r="P65" s="272"/>
      <c r="Q65" s="272"/>
      <c r="R65" s="272"/>
      <c r="S65" s="272"/>
      <c r="T65" s="272"/>
      <c r="U65" s="272"/>
      <c r="V65" s="272"/>
      <c r="W65" s="272"/>
      <c r="X65" s="272"/>
      <c r="Y65" s="272"/>
      <c r="Z65" s="272"/>
      <c r="AA65" s="272"/>
      <c r="AB65" s="272"/>
      <c r="AC65" s="272"/>
      <c r="AD65" s="272"/>
      <c r="AE65" s="272"/>
      <c r="AF65" s="272"/>
      <c r="AG65" s="272"/>
      <c r="AH65" s="272"/>
    </row>
    <row r="66" spans="1:35" ht="20.100000000000001" customHeight="1">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c r="AH66" s="130"/>
    </row>
    <row r="67" spans="1:35" ht="20.100000000000001" customHeight="1" thickBot="1">
      <c r="B67" s="130"/>
      <c r="C67" s="130"/>
      <c r="D67" s="130"/>
      <c r="E67" s="130"/>
      <c r="F67" s="130"/>
      <c r="G67" s="130"/>
      <c r="H67" s="130"/>
      <c r="I67" s="130"/>
      <c r="J67" s="130"/>
      <c r="K67" s="130"/>
      <c r="L67" s="130"/>
      <c r="M67" s="130"/>
      <c r="N67" s="162"/>
      <c r="O67" s="162"/>
      <c r="P67" s="162" t="s">
        <v>273</v>
      </c>
      <c r="Q67" s="162"/>
      <c r="R67" s="162"/>
      <c r="S67" s="162"/>
      <c r="T67" s="162"/>
      <c r="U67" s="162"/>
      <c r="V67" s="162"/>
      <c r="W67" s="162"/>
      <c r="X67" s="130"/>
      <c r="Y67" s="130"/>
      <c r="Z67" s="130"/>
      <c r="AA67" s="130"/>
      <c r="AB67" s="130"/>
      <c r="AC67" s="130"/>
      <c r="AD67" s="130"/>
      <c r="AE67" s="130"/>
      <c r="AF67" s="130"/>
      <c r="AG67" s="130"/>
      <c r="AH67" s="130"/>
    </row>
    <row r="68" spans="1:35" ht="20.100000000000001" customHeight="1">
      <c r="A68" s="273" t="s">
        <v>190</v>
      </c>
      <c r="B68" s="273"/>
      <c r="C68" s="273"/>
      <c r="D68" s="273"/>
      <c r="E68" s="273"/>
      <c r="F68" s="273"/>
      <c r="G68" s="273"/>
      <c r="H68" s="273"/>
      <c r="I68" s="273"/>
      <c r="J68" s="273"/>
      <c r="K68" s="273"/>
      <c r="L68" s="273"/>
      <c r="M68" s="273"/>
      <c r="N68" s="273"/>
      <c r="O68" s="273"/>
      <c r="P68" s="273"/>
      <c r="Q68" s="273"/>
      <c r="R68" s="273"/>
      <c r="S68" s="273"/>
      <c r="T68" s="273"/>
      <c r="U68" s="273"/>
      <c r="V68" s="273"/>
      <c r="W68" s="273"/>
      <c r="X68" s="273"/>
      <c r="Y68" s="273"/>
      <c r="Z68" s="273"/>
      <c r="AA68" s="273"/>
      <c r="AB68" s="273"/>
      <c r="AC68" s="273"/>
      <c r="AD68" s="273"/>
      <c r="AE68" s="273"/>
      <c r="AF68" s="273"/>
      <c r="AG68" s="273"/>
      <c r="AH68" s="273"/>
      <c r="AI68" s="273"/>
    </row>
    <row r="69" spans="1:35" ht="20.100000000000001" customHeight="1"/>
    <row r="70" spans="1:35" ht="20.100000000000001" customHeight="1"/>
    <row r="71" spans="1:35" ht="20.100000000000001" customHeight="1">
      <c r="B71" s="274" t="s">
        <v>191</v>
      </c>
      <c r="C71" s="272"/>
      <c r="D71" s="272"/>
      <c r="E71" s="272"/>
      <c r="F71" s="272"/>
      <c r="G71" s="272"/>
      <c r="H71" s="272"/>
      <c r="I71" s="272"/>
      <c r="J71" s="272"/>
      <c r="K71" s="272"/>
      <c r="L71" s="272"/>
      <c r="M71" s="272"/>
      <c r="N71" s="272"/>
      <c r="O71" s="272"/>
      <c r="P71" s="272"/>
      <c r="Q71" s="272"/>
      <c r="R71" s="275"/>
      <c r="S71" s="274" t="s">
        <v>192</v>
      </c>
      <c r="T71" s="272"/>
      <c r="U71" s="272"/>
      <c r="V71" s="272"/>
      <c r="W71" s="272"/>
      <c r="X71" s="272"/>
      <c r="Y71" s="272"/>
      <c r="Z71" s="272"/>
      <c r="AA71" s="272"/>
      <c r="AB71" s="272"/>
      <c r="AC71" s="272"/>
      <c r="AD71" s="272"/>
      <c r="AE71" s="272"/>
      <c r="AF71" s="272"/>
      <c r="AG71" s="272"/>
      <c r="AH71" s="275"/>
    </row>
    <row r="72" spans="1:35" ht="20.100000000000001" customHeight="1">
      <c r="B72" s="165"/>
      <c r="C72" s="163"/>
      <c r="D72" s="163"/>
      <c r="E72" s="163"/>
      <c r="F72" s="163"/>
      <c r="G72" s="163"/>
      <c r="H72" s="163"/>
      <c r="I72" s="163"/>
      <c r="J72" s="163"/>
      <c r="K72" s="163"/>
      <c r="L72" s="163"/>
      <c r="M72" s="163"/>
      <c r="N72" s="163"/>
      <c r="O72" s="163"/>
      <c r="P72" s="163"/>
      <c r="Q72" s="163"/>
      <c r="R72" s="166"/>
      <c r="S72" s="165"/>
      <c r="T72" s="163"/>
      <c r="U72" s="163"/>
      <c r="V72" s="163"/>
      <c r="W72" s="163"/>
      <c r="X72" s="163"/>
      <c r="Y72" s="163"/>
      <c r="Z72" s="163"/>
      <c r="AA72" s="163"/>
      <c r="AB72" s="163"/>
      <c r="AC72" s="163"/>
      <c r="AD72" s="163"/>
      <c r="AE72" s="163"/>
      <c r="AF72" s="163"/>
      <c r="AG72" s="163"/>
      <c r="AH72" s="166"/>
    </row>
    <row r="73" spans="1:35" ht="20.100000000000001" customHeight="1" thickBot="1">
      <c r="B73" s="167"/>
      <c r="C73" s="123"/>
      <c r="D73" s="123"/>
      <c r="E73" s="168"/>
      <c r="F73" s="169"/>
      <c r="G73" s="278" t="s">
        <v>189</v>
      </c>
      <c r="H73" s="279"/>
      <c r="I73" s="279"/>
      <c r="J73" s="279"/>
      <c r="K73" s="279"/>
      <c r="L73" s="279"/>
      <c r="M73" s="169"/>
      <c r="N73" s="169"/>
      <c r="O73" s="168"/>
      <c r="P73" s="168"/>
      <c r="Q73" s="168"/>
      <c r="R73" s="170"/>
      <c r="S73" s="167"/>
      <c r="W73" s="161"/>
      <c r="X73" s="161"/>
      <c r="Y73" s="280" t="s">
        <v>236</v>
      </c>
      <c r="Z73" s="280"/>
      <c r="AA73" s="280"/>
      <c r="AB73" s="280"/>
      <c r="AC73" s="280"/>
      <c r="AD73" s="161"/>
      <c r="AH73" s="171"/>
    </row>
    <row r="74" spans="1:35" ht="20.100000000000001" customHeight="1">
      <c r="B74" s="276" t="s">
        <v>190</v>
      </c>
      <c r="C74" s="253"/>
      <c r="D74" s="253"/>
      <c r="E74" s="253"/>
      <c r="F74" s="253"/>
      <c r="G74" s="253"/>
      <c r="H74" s="253"/>
      <c r="I74" s="253"/>
      <c r="J74" s="253"/>
      <c r="K74" s="253"/>
      <c r="L74" s="253"/>
      <c r="M74" s="253"/>
      <c r="N74" s="253"/>
      <c r="O74" s="253"/>
      <c r="P74" s="253"/>
      <c r="Q74" s="253"/>
      <c r="R74" s="277"/>
      <c r="S74" s="276" t="s">
        <v>190</v>
      </c>
      <c r="T74" s="253"/>
      <c r="U74" s="253"/>
      <c r="V74" s="253"/>
      <c r="W74" s="253"/>
      <c r="X74" s="253"/>
      <c r="Y74" s="253"/>
      <c r="Z74" s="253"/>
      <c r="AA74" s="253"/>
      <c r="AB74" s="253"/>
      <c r="AC74" s="253"/>
      <c r="AD74" s="253"/>
      <c r="AE74" s="253"/>
      <c r="AF74" s="253"/>
      <c r="AG74" s="253"/>
      <c r="AH74" s="277"/>
    </row>
    <row r="75" spans="1:35" ht="20.100000000000001" customHeight="1"/>
    <row r="76" spans="1:35" ht="20.100000000000001" customHeight="1"/>
  </sheetData>
  <mergeCells count="136">
    <mergeCell ref="B6:AH6"/>
    <mergeCell ref="B7:AH7"/>
    <mergeCell ref="B8:AH8"/>
    <mergeCell ref="B10:AH10"/>
    <mergeCell ref="Y11:Z11"/>
    <mergeCell ref="C15:H15"/>
    <mergeCell ref="J15:P15"/>
    <mergeCell ref="Y15:AH15"/>
    <mergeCell ref="C16:H16"/>
    <mergeCell ref="J16:P16"/>
    <mergeCell ref="AA16:AE16"/>
    <mergeCell ref="B13:H13"/>
    <mergeCell ref="I13:P13"/>
    <mergeCell ref="Q13:W13"/>
    <mergeCell ref="X13:AH13"/>
    <mergeCell ref="C14:H14"/>
    <mergeCell ref="J14:P14"/>
    <mergeCell ref="Y14:AH14"/>
    <mergeCell ref="T19:X19"/>
    <mergeCell ref="F20:Q21"/>
    <mergeCell ref="X20:AH21"/>
    <mergeCell ref="B22:C22"/>
    <mergeCell ref="D22:I22"/>
    <mergeCell ref="N22:U22"/>
    <mergeCell ref="Z22:AH22"/>
    <mergeCell ref="C17:H17"/>
    <mergeCell ref="J17:P17"/>
    <mergeCell ref="C18:H18"/>
    <mergeCell ref="J18:P18"/>
    <mergeCell ref="B19:H19"/>
    <mergeCell ref="L19:P19"/>
    <mergeCell ref="B23:C24"/>
    <mergeCell ref="D23:I24"/>
    <mergeCell ref="W23:Y23"/>
    <mergeCell ref="W24:Y24"/>
    <mergeCell ref="B25:AH25"/>
    <mergeCell ref="B28:G28"/>
    <mergeCell ref="H28:L28"/>
    <mergeCell ref="M28:R28"/>
    <mergeCell ref="S28:Z28"/>
    <mergeCell ref="AA28:AH28"/>
    <mergeCell ref="O32:P32"/>
    <mergeCell ref="Q32:T33"/>
    <mergeCell ref="V32:W32"/>
    <mergeCell ref="Y32:AA32"/>
    <mergeCell ref="AB32:AH32"/>
    <mergeCell ref="B29:G29"/>
    <mergeCell ref="H29:L29"/>
    <mergeCell ref="M29:R29"/>
    <mergeCell ref="T29:U29"/>
    <mergeCell ref="V29:W29"/>
    <mergeCell ref="B35:H35"/>
    <mergeCell ref="I35:AA35"/>
    <mergeCell ref="AB35:AH35"/>
    <mergeCell ref="X36:AH36"/>
    <mergeCell ref="B37:J37"/>
    <mergeCell ref="K37:W37"/>
    <mergeCell ref="B33:H33"/>
    <mergeCell ref="I33:P33"/>
    <mergeCell ref="V33:W33"/>
    <mergeCell ref="Y33:AA33"/>
    <mergeCell ref="AB33:AH33"/>
    <mergeCell ref="B34:H34"/>
    <mergeCell ref="I34:X34"/>
    <mergeCell ref="F38:AH38"/>
    <mergeCell ref="B39:AH39"/>
    <mergeCell ref="Y46:AG46"/>
    <mergeCell ref="B47:AH47"/>
    <mergeCell ref="B53:I53"/>
    <mergeCell ref="K53:Q53"/>
    <mergeCell ref="T53:Z53"/>
    <mergeCell ref="AB53:AH53"/>
    <mergeCell ref="Y45:AG45"/>
    <mergeCell ref="B54:I54"/>
    <mergeCell ref="B55:AH55"/>
    <mergeCell ref="B56:D56"/>
    <mergeCell ref="E56:H56"/>
    <mergeCell ref="I56:M56"/>
    <mergeCell ref="N56:P56"/>
    <mergeCell ref="Q56:U56"/>
    <mergeCell ref="V56:X56"/>
    <mergeCell ref="Y56:AC56"/>
    <mergeCell ref="AD56:AH56"/>
    <mergeCell ref="Y57:AC57"/>
    <mergeCell ref="AD57:AH57"/>
    <mergeCell ref="B58:D58"/>
    <mergeCell ref="E58:H58"/>
    <mergeCell ref="I58:M58"/>
    <mergeCell ref="N58:P58"/>
    <mergeCell ref="Q58:U58"/>
    <mergeCell ref="V58:X58"/>
    <mergeCell ref="Y58:AC58"/>
    <mergeCell ref="AD58:AH58"/>
    <mergeCell ref="B57:D57"/>
    <mergeCell ref="E57:H57"/>
    <mergeCell ref="I57:M57"/>
    <mergeCell ref="N57:P57"/>
    <mergeCell ref="Q57:U57"/>
    <mergeCell ref="V57:X57"/>
    <mergeCell ref="B62:AH62"/>
    <mergeCell ref="B63:F63"/>
    <mergeCell ref="G63:J63"/>
    <mergeCell ref="K63:N63"/>
    <mergeCell ref="O63:U63"/>
    <mergeCell ref="V63:Z63"/>
    <mergeCell ref="AA63:AH63"/>
    <mergeCell ref="Y59:AC59"/>
    <mergeCell ref="AD59:AH59"/>
    <mergeCell ref="B60:D60"/>
    <mergeCell ref="E60:H60"/>
    <mergeCell ref="I60:M60"/>
    <mergeCell ref="N60:P60"/>
    <mergeCell ref="Q60:U60"/>
    <mergeCell ref="V60:X60"/>
    <mergeCell ref="Y60:AC60"/>
    <mergeCell ref="AD60:AH60"/>
    <mergeCell ref="B59:D59"/>
    <mergeCell ref="E59:H59"/>
    <mergeCell ref="I59:M59"/>
    <mergeCell ref="N59:P59"/>
    <mergeCell ref="Q59:U59"/>
    <mergeCell ref="V59:X59"/>
    <mergeCell ref="B65:AH65"/>
    <mergeCell ref="A68:AI68"/>
    <mergeCell ref="B71:R71"/>
    <mergeCell ref="S71:AH71"/>
    <mergeCell ref="B74:R74"/>
    <mergeCell ref="S74:AH74"/>
    <mergeCell ref="G73:L73"/>
    <mergeCell ref="Y73:AC73"/>
    <mergeCell ref="B64:F64"/>
    <mergeCell ref="G64:J64"/>
    <mergeCell ref="K64:N64"/>
    <mergeCell ref="O64:U64"/>
    <mergeCell ref="V64:Z64"/>
    <mergeCell ref="AA64:AH64"/>
  </mergeCells>
  <printOptions horizontalCentered="1" verticalCentered="1"/>
  <pageMargins left="0" right="0" top="0" bottom="0" header="0" footer="0"/>
  <pageSetup paperSize="9" scale="53"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1CC2F-0172-4473-9D05-FC55A4B332D5}">
  <sheetPr>
    <pageSetUpPr fitToPage="1"/>
  </sheetPr>
  <dimension ref="B1:BW76"/>
  <sheetViews>
    <sheetView zoomScaleNormal="100" workbookViewId="0">
      <selection activeCell="AL1" sqref="A1:AL66"/>
    </sheetView>
  </sheetViews>
  <sheetFormatPr defaultColWidth="4.6640625" defaultRowHeight="20.100000000000001" customHeight="1"/>
  <cols>
    <col min="1" max="3" width="4.109375" style="160" customWidth="1"/>
    <col min="4" max="4" width="10.44140625" style="160" customWidth="1"/>
    <col min="5" max="6" width="4.109375" style="160" customWidth="1"/>
    <col min="7" max="7" width="4.88671875" style="160" customWidth="1"/>
    <col min="8" max="8" width="4.109375" style="160" customWidth="1"/>
    <col min="9" max="9" width="8.33203125" style="160" customWidth="1"/>
    <col min="10" max="18" width="4.109375" style="160" customWidth="1"/>
    <col min="19" max="19" width="2.6640625" style="160" customWidth="1"/>
    <col min="20" max="20" width="4.109375" style="160" customWidth="1"/>
    <col min="21" max="21" width="6.88671875" style="160" customWidth="1"/>
    <col min="22" max="38" width="4.109375" style="160" customWidth="1"/>
    <col min="39" max="16384" width="4.6640625" style="160"/>
  </cols>
  <sheetData>
    <row r="1" spans="2:75" ht="20.100000000000001" customHeight="1">
      <c r="V1" s="197" t="s">
        <v>230</v>
      </c>
    </row>
    <row r="2" spans="2:75" ht="30" customHeight="1">
      <c r="B2" s="345" t="s">
        <v>193</v>
      </c>
      <c r="C2" s="346"/>
      <c r="D2" s="346"/>
      <c r="E2" s="346"/>
      <c r="F2" s="346"/>
      <c r="G2" s="346"/>
      <c r="H2" s="346"/>
      <c r="I2" s="346"/>
      <c r="J2" s="346"/>
      <c r="K2" s="346"/>
      <c r="L2" s="346"/>
      <c r="M2" s="346"/>
      <c r="N2" s="346"/>
      <c r="O2" s="346"/>
      <c r="P2" s="323" t="str">
        <f>'YADAO, MELENCIO'!H22</f>
        <v>LRV-060</v>
      </c>
      <c r="Q2" s="391"/>
      <c r="R2" s="391"/>
      <c r="S2" s="391"/>
      <c r="T2" s="324"/>
    </row>
    <row r="3" spans="2:75" ht="20.100000000000001" customHeight="1">
      <c r="C3" s="378" t="s">
        <v>231</v>
      </c>
      <c r="D3" s="378"/>
      <c r="E3" s="378"/>
      <c r="F3" s="378"/>
      <c r="G3" s="378"/>
      <c r="H3" s="378"/>
      <c r="I3" s="378"/>
      <c r="J3" s="378"/>
      <c r="K3" s="378"/>
      <c r="L3" s="378"/>
      <c r="M3" s="378"/>
      <c r="N3" s="378"/>
      <c r="O3" s="378"/>
      <c r="P3" s="378"/>
      <c r="Q3" s="378"/>
      <c r="R3" s="378"/>
      <c r="S3" s="378"/>
      <c r="T3" s="378"/>
      <c r="U3" s="378"/>
      <c r="V3" s="378"/>
      <c r="W3" s="378"/>
      <c r="X3" s="378"/>
      <c r="Y3" s="378"/>
      <c r="Z3" s="378"/>
      <c r="AA3" s="378"/>
      <c r="AB3" s="378"/>
      <c r="AC3" s="378"/>
      <c r="AD3" s="378"/>
      <c r="AE3" s="378"/>
      <c r="AF3" s="378"/>
      <c r="AG3" s="378"/>
      <c r="AH3" s="378"/>
      <c r="AI3" s="378"/>
      <c r="AJ3" s="378"/>
      <c r="AK3" s="378"/>
      <c r="AL3" s="378"/>
    </row>
    <row r="4" spans="2:75" ht="20.100000000000001" customHeight="1">
      <c r="B4" s="367">
        <f>'YADAO, MELENCIO'!C3</f>
        <v>22799.94860170356</v>
      </c>
      <c r="C4" s="367"/>
      <c r="D4" s="367"/>
      <c r="E4" s="198" t="s">
        <v>232</v>
      </c>
      <c r="F4" s="228">
        <v>24</v>
      </c>
      <c r="G4" s="378" t="s">
        <v>233</v>
      </c>
      <c r="H4" s="378"/>
      <c r="I4" s="378"/>
      <c r="J4" s="378"/>
      <c r="K4" s="378"/>
      <c r="L4" s="378"/>
      <c r="M4" s="378"/>
      <c r="N4" s="378"/>
      <c r="O4" s="378"/>
      <c r="P4" s="378"/>
      <c r="Q4" s="378"/>
      <c r="R4" s="378"/>
      <c r="S4" s="378"/>
      <c r="T4" s="367">
        <f>'YADAO, MELENCIO'!C1</f>
        <v>949.99785840431502</v>
      </c>
      <c r="U4" s="367"/>
      <c r="V4" s="378" t="s">
        <v>241</v>
      </c>
      <c r="W4" s="378"/>
      <c r="X4" s="378"/>
      <c r="Y4" s="378"/>
      <c r="Z4" s="378"/>
      <c r="AA4" s="378"/>
      <c r="AB4" s="378"/>
      <c r="AC4" s="378"/>
      <c r="AD4" s="378"/>
      <c r="AE4" s="378"/>
      <c r="AF4" s="378"/>
      <c r="AG4" s="378"/>
      <c r="AH4" s="378"/>
      <c r="AI4" s="378"/>
      <c r="AJ4" s="378"/>
      <c r="AK4" s="378"/>
      <c r="AL4" s="378"/>
      <c r="AN4" s="164"/>
      <c r="AO4" s="172"/>
      <c r="AP4" s="172"/>
      <c r="AQ4" s="172"/>
      <c r="AR4" s="172"/>
      <c r="AS4" s="172"/>
      <c r="AT4" s="172"/>
      <c r="AU4" s="172"/>
      <c r="AV4" s="172"/>
      <c r="AW4" s="172"/>
      <c r="AX4" s="172"/>
      <c r="AY4" s="172"/>
      <c r="AZ4" s="172"/>
      <c r="BA4" s="172"/>
      <c r="BB4" s="172"/>
      <c r="BC4" s="172"/>
      <c r="BD4" s="172"/>
      <c r="BE4" s="172"/>
      <c r="BF4" s="172"/>
      <c r="BG4" s="172"/>
      <c r="BH4" s="172"/>
      <c r="BI4" s="172"/>
      <c r="BJ4" s="172"/>
      <c r="BK4" s="172"/>
      <c r="BL4" s="172"/>
      <c r="BM4" s="172"/>
      <c r="BN4" s="172"/>
      <c r="BO4" s="172"/>
      <c r="BP4" s="172"/>
      <c r="BQ4" s="172"/>
      <c r="BR4" s="173"/>
      <c r="BS4" s="173"/>
      <c r="BT4" s="173"/>
      <c r="BU4" s="173"/>
      <c r="BV4" s="173"/>
      <c r="BW4" s="174"/>
    </row>
    <row r="5" spans="2:75" ht="20.100000000000001" customHeight="1">
      <c r="B5" s="392">
        <f>'YADAO, MELENCIO'!B28</f>
        <v>46125</v>
      </c>
      <c r="C5" s="392"/>
      <c r="D5" s="392"/>
      <c r="E5" s="392"/>
      <c r="F5" s="378" t="s">
        <v>234</v>
      </c>
      <c r="G5" s="378"/>
      <c r="H5" s="378"/>
      <c r="I5" s="378"/>
      <c r="J5" s="378"/>
      <c r="K5" s="378"/>
      <c r="L5" s="378"/>
      <c r="M5" s="378"/>
      <c r="N5" s="378"/>
      <c r="O5" s="378"/>
      <c r="P5" s="378"/>
      <c r="Q5" s="378"/>
      <c r="R5" s="378"/>
      <c r="S5" s="378"/>
      <c r="T5" s="378"/>
      <c r="U5" s="378"/>
      <c r="V5" s="378"/>
      <c r="W5" s="378"/>
      <c r="X5" s="378"/>
      <c r="Y5" s="378"/>
      <c r="Z5" s="378"/>
      <c r="AA5" s="378"/>
      <c r="AB5" s="378"/>
      <c r="AC5" s="378"/>
      <c r="AD5" s="378"/>
      <c r="AE5" s="378"/>
      <c r="AF5" s="378"/>
      <c r="AG5" s="378"/>
      <c r="AH5" s="378"/>
      <c r="AI5" s="378"/>
      <c r="AJ5" s="378"/>
      <c r="AK5" s="378"/>
      <c r="AL5" s="378"/>
      <c r="AN5" s="175"/>
      <c r="AO5" s="176"/>
      <c r="AP5" s="176"/>
      <c r="AQ5" s="174"/>
      <c r="AR5" s="172"/>
      <c r="AS5" s="175"/>
      <c r="AT5" s="176"/>
      <c r="AU5" s="176"/>
      <c r="AV5" s="174"/>
      <c r="AW5" s="172"/>
      <c r="AX5" s="172"/>
      <c r="AY5" s="172"/>
      <c r="AZ5" s="172"/>
      <c r="BA5" s="172"/>
      <c r="BB5" s="172"/>
      <c r="BC5" s="172"/>
      <c r="BD5" s="172"/>
      <c r="BE5" s="172"/>
      <c r="BF5" s="172"/>
      <c r="BG5" s="172"/>
      <c r="BH5" s="173"/>
      <c r="BI5" s="173"/>
      <c r="BJ5" s="173"/>
      <c r="BK5" s="173"/>
      <c r="BL5" s="173"/>
      <c r="BM5" s="172"/>
      <c r="BN5" s="172"/>
      <c r="BO5" s="172"/>
      <c r="BP5" s="172"/>
      <c r="BQ5" s="172"/>
      <c r="BR5" s="172"/>
      <c r="BS5" s="177"/>
      <c r="BT5" s="177"/>
      <c r="BU5" s="178"/>
      <c r="BV5" s="179"/>
      <c r="BW5" s="179"/>
    </row>
    <row r="6" spans="2:75" ht="20.100000000000001" customHeight="1">
      <c r="B6" s="378" t="s">
        <v>235</v>
      </c>
      <c r="C6" s="378"/>
      <c r="D6" s="378"/>
      <c r="E6" s="378"/>
      <c r="F6" s="378"/>
      <c r="G6" s="378"/>
      <c r="H6" s="378"/>
      <c r="I6" s="378"/>
      <c r="J6" s="378"/>
      <c r="K6" s="378"/>
      <c r="L6" s="378"/>
      <c r="M6" s="378"/>
      <c r="N6" s="378"/>
      <c r="O6" s="378"/>
      <c r="P6" s="378"/>
      <c r="Q6" s="378"/>
      <c r="R6" s="378"/>
      <c r="S6" s="378"/>
      <c r="T6" s="378"/>
      <c r="U6" s="378"/>
      <c r="V6" s="378"/>
      <c r="W6" s="378"/>
      <c r="X6" s="378"/>
      <c r="Y6" s="378"/>
      <c r="Z6" s="378"/>
      <c r="AA6" s="378"/>
      <c r="AB6" s="378"/>
      <c r="AC6" s="378"/>
      <c r="AD6" s="378"/>
      <c r="AE6" s="378"/>
      <c r="AF6" s="378"/>
      <c r="AG6" s="378"/>
      <c r="AH6" s="378"/>
      <c r="AI6" s="378"/>
      <c r="AJ6" s="378"/>
      <c r="AK6" s="378"/>
      <c r="AL6" s="378"/>
      <c r="AN6" s="174"/>
      <c r="AO6" s="179"/>
      <c r="AP6" s="179"/>
      <c r="AQ6" s="179"/>
      <c r="AR6" s="179"/>
      <c r="AS6" s="179"/>
      <c r="AT6" s="177"/>
      <c r="AU6" s="177"/>
      <c r="AV6" s="177"/>
      <c r="AW6" s="177"/>
      <c r="AX6" s="177"/>
      <c r="AY6" s="180"/>
      <c r="AZ6" s="177"/>
      <c r="BA6" s="177"/>
      <c r="BB6" s="174"/>
      <c r="BC6" s="179"/>
      <c r="BD6" s="179"/>
      <c r="BE6" s="179"/>
      <c r="BF6" s="179"/>
      <c r="BG6" s="172"/>
      <c r="BH6" s="172"/>
      <c r="BI6" s="172"/>
      <c r="BJ6" s="172"/>
      <c r="BK6" s="172"/>
      <c r="BL6" s="174"/>
      <c r="BM6" s="179"/>
      <c r="BN6" s="172"/>
      <c r="BO6" s="172"/>
      <c r="BP6" s="172"/>
      <c r="BQ6" s="172"/>
      <c r="BR6" s="179"/>
      <c r="BS6" s="179"/>
      <c r="BT6" s="179"/>
      <c r="BU6" s="179"/>
      <c r="BV6" s="179"/>
      <c r="BW6" s="179"/>
    </row>
    <row r="7" spans="2:75" ht="20.100000000000001" customHeight="1">
      <c r="B7" s="378" t="s">
        <v>194</v>
      </c>
      <c r="C7" s="378"/>
      <c r="D7" s="378"/>
      <c r="E7" s="378"/>
      <c r="F7" s="378"/>
      <c r="G7" s="378"/>
      <c r="H7" s="378"/>
      <c r="I7" s="378"/>
      <c r="J7" s="378"/>
      <c r="K7" s="378"/>
      <c r="L7" s="378"/>
      <c r="M7" s="378"/>
      <c r="N7" s="378"/>
      <c r="O7" s="378"/>
      <c r="P7" s="378"/>
      <c r="Q7" s="378"/>
      <c r="R7" s="378"/>
      <c r="S7" s="378"/>
      <c r="T7" s="378"/>
      <c r="U7" s="378"/>
      <c r="V7" s="378"/>
      <c r="W7" s="378"/>
      <c r="X7" s="378"/>
      <c r="Y7" s="378"/>
      <c r="Z7" s="378"/>
      <c r="AA7" s="378"/>
      <c r="AB7" s="378"/>
      <c r="AC7" s="378"/>
      <c r="AD7" s="378"/>
      <c r="AE7" s="378"/>
      <c r="AF7" s="378"/>
      <c r="AG7" s="378"/>
      <c r="AH7" s="378"/>
      <c r="AI7" s="378"/>
      <c r="AJ7" s="378"/>
      <c r="AK7" s="378"/>
      <c r="AN7" s="174"/>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c r="BS7" s="179"/>
      <c r="BT7" s="179"/>
      <c r="BU7" s="179"/>
      <c r="BV7" s="179"/>
      <c r="BW7" s="179"/>
    </row>
    <row r="8" spans="2:75" ht="20.100000000000001" customHeight="1">
      <c r="B8" s="378"/>
      <c r="C8" s="378"/>
      <c r="D8" s="378"/>
      <c r="E8" s="378"/>
      <c r="F8" s="378"/>
      <c r="G8" s="378"/>
      <c r="H8" s="378"/>
      <c r="I8" s="378"/>
      <c r="J8" s="378"/>
      <c r="K8" s="378"/>
      <c r="L8" s="378"/>
      <c r="M8" s="378"/>
      <c r="N8" s="378"/>
      <c r="O8" s="378"/>
      <c r="P8" s="378"/>
      <c r="Q8" s="378"/>
      <c r="R8" s="378"/>
      <c r="S8" s="378"/>
      <c r="T8" s="378"/>
      <c r="U8" s="378"/>
      <c r="V8" s="378"/>
      <c r="W8" s="378"/>
      <c r="X8" s="378"/>
      <c r="Y8" s="378"/>
      <c r="Z8" s="378"/>
      <c r="AA8" s="378"/>
      <c r="AB8" s="378"/>
      <c r="AC8" s="378"/>
      <c r="AD8" s="378"/>
      <c r="AE8" s="378"/>
      <c r="AF8" s="378"/>
      <c r="AG8" s="378"/>
      <c r="AH8" s="378"/>
      <c r="AI8" s="378"/>
      <c r="AJ8" s="378"/>
      <c r="AK8" s="378"/>
      <c r="AN8" s="179"/>
      <c r="AO8" s="174"/>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row>
    <row r="9" spans="2:75" ht="20.100000000000001" customHeight="1">
      <c r="B9" s="378"/>
      <c r="C9" s="378"/>
      <c r="D9" s="378"/>
      <c r="E9" s="378"/>
      <c r="F9" s="378"/>
      <c r="G9" s="378"/>
      <c r="H9" s="378"/>
      <c r="I9" s="378"/>
      <c r="J9" s="378"/>
      <c r="K9" s="378"/>
      <c r="L9" s="378"/>
      <c r="M9" s="378"/>
      <c r="N9" s="378"/>
      <c r="O9" s="378"/>
      <c r="P9" s="378"/>
      <c r="Q9" s="378"/>
      <c r="R9" s="378"/>
      <c r="S9" s="378"/>
      <c r="T9" s="378"/>
      <c r="U9" s="378"/>
      <c r="V9" s="378"/>
      <c r="W9" s="378"/>
      <c r="X9" s="378"/>
      <c r="Y9" s="378"/>
      <c r="Z9" s="378"/>
      <c r="AA9" s="378"/>
      <c r="AB9" s="378"/>
      <c r="AC9" s="378"/>
      <c r="AD9" s="378"/>
      <c r="AE9" s="378"/>
      <c r="AF9" s="378"/>
      <c r="AG9" s="378"/>
      <c r="AH9" s="378"/>
      <c r="AI9" s="378"/>
      <c r="AJ9" s="378"/>
      <c r="AK9" s="378"/>
      <c r="AN9" s="174"/>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row>
    <row r="10" spans="2:75" ht="20.100000000000001" customHeight="1">
      <c r="B10" s="378" t="s">
        <v>195</v>
      </c>
      <c r="C10" s="378"/>
      <c r="D10" s="378"/>
      <c r="E10" s="378"/>
      <c r="F10" s="378"/>
      <c r="G10" s="378"/>
      <c r="H10" s="378"/>
      <c r="I10" s="378"/>
      <c r="J10" s="378"/>
      <c r="K10" s="378"/>
      <c r="L10" s="378"/>
      <c r="M10" s="378"/>
      <c r="N10" s="378"/>
      <c r="O10" s="378"/>
      <c r="P10" s="378"/>
      <c r="Q10" s="378"/>
      <c r="R10" s="378"/>
      <c r="S10" s="378"/>
      <c r="T10" s="378"/>
      <c r="U10" s="378"/>
      <c r="V10" s="378"/>
      <c r="W10" s="378"/>
      <c r="X10" s="378"/>
      <c r="Y10" s="378"/>
      <c r="Z10" s="378"/>
      <c r="AA10" s="378"/>
      <c r="AB10" s="378"/>
      <c r="AC10" s="378"/>
      <c r="AD10" s="378"/>
      <c r="AE10" s="378"/>
      <c r="AF10" s="378"/>
      <c r="AG10" s="378"/>
      <c r="AH10" s="378"/>
      <c r="AI10" s="378"/>
      <c r="AJ10" s="378"/>
      <c r="AK10" s="378"/>
      <c r="AN10" s="179"/>
      <c r="AO10" s="172"/>
      <c r="AP10" s="172"/>
      <c r="AQ10" s="172"/>
      <c r="AR10" s="172"/>
      <c r="AS10" s="172"/>
      <c r="AT10" s="172"/>
      <c r="AU10" s="172"/>
      <c r="AV10" s="172"/>
      <c r="AW10" s="172"/>
      <c r="AX10" s="172"/>
      <c r="AY10" s="172"/>
      <c r="AZ10" s="172"/>
      <c r="BA10" s="172"/>
      <c r="BB10" s="172"/>
      <c r="BC10" s="172"/>
      <c r="BD10" s="172"/>
      <c r="BE10" s="172"/>
      <c r="BF10" s="172"/>
      <c r="BG10" s="172"/>
      <c r="BH10" s="172"/>
      <c r="BI10" s="172"/>
      <c r="BJ10" s="172"/>
      <c r="BK10" s="172"/>
      <c r="BL10" s="172"/>
      <c r="BM10" s="172"/>
      <c r="BN10" s="172"/>
      <c r="BO10" s="172"/>
      <c r="BP10" s="172"/>
      <c r="BQ10" s="172"/>
      <c r="BR10" s="172"/>
      <c r="BS10" s="172"/>
      <c r="BT10" s="172"/>
      <c r="BU10" s="172"/>
      <c r="BV10" s="172"/>
      <c r="BW10" s="172"/>
    </row>
    <row r="11" spans="2:75" ht="20.100000000000001" customHeight="1">
      <c r="B11" s="378"/>
      <c r="C11" s="378"/>
      <c r="D11" s="378"/>
      <c r="E11" s="378"/>
      <c r="F11" s="378"/>
      <c r="G11" s="378"/>
      <c r="H11" s="378"/>
      <c r="I11" s="378"/>
      <c r="J11" s="378"/>
      <c r="K11" s="378"/>
      <c r="L11" s="378"/>
      <c r="M11" s="378"/>
      <c r="N11" s="378"/>
      <c r="O11" s="378"/>
      <c r="P11" s="378"/>
      <c r="Q11" s="378"/>
      <c r="R11" s="378"/>
      <c r="S11" s="378"/>
      <c r="T11" s="378"/>
      <c r="U11" s="378"/>
      <c r="V11" s="378"/>
      <c r="W11" s="378"/>
      <c r="X11" s="378"/>
      <c r="Y11" s="378"/>
      <c r="Z11" s="378"/>
      <c r="AA11" s="378"/>
      <c r="AB11" s="378"/>
      <c r="AC11" s="378"/>
      <c r="AD11" s="378"/>
      <c r="AE11" s="378"/>
      <c r="AF11" s="378"/>
      <c r="AG11" s="378"/>
      <c r="AH11" s="378"/>
      <c r="AI11" s="378"/>
      <c r="AJ11" s="378"/>
      <c r="AK11" s="378"/>
      <c r="AN11" s="174"/>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row>
    <row r="12" spans="2:75" ht="20.100000000000001" customHeight="1">
      <c r="B12" s="378"/>
      <c r="C12" s="378"/>
      <c r="D12" s="378"/>
      <c r="E12" s="378"/>
      <c r="F12" s="378"/>
      <c r="G12" s="378"/>
      <c r="H12" s="378"/>
      <c r="I12" s="378"/>
      <c r="J12" s="378"/>
      <c r="K12" s="378"/>
      <c r="L12" s="378"/>
      <c r="M12" s="378"/>
      <c r="N12" s="378"/>
      <c r="O12" s="378"/>
      <c r="P12" s="378"/>
      <c r="Q12" s="378"/>
      <c r="R12" s="378"/>
      <c r="S12" s="378"/>
      <c r="T12" s="378"/>
      <c r="U12" s="378"/>
      <c r="V12" s="378"/>
      <c r="W12" s="378"/>
      <c r="X12" s="378"/>
      <c r="Y12" s="378"/>
      <c r="Z12" s="378"/>
      <c r="AA12" s="378"/>
      <c r="AB12" s="378"/>
      <c r="AC12" s="378"/>
      <c r="AD12" s="378"/>
      <c r="AE12" s="378"/>
      <c r="AF12" s="378"/>
      <c r="AG12" s="378"/>
      <c r="AH12" s="378"/>
      <c r="AI12" s="378"/>
      <c r="AJ12" s="378"/>
      <c r="AK12" s="378"/>
      <c r="AN12" s="179"/>
      <c r="AO12" s="174"/>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row>
    <row r="13" spans="2:75" ht="20.100000000000001" customHeight="1">
      <c r="B13" s="378" t="s">
        <v>196</v>
      </c>
      <c r="C13" s="378"/>
      <c r="D13" s="378"/>
      <c r="E13" s="378"/>
      <c r="F13" s="378"/>
      <c r="G13" s="378"/>
      <c r="H13" s="378"/>
      <c r="I13" s="378"/>
      <c r="J13" s="378"/>
      <c r="K13" s="378"/>
      <c r="L13" s="378"/>
      <c r="M13" s="378"/>
      <c r="N13" s="378"/>
      <c r="O13" s="378"/>
      <c r="P13" s="378"/>
      <c r="Q13" s="378"/>
      <c r="R13" s="378"/>
      <c r="S13" s="378"/>
      <c r="T13" s="378"/>
      <c r="U13" s="378"/>
      <c r="V13" s="378"/>
      <c r="W13" s="378"/>
      <c r="X13" s="378"/>
      <c r="Y13" s="378"/>
      <c r="Z13" s="378"/>
      <c r="AA13" s="378"/>
      <c r="AB13" s="378"/>
      <c r="AC13" s="378"/>
      <c r="AD13" s="378"/>
      <c r="AE13" s="378"/>
      <c r="AF13" s="378"/>
      <c r="AG13" s="378"/>
      <c r="AH13" s="378"/>
      <c r="AI13" s="378"/>
      <c r="AJ13" s="378"/>
      <c r="AK13" s="378"/>
      <c r="AN13" s="172"/>
      <c r="AO13" s="172"/>
      <c r="AP13" s="172"/>
      <c r="AQ13" s="172"/>
      <c r="AR13" s="172"/>
      <c r="AS13" s="172"/>
      <c r="AT13" s="172"/>
      <c r="AU13" s="172"/>
      <c r="AV13" s="172"/>
      <c r="AW13" s="172"/>
      <c r="AX13" s="172"/>
      <c r="AY13" s="172"/>
      <c r="AZ13" s="172"/>
      <c r="BA13" s="172"/>
      <c r="BB13" s="172"/>
      <c r="BC13" s="172"/>
      <c r="BD13" s="172"/>
      <c r="BE13" s="172"/>
      <c r="BF13" s="172"/>
      <c r="BG13" s="172"/>
      <c r="BH13" s="172"/>
      <c r="BI13" s="172"/>
      <c r="BJ13" s="172"/>
      <c r="BK13" s="172"/>
      <c r="BL13" s="172"/>
      <c r="BM13" s="172"/>
      <c r="BN13" s="172"/>
      <c r="BO13" s="172"/>
      <c r="BP13" s="172"/>
      <c r="BQ13" s="172"/>
      <c r="BR13" s="172"/>
      <c r="BS13" s="172"/>
      <c r="BT13" s="172"/>
      <c r="BU13" s="172"/>
      <c r="BV13" s="172"/>
      <c r="BW13" s="172"/>
    </row>
    <row r="14" spans="2:75" ht="20.100000000000001" customHeight="1">
      <c r="B14" s="378"/>
      <c r="C14" s="378"/>
      <c r="D14" s="378"/>
      <c r="E14" s="378"/>
      <c r="F14" s="378"/>
      <c r="G14" s="378"/>
      <c r="H14" s="378"/>
      <c r="I14" s="378"/>
      <c r="J14" s="378"/>
      <c r="K14" s="378"/>
      <c r="L14" s="378"/>
      <c r="M14" s="378"/>
      <c r="N14" s="378"/>
      <c r="O14" s="378"/>
      <c r="P14" s="378"/>
      <c r="Q14" s="378"/>
      <c r="R14" s="378"/>
      <c r="S14" s="378"/>
      <c r="T14" s="378"/>
      <c r="U14" s="378"/>
      <c r="V14" s="378"/>
      <c r="W14" s="378"/>
      <c r="X14" s="378"/>
      <c r="Y14" s="378"/>
      <c r="Z14" s="378"/>
      <c r="AA14" s="378"/>
      <c r="AB14" s="378"/>
      <c r="AC14" s="378"/>
      <c r="AD14" s="378"/>
      <c r="AE14" s="378"/>
      <c r="AF14" s="378"/>
      <c r="AG14" s="378"/>
      <c r="AH14" s="378"/>
      <c r="AI14" s="378"/>
      <c r="AJ14" s="378"/>
      <c r="AK14" s="378"/>
      <c r="AN14" s="174"/>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row>
    <row r="15" spans="2:75" ht="20.100000000000001" customHeight="1">
      <c r="B15" s="378"/>
      <c r="C15" s="378"/>
      <c r="D15" s="378"/>
      <c r="E15" s="378"/>
      <c r="F15" s="378"/>
      <c r="G15" s="378"/>
      <c r="H15" s="378"/>
      <c r="I15" s="378"/>
      <c r="J15" s="378"/>
      <c r="K15" s="378"/>
      <c r="L15" s="378"/>
      <c r="M15" s="378"/>
      <c r="N15" s="378"/>
      <c r="O15" s="378"/>
      <c r="P15" s="378"/>
      <c r="Q15" s="378"/>
      <c r="R15" s="378"/>
      <c r="S15" s="378"/>
      <c r="T15" s="378"/>
      <c r="U15" s="378"/>
      <c r="V15" s="378"/>
      <c r="W15" s="378"/>
      <c r="X15" s="378"/>
      <c r="Y15" s="378"/>
      <c r="Z15" s="378"/>
      <c r="AA15" s="378"/>
      <c r="AB15" s="378"/>
      <c r="AC15" s="378"/>
      <c r="AD15" s="378"/>
      <c r="AE15" s="378"/>
      <c r="AF15" s="378"/>
      <c r="AG15" s="378"/>
      <c r="AH15" s="378"/>
      <c r="AI15" s="378"/>
      <c r="AJ15" s="378"/>
      <c r="AK15" s="378"/>
      <c r="AN15" s="174"/>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row>
    <row r="16" spans="2:75" ht="20.100000000000001" customHeight="1">
      <c r="B16" s="378"/>
      <c r="C16" s="378"/>
      <c r="D16" s="378"/>
      <c r="E16" s="378"/>
      <c r="F16" s="378"/>
      <c r="G16" s="378"/>
      <c r="H16" s="378"/>
      <c r="I16" s="378"/>
      <c r="J16" s="378"/>
      <c r="K16" s="378"/>
      <c r="L16" s="378"/>
      <c r="M16" s="378"/>
      <c r="N16" s="378"/>
      <c r="O16" s="378"/>
      <c r="P16" s="378"/>
      <c r="Q16" s="378"/>
      <c r="R16" s="378"/>
      <c r="S16" s="378"/>
      <c r="T16" s="378"/>
      <c r="U16" s="378"/>
      <c r="V16" s="378"/>
      <c r="W16" s="378"/>
      <c r="X16" s="378"/>
      <c r="Y16" s="378"/>
      <c r="Z16" s="378"/>
      <c r="AA16" s="378"/>
      <c r="AB16" s="378"/>
      <c r="AC16" s="378"/>
      <c r="AD16" s="378"/>
      <c r="AE16" s="378"/>
      <c r="AF16" s="378"/>
      <c r="AG16" s="378"/>
      <c r="AH16" s="378"/>
      <c r="AI16" s="378"/>
      <c r="AJ16" s="378"/>
      <c r="AK16" s="378"/>
      <c r="AN16" s="179"/>
      <c r="AO16" s="174"/>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row>
    <row r="17" spans="2:75" ht="20.100000000000001" customHeight="1">
      <c r="B17" s="378"/>
      <c r="C17" s="378"/>
      <c r="D17" s="378"/>
      <c r="E17" s="378"/>
      <c r="F17" s="378"/>
      <c r="G17" s="378"/>
      <c r="H17" s="378"/>
      <c r="I17" s="378"/>
      <c r="J17" s="378"/>
      <c r="K17" s="378"/>
      <c r="L17" s="378"/>
      <c r="M17" s="378"/>
      <c r="N17" s="378"/>
      <c r="O17" s="378"/>
      <c r="P17" s="378"/>
      <c r="Q17" s="378"/>
      <c r="R17" s="378"/>
      <c r="S17" s="378"/>
      <c r="T17" s="378"/>
      <c r="U17" s="378"/>
      <c r="V17" s="378"/>
      <c r="W17" s="378"/>
      <c r="X17" s="378"/>
      <c r="Y17" s="378"/>
      <c r="Z17" s="378"/>
      <c r="AA17" s="378"/>
      <c r="AB17" s="378"/>
      <c r="AC17" s="378"/>
      <c r="AD17" s="378"/>
      <c r="AE17" s="378"/>
      <c r="AF17" s="378"/>
      <c r="AG17" s="378"/>
      <c r="AH17" s="378"/>
      <c r="AI17" s="378"/>
      <c r="AJ17" s="378"/>
      <c r="AK17" s="378"/>
      <c r="AN17" s="172"/>
      <c r="AO17" s="172"/>
      <c r="AP17" s="172"/>
      <c r="AQ17" s="172"/>
      <c r="AR17" s="172"/>
      <c r="AS17" s="172"/>
      <c r="AT17" s="172"/>
      <c r="AU17" s="172"/>
      <c r="AV17" s="172"/>
      <c r="AW17" s="172"/>
      <c r="AX17" s="172"/>
      <c r="AY17" s="172"/>
      <c r="AZ17" s="172"/>
      <c r="BA17" s="172"/>
      <c r="BB17" s="172"/>
      <c r="BC17" s="172"/>
      <c r="BD17" s="172"/>
      <c r="BE17" s="172"/>
      <c r="BF17" s="172"/>
      <c r="BG17" s="172"/>
      <c r="BH17" s="172"/>
      <c r="BI17" s="172"/>
      <c r="BJ17" s="172"/>
      <c r="BK17" s="172"/>
      <c r="BL17" s="172"/>
      <c r="BM17" s="172"/>
      <c r="BN17" s="172"/>
      <c r="BO17" s="172"/>
      <c r="BP17" s="172"/>
      <c r="BQ17" s="172"/>
      <c r="BR17" s="172"/>
      <c r="BS17" s="172"/>
      <c r="BT17" s="172"/>
      <c r="BU17" s="172"/>
      <c r="BV17" s="172"/>
      <c r="BW17" s="172"/>
    </row>
    <row r="18" spans="2:75" ht="20.100000000000001" customHeight="1">
      <c r="B18" s="378" t="s">
        <v>197</v>
      </c>
      <c r="C18" s="378"/>
      <c r="D18" s="378"/>
      <c r="E18" s="378"/>
      <c r="F18" s="378"/>
      <c r="G18" s="378"/>
      <c r="H18" s="378"/>
      <c r="I18" s="378"/>
      <c r="J18" s="378"/>
      <c r="K18" s="378"/>
      <c r="L18" s="378"/>
      <c r="M18" s="378"/>
      <c r="N18" s="378"/>
      <c r="O18" s="378"/>
      <c r="P18" s="378"/>
      <c r="Q18" s="378"/>
      <c r="R18" s="378"/>
      <c r="S18" s="378"/>
      <c r="T18" s="378"/>
      <c r="U18" s="378"/>
      <c r="V18" s="378"/>
      <c r="W18" s="378"/>
      <c r="X18" s="378"/>
      <c r="Y18" s="378"/>
      <c r="Z18" s="378"/>
      <c r="AA18" s="378"/>
      <c r="AB18" s="378"/>
      <c r="AC18" s="378"/>
      <c r="AD18" s="378"/>
      <c r="AE18" s="378"/>
      <c r="AF18" s="378"/>
      <c r="AG18" s="378"/>
      <c r="AH18" s="378"/>
      <c r="AI18" s="378"/>
      <c r="AJ18" s="378"/>
      <c r="AK18" s="378"/>
      <c r="AN18" s="172"/>
      <c r="AO18" s="172"/>
      <c r="AP18" s="172"/>
      <c r="AQ18" s="172"/>
      <c r="AR18" s="172"/>
      <c r="AS18" s="172"/>
      <c r="AT18" s="172"/>
      <c r="AU18" s="172"/>
      <c r="AV18" s="172"/>
      <c r="AW18" s="172"/>
      <c r="AX18" s="172"/>
      <c r="AY18" s="172"/>
      <c r="AZ18" s="172"/>
      <c r="BA18" s="172"/>
      <c r="BB18" s="172"/>
      <c r="BC18" s="172"/>
      <c r="BD18" s="172"/>
      <c r="BE18" s="172"/>
      <c r="BF18" s="172"/>
      <c r="BG18" s="172"/>
      <c r="BH18" s="172"/>
      <c r="BI18" s="172"/>
      <c r="BJ18" s="172"/>
      <c r="BK18" s="172"/>
      <c r="BL18" s="172"/>
      <c r="BM18" s="172"/>
      <c r="BN18" s="172"/>
      <c r="BO18" s="172"/>
      <c r="BP18" s="172"/>
      <c r="BQ18" s="172"/>
      <c r="BR18" s="172"/>
      <c r="BS18" s="172"/>
      <c r="BT18" s="172"/>
      <c r="BU18" s="172"/>
      <c r="BV18" s="172"/>
      <c r="BW18" s="172"/>
    </row>
    <row r="19" spans="2:75" ht="20.100000000000001" customHeight="1">
      <c r="B19" s="378"/>
      <c r="C19" s="378"/>
      <c r="D19" s="378"/>
      <c r="E19" s="378"/>
      <c r="F19" s="378"/>
      <c r="G19" s="378"/>
      <c r="H19" s="378"/>
      <c r="I19" s="378"/>
      <c r="J19" s="378"/>
      <c r="K19" s="378"/>
      <c r="L19" s="378"/>
      <c r="M19" s="378"/>
      <c r="N19" s="378"/>
      <c r="O19" s="378"/>
      <c r="P19" s="378"/>
      <c r="Q19" s="378"/>
      <c r="R19" s="378"/>
      <c r="S19" s="378"/>
      <c r="T19" s="378"/>
      <c r="U19" s="378"/>
      <c r="V19" s="378"/>
      <c r="W19" s="378"/>
      <c r="X19" s="378"/>
      <c r="Y19" s="378"/>
      <c r="Z19" s="378"/>
      <c r="AA19" s="378"/>
      <c r="AB19" s="378"/>
      <c r="AC19" s="378"/>
      <c r="AD19" s="378"/>
      <c r="AE19" s="378"/>
      <c r="AF19" s="378"/>
      <c r="AG19" s="378"/>
      <c r="AH19" s="378"/>
      <c r="AI19" s="378"/>
      <c r="AJ19" s="378"/>
      <c r="AK19" s="378"/>
      <c r="AN19" s="172"/>
      <c r="AO19" s="172"/>
      <c r="AP19" s="172"/>
      <c r="AQ19" s="172"/>
      <c r="AR19" s="172"/>
      <c r="AS19" s="172"/>
      <c r="AT19" s="172"/>
      <c r="AU19" s="172"/>
      <c r="AV19" s="172"/>
      <c r="AW19" s="172"/>
      <c r="AX19" s="172"/>
      <c r="AY19" s="172"/>
      <c r="AZ19" s="172"/>
      <c r="BA19" s="172"/>
      <c r="BB19" s="172"/>
      <c r="BC19" s="172"/>
      <c r="BD19" s="172"/>
      <c r="BE19" s="172"/>
      <c r="BF19" s="172"/>
      <c r="BG19" s="172"/>
      <c r="BH19" s="172"/>
      <c r="BI19" s="172"/>
      <c r="BJ19" s="172"/>
      <c r="BK19" s="172"/>
      <c r="BL19" s="172"/>
      <c r="BM19" s="172"/>
      <c r="BN19" s="172"/>
      <c r="BO19" s="172"/>
      <c r="BP19" s="172"/>
      <c r="BQ19" s="172"/>
      <c r="BR19" s="172"/>
      <c r="BS19" s="172"/>
      <c r="BT19" s="172"/>
      <c r="BU19" s="172"/>
      <c r="BV19" s="172"/>
      <c r="BW19" s="172"/>
    </row>
    <row r="20" spans="2:75" ht="20.100000000000001" customHeight="1">
      <c r="B20" s="378"/>
      <c r="C20" s="378"/>
      <c r="D20" s="378"/>
      <c r="E20" s="378"/>
      <c r="F20" s="378"/>
      <c r="G20" s="378"/>
      <c r="H20" s="378"/>
      <c r="I20" s="378"/>
      <c r="J20" s="378"/>
      <c r="K20" s="378"/>
      <c r="L20" s="378"/>
      <c r="M20" s="378"/>
      <c r="N20" s="378"/>
      <c r="O20" s="378"/>
      <c r="P20" s="378"/>
      <c r="Q20" s="378"/>
      <c r="R20" s="378"/>
      <c r="S20" s="378"/>
      <c r="T20" s="378"/>
      <c r="U20" s="378"/>
      <c r="V20" s="378"/>
      <c r="W20" s="378"/>
      <c r="X20" s="378"/>
      <c r="Y20" s="378"/>
      <c r="Z20" s="378"/>
      <c r="AA20" s="378"/>
      <c r="AB20" s="378"/>
      <c r="AC20" s="378"/>
      <c r="AD20" s="378"/>
      <c r="AE20" s="378"/>
      <c r="AF20" s="378"/>
      <c r="AG20" s="378"/>
      <c r="AH20" s="378"/>
      <c r="AI20" s="378"/>
      <c r="AJ20" s="378"/>
      <c r="AK20" s="378"/>
      <c r="AN20" s="174"/>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row>
    <row r="21" spans="2:75" ht="20.100000000000001" customHeight="1">
      <c r="B21" s="378"/>
      <c r="C21" s="378"/>
      <c r="D21" s="378"/>
      <c r="E21" s="378"/>
      <c r="F21" s="378"/>
      <c r="G21" s="378"/>
      <c r="H21" s="378"/>
      <c r="I21" s="378"/>
      <c r="J21" s="378"/>
      <c r="K21" s="378"/>
      <c r="L21" s="378"/>
      <c r="M21" s="378"/>
      <c r="N21" s="378"/>
      <c r="O21" s="378"/>
      <c r="P21" s="378"/>
      <c r="Q21" s="378"/>
      <c r="R21" s="378"/>
      <c r="S21" s="378"/>
      <c r="T21" s="378"/>
      <c r="U21" s="378"/>
      <c r="V21" s="378"/>
      <c r="W21" s="378"/>
      <c r="X21" s="378"/>
      <c r="Y21" s="378"/>
      <c r="Z21" s="378"/>
      <c r="AA21" s="378"/>
      <c r="AB21" s="378"/>
      <c r="AC21" s="378"/>
      <c r="AD21" s="378"/>
      <c r="AE21" s="378"/>
      <c r="AF21" s="378"/>
      <c r="AG21" s="378"/>
      <c r="AH21" s="378"/>
      <c r="AI21" s="378"/>
      <c r="AJ21" s="378"/>
      <c r="AK21" s="378"/>
      <c r="AN21" s="174"/>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row>
    <row r="22" spans="2:75" ht="20.100000000000001" customHeight="1">
      <c r="B22" s="181"/>
      <c r="C22" s="181"/>
      <c r="D22" s="181"/>
      <c r="E22" s="181"/>
      <c r="F22" s="181"/>
      <c r="G22" s="181"/>
      <c r="H22" s="181"/>
      <c r="I22" s="181"/>
      <c r="J22" s="181"/>
      <c r="K22" s="181"/>
      <c r="L22" s="181"/>
      <c r="M22" s="181"/>
      <c r="N22" s="181"/>
      <c r="O22" s="181"/>
      <c r="P22" s="182"/>
      <c r="Q22" s="160" t="s">
        <v>198</v>
      </c>
      <c r="S22" s="183"/>
      <c r="V22" s="181"/>
      <c r="W22" s="181"/>
      <c r="X22" s="181"/>
      <c r="Y22" s="181"/>
      <c r="Z22" s="379"/>
      <c r="AA22" s="380"/>
      <c r="AB22" s="380"/>
      <c r="AC22" s="380"/>
      <c r="AD22" s="381"/>
      <c r="AE22" s="181"/>
      <c r="AF22" s="379"/>
      <c r="AG22" s="380"/>
      <c r="AH22" s="380"/>
      <c r="AI22" s="380"/>
      <c r="AJ22" s="381"/>
      <c r="AK22" s="181"/>
    </row>
    <row r="23" spans="2:75" ht="20.100000000000001" customHeight="1">
      <c r="P23" s="182"/>
      <c r="Q23" s="160" t="s">
        <v>199</v>
      </c>
      <c r="Z23" s="382"/>
      <c r="AA23" s="383"/>
      <c r="AB23" s="383"/>
      <c r="AC23" s="383"/>
      <c r="AD23" s="384"/>
      <c r="AF23" s="382"/>
      <c r="AG23" s="383"/>
      <c r="AH23" s="383"/>
      <c r="AI23" s="383"/>
      <c r="AJ23" s="384"/>
    </row>
    <row r="24" spans="2:75" ht="20.100000000000001" customHeight="1">
      <c r="P24" s="182"/>
      <c r="Q24" s="160" t="s">
        <v>200</v>
      </c>
      <c r="Z24" s="382"/>
      <c r="AA24" s="383"/>
      <c r="AB24" s="383"/>
      <c r="AC24" s="383"/>
      <c r="AD24" s="384"/>
      <c r="AF24" s="382"/>
      <c r="AG24" s="383"/>
      <c r="AH24" s="383"/>
      <c r="AI24" s="383"/>
      <c r="AJ24" s="384"/>
    </row>
    <row r="25" spans="2:75" ht="20.100000000000001" customHeight="1" thickBot="1">
      <c r="D25" s="390" t="str">
        <f>'YADAO, MELENCIO'!D22</f>
        <v>YADAO, MELENCIO C.</v>
      </c>
      <c r="E25" s="390"/>
      <c r="F25" s="390"/>
      <c r="G25" s="390"/>
      <c r="H25" s="390"/>
      <c r="I25" s="390"/>
      <c r="J25" s="390"/>
      <c r="K25" s="390"/>
      <c r="L25" s="390"/>
      <c r="P25" s="182"/>
      <c r="Q25" s="160" t="s">
        <v>116</v>
      </c>
      <c r="S25" s="184"/>
      <c r="T25" s="184"/>
      <c r="U25" s="184"/>
      <c r="Z25" s="382"/>
      <c r="AA25" s="383"/>
      <c r="AB25" s="383"/>
      <c r="AC25" s="383"/>
      <c r="AD25" s="384"/>
      <c r="AF25" s="382"/>
      <c r="AG25" s="383"/>
      <c r="AH25" s="383"/>
      <c r="AI25" s="383"/>
      <c r="AJ25" s="384"/>
    </row>
    <row r="26" spans="2:75" ht="20.100000000000001" customHeight="1">
      <c r="B26" s="388" t="s">
        <v>201</v>
      </c>
      <c r="C26" s="388"/>
      <c r="D26" s="388"/>
      <c r="E26" s="388"/>
      <c r="F26" s="388"/>
      <c r="G26" s="388"/>
      <c r="H26" s="388"/>
      <c r="I26" s="388"/>
      <c r="J26" s="388"/>
      <c r="K26" s="388"/>
      <c r="L26" s="388"/>
      <c r="M26" s="388"/>
      <c r="N26" s="388"/>
      <c r="Z26" s="382"/>
      <c r="AA26" s="383"/>
      <c r="AB26" s="383"/>
      <c r="AC26" s="383"/>
      <c r="AD26" s="384"/>
      <c r="AF26" s="382"/>
      <c r="AG26" s="383"/>
      <c r="AH26" s="383"/>
      <c r="AI26" s="383"/>
      <c r="AJ26" s="384"/>
    </row>
    <row r="27" spans="2:75" ht="20.100000000000001" customHeight="1">
      <c r="B27" s="131"/>
      <c r="Z27" s="382"/>
      <c r="AA27" s="383"/>
      <c r="AB27" s="383"/>
      <c r="AC27" s="383"/>
      <c r="AD27" s="384"/>
      <c r="AF27" s="382"/>
      <c r="AG27" s="383"/>
      <c r="AH27" s="383"/>
      <c r="AI27" s="383"/>
      <c r="AJ27" s="384"/>
    </row>
    <row r="28" spans="2:75" ht="20.100000000000001" customHeight="1" thickBot="1">
      <c r="B28" s="160" t="s">
        <v>202</v>
      </c>
      <c r="D28" s="201">
        <f>'YADAO, MELENCIO'!D23</f>
        <v>716611</v>
      </c>
      <c r="E28" s="184"/>
      <c r="F28" s="184"/>
      <c r="G28" s="184"/>
      <c r="H28" s="184"/>
      <c r="I28" s="184"/>
      <c r="J28" s="184"/>
      <c r="K28" s="184"/>
      <c r="L28" s="184"/>
      <c r="M28" s="184"/>
      <c r="Z28" s="385"/>
      <c r="AA28" s="386"/>
      <c r="AB28" s="386"/>
      <c r="AC28" s="386"/>
      <c r="AD28" s="387"/>
      <c r="AF28" s="385"/>
      <c r="AG28" s="386"/>
      <c r="AH28" s="386"/>
      <c r="AI28" s="386"/>
      <c r="AJ28" s="387"/>
    </row>
    <row r="29" spans="2:75" ht="20.100000000000001" customHeight="1" thickBot="1">
      <c r="B29" s="160" t="s">
        <v>203</v>
      </c>
      <c r="F29" s="185"/>
      <c r="G29" s="185"/>
      <c r="H29" s="185"/>
      <c r="I29" s="185"/>
      <c r="J29" s="185"/>
      <c r="K29" s="185"/>
      <c r="L29" s="185"/>
      <c r="M29" s="185"/>
      <c r="Z29" s="389" t="s">
        <v>204</v>
      </c>
      <c r="AA29" s="389"/>
      <c r="AB29" s="389"/>
      <c r="AC29" s="389"/>
      <c r="AD29" s="389"/>
      <c r="AF29" s="389" t="s">
        <v>205</v>
      </c>
      <c r="AG29" s="389"/>
      <c r="AH29" s="389"/>
      <c r="AI29" s="389"/>
      <c r="AJ29" s="389"/>
    </row>
    <row r="32" spans="2:75" ht="20.100000000000001" customHeight="1">
      <c r="B32" s="369" t="s">
        <v>206</v>
      </c>
      <c r="C32" s="370"/>
      <c r="D32" s="370"/>
      <c r="E32" s="370"/>
      <c r="F32" s="370"/>
      <c r="G32" s="370"/>
      <c r="H32" s="370"/>
      <c r="I32" s="370"/>
      <c r="J32" s="370"/>
      <c r="K32" s="370"/>
      <c r="L32" s="370"/>
      <c r="M32" s="370"/>
      <c r="N32" s="370"/>
      <c r="O32" s="370"/>
      <c r="P32" s="370"/>
      <c r="Q32" s="370"/>
      <c r="R32" s="370"/>
      <c r="S32" s="370"/>
      <c r="T32" s="370"/>
      <c r="U32" s="370"/>
      <c r="V32" s="370"/>
      <c r="W32" s="370"/>
      <c r="X32" s="370"/>
      <c r="Y32" s="370"/>
      <c r="Z32" s="370"/>
      <c r="AA32" s="370"/>
      <c r="AB32" s="370"/>
      <c r="AC32" s="370"/>
      <c r="AD32" s="370"/>
      <c r="AE32" s="370"/>
      <c r="AF32" s="370"/>
      <c r="AG32" s="370"/>
      <c r="AH32" s="370"/>
      <c r="AI32" s="370"/>
      <c r="AJ32" s="370"/>
      <c r="AK32" s="370"/>
    </row>
    <row r="34" spans="2:75" ht="20.100000000000001" customHeight="1">
      <c r="B34" s="186" t="s">
        <v>207</v>
      </c>
      <c r="C34" s="164"/>
      <c r="D34" s="164"/>
      <c r="E34" s="164"/>
      <c r="F34" s="164"/>
      <c r="G34" s="164"/>
      <c r="H34" s="164"/>
    </row>
    <row r="35" spans="2:75" ht="20.100000000000001" customHeight="1">
      <c r="B35" s="174" t="s">
        <v>208</v>
      </c>
      <c r="C35" s="164"/>
      <c r="D35" s="164"/>
      <c r="E35" s="164"/>
      <c r="F35" s="164"/>
      <c r="G35" s="164"/>
      <c r="H35" s="164"/>
    </row>
    <row r="36" spans="2:75" ht="20.100000000000001" customHeight="1">
      <c r="B36" s="164"/>
      <c r="C36" s="164"/>
      <c r="D36" s="164"/>
      <c r="E36" s="164"/>
      <c r="F36" s="164"/>
      <c r="G36" s="164"/>
      <c r="H36" s="164"/>
    </row>
    <row r="37" spans="2:75" ht="20.100000000000001" customHeight="1">
      <c r="B37" s="375" t="s">
        <v>209</v>
      </c>
      <c r="C37" s="375"/>
      <c r="D37" s="375"/>
      <c r="E37" s="375"/>
      <c r="F37" s="375"/>
      <c r="G37" s="375"/>
      <c r="H37" s="375"/>
      <c r="I37" s="375"/>
      <c r="J37" s="375"/>
      <c r="K37" s="375"/>
      <c r="L37" s="375"/>
      <c r="M37" s="375"/>
      <c r="N37" s="375"/>
      <c r="O37" s="375"/>
      <c r="P37" s="375"/>
      <c r="Q37" s="375"/>
      <c r="R37" s="375"/>
      <c r="S37" s="375"/>
      <c r="T37" s="375"/>
      <c r="U37" s="375"/>
      <c r="V37" s="375"/>
      <c r="W37" s="375"/>
      <c r="X37" s="375"/>
      <c r="Y37" s="375"/>
      <c r="Z37" s="375"/>
      <c r="AA37" s="375"/>
      <c r="AB37" s="375"/>
      <c r="AC37" s="375"/>
      <c r="AD37" s="375"/>
      <c r="AE37" s="375"/>
      <c r="AF37" s="375"/>
      <c r="AG37" s="375"/>
      <c r="AH37" s="375"/>
      <c r="AI37" s="375"/>
      <c r="AJ37" s="375"/>
      <c r="AK37" s="375"/>
      <c r="AN37" s="164"/>
      <c r="AO37" s="172"/>
      <c r="AP37" s="164"/>
      <c r="AQ37" s="164"/>
      <c r="AR37" s="164"/>
      <c r="AS37" s="164"/>
      <c r="AT37" s="164"/>
      <c r="BD37" s="187"/>
      <c r="BE37" s="187"/>
      <c r="BF37" s="187"/>
      <c r="BI37" s="187"/>
      <c r="BJ37" s="187"/>
      <c r="BK37" s="187"/>
      <c r="BL37" s="187"/>
      <c r="BM37" s="187"/>
      <c r="BO37" s="187"/>
      <c r="BP37" s="187"/>
      <c r="BQ37" s="187"/>
      <c r="BW37" s="188"/>
    </row>
    <row r="38" spans="2:75" ht="20.100000000000001" customHeight="1">
      <c r="B38" s="376" t="s">
        <v>210</v>
      </c>
      <c r="C38" s="376"/>
      <c r="D38" s="376"/>
      <c r="E38" s="376"/>
      <c r="F38" s="376"/>
      <c r="G38" s="376"/>
      <c r="H38" s="376"/>
      <c r="I38" s="376"/>
      <c r="J38" s="376"/>
      <c r="K38" s="376"/>
      <c r="L38" s="376"/>
      <c r="M38" s="376"/>
      <c r="N38" s="376"/>
      <c r="O38" s="376"/>
      <c r="P38" s="376"/>
      <c r="Q38" s="376"/>
      <c r="R38" s="376"/>
      <c r="S38" s="376"/>
      <c r="T38" s="376"/>
      <c r="U38" s="376"/>
      <c r="V38" s="376"/>
      <c r="W38" s="376"/>
      <c r="X38" s="376"/>
      <c r="Y38" s="376"/>
      <c r="Z38" s="376"/>
      <c r="AA38" s="376"/>
      <c r="AB38" s="376"/>
      <c r="AC38" s="376"/>
      <c r="AD38" s="376"/>
      <c r="AE38" s="376"/>
      <c r="AF38" s="376"/>
      <c r="AG38" s="376"/>
      <c r="AH38" s="376"/>
      <c r="AI38" s="376"/>
      <c r="AJ38" s="376"/>
      <c r="AK38" s="376"/>
      <c r="AN38" s="172"/>
      <c r="AO38" s="172"/>
      <c r="AP38" s="172"/>
      <c r="AQ38" s="172"/>
      <c r="AR38" s="172"/>
      <c r="AS38" s="172"/>
      <c r="AT38" s="172"/>
      <c r="AU38" s="187"/>
      <c r="AV38" s="187"/>
      <c r="AW38" s="187"/>
      <c r="AX38" s="187"/>
      <c r="AY38" s="187"/>
      <c r="AZ38" s="187"/>
      <c r="BA38" s="187"/>
      <c r="BB38" s="187"/>
      <c r="BC38" s="187"/>
      <c r="BD38" s="187"/>
      <c r="BE38" s="187"/>
      <c r="BF38" s="187"/>
      <c r="BG38" s="187"/>
      <c r="BH38" s="187"/>
      <c r="BI38" s="187"/>
      <c r="BJ38" s="187"/>
      <c r="BK38" s="187"/>
      <c r="BL38" s="187"/>
      <c r="BM38" s="187"/>
      <c r="BN38" s="187"/>
      <c r="BO38" s="187"/>
      <c r="BP38" s="187"/>
      <c r="BQ38" s="187"/>
      <c r="BR38" s="187"/>
      <c r="BS38" s="187"/>
      <c r="BT38" s="187"/>
      <c r="BU38" s="187"/>
      <c r="BV38" s="187"/>
      <c r="BW38" s="187"/>
    </row>
    <row r="39" spans="2:75" ht="20.100000000000001" customHeight="1">
      <c r="B39" s="376"/>
      <c r="C39" s="376"/>
      <c r="D39" s="376"/>
      <c r="E39" s="376"/>
      <c r="F39" s="376"/>
      <c r="G39" s="376"/>
      <c r="H39" s="376"/>
      <c r="I39" s="376"/>
      <c r="J39" s="376"/>
      <c r="K39" s="376"/>
      <c r="L39" s="376"/>
      <c r="M39" s="376"/>
      <c r="N39" s="376"/>
      <c r="O39" s="376"/>
      <c r="P39" s="376"/>
      <c r="Q39" s="376"/>
      <c r="R39" s="376"/>
      <c r="S39" s="376"/>
      <c r="T39" s="376"/>
      <c r="U39" s="376"/>
      <c r="V39" s="376"/>
      <c r="W39" s="376"/>
      <c r="X39" s="376"/>
      <c r="Y39" s="376"/>
      <c r="Z39" s="376"/>
      <c r="AA39" s="376"/>
      <c r="AB39" s="376"/>
      <c r="AC39" s="376"/>
      <c r="AD39" s="376"/>
      <c r="AE39" s="376"/>
      <c r="AF39" s="376"/>
      <c r="AG39" s="376"/>
      <c r="AH39" s="376"/>
      <c r="AI39" s="376"/>
      <c r="AJ39" s="376"/>
      <c r="AK39" s="376"/>
      <c r="AN39" s="164"/>
      <c r="AO39" s="164"/>
      <c r="AP39" s="164"/>
      <c r="AQ39" s="164"/>
      <c r="AR39" s="164"/>
      <c r="AS39" s="164"/>
      <c r="AT39" s="164"/>
    </row>
    <row r="40" spans="2:75" ht="20.100000000000001" customHeight="1">
      <c r="B40" s="376"/>
      <c r="C40" s="376"/>
      <c r="D40" s="376"/>
      <c r="E40" s="376"/>
      <c r="F40" s="376"/>
      <c r="G40" s="376"/>
      <c r="H40" s="376"/>
      <c r="I40" s="376"/>
      <c r="J40" s="376"/>
      <c r="K40" s="376"/>
      <c r="L40" s="376"/>
      <c r="M40" s="376"/>
      <c r="N40" s="376"/>
      <c r="O40" s="376"/>
      <c r="P40" s="376"/>
      <c r="Q40" s="376"/>
      <c r="R40" s="376"/>
      <c r="S40" s="376"/>
      <c r="T40" s="376"/>
      <c r="U40" s="376"/>
      <c r="V40" s="376"/>
      <c r="W40" s="376"/>
      <c r="X40" s="376"/>
      <c r="Y40" s="376"/>
      <c r="Z40" s="376"/>
      <c r="AA40" s="376"/>
      <c r="AB40" s="376"/>
      <c r="AC40" s="376"/>
      <c r="AD40" s="376"/>
      <c r="AE40" s="376"/>
      <c r="AF40" s="376"/>
      <c r="AG40" s="376"/>
      <c r="AH40" s="376"/>
      <c r="AI40" s="376"/>
      <c r="AJ40" s="376"/>
      <c r="AK40" s="376"/>
      <c r="AN40" s="164"/>
      <c r="AO40" s="164"/>
      <c r="AP40" s="164"/>
      <c r="AQ40" s="164"/>
      <c r="AR40" s="164"/>
      <c r="AS40" s="164"/>
      <c r="AT40" s="164"/>
    </row>
    <row r="41" spans="2:75" ht="20.100000000000001" customHeight="1">
      <c r="B41" s="164"/>
      <c r="C41" s="172" t="s">
        <v>211</v>
      </c>
      <c r="D41" s="164"/>
      <c r="E41" s="164"/>
      <c r="F41" s="164"/>
      <c r="G41" s="164"/>
      <c r="H41" s="164"/>
    </row>
    <row r="42" spans="2:75" ht="20.100000000000001" customHeight="1">
      <c r="B42" s="164"/>
      <c r="C42" s="164"/>
      <c r="D42" s="164"/>
      <c r="E42" s="164"/>
      <c r="F42" s="164"/>
      <c r="G42" s="164"/>
      <c r="H42" s="164"/>
    </row>
    <row r="43" spans="2:75" ht="20.100000000000001" customHeight="1" thickBot="1">
      <c r="B43" s="189" t="s">
        <v>212</v>
      </c>
      <c r="C43" s="164"/>
      <c r="D43" s="164"/>
      <c r="E43" s="377"/>
      <c r="F43" s="377"/>
      <c r="G43" s="377"/>
      <c r="H43" s="164"/>
    </row>
    <row r="44" spans="2:75" ht="20.100000000000001" customHeight="1" thickBot="1">
      <c r="B44" s="189" t="s">
        <v>213</v>
      </c>
      <c r="C44" s="164"/>
      <c r="D44" s="164"/>
      <c r="E44" s="368"/>
      <c r="F44" s="368"/>
      <c r="G44" s="368"/>
      <c r="H44" s="164"/>
    </row>
    <row r="45" spans="2:75" ht="20.100000000000001" customHeight="1" thickBot="1">
      <c r="B45" s="189" t="s">
        <v>214</v>
      </c>
      <c r="C45" s="164"/>
      <c r="D45" s="164"/>
      <c r="E45" s="368"/>
      <c r="F45" s="368"/>
      <c r="G45" s="368"/>
      <c r="H45" s="164"/>
    </row>
    <row r="46" spans="2:75" ht="20.100000000000001" customHeight="1" thickBot="1">
      <c r="B46" s="189" t="s">
        <v>215</v>
      </c>
      <c r="C46" s="164"/>
      <c r="D46" s="164"/>
      <c r="E46" s="368"/>
      <c r="F46" s="368"/>
      <c r="G46" s="368"/>
      <c r="H46" s="164"/>
    </row>
    <row r="47" spans="2:75" ht="20.100000000000001" customHeight="1">
      <c r="B47" s="190"/>
      <c r="E47" s="191"/>
      <c r="F47" s="191"/>
      <c r="G47" s="191"/>
    </row>
    <row r="48" spans="2:75" ht="20.100000000000001" customHeight="1">
      <c r="B48" s="369" t="s">
        <v>216</v>
      </c>
      <c r="C48" s="370"/>
      <c r="D48" s="370"/>
      <c r="E48" s="370"/>
      <c r="F48" s="370"/>
      <c r="G48" s="370"/>
      <c r="H48" s="370"/>
      <c r="I48" s="370"/>
      <c r="J48" s="370"/>
      <c r="K48" s="370"/>
      <c r="L48" s="370"/>
      <c r="M48" s="370"/>
      <c r="N48" s="370"/>
      <c r="O48" s="370"/>
      <c r="P48" s="370"/>
      <c r="Q48" s="370"/>
      <c r="R48" s="370"/>
      <c r="S48" s="370"/>
      <c r="T48" s="370"/>
      <c r="U48" s="370"/>
      <c r="V48" s="370"/>
      <c r="W48" s="370"/>
      <c r="X48" s="370"/>
      <c r="Y48" s="370"/>
      <c r="Z48" s="370"/>
      <c r="AA48" s="370"/>
      <c r="AB48" s="370"/>
      <c r="AC48" s="370"/>
      <c r="AD48" s="370"/>
      <c r="AE48" s="370"/>
      <c r="AF48" s="370"/>
      <c r="AG48" s="370"/>
      <c r="AH48" s="370"/>
      <c r="AI48" s="370"/>
      <c r="AJ48" s="370"/>
      <c r="AK48" s="370"/>
    </row>
    <row r="49" spans="2:37" ht="20.100000000000001" customHeight="1">
      <c r="B49" s="192"/>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c r="AB49" s="193"/>
      <c r="AC49" s="193"/>
      <c r="AD49" s="193"/>
      <c r="AE49" s="193"/>
      <c r="AF49" s="193"/>
      <c r="AG49" s="193"/>
      <c r="AH49" s="193"/>
      <c r="AI49" s="193"/>
      <c r="AJ49" s="193"/>
      <c r="AK49" s="193"/>
    </row>
    <row r="50" spans="2:37" ht="20.100000000000001" customHeight="1">
      <c r="B50" s="164"/>
      <c r="C50" s="164" t="s">
        <v>217</v>
      </c>
    </row>
    <row r="51" spans="2:37" ht="20.100000000000001" customHeight="1">
      <c r="B51" s="194" t="s">
        <v>218</v>
      </c>
      <c r="C51" s="164"/>
    </row>
    <row r="52" spans="2:37" ht="20.100000000000001" customHeight="1" thickBot="1">
      <c r="B52" s="194" t="s">
        <v>219</v>
      </c>
      <c r="C52" s="164"/>
      <c r="G52" s="184"/>
      <c r="H52" s="374">
        <f>'YADAO, MELENCIO'!C1</f>
        <v>949.99785840431502</v>
      </c>
      <c r="I52" s="374"/>
      <c r="J52" s="195"/>
      <c r="K52" s="195"/>
      <c r="L52" s="195"/>
      <c r="M52" s="187" t="s">
        <v>220</v>
      </c>
      <c r="R52" s="371">
        <v>24</v>
      </c>
      <c r="S52" s="371"/>
      <c r="T52" s="187" t="s">
        <v>221</v>
      </c>
      <c r="AA52" s="184"/>
      <c r="AB52" s="184"/>
      <c r="AC52" s="372">
        <f>'YADAO, MELENCIO'!C3</f>
        <v>22799.94860170356</v>
      </c>
      <c r="AD52" s="373"/>
      <c r="AE52" s="373"/>
      <c r="AF52" s="373"/>
      <c r="AG52" s="373"/>
      <c r="AH52" s="187" t="s">
        <v>222</v>
      </c>
    </row>
    <row r="53" spans="2:37" ht="20.100000000000001" customHeight="1">
      <c r="B53" s="164"/>
      <c r="C53" s="172" t="s">
        <v>223</v>
      </c>
    </row>
    <row r="54" spans="2:37" ht="20.100000000000001" customHeight="1">
      <c r="B54" s="172" t="s">
        <v>224</v>
      </c>
      <c r="C54" s="164"/>
    </row>
    <row r="56" spans="2:37" ht="20.100000000000001" customHeight="1" thickBot="1">
      <c r="N56" s="184"/>
      <c r="O56" s="184"/>
      <c r="P56" s="184"/>
      <c r="Q56" s="201" t="str">
        <f>D25</f>
        <v>YADAO, MELENCIO C.</v>
      </c>
      <c r="R56" s="184"/>
      <c r="S56" s="184"/>
      <c r="T56" s="184"/>
      <c r="U56" s="184"/>
      <c r="V56" s="184"/>
      <c r="W56" s="184"/>
      <c r="X56" s="184"/>
      <c r="Y56" s="184"/>
    </row>
    <row r="57" spans="2:37" ht="20.100000000000001" customHeight="1">
      <c r="B57" s="366" t="s">
        <v>225</v>
      </c>
      <c r="C57" s="366"/>
      <c r="D57" s="366"/>
      <c r="E57" s="366"/>
      <c r="F57" s="366"/>
      <c r="G57" s="366"/>
      <c r="H57" s="366"/>
      <c r="I57" s="366"/>
      <c r="J57" s="366"/>
      <c r="K57" s="366"/>
      <c r="L57" s="366"/>
      <c r="M57" s="366"/>
      <c r="N57" s="366"/>
      <c r="O57" s="366"/>
      <c r="P57" s="366"/>
      <c r="Q57" s="366"/>
      <c r="R57" s="366"/>
      <c r="S57" s="366"/>
      <c r="T57" s="366"/>
      <c r="U57" s="366"/>
      <c r="V57" s="366"/>
      <c r="W57" s="366"/>
      <c r="X57" s="366"/>
      <c r="Y57" s="366"/>
      <c r="Z57" s="366"/>
      <c r="AA57" s="366"/>
      <c r="AB57" s="366"/>
      <c r="AC57" s="366"/>
      <c r="AD57" s="366"/>
      <c r="AE57" s="366"/>
      <c r="AF57" s="366"/>
      <c r="AG57" s="366"/>
      <c r="AH57" s="366"/>
      <c r="AI57" s="366"/>
      <c r="AJ57" s="366"/>
      <c r="AK57" s="366"/>
    </row>
    <row r="58" spans="2:37" ht="20.100000000000001" customHeight="1">
      <c r="B58" s="196"/>
      <c r="C58" s="196"/>
      <c r="D58" s="196"/>
      <c r="E58" s="196"/>
      <c r="F58" s="196"/>
      <c r="G58" s="196"/>
      <c r="H58" s="196"/>
      <c r="I58" s="196"/>
      <c r="J58" s="196"/>
      <c r="K58" s="196"/>
      <c r="L58" s="196"/>
      <c r="M58" s="196"/>
      <c r="N58" s="196"/>
      <c r="O58" s="196"/>
      <c r="P58" s="196"/>
      <c r="Q58" s="196"/>
      <c r="R58" s="196"/>
      <c r="S58" s="196"/>
      <c r="T58" s="196"/>
      <c r="U58" s="196"/>
      <c r="V58" s="196"/>
      <c r="W58" s="196"/>
      <c r="X58" s="196"/>
      <c r="Y58" s="196"/>
      <c r="Z58" s="196"/>
      <c r="AA58" s="196"/>
      <c r="AB58" s="196"/>
      <c r="AC58" s="196"/>
      <c r="AD58" s="196"/>
      <c r="AE58" s="196"/>
      <c r="AF58" s="196"/>
      <c r="AG58" s="196"/>
      <c r="AH58" s="196"/>
      <c r="AI58" s="196"/>
      <c r="AJ58" s="196"/>
      <c r="AK58" s="196"/>
    </row>
    <row r="59" spans="2:37" ht="20.100000000000001" customHeight="1">
      <c r="B59" s="369" t="s">
        <v>166</v>
      </c>
      <c r="C59" s="370"/>
      <c r="D59" s="370"/>
      <c r="E59" s="370"/>
      <c r="F59" s="370"/>
      <c r="G59" s="370"/>
      <c r="H59" s="370"/>
      <c r="I59" s="370"/>
      <c r="J59" s="370"/>
      <c r="K59" s="370"/>
      <c r="L59" s="370"/>
      <c r="M59" s="370"/>
      <c r="N59" s="370"/>
      <c r="O59" s="370"/>
      <c r="P59" s="370"/>
      <c r="Q59" s="370"/>
      <c r="R59" s="370"/>
      <c r="S59" s="370"/>
      <c r="T59" s="370"/>
      <c r="U59" s="370"/>
      <c r="V59" s="370"/>
      <c r="W59" s="370"/>
      <c r="X59" s="370"/>
      <c r="Y59" s="370"/>
      <c r="Z59" s="370"/>
      <c r="AA59" s="370"/>
      <c r="AB59" s="370"/>
      <c r="AC59" s="370"/>
      <c r="AD59" s="370"/>
      <c r="AE59" s="370"/>
      <c r="AF59" s="370"/>
      <c r="AG59" s="370"/>
      <c r="AH59" s="370"/>
      <c r="AI59" s="370"/>
      <c r="AJ59" s="370"/>
      <c r="AK59" s="370"/>
    </row>
    <row r="61" spans="2:37" ht="20.100000000000001" customHeight="1">
      <c r="B61" s="164"/>
      <c r="C61" s="172" t="s">
        <v>226</v>
      </c>
    </row>
    <row r="62" spans="2:37" ht="20.100000000000001" customHeight="1">
      <c r="B62" s="172" t="s">
        <v>227</v>
      </c>
      <c r="C62" s="164"/>
    </row>
    <row r="63" spans="2:37" ht="20.100000000000001" customHeight="1">
      <c r="B63" s="172" t="s">
        <v>228</v>
      </c>
      <c r="C63" s="164"/>
    </row>
    <row r="64" spans="2:37" ht="20.100000000000001" customHeight="1" thickBot="1">
      <c r="J64" s="184"/>
      <c r="K64" s="184"/>
      <c r="L64" s="184"/>
      <c r="M64" s="184"/>
      <c r="N64" s="184"/>
      <c r="O64" s="184"/>
      <c r="P64" s="184"/>
      <c r="Q64" s="184"/>
      <c r="R64" s="184"/>
      <c r="S64" s="184"/>
      <c r="T64" s="184"/>
      <c r="U64" s="184"/>
      <c r="V64" s="184"/>
      <c r="W64" s="184"/>
      <c r="X64" s="184"/>
      <c r="Y64" s="184"/>
      <c r="Z64" s="184"/>
      <c r="AA64" s="184"/>
      <c r="AB64" s="184"/>
      <c r="AC64" s="184"/>
    </row>
    <row r="65" spans="2:37" ht="20.100000000000001" customHeight="1">
      <c r="B65" s="366" t="s">
        <v>229</v>
      </c>
      <c r="C65" s="366"/>
      <c r="D65" s="366"/>
      <c r="E65" s="366"/>
      <c r="F65" s="366"/>
      <c r="G65" s="366"/>
      <c r="H65" s="366"/>
      <c r="I65" s="366"/>
      <c r="J65" s="366"/>
      <c r="K65" s="366"/>
      <c r="L65" s="366"/>
      <c r="M65" s="366"/>
      <c r="N65" s="366"/>
      <c r="O65" s="366"/>
      <c r="P65" s="366"/>
      <c r="Q65" s="366"/>
      <c r="R65" s="366"/>
      <c r="S65" s="366"/>
      <c r="T65" s="366"/>
      <c r="U65" s="366"/>
      <c r="V65" s="366"/>
      <c r="W65" s="366"/>
      <c r="X65" s="366"/>
      <c r="Y65" s="366"/>
      <c r="Z65" s="366"/>
      <c r="AA65" s="366"/>
      <c r="AB65" s="366"/>
      <c r="AC65" s="366"/>
      <c r="AD65" s="366"/>
      <c r="AE65" s="366"/>
      <c r="AF65" s="366"/>
      <c r="AG65" s="366"/>
      <c r="AH65" s="366"/>
      <c r="AI65" s="366"/>
      <c r="AJ65" s="366"/>
      <c r="AK65" s="366"/>
    </row>
    <row r="69" spans="2:37" ht="20.100000000000001" customHeight="1">
      <c r="Y69" s="131"/>
      <c r="Z69" s="131"/>
      <c r="AA69" s="131"/>
      <c r="AB69" s="131"/>
      <c r="AC69" s="131"/>
      <c r="AD69" s="131"/>
      <c r="AE69" s="131"/>
      <c r="AF69" s="131"/>
      <c r="AG69" s="131"/>
      <c r="AH69" s="131"/>
      <c r="AI69" s="131"/>
      <c r="AJ69" s="131"/>
      <c r="AK69" s="131"/>
    </row>
    <row r="76" spans="2:37" ht="20.100000000000001" customHeight="1">
      <c r="U76" s="131"/>
      <c r="V76" s="131"/>
      <c r="W76" s="131"/>
      <c r="X76" s="131"/>
      <c r="Y76" s="131"/>
      <c r="Z76" s="131"/>
      <c r="AA76" s="131"/>
      <c r="AB76" s="131"/>
      <c r="AC76" s="131"/>
      <c r="AD76" s="131"/>
      <c r="AE76" s="131"/>
      <c r="AF76" s="131"/>
      <c r="AG76" s="131"/>
      <c r="AH76" s="131"/>
      <c r="AI76" s="131"/>
      <c r="AJ76" s="131"/>
      <c r="AK76" s="131"/>
    </row>
  </sheetData>
  <mergeCells count="34">
    <mergeCell ref="B2:O2"/>
    <mergeCell ref="P2:T2"/>
    <mergeCell ref="B7:AK9"/>
    <mergeCell ref="B10:AK12"/>
    <mergeCell ref="B13:AK17"/>
    <mergeCell ref="C3:AL3"/>
    <mergeCell ref="V4:AL4"/>
    <mergeCell ref="B6:AL6"/>
    <mergeCell ref="B5:E5"/>
    <mergeCell ref="F5:AL5"/>
    <mergeCell ref="G4:S4"/>
    <mergeCell ref="T4:U4"/>
    <mergeCell ref="Z22:AD28"/>
    <mergeCell ref="AF22:AJ28"/>
    <mergeCell ref="B26:N26"/>
    <mergeCell ref="Z29:AD29"/>
    <mergeCell ref="AF29:AJ29"/>
    <mergeCell ref="D25:L25"/>
    <mergeCell ref="B65:AK65"/>
    <mergeCell ref="B4:D4"/>
    <mergeCell ref="E46:G46"/>
    <mergeCell ref="B48:AK48"/>
    <mergeCell ref="R52:S52"/>
    <mergeCell ref="AC52:AG52"/>
    <mergeCell ref="B57:AK57"/>
    <mergeCell ref="B59:AK59"/>
    <mergeCell ref="H52:I52"/>
    <mergeCell ref="B32:AK32"/>
    <mergeCell ref="B37:AK37"/>
    <mergeCell ref="B38:AK40"/>
    <mergeCell ref="E43:G43"/>
    <mergeCell ref="E44:G44"/>
    <mergeCell ref="E45:G45"/>
    <mergeCell ref="B18:AK21"/>
  </mergeCells>
  <printOptions horizontalCentered="1" verticalCentered="1"/>
  <pageMargins left="0" right="0" top="0" bottom="0" header="0" footer="0"/>
  <pageSetup paperSize="9" scale="61" fitToHeight="0"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arrUserId title="Range3" rangeCreator="" othersAccessPermission="edit"/>
    <arrUserId title="Range2" rangeCreator="" othersAccessPermission="edit"/>
    <arrUserId title="Range1" rangeCreator="" othersAccessPermission="edit"/>
  </rangeList>
  <rangeList sheetStid="2" master="" otherUserPermission="visible"/>
  <rangeList sheetStid="1" master="" otherUserPermission="visible"/>
  <rangeList sheetStid="4" master="" otherUserPermission="visible">
    <arrUserId title="Range20" rangeCreator="" othersAccessPermission="edit"/>
    <arrUserId title="Range19" rangeCreator="" othersAccessPermission="edit"/>
    <arrUserId title="Range18" rangeCreator="" othersAccessPermission="edit"/>
    <arrUserId title="Range17" rangeCreator="" othersAccessPermission="edit"/>
    <arrUserId title="Range16" rangeCreator="" othersAccessPermission="edit"/>
    <arrUserId title="Range15" rangeCreator="" othersAccessPermission="edit"/>
    <arrUserId title="Range14" rangeCreator="" othersAccessPermission="edit"/>
    <arrUserId title="Range13" rangeCreator="" othersAccessPermission="edit"/>
    <arrUserId title="Range12" rangeCreator="" othersAccessPermission="edit"/>
    <arrUserId title="Range11" rangeCreator="" othersAccessPermission="edit"/>
    <arrUserId title="Range21" rangeCreator="" othersAccessPermission="edit"/>
    <arrUserId title="Range22" rangeCreator="" othersAccessPermission="edit"/>
    <arrUserId title="Range23" rangeCreator="" othersAccessPermission="edit"/>
  </rangeList>
  <rangeList sheetStid="5" master="" otherUserPermission="visible">
    <arrUserId title="Range20" rangeCreator="" othersAccessPermission="edit"/>
    <arrUserId title="Range19" rangeCreator="" othersAccessPermission="edit"/>
    <arrUserId title="Range18" rangeCreator="" othersAccessPermission="edit"/>
    <arrUserId title="Range17" rangeCreator="" othersAccessPermission="edit"/>
    <arrUserId title="Range16" rangeCreator="" othersAccessPermission="edit"/>
    <arrUserId title="Range15" rangeCreator="" othersAccessPermission="edit"/>
    <arrUserId title="Range14" rangeCreator="" othersAccessPermission="edit"/>
    <arrUserId title="Range13" rangeCreator="" othersAccessPermission="edit"/>
    <arrUserId title="Range12" rangeCreator="" othersAccessPermission="edit"/>
    <arrUserId title="Range11" rangeCreator="" othersAccessPermission="edit"/>
    <arrUserId title="Range21" rangeCreator="" othersAccessPermission="edit"/>
    <arrUserId title="Range22" rangeCreator="" othersAccessPermission="edit"/>
    <arrUserId title="Range23"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DATA ENTRY</vt:lpstr>
      <vt:lpstr>DEL ROSARIO</vt:lpstr>
      <vt:lpstr>Amortization  Table</vt:lpstr>
      <vt:lpstr>Computation Table</vt:lpstr>
      <vt:lpstr>GARCIA, CARLITO</vt:lpstr>
      <vt:lpstr>MARTIN, RICARDO</vt:lpstr>
      <vt:lpstr>YADAO, MELENCIO</vt:lpstr>
      <vt:lpstr>Loan Form</vt:lpstr>
      <vt:lpstr>Loan Form Back</vt:lpstr>
      <vt:lpstr>'Amortization  Table'!Print_Area</vt:lpstr>
      <vt:lpstr>'DATA ENTRY'!Print_Area</vt:lpstr>
      <vt:lpstr>'Loan Form'!Print_Area</vt:lpstr>
      <vt:lpstr>'Loan Form Back'!Print_Area</vt:lpstr>
      <vt:lpstr>'YADAO, MELENCIO'!Print_Area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Feria</dc:creator>
  <cp:lastModifiedBy>Jeffrae Sapla</cp:lastModifiedBy>
  <cp:lastPrinted>2026-01-13T02:24:20Z</cp:lastPrinted>
  <dcterms:created xsi:type="dcterms:W3CDTF">2025-01-13T10:36:00Z</dcterms:created>
  <dcterms:modified xsi:type="dcterms:W3CDTF">2026-01-27T08:14:01Z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B448C767B0F84FEC89DA85C0518E8F17_13</vt:lpwstr>
  </property>
  <property fmtid="{D5CDD505-2E9C-101B-9397-08002B2CF9AE}" pid="3" name="KSOProductBuildVer">
    <vt:lpwstr>1033-12.2.0.19805</vt:lpwstr>
  </property>
</Properties>
</file>