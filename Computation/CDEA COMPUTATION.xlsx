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231"/>
  <workbookPr/>
  <mc:AlternateContent xmlns:mc="http://schemas.openxmlformats.org/markup-compatibility/2006">
    <mc:Choice Requires="x15">
      <x15ac:absPath xmlns:x15ac="http://schemas.microsoft.com/office/spreadsheetml/2010/11/ac" url="C:\Users\jeffr\Desktop\Computation\"/>
    </mc:Choice>
  </mc:AlternateContent>
  <xr:revisionPtr revIDLastSave="0" documentId="13_ncr:1_{3C10997E-3CE0-4910-A7F0-C6D86BDF2966}" xr6:coauthVersionLast="47" xr6:coauthVersionMax="47" xr10:uidLastSave="{00000000-0000-0000-0000-000000000000}"/>
  <bookViews>
    <workbookView xWindow="-120" yWindow="-120" windowWidth="21840" windowHeight="13140" xr2:uid="{00000000-000D-0000-FFFF-FFFF00000000}"/>
  </bookViews>
  <sheets>
    <sheet name="Data Entry" sheetId="3" r:id="rId1"/>
    <sheet name="Computation Table" sheetId="1" state="hidden" r:id="rId2"/>
    <sheet name="Amortization  Table" sheetId="2" state="hidden" r:id="rId3"/>
    <sheet name="1 Yr" sheetId="4" r:id="rId4"/>
    <sheet name="2 Yrs" sheetId="5" r:id="rId5"/>
    <sheet name="3 years" sheetId="6" r:id="rId6"/>
    <sheet name="Marquez " sheetId="8" r:id="rId7"/>
  </sheets>
  <externalReferences>
    <externalReference r:id="rId8"/>
    <externalReference r:id="rId9"/>
  </externalReferences>
  <definedNames>
    <definedName name="_xlnm.Print_Area" localSheetId="3">'1 Yr'!$C$20:$H$40</definedName>
    <definedName name="_xlnm.Print_Area" localSheetId="4">'2 Yrs'!$W$99:$BE$170</definedName>
    <definedName name="_xlnm.Print_Area" localSheetId="5">'3 years'!$W$99:$BE$170</definedName>
    <definedName name="_xlnm.Print_Area" localSheetId="2">'Amortization  Table'!$A$3:$F$20</definedName>
    <definedName name="_xlnm.Print_Area" localSheetId="0">'Data Entry'!$B$2:$E$17</definedName>
    <definedName name="_xlnm.Print_Area" localSheetId="6">'Marquez '!$W$20:$BE$95</definedName>
  </definedNames>
  <calcPr calcId="181029"/>
</workbook>
</file>

<file path=xl/calcChain.xml><?xml version="1.0" encoding="utf-8"?>
<calcChain xmlns="http://schemas.openxmlformats.org/spreadsheetml/2006/main">
  <c r="Z126" i="4" l="1"/>
  <c r="AB57" i="4"/>
  <c r="AL151" i="4"/>
  <c r="AG83" i="4"/>
  <c r="X56" i="4"/>
  <c r="R53" i="4"/>
  <c r="G24" i="4"/>
  <c r="R51" i="4"/>
  <c r="R50" i="4"/>
  <c r="B29" i="4"/>
  <c r="B30" i="4"/>
  <c r="B31" i="4"/>
  <c r="B32" i="4"/>
  <c r="B33" i="4"/>
  <c r="B34" i="4"/>
  <c r="B35" i="4"/>
  <c r="B36" i="4"/>
  <c r="B37" i="4"/>
  <c r="B38" i="4"/>
  <c r="B39" i="4"/>
  <c r="B28" i="4"/>
  <c r="AD48" i="4"/>
  <c r="R52" i="4"/>
  <c r="R48" i="4"/>
  <c r="R40" i="4"/>
  <c r="R38" i="4"/>
  <c r="N34" i="4"/>
  <c r="N33" i="4"/>
  <c r="N32" i="4"/>
  <c r="AU64" i="4" s="1"/>
  <c r="Z123" i="4" s="1"/>
  <c r="AI155" i="4" s="1"/>
  <c r="S30" i="4"/>
  <c r="Z41" i="4" s="1"/>
  <c r="S29" i="4"/>
  <c r="C16" i="4" l="1"/>
  <c r="C15" i="4"/>
  <c r="X54" i="5"/>
  <c r="AP71" i="5"/>
  <c r="N33" i="5"/>
  <c r="AD48" i="6" l="1"/>
  <c r="B28" i="6"/>
  <c r="C16" i="5"/>
  <c r="C16" i="8"/>
  <c r="R52" i="8" s="1"/>
  <c r="AG83" i="5" l="1"/>
  <c r="S30" i="5"/>
  <c r="B29" i="5"/>
  <c r="C29" i="5" s="1"/>
  <c r="B30" i="5"/>
  <c r="C30" i="5" s="1"/>
  <c r="B31" i="5"/>
  <c r="B32" i="5"/>
  <c r="C32" i="5" s="1"/>
  <c r="B33" i="5"/>
  <c r="C33" i="5" s="1"/>
  <c r="B34" i="5"/>
  <c r="C34" i="5" s="1"/>
  <c r="B35" i="5"/>
  <c r="B36" i="5"/>
  <c r="C36" i="5" s="1"/>
  <c r="B37" i="5"/>
  <c r="C37" i="5" s="1"/>
  <c r="B38" i="5"/>
  <c r="C38" i="5" s="1"/>
  <c r="B39" i="5"/>
  <c r="B40" i="5"/>
  <c r="C40" i="5" s="1"/>
  <c r="B41" i="5"/>
  <c r="C41" i="5" s="1"/>
  <c r="B42" i="5"/>
  <c r="C42" i="5" s="1"/>
  <c r="B43" i="5"/>
  <c r="B44" i="5"/>
  <c r="C44" i="5" s="1"/>
  <c r="B45" i="5"/>
  <c r="C45" i="5" s="1"/>
  <c r="B46" i="5"/>
  <c r="C46" i="5" s="1"/>
  <c r="B47" i="5"/>
  <c r="B48" i="5"/>
  <c r="B49" i="5"/>
  <c r="C49" i="5" s="1"/>
  <c r="B50" i="5"/>
  <c r="B51" i="5"/>
  <c r="B28" i="5"/>
  <c r="G24" i="5"/>
  <c r="E25" i="5"/>
  <c r="R48" i="5" s="1"/>
  <c r="S29" i="5"/>
  <c r="C31" i="5"/>
  <c r="N32" i="5"/>
  <c r="K69" i="5" s="1"/>
  <c r="AD48" i="5"/>
  <c r="N34" i="5"/>
  <c r="AB57" i="5" s="1"/>
  <c r="C35" i="5"/>
  <c r="R38" i="5"/>
  <c r="C39" i="5"/>
  <c r="C43" i="5"/>
  <c r="C47" i="5"/>
  <c r="C48" i="5"/>
  <c r="C50" i="5"/>
  <c r="C51" i="5"/>
  <c r="AU64" i="5"/>
  <c r="Z123" i="5" s="1"/>
  <c r="AI155" i="5" s="1"/>
  <c r="C28" i="5" l="1"/>
  <c r="X103" i="5"/>
  <c r="AB102" i="5"/>
  <c r="AL151" i="5" s="1"/>
  <c r="R50" i="5"/>
  <c r="R51" i="5"/>
  <c r="S30" i="6" l="1"/>
  <c r="Z41" i="6" s="1"/>
  <c r="R53" i="6"/>
  <c r="R52" i="6"/>
  <c r="R48" i="6"/>
  <c r="R40" i="6"/>
  <c r="R38" i="6"/>
  <c r="N34" i="6"/>
  <c r="N33" i="6"/>
  <c r="N32" i="6"/>
  <c r="AU64" i="6" s="1"/>
  <c r="Z123" i="6" s="1"/>
  <c r="AI155" i="6" s="1"/>
  <c r="S29" i="6"/>
  <c r="R85" i="8"/>
  <c r="B29" i="8"/>
  <c r="B30" i="8"/>
  <c r="B31" i="8"/>
  <c r="B32" i="8"/>
  <c r="B33" i="8"/>
  <c r="B34" i="8"/>
  <c r="B35" i="8"/>
  <c r="B36" i="8"/>
  <c r="B37" i="8"/>
  <c r="B38" i="8"/>
  <c r="B39" i="8"/>
  <c r="C39" i="8" s="1"/>
  <c r="B40" i="8"/>
  <c r="C40" i="8" s="1"/>
  <c r="B41" i="8"/>
  <c r="B42" i="8"/>
  <c r="B43" i="8"/>
  <c r="C43" i="8" s="1"/>
  <c r="B44" i="8"/>
  <c r="B45" i="8"/>
  <c r="B46" i="8"/>
  <c r="B47" i="8"/>
  <c r="C47" i="8" s="1"/>
  <c r="B48" i="8"/>
  <c r="B49" i="8"/>
  <c r="B50" i="8"/>
  <c r="C50" i="8" s="1"/>
  <c r="B51" i="8"/>
  <c r="C51" i="8" s="1"/>
  <c r="B52" i="8"/>
  <c r="C52" i="8" s="1"/>
  <c r="B53" i="8"/>
  <c r="B54" i="8"/>
  <c r="B55" i="8"/>
  <c r="B56" i="8"/>
  <c r="C56" i="8" s="1"/>
  <c r="B57" i="8"/>
  <c r="B58" i="8"/>
  <c r="C58" i="8" s="1"/>
  <c r="B59" i="8"/>
  <c r="C59" i="8" s="1"/>
  <c r="B60" i="8"/>
  <c r="C60" i="8" s="1"/>
  <c r="B61" i="8"/>
  <c r="B62" i="8"/>
  <c r="C62" i="8" s="1"/>
  <c r="B63" i="8"/>
  <c r="C63" i="8" s="1"/>
  <c r="B28" i="8"/>
  <c r="S30" i="8"/>
  <c r="N34" i="8"/>
  <c r="N33" i="8"/>
  <c r="N32" i="8"/>
  <c r="AL151" i="8"/>
  <c r="Z123" i="8"/>
  <c r="AI155" i="8" s="1"/>
  <c r="AW83" i="8"/>
  <c r="AY101" i="8" s="1"/>
  <c r="AG83" i="8"/>
  <c r="X83" i="8"/>
  <c r="C61" i="8"/>
  <c r="C57" i="8"/>
  <c r="C55" i="8"/>
  <c r="C54" i="8"/>
  <c r="R53" i="8"/>
  <c r="C53" i="8"/>
  <c r="R51" i="8"/>
  <c r="C49" i="8"/>
  <c r="R48" i="8"/>
  <c r="C48" i="8"/>
  <c r="C46" i="8"/>
  <c r="C45" i="8"/>
  <c r="C44" i="8"/>
  <c r="C42" i="8"/>
  <c r="C41" i="8"/>
  <c r="AB39" i="8"/>
  <c r="AU151" i="8" s="1"/>
  <c r="R38" i="8"/>
  <c r="C38" i="8"/>
  <c r="C37" i="8"/>
  <c r="C36" i="8"/>
  <c r="C35" i="8"/>
  <c r="C34" i="8"/>
  <c r="C33" i="8"/>
  <c r="C32" i="8"/>
  <c r="C31" i="8"/>
  <c r="C30" i="8"/>
  <c r="S29" i="8"/>
  <c r="C29" i="8"/>
  <c r="G24" i="8"/>
  <c r="C15" i="8"/>
  <c r="C9" i="8"/>
  <c r="R43" i="8" s="1"/>
  <c r="C8" i="8"/>
  <c r="R39" i="8" s="1"/>
  <c r="C7" i="8"/>
  <c r="R40" i="8" s="1"/>
  <c r="C6" i="8"/>
  <c r="R42" i="8" s="1"/>
  <c r="C5" i="8"/>
  <c r="R41" i="8" s="1"/>
  <c r="C4" i="8"/>
  <c r="R36" i="8" s="1"/>
  <c r="C3" i="8"/>
  <c r="C1" i="8"/>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R51" i="6" s="1"/>
  <c r="R50" i="6"/>
  <c r="X56" i="6"/>
  <c r="AL151" i="6"/>
  <c r="AG83" i="6"/>
  <c r="AB39" i="6"/>
  <c r="E28" i="2"/>
  <c r="D28" i="2"/>
  <c r="C28" i="2"/>
  <c r="E27" i="2"/>
  <c r="D27" i="2"/>
  <c r="C27" i="2"/>
  <c r="E26" i="2"/>
  <c r="D26" i="2"/>
  <c r="C26" i="2"/>
  <c r="E25" i="2"/>
  <c r="D25" i="2"/>
  <c r="C25" i="2"/>
  <c r="E24" i="2"/>
  <c r="D24" i="2"/>
  <c r="C24" i="2"/>
  <c r="E23" i="2"/>
  <c r="D23" i="2"/>
  <c r="C23" i="2"/>
  <c r="E22" i="2"/>
  <c r="D22" i="2"/>
  <c r="C22" i="2"/>
  <c r="E21" i="2"/>
  <c r="D21" i="2"/>
  <c r="C21" i="2"/>
  <c r="E20" i="2"/>
  <c r="D20" i="2"/>
  <c r="C20" i="2"/>
  <c r="E19" i="2"/>
  <c r="D19" i="2"/>
  <c r="C19" i="2"/>
  <c r="E53" i="8" l="1"/>
  <c r="R49" i="8"/>
  <c r="AT39" i="8" s="1"/>
  <c r="AC83" i="8" s="1"/>
  <c r="AR83" i="8" s="1"/>
  <c r="E49" i="8"/>
  <c r="E44" i="8"/>
  <c r="E40" i="8"/>
  <c r="E38" i="8"/>
  <c r="E32" i="8"/>
  <c r="E30" i="8"/>
  <c r="AL10" i="8"/>
  <c r="AH10" i="8"/>
  <c r="AD10" i="8"/>
  <c r="Z10" i="8"/>
  <c r="V10" i="8"/>
  <c r="R10" i="8"/>
  <c r="N10" i="8"/>
  <c r="J10" i="8"/>
  <c r="F10" i="8"/>
  <c r="E50" i="8"/>
  <c r="E45" i="8"/>
  <c r="E41" i="8"/>
  <c r="E28" i="8"/>
  <c r="AK10" i="8"/>
  <c r="AC10" i="8"/>
  <c r="U10" i="8"/>
  <c r="Q10" i="8"/>
  <c r="I10" i="8"/>
  <c r="E62" i="8"/>
  <c r="E60" i="8"/>
  <c r="E58" i="8"/>
  <c r="E56" i="8"/>
  <c r="E54" i="8"/>
  <c r="E47" i="8"/>
  <c r="E39" i="8"/>
  <c r="E36" i="8"/>
  <c r="E33" i="8"/>
  <c r="AG10" i="8"/>
  <c r="Y10" i="8"/>
  <c r="M10" i="8"/>
  <c r="E10" i="8"/>
  <c r="E51" i="8"/>
  <c r="E42" i="8"/>
  <c r="E37" i="8"/>
  <c r="E34" i="8"/>
  <c r="E31" i="8"/>
  <c r="AJ10" i="8"/>
  <c r="AF10" i="8"/>
  <c r="AB10" i="8"/>
  <c r="X10" i="8"/>
  <c r="T10" i="8"/>
  <c r="P10" i="8"/>
  <c r="L10" i="8"/>
  <c r="H10" i="8"/>
  <c r="D10" i="8"/>
  <c r="E55" i="8"/>
  <c r="E52" i="8"/>
  <c r="E48" i="8"/>
  <c r="E46" i="8"/>
  <c r="E43" i="8"/>
  <c r="E35" i="8"/>
  <c r="E63" i="8"/>
  <c r="E61" i="8"/>
  <c r="E59" i="8"/>
  <c r="E57" i="8"/>
  <c r="C10" i="8"/>
  <c r="AI10" i="8"/>
  <c r="E29" i="8"/>
  <c r="G10" i="8"/>
  <c r="R50" i="8"/>
  <c r="X103" i="8"/>
  <c r="C28" i="8"/>
  <c r="S10" i="8"/>
  <c r="R44" i="8"/>
  <c r="K10" i="8"/>
  <c r="AA10" i="8"/>
  <c r="W10" i="8"/>
  <c r="AM10" i="8"/>
  <c r="O10" i="8"/>
  <c r="AE10" i="8"/>
  <c r="C52" i="6"/>
  <c r="C53" i="6"/>
  <c r="C54" i="6"/>
  <c r="C55" i="6"/>
  <c r="C56" i="6"/>
  <c r="C57" i="6"/>
  <c r="C58" i="6"/>
  <c r="C59" i="6"/>
  <c r="C60" i="6"/>
  <c r="C61" i="6"/>
  <c r="C62" i="6"/>
  <c r="C63" i="6"/>
  <c r="C8" i="6"/>
  <c r="R39" i="6" s="1"/>
  <c r="C7" i="6"/>
  <c r="C51" i="6"/>
  <c r="C50" i="6"/>
  <c r="C49" i="6"/>
  <c r="C48" i="6"/>
  <c r="C47" i="6"/>
  <c r="C46" i="6"/>
  <c r="C45" i="6"/>
  <c r="C44" i="6"/>
  <c r="C43" i="6"/>
  <c r="C42" i="6"/>
  <c r="C41" i="6"/>
  <c r="C40" i="6"/>
  <c r="C39" i="6"/>
  <c r="C38" i="6"/>
  <c r="C37" i="6"/>
  <c r="C36" i="6"/>
  <c r="C35" i="6"/>
  <c r="C34" i="6"/>
  <c r="C33" i="6"/>
  <c r="C32" i="6"/>
  <c r="C31" i="6"/>
  <c r="C30" i="6"/>
  <c r="C29" i="6"/>
  <c r="G24" i="6"/>
  <c r="C16" i="6"/>
  <c r="C15" i="6"/>
  <c r="R52" i="5"/>
  <c r="C15" i="5"/>
  <c r="R53" i="5" s="1"/>
  <c r="C8" i="5"/>
  <c r="R39" i="5" s="1"/>
  <c r="C7" i="5"/>
  <c r="R40" i="5" s="1"/>
  <c r="AN102" i="8" l="1"/>
  <c r="AD151" i="8" s="1"/>
  <c r="H27" i="8"/>
  <c r="C12" i="8"/>
  <c r="D12" i="8" s="1"/>
  <c r="E68" i="8"/>
  <c r="C28" i="6"/>
  <c r="X103" i="6"/>
  <c r="G28" i="8" l="1"/>
  <c r="C30" i="4"/>
  <c r="C31" i="4"/>
  <c r="C33" i="4"/>
  <c r="C34" i="4"/>
  <c r="C35" i="4"/>
  <c r="C36" i="4"/>
  <c r="C37" i="4"/>
  <c r="C38" i="4"/>
  <c r="C39" i="4"/>
  <c r="C32" i="4"/>
  <c r="C8" i="4"/>
  <c r="R39" i="4" s="1"/>
  <c r="C7" i="4"/>
  <c r="C29" i="4"/>
  <c r="C9" i="1"/>
  <c r="C8" i="1"/>
  <c r="C61" i="1"/>
  <c r="C60" i="1"/>
  <c r="C35" i="1"/>
  <c r="C34" i="1"/>
  <c r="E7" i="2"/>
  <c r="C7" i="2"/>
  <c r="D7" i="2"/>
  <c r="D68" i="1"/>
  <c r="D65" i="1" s="1"/>
  <c r="D67" i="1"/>
  <c r="D70" i="1" s="1"/>
  <c r="D42" i="1"/>
  <c r="D44" i="1" s="1"/>
  <c r="D41" i="1"/>
  <c r="D32" i="1"/>
  <c r="D16" i="1"/>
  <c r="D18" i="1" s="1"/>
  <c r="D15" i="1"/>
  <c r="D7" i="1"/>
  <c r="E58" i="1"/>
  <c r="F58" i="1"/>
  <c r="G58" i="1"/>
  <c r="H58" i="1"/>
  <c r="I58" i="1"/>
  <c r="J58" i="1"/>
  <c r="K58" i="1"/>
  <c r="L58" i="1"/>
  <c r="M58" i="1"/>
  <c r="N58" i="1"/>
  <c r="O58" i="1"/>
  <c r="P58" i="1"/>
  <c r="Q58" i="1"/>
  <c r="R58" i="1"/>
  <c r="S58" i="1"/>
  <c r="T58" i="1"/>
  <c r="U58" i="1"/>
  <c r="V58" i="1"/>
  <c r="W58" i="1"/>
  <c r="X58" i="1"/>
  <c r="Y58" i="1"/>
  <c r="Z58" i="1"/>
  <c r="AA58" i="1"/>
  <c r="AB58" i="1"/>
  <c r="AC58" i="1"/>
  <c r="AD58" i="1"/>
  <c r="AE58" i="1"/>
  <c r="AF58" i="1"/>
  <c r="AG58" i="1"/>
  <c r="AH58" i="1"/>
  <c r="AI58" i="1"/>
  <c r="AJ58" i="1"/>
  <c r="AK58" i="1"/>
  <c r="AL58" i="1"/>
  <c r="AM58" i="1"/>
  <c r="AN58" i="1"/>
  <c r="AO58" i="1"/>
  <c r="AP58" i="1"/>
  <c r="AQ58" i="1"/>
  <c r="AR58" i="1"/>
  <c r="AS58" i="1"/>
  <c r="AT58" i="1"/>
  <c r="AT32" i="1"/>
  <c r="AS32" i="1"/>
  <c r="AR32" i="1"/>
  <c r="AQ32" i="1"/>
  <c r="AP32" i="1"/>
  <c r="AO32" i="1"/>
  <c r="AN32" i="1"/>
  <c r="AM32" i="1"/>
  <c r="AL32" i="1"/>
  <c r="AK32" i="1"/>
  <c r="AJ32" i="1"/>
  <c r="AI32" i="1"/>
  <c r="AH32" i="1"/>
  <c r="AG32" i="1"/>
  <c r="AF32" i="1"/>
  <c r="AE32" i="1"/>
  <c r="AD32" i="1"/>
  <c r="AC32" i="1"/>
  <c r="AB32" i="1"/>
  <c r="AA32" i="1"/>
  <c r="Z32" i="1"/>
  <c r="Y32" i="1"/>
  <c r="X32" i="1"/>
  <c r="W32" i="1"/>
  <c r="V32" i="1"/>
  <c r="U32" i="1"/>
  <c r="T32" i="1"/>
  <c r="S32" i="1"/>
  <c r="R32" i="1"/>
  <c r="Q32" i="1"/>
  <c r="P32" i="1"/>
  <c r="O32" i="1"/>
  <c r="N32" i="1"/>
  <c r="M32" i="1"/>
  <c r="L32" i="1"/>
  <c r="K32" i="1"/>
  <c r="J32" i="1"/>
  <c r="I32" i="1"/>
  <c r="H32" i="1"/>
  <c r="G32" i="1"/>
  <c r="F32" i="1"/>
  <c r="E32" i="1"/>
  <c r="C15" i="3"/>
  <c r="AT6" i="1"/>
  <c r="AS6" i="1"/>
  <c r="AR6" i="1"/>
  <c r="AQ6" i="1"/>
  <c r="AP6" i="1"/>
  <c r="AO6" i="1"/>
  <c r="AN6" i="1"/>
  <c r="AM6" i="1"/>
  <c r="AL6" i="1"/>
  <c r="AK6" i="1"/>
  <c r="AJ6" i="1"/>
  <c r="AI6" i="1"/>
  <c r="AH6" i="1"/>
  <c r="AG6" i="1"/>
  <c r="AF6" i="1"/>
  <c r="AE6" i="1"/>
  <c r="AD6" i="1"/>
  <c r="AC6" i="1"/>
  <c r="AB6" i="1"/>
  <c r="AA6" i="1"/>
  <c r="Z6" i="1"/>
  <c r="Y6" i="1"/>
  <c r="X6" i="1"/>
  <c r="W6" i="1"/>
  <c r="V6" i="1"/>
  <c r="U6" i="1"/>
  <c r="T6" i="1"/>
  <c r="S6" i="1"/>
  <c r="R6" i="1"/>
  <c r="Q6" i="1"/>
  <c r="P6" i="1"/>
  <c r="O6" i="1"/>
  <c r="N6" i="1"/>
  <c r="M6" i="1"/>
  <c r="L6" i="1"/>
  <c r="K6" i="1"/>
  <c r="J6" i="1"/>
  <c r="I6" i="1"/>
  <c r="H6" i="1"/>
  <c r="G6" i="1"/>
  <c r="F6" i="1"/>
  <c r="E6" i="1"/>
  <c r="E12" i="1"/>
  <c r="E15" i="1" s="1"/>
  <c r="E10" i="1" s="1"/>
  <c r="E38" i="1"/>
  <c r="E41" i="1" s="1"/>
  <c r="E64" i="1"/>
  <c r="E67" i="1" s="1"/>
  <c r="J68" i="1"/>
  <c r="J59" i="1" s="1"/>
  <c r="I68" i="1"/>
  <c r="I59" i="1" s="1"/>
  <c r="H68" i="1"/>
  <c r="H59" i="1" s="1"/>
  <c r="G68" i="1"/>
  <c r="G59" i="1" s="1"/>
  <c r="F68" i="1"/>
  <c r="F59" i="1" s="1"/>
  <c r="E68" i="1"/>
  <c r="E65" i="1" s="1"/>
  <c r="C68" i="1"/>
  <c r="C65" i="1" s="1"/>
  <c r="C13" i="3" s="1"/>
  <c r="C67" i="1"/>
  <c r="C70" i="1" s="1"/>
  <c r="C71" i="1" s="1"/>
  <c r="N66" i="1"/>
  <c r="N68" i="1" s="1"/>
  <c r="M66" i="1"/>
  <c r="Q66" i="1" s="1"/>
  <c r="U66" i="1" s="1"/>
  <c r="L66" i="1"/>
  <c r="P66" i="1" s="1"/>
  <c r="T66" i="1" s="1"/>
  <c r="K66" i="1"/>
  <c r="C57" i="1"/>
  <c r="C58" i="1" s="1"/>
  <c r="J42" i="1"/>
  <c r="I42" i="1"/>
  <c r="H42" i="1"/>
  <c r="H33" i="1" s="1"/>
  <c r="G42" i="1"/>
  <c r="G33" i="1" s="1"/>
  <c r="F42" i="1"/>
  <c r="F33" i="1" s="1"/>
  <c r="E42" i="1"/>
  <c r="E33" i="1" s="1"/>
  <c r="C42" i="1"/>
  <c r="C39" i="1" s="1"/>
  <c r="D13" i="3" s="1"/>
  <c r="C41" i="1"/>
  <c r="C44" i="1" s="1"/>
  <c r="C45" i="1" s="1"/>
  <c r="N40" i="1"/>
  <c r="R40" i="1" s="1"/>
  <c r="M40" i="1"/>
  <c r="M42" i="1" s="1"/>
  <c r="L40" i="1"/>
  <c r="P40" i="1" s="1"/>
  <c r="P42" i="1" s="1"/>
  <c r="P33" i="1" s="1"/>
  <c r="K40" i="1"/>
  <c r="O40" i="1" s="1"/>
  <c r="C31" i="1"/>
  <c r="C32" i="1" s="1"/>
  <c r="J16" i="1"/>
  <c r="I16" i="1"/>
  <c r="I7" i="1" s="1"/>
  <c r="H16" i="1"/>
  <c r="H7" i="1" s="1"/>
  <c r="G16" i="1"/>
  <c r="F16" i="1"/>
  <c r="E16" i="1"/>
  <c r="E7" i="1" s="1"/>
  <c r="C16" i="1"/>
  <c r="C15" i="1"/>
  <c r="N14" i="1"/>
  <c r="R14" i="1" s="1"/>
  <c r="R16" i="1" s="1"/>
  <c r="M14" i="1"/>
  <c r="M16" i="1" s="1"/>
  <c r="L14" i="1"/>
  <c r="L16" i="1" s="1"/>
  <c r="L7" i="1" s="1"/>
  <c r="K14" i="1"/>
  <c r="K16" i="1" s="1"/>
  <c r="J7" i="1"/>
  <c r="C5" i="1"/>
  <c r="C6" i="1" s="1"/>
  <c r="E6" i="3" s="1"/>
  <c r="E12" i="3"/>
  <c r="D12" i="3"/>
  <c r="C12" i="3"/>
  <c r="X103" i="4" l="1"/>
  <c r="C5" i="6"/>
  <c r="R41" i="6" s="1"/>
  <c r="F28" i="8"/>
  <c r="C28" i="4"/>
  <c r="D20" i="1"/>
  <c r="D19" i="1"/>
  <c r="D21" i="1" s="1"/>
  <c r="D45" i="1"/>
  <c r="D46" i="1"/>
  <c r="D72" i="1"/>
  <c r="D71" i="1"/>
  <c r="D6" i="1"/>
  <c r="D58" i="1"/>
  <c r="D59" i="1"/>
  <c r="D10" i="1"/>
  <c r="D62" i="1"/>
  <c r="D11" i="1"/>
  <c r="D13" i="1"/>
  <c r="D39" i="1"/>
  <c r="D33" i="1"/>
  <c r="D37" i="1" s="1"/>
  <c r="D36" i="1"/>
  <c r="C18" i="1"/>
  <c r="N42" i="1"/>
  <c r="N33" i="1" s="1"/>
  <c r="F64" i="1"/>
  <c r="F67" i="1" s="1"/>
  <c r="F12" i="1"/>
  <c r="G12" i="1" s="1"/>
  <c r="G13" i="1" s="1"/>
  <c r="D6" i="3"/>
  <c r="C5" i="5" s="1"/>
  <c r="R41" i="5" s="1"/>
  <c r="F38" i="1"/>
  <c r="E39" i="1"/>
  <c r="C33" i="1"/>
  <c r="D7" i="3" s="1"/>
  <c r="C6" i="5" s="1"/>
  <c r="R42" i="5" s="1"/>
  <c r="F39" i="1"/>
  <c r="H12" i="1"/>
  <c r="G15" i="1"/>
  <c r="G10" i="1" s="1"/>
  <c r="G18" i="1"/>
  <c r="G19" i="1" s="1"/>
  <c r="F15" i="1"/>
  <c r="F10" i="1" s="1"/>
  <c r="E44" i="1"/>
  <c r="E46" i="1" s="1"/>
  <c r="E36" i="1"/>
  <c r="E37" i="1" s="1"/>
  <c r="G64" i="1"/>
  <c r="G65" i="1" s="1"/>
  <c r="F70" i="1"/>
  <c r="F72" i="1" s="1"/>
  <c r="F62" i="1"/>
  <c r="F63" i="1" s="1"/>
  <c r="E70" i="1"/>
  <c r="E62" i="1"/>
  <c r="E11" i="1"/>
  <c r="N59" i="1"/>
  <c r="K7" i="1"/>
  <c r="P14" i="1"/>
  <c r="R66" i="1"/>
  <c r="R68" i="1" s="1"/>
  <c r="R59" i="1" s="1"/>
  <c r="V14" i="1"/>
  <c r="Q40" i="1"/>
  <c r="U40" i="1" s="1"/>
  <c r="C13" i="1"/>
  <c r="E13" i="3" s="1"/>
  <c r="L68" i="1"/>
  <c r="C59" i="1"/>
  <c r="C7" i="3" s="1"/>
  <c r="C6" i="4" s="1"/>
  <c r="R42" i="4" s="1"/>
  <c r="M68" i="1"/>
  <c r="E18" i="1"/>
  <c r="E19" i="1" s="1"/>
  <c r="E59" i="1"/>
  <c r="E63" i="1" s="1"/>
  <c r="F65" i="1"/>
  <c r="P68" i="1"/>
  <c r="E13" i="1"/>
  <c r="R7" i="1"/>
  <c r="I33" i="1"/>
  <c r="J33" i="1"/>
  <c r="C62" i="1"/>
  <c r="C10" i="3" s="1"/>
  <c r="C9" i="4" s="1"/>
  <c r="R43" i="4" s="1"/>
  <c r="M33" i="1"/>
  <c r="M7" i="1"/>
  <c r="C20" i="1"/>
  <c r="C19" i="1"/>
  <c r="Q14" i="1"/>
  <c r="C10" i="1"/>
  <c r="E10" i="3" s="1"/>
  <c r="T68" i="1"/>
  <c r="X66" i="1"/>
  <c r="U68" i="1"/>
  <c r="Y66" i="1"/>
  <c r="V40" i="1"/>
  <c r="R42" i="1"/>
  <c r="F7" i="1"/>
  <c r="F13" i="1"/>
  <c r="N16" i="1"/>
  <c r="G7" i="1"/>
  <c r="O14" i="1"/>
  <c r="O42" i="1"/>
  <c r="S40" i="1"/>
  <c r="T40" i="1"/>
  <c r="P59" i="1"/>
  <c r="E71" i="1"/>
  <c r="E72" i="1"/>
  <c r="C46" i="1"/>
  <c r="C47" i="1" s="1"/>
  <c r="Q68" i="1"/>
  <c r="K68" i="1"/>
  <c r="O66" i="1"/>
  <c r="K42" i="1"/>
  <c r="C36" i="1"/>
  <c r="D10" i="3" s="1"/>
  <c r="C9" i="5" s="1"/>
  <c r="R43" i="5" s="1"/>
  <c r="L42" i="1"/>
  <c r="C72" i="1"/>
  <c r="C73" i="1" s="1"/>
  <c r="C7" i="1"/>
  <c r="E7" i="3" s="1"/>
  <c r="C9" i="6" l="1"/>
  <c r="R43" i="6" s="1"/>
  <c r="C6" i="6"/>
  <c r="R42" i="6" s="1"/>
  <c r="H28" i="8"/>
  <c r="D11" i="3"/>
  <c r="C4" i="5" s="1"/>
  <c r="D63" i="1"/>
  <c r="D73" i="1"/>
  <c r="D74" i="1" s="1"/>
  <c r="D56" i="1" s="1"/>
  <c r="D76" i="1" s="1"/>
  <c r="D77" i="1" s="1"/>
  <c r="D47" i="1"/>
  <c r="D48" i="1" s="1"/>
  <c r="D30" i="1" s="1"/>
  <c r="D50" i="1" s="1"/>
  <c r="D51" i="1" s="1"/>
  <c r="D22" i="1"/>
  <c r="D4" i="1" s="1"/>
  <c r="D24" i="1" s="1"/>
  <c r="D25" i="1" s="1"/>
  <c r="G11" i="1"/>
  <c r="F11" i="1"/>
  <c r="E11" i="3"/>
  <c r="F18" i="1"/>
  <c r="F19" i="1" s="1"/>
  <c r="E45" i="1"/>
  <c r="E47" i="1" s="1"/>
  <c r="E48" i="1" s="1"/>
  <c r="E30" i="1" s="1"/>
  <c r="E50" i="1" s="1"/>
  <c r="E51" i="1" s="1"/>
  <c r="Q42" i="1"/>
  <c r="G38" i="1"/>
  <c r="F41" i="1"/>
  <c r="G20" i="1"/>
  <c r="I12" i="1"/>
  <c r="H15" i="1"/>
  <c r="H13" i="1"/>
  <c r="E20" i="1"/>
  <c r="E21" i="1" s="1"/>
  <c r="E22" i="1" s="1"/>
  <c r="G67" i="1"/>
  <c r="H64" i="1"/>
  <c r="F71" i="1"/>
  <c r="F73" i="1" s="1"/>
  <c r="F74" i="1" s="1"/>
  <c r="F56" i="1" s="1"/>
  <c r="F76" i="1" s="1"/>
  <c r="F77" i="1" s="1"/>
  <c r="C63" i="1"/>
  <c r="C74" i="1" s="1"/>
  <c r="C6" i="3"/>
  <c r="Z14" i="1"/>
  <c r="V16" i="1"/>
  <c r="M59" i="1"/>
  <c r="C37" i="1"/>
  <c r="C48" i="1" s="1"/>
  <c r="C21" i="1"/>
  <c r="T14" i="1"/>
  <c r="P16" i="1"/>
  <c r="L59" i="1"/>
  <c r="V66" i="1"/>
  <c r="Z66" i="1" s="1"/>
  <c r="N7" i="1"/>
  <c r="G21" i="1"/>
  <c r="G22" i="1" s="1"/>
  <c r="Q33" i="1"/>
  <c r="X68" i="1"/>
  <c r="AB66" i="1"/>
  <c r="K33" i="1"/>
  <c r="T42" i="1"/>
  <c r="X40" i="1"/>
  <c r="T59" i="1"/>
  <c r="Z40" i="1"/>
  <c r="V42" i="1"/>
  <c r="Y40" i="1"/>
  <c r="U42" i="1"/>
  <c r="R33" i="1"/>
  <c r="W40" i="1"/>
  <c r="S42" i="1"/>
  <c r="Q16" i="1"/>
  <c r="U14" i="1"/>
  <c r="O33" i="1"/>
  <c r="L33" i="1"/>
  <c r="Q59" i="1"/>
  <c r="Y68" i="1"/>
  <c r="AC66" i="1"/>
  <c r="E73" i="1"/>
  <c r="E74" i="1" s="1"/>
  <c r="O16" i="1"/>
  <c r="S14" i="1"/>
  <c r="U59" i="1"/>
  <c r="S66" i="1"/>
  <c r="O68" i="1"/>
  <c r="K59" i="1"/>
  <c r="C11" i="1"/>
  <c r="X83" i="5" l="1"/>
  <c r="R36" i="5"/>
  <c r="R44" i="5" s="1"/>
  <c r="AB39" i="5" s="1"/>
  <c r="G29" i="8"/>
  <c r="C10" i="5"/>
  <c r="H27" i="5" s="1"/>
  <c r="C11" i="3"/>
  <c r="C4" i="4" s="1"/>
  <c r="C5" i="4"/>
  <c r="R41" i="4" s="1"/>
  <c r="C4" i="6"/>
  <c r="X83" i="6"/>
  <c r="V68" i="1"/>
  <c r="F20" i="1"/>
  <c r="F21" i="1" s="1"/>
  <c r="F22" i="1" s="1"/>
  <c r="E9" i="2" s="1"/>
  <c r="C9" i="2"/>
  <c r="F36" i="1"/>
  <c r="F37" i="1" s="1"/>
  <c r="F44" i="1"/>
  <c r="G39" i="1"/>
  <c r="H38" i="1"/>
  <c r="G41" i="1"/>
  <c r="J12" i="1"/>
  <c r="I15" i="1"/>
  <c r="I13" i="1"/>
  <c r="H18" i="1"/>
  <c r="H10" i="1"/>
  <c r="H11" i="1" s="1"/>
  <c r="D8" i="2"/>
  <c r="C56" i="1"/>
  <c r="C76" i="1" s="1"/>
  <c r="C77" i="1" s="1"/>
  <c r="G62" i="1"/>
  <c r="G63" i="1" s="1"/>
  <c r="G70" i="1"/>
  <c r="H67" i="1"/>
  <c r="H65" i="1"/>
  <c r="I64" i="1"/>
  <c r="C30" i="1"/>
  <c r="D3" i="3" s="1"/>
  <c r="C3" i="5" s="1"/>
  <c r="AW83" i="5" s="1"/>
  <c r="D14" i="3"/>
  <c r="C1" i="5" s="1"/>
  <c r="C22" i="1"/>
  <c r="C4" i="1" s="1"/>
  <c r="V7" i="1"/>
  <c r="AD14" i="1"/>
  <c r="Z16" i="1"/>
  <c r="C14" i="3"/>
  <c r="C1" i="4" s="1"/>
  <c r="P7" i="1"/>
  <c r="X14" i="1"/>
  <c r="T16" i="1"/>
  <c r="Y14" i="1"/>
  <c r="U16" i="1"/>
  <c r="W14" i="1"/>
  <c r="S16" i="1"/>
  <c r="Q7" i="1"/>
  <c r="Z42" i="1"/>
  <c r="AD40" i="1"/>
  <c r="AB40" i="1"/>
  <c r="X42" i="1"/>
  <c r="T33" i="1"/>
  <c r="Z68" i="1"/>
  <c r="AD66" i="1"/>
  <c r="S33" i="1"/>
  <c r="V33" i="1"/>
  <c r="AG66" i="1"/>
  <c r="AC68" i="1"/>
  <c r="V59" i="1"/>
  <c r="U33" i="1"/>
  <c r="AC40" i="1"/>
  <c r="Y42" i="1"/>
  <c r="O59" i="1"/>
  <c r="E4" i="1"/>
  <c r="E24" i="1" s="1"/>
  <c r="E25" i="1" s="1"/>
  <c r="E8" i="2"/>
  <c r="O7" i="1"/>
  <c r="S68" i="1"/>
  <c r="W66" i="1"/>
  <c r="AA40" i="1"/>
  <c r="W42" i="1"/>
  <c r="G4" i="1"/>
  <c r="G24" i="1" s="1"/>
  <c r="G25" i="1" s="1"/>
  <c r="E10" i="2"/>
  <c r="Y59" i="1"/>
  <c r="E56" i="1"/>
  <c r="E76" i="1" s="1"/>
  <c r="E77" i="1" s="1"/>
  <c r="C8" i="2"/>
  <c r="AF66" i="1"/>
  <c r="AB68" i="1"/>
  <c r="X59" i="1"/>
  <c r="AC83" i="4" l="1"/>
  <c r="R49" i="4"/>
  <c r="AT39" i="4" s="1"/>
  <c r="X83" i="4"/>
  <c r="H27" i="4"/>
  <c r="R36" i="4"/>
  <c r="R44" i="4" s="1"/>
  <c r="AY101" i="5"/>
  <c r="AU151" i="5"/>
  <c r="AC83" i="5"/>
  <c r="E29" i="5"/>
  <c r="E35" i="5"/>
  <c r="E37" i="5"/>
  <c r="E40" i="5"/>
  <c r="E46" i="5"/>
  <c r="E48" i="5"/>
  <c r="R49" i="5"/>
  <c r="E32" i="5"/>
  <c r="E31" i="5"/>
  <c r="E34" i="5"/>
  <c r="E36" i="5"/>
  <c r="E39" i="5"/>
  <c r="E43" i="5"/>
  <c r="E51" i="5"/>
  <c r="E41" i="5"/>
  <c r="E44" i="5"/>
  <c r="E28" i="5"/>
  <c r="E33" i="5"/>
  <c r="E38" i="5"/>
  <c r="E42" i="5"/>
  <c r="E45" i="5"/>
  <c r="E47" i="5"/>
  <c r="E50" i="5"/>
  <c r="E30" i="5"/>
  <c r="E49" i="5"/>
  <c r="C10" i="6"/>
  <c r="H27" i="6" s="1"/>
  <c r="R36" i="6"/>
  <c r="R44" i="6" s="1"/>
  <c r="F29" i="8"/>
  <c r="C10" i="4"/>
  <c r="AB39" i="4" s="1"/>
  <c r="AA10" i="5"/>
  <c r="M10" i="5"/>
  <c r="L10" i="5"/>
  <c r="J10" i="5"/>
  <c r="Z10" i="5"/>
  <c r="Q10" i="5"/>
  <c r="Y10" i="5"/>
  <c r="X10" i="5"/>
  <c r="H10" i="5"/>
  <c r="W10" i="5"/>
  <c r="G10" i="5"/>
  <c r="V10" i="5"/>
  <c r="F10" i="5"/>
  <c r="U10" i="5"/>
  <c r="E10" i="5"/>
  <c r="K10" i="5"/>
  <c r="P10" i="5"/>
  <c r="T10" i="5"/>
  <c r="D10" i="5"/>
  <c r="R10" i="5"/>
  <c r="O10" i="5"/>
  <c r="S10" i="5"/>
  <c r="N10" i="5"/>
  <c r="I10" i="5"/>
  <c r="E33" i="4"/>
  <c r="E32" i="4"/>
  <c r="O10" i="4"/>
  <c r="O4" i="4" s="1"/>
  <c r="N10" i="4"/>
  <c r="N4" i="4" s="1"/>
  <c r="M10" i="4"/>
  <c r="M4" i="4" s="1"/>
  <c r="I10" i="4"/>
  <c r="I4" i="4" s="1"/>
  <c r="E35" i="4"/>
  <c r="E39" i="4"/>
  <c r="E29" i="4"/>
  <c r="E37" i="4"/>
  <c r="E34" i="4"/>
  <c r="F10" i="4"/>
  <c r="F4" i="4" s="1"/>
  <c r="L10" i="4"/>
  <c r="L4" i="4" s="1"/>
  <c r="J10" i="4"/>
  <c r="J4" i="4" s="1"/>
  <c r="E31" i="4"/>
  <c r="G10" i="4"/>
  <c r="G4" i="4" s="1"/>
  <c r="E38" i="4"/>
  <c r="E36" i="4"/>
  <c r="H10" i="4"/>
  <c r="H4" i="4" s="1"/>
  <c r="D10" i="4"/>
  <c r="D4" i="4" s="1"/>
  <c r="E10" i="4"/>
  <c r="E4" i="4" s="1"/>
  <c r="E30" i="4"/>
  <c r="K10" i="4"/>
  <c r="K4" i="4" s="1"/>
  <c r="E28" i="4"/>
  <c r="F4" i="1"/>
  <c r="F24" i="1" s="1"/>
  <c r="F25" i="1" s="1"/>
  <c r="C3" i="3"/>
  <c r="C3" i="4" s="1"/>
  <c r="AW83" i="4" s="1"/>
  <c r="H39" i="1"/>
  <c r="I38" i="1"/>
  <c r="H41" i="1"/>
  <c r="F46" i="1"/>
  <c r="F45" i="1"/>
  <c r="F47" i="1" s="1"/>
  <c r="F48" i="1" s="1"/>
  <c r="G44" i="1"/>
  <c r="G36" i="1"/>
  <c r="G37" i="1" s="1"/>
  <c r="H19" i="1"/>
  <c r="H20" i="1"/>
  <c r="I10" i="1"/>
  <c r="I11" i="1" s="1"/>
  <c r="I18" i="1"/>
  <c r="K12" i="1"/>
  <c r="J15" i="1"/>
  <c r="J13" i="1"/>
  <c r="E14" i="3"/>
  <c r="C50" i="1"/>
  <c r="C51" i="1" s="1"/>
  <c r="H70" i="1"/>
  <c r="H62" i="1"/>
  <c r="H63" i="1" s="1"/>
  <c r="I67" i="1"/>
  <c r="J64" i="1"/>
  <c r="I65" i="1"/>
  <c r="G72" i="1"/>
  <c r="G71" i="1"/>
  <c r="G73" i="1" s="1"/>
  <c r="G74" i="1" s="1"/>
  <c r="AH14" i="1"/>
  <c r="AD16" i="1"/>
  <c r="T7" i="1"/>
  <c r="X16" i="1"/>
  <c r="AB14" i="1"/>
  <c r="Z7" i="1"/>
  <c r="AD68" i="1"/>
  <c r="AH66" i="1"/>
  <c r="Z59" i="1"/>
  <c r="AB59" i="1"/>
  <c r="Z33" i="1"/>
  <c r="S7" i="1"/>
  <c r="W33" i="1"/>
  <c r="AA14" i="1"/>
  <c r="W16" i="1"/>
  <c r="AF68" i="1"/>
  <c r="AJ66" i="1"/>
  <c r="AE40" i="1"/>
  <c r="AA42" i="1"/>
  <c r="Y33" i="1"/>
  <c r="W68" i="1"/>
  <c r="AA66" i="1"/>
  <c r="AG40" i="1"/>
  <c r="AC42" i="1"/>
  <c r="AC59" i="1"/>
  <c r="AG68" i="1"/>
  <c r="AK66" i="1"/>
  <c r="U7" i="1"/>
  <c r="X33" i="1"/>
  <c r="Y16" i="1"/>
  <c r="AC14" i="1"/>
  <c r="F30" i="1"/>
  <c r="F50" i="1" s="1"/>
  <c r="F51" i="1" s="1"/>
  <c r="D9" i="2"/>
  <c r="AF40" i="1"/>
  <c r="AB42" i="1"/>
  <c r="S59" i="1"/>
  <c r="AH40" i="1"/>
  <c r="AD42" i="1"/>
  <c r="E3" i="3"/>
  <c r="C24" i="1"/>
  <c r="C25" i="1" s="1"/>
  <c r="H23" i="4" l="1"/>
  <c r="C12" i="4"/>
  <c r="D12" i="4" s="1"/>
  <c r="AY101" i="4"/>
  <c r="AU151" i="4"/>
  <c r="AD151" i="4"/>
  <c r="AN102" i="4"/>
  <c r="AT39" i="5"/>
  <c r="AN102" i="5" s="1"/>
  <c r="AD151" i="5" s="1"/>
  <c r="E52" i="5"/>
  <c r="C12" i="5"/>
  <c r="AU151" i="6"/>
  <c r="C1" i="6"/>
  <c r="R49" i="6" s="1"/>
  <c r="H29" i="8"/>
  <c r="O10" i="6"/>
  <c r="AD10" i="6"/>
  <c r="E45" i="6"/>
  <c r="E46" i="6"/>
  <c r="AW83" i="6"/>
  <c r="AY101" i="6" s="1"/>
  <c r="C3" i="6"/>
  <c r="E40" i="4"/>
  <c r="G45" i="1"/>
  <c r="G47" i="1" s="1"/>
  <c r="G48" i="1" s="1"/>
  <c r="G46" i="1"/>
  <c r="H44" i="1"/>
  <c r="H36" i="1"/>
  <c r="H37" i="1" s="1"/>
  <c r="I39" i="1"/>
  <c r="J38" i="1"/>
  <c r="I41" i="1"/>
  <c r="J10" i="1"/>
  <c r="J11" i="1" s="1"/>
  <c r="J18" i="1"/>
  <c r="L12" i="1"/>
  <c r="K15" i="1"/>
  <c r="K13" i="1"/>
  <c r="I20" i="1"/>
  <c r="I19" i="1"/>
  <c r="I21" i="1" s="1"/>
  <c r="I22" i="1" s="1"/>
  <c r="H21" i="1"/>
  <c r="H22" i="1" s="1"/>
  <c r="H4" i="1" s="1"/>
  <c r="H24" i="1" s="1"/>
  <c r="H25" i="1" s="1"/>
  <c r="K64" i="1"/>
  <c r="J67" i="1"/>
  <c r="J65" i="1"/>
  <c r="I62" i="1"/>
  <c r="I63" i="1" s="1"/>
  <c r="I70" i="1"/>
  <c r="H71" i="1"/>
  <c r="H72" i="1"/>
  <c r="C10" i="2"/>
  <c r="G56" i="1"/>
  <c r="G76" i="1" s="1"/>
  <c r="G77" i="1" s="1"/>
  <c r="AB16" i="1"/>
  <c r="AF14" i="1"/>
  <c r="X7" i="1"/>
  <c r="AD7" i="1"/>
  <c r="AH16" i="1"/>
  <c r="AL14" i="1"/>
  <c r="AD59" i="1"/>
  <c r="AC33" i="1"/>
  <c r="AA33" i="1"/>
  <c r="AG42" i="1"/>
  <c r="AK40" i="1"/>
  <c r="AE42" i="1"/>
  <c r="AI40" i="1"/>
  <c r="W7" i="1"/>
  <c r="AJ68" i="1"/>
  <c r="AN66" i="1"/>
  <c r="AF59" i="1"/>
  <c r="AA16" i="1"/>
  <c r="AE14" i="1"/>
  <c r="Y7" i="1"/>
  <c r="AF42" i="1"/>
  <c r="AJ40" i="1"/>
  <c r="AG14" i="1"/>
  <c r="AC16" i="1"/>
  <c r="AG59" i="1"/>
  <c r="AH68" i="1"/>
  <c r="AL66" i="1"/>
  <c r="AA68" i="1"/>
  <c r="AE66" i="1"/>
  <c r="AD33" i="1"/>
  <c r="AB33" i="1"/>
  <c r="W59" i="1"/>
  <c r="AL40" i="1"/>
  <c r="AH42" i="1"/>
  <c r="AK68" i="1"/>
  <c r="AO66" i="1"/>
  <c r="AF10" i="6" l="1"/>
  <c r="T10" i="6"/>
  <c r="E31" i="6"/>
  <c r="E34" i="6"/>
  <c r="E55" i="6"/>
  <c r="L10" i="6"/>
  <c r="AB10" i="6"/>
  <c r="F10" i="6"/>
  <c r="AM10" i="6"/>
  <c r="E43" i="6"/>
  <c r="D10" i="6"/>
  <c r="E40" i="6"/>
  <c r="AH10" i="6"/>
  <c r="E61" i="6"/>
  <c r="E39" i="6"/>
  <c r="J10" i="6"/>
  <c r="U10" i="6"/>
  <c r="I10" i="6"/>
  <c r="AG10" i="6"/>
  <c r="W10" i="6"/>
  <c r="E53" i="6"/>
  <c r="E33" i="6"/>
  <c r="E62" i="6"/>
  <c r="AA10" i="6"/>
  <c r="P10" i="6"/>
  <c r="Y10" i="6"/>
  <c r="R10" i="6"/>
  <c r="AK10" i="6"/>
  <c r="E38" i="6"/>
  <c r="E52" i="6"/>
  <c r="E37" i="6"/>
  <c r="E57" i="6"/>
  <c r="E36" i="6"/>
  <c r="E29" i="6"/>
  <c r="K10" i="6"/>
  <c r="M10" i="6"/>
  <c r="H10" i="6"/>
  <c r="E32" i="6"/>
  <c r="AJ10" i="6"/>
  <c r="V10" i="6"/>
  <c r="E44" i="6"/>
  <c r="E63" i="6"/>
  <c r="N10" i="6"/>
  <c r="E47" i="6"/>
  <c r="AL10" i="6"/>
  <c r="E51" i="6"/>
  <c r="X10" i="6"/>
  <c r="AE10" i="6"/>
  <c r="E59" i="6"/>
  <c r="E54" i="6"/>
  <c r="E41" i="6"/>
  <c r="E42" i="6"/>
  <c r="Z10" i="6"/>
  <c r="E50" i="6"/>
  <c r="E48" i="6"/>
  <c r="Q10" i="6"/>
  <c r="E35" i="6"/>
  <c r="E10" i="6"/>
  <c r="E28" i="6"/>
  <c r="AC10" i="6"/>
  <c r="E60" i="6"/>
  <c r="S10" i="6"/>
  <c r="E49" i="6"/>
  <c r="E58" i="6"/>
  <c r="G10" i="6"/>
  <c r="E30" i="6"/>
  <c r="AI10" i="6"/>
  <c r="E56" i="6"/>
  <c r="D12" i="5"/>
  <c r="G28" i="5"/>
  <c r="G30" i="8"/>
  <c r="AT39" i="6"/>
  <c r="AC83" i="6" s="1"/>
  <c r="AR83" i="6" s="1"/>
  <c r="G28" i="4"/>
  <c r="I36" i="1"/>
  <c r="I37" i="1" s="1"/>
  <c r="I44" i="1"/>
  <c r="K38" i="1"/>
  <c r="J39" i="1"/>
  <c r="J41" i="1"/>
  <c r="H45" i="1"/>
  <c r="H46" i="1"/>
  <c r="D10" i="2"/>
  <c r="G30" i="1"/>
  <c r="G50" i="1" s="1"/>
  <c r="G51" i="1" s="1"/>
  <c r="I4" i="1"/>
  <c r="I24" i="1" s="1"/>
  <c r="I25" i="1" s="1"/>
  <c r="E11" i="2"/>
  <c r="K10" i="1"/>
  <c r="K11" i="1" s="1"/>
  <c r="K18" i="1"/>
  <c r="M12" i="1"/>
  <c r="L15" i="1"/>
  <c r="L13" i="1"/>
  <c r="J20" i="1"/>
  <c r="J19" i="1"/>
  <c r="J21" i="1" s="1"/>
  <c r="J22" i="1" s="1"/>
  <c r="J4" i="1" s="1"/>
  <c r="J24" i="1" s="1"/>
  <c r="J25" i="1" s="1"/>
  <c r="I71" i="1"/>
  <c r="I72" i="1"/>
  <c r="H73" i="1"/>
  <c r="H74" i="1" s="1"/>
  <c r="H56" i="1" s="1"/>
  <c r="H76" i="1" s="1"/>
  <c r="H77" i="1" s="1"/>
  <c r="J62" i="1"/>
  <c r="J63" i="1" s="1"/>
  <c r="J70" i="1"/>
  <c r="L64" i="1"/>
  <c r="K67" i="1"/>
  <c r="K65" i="1"/>
  <c r="AL16" i="1"/>
  <c r="AP14" i="1"/>
  <c r="AH7" i="1"/>
  <c r="AF16" i="1"/>
  <c r="AJ14" i="1"/>
  <c r="AB7" i="1"/>
  <c r="AH59" i="1"/>
  <c r="AJ59" i="1"/>
  <c r="AE68" i="1"/>
  <c r="AI66" i="1"/>
  <c r="AC7" i="1"/>
  <c r="AK42" i="1"/>
  <c r="AO40" i="1"/>
  <c r="AE33" i="1"/>
  <c r="AA59" i="1"/>
  <c r="AG16" i="1"/>
  <c r="AK14" i="1"/>
  <c r="AG33" i="1"/>
  <c r="AO68" i="1"/>
  <c r="AS66" i="1"/>
  <c r="AS68" i="1" s="1"/>
  <c r="AJ42" i="1"/>
  <c r="AN40" i="1"/>
  <c r="AE16" i="1"/>
  <c r="AI14" i="1"/>
  <c r="AL68" i="1"/>
  <c r="AP66" i="1"/>
  <c r="AK59" i="1"/>
  <c r="AH33" i="1"/>
  <c r="AF33" i="1"/>
  <c r="AA7" i="1"/>
  <c r="AM40" i="1"/>
  <c r="AI42" i="1"/>
  <c r="AL42" i="1"/>
  <c r="AP40" i="1"/>
  <c r="AN68" i="1"/>
  <c r="AR66" i="1"/>
  <c r="AR68" i="1" s="1"/>
  <c r="C12" i="6" l="1"/>
  <c r="D12" i="6" s="1"/>
  <c r="E68" i="6"/>
  <c r="F28" i="5"/>
  <c r="F30" i="8"/>
  <c r="AN102" i="6"/>
  <c r="AD151" i="6" s="1"/>
  <c r="F28" i="4"/>
  <c r="I73" i="1"/>
  <c r="I74" i="1" s="1"/>
  <c r="H47" i="1"/>
  <c r="H48" i="1" s="1"/>
  <c r="H30" i="1" s="1"/>
  <c r="H50" i="1" s="1"/>
  <c r="H51" i="1" s="1"/>
  <c r="J36" i="1"/>
  <c r="J37" i="1" s="1"/>
  <c r="J44" i="1"/>
  <c r="I45" i="1"/>
  <c r="I46" i="1"/>
  <c r="L38" i="1"/>
  <c r="K41" i="1"/>
  <c r="K39" i="1"/>
  <c r="N12" i="1"/>
  <c r="M15" i="1"/>
  <c r="M13" i="1"/>
  <c r="K20" i="1"/>
  <c r="K19" i="1"/>
  <c r="K21" i="1" s="1"/>
  <c r="K22" i="1" s="1"/>
  <c r="L10" i="1"/>
  <c r="L11" i="1" s="1"/>
  <c r="L18" i="1"/>
  <c r="J72" i="1"/>
  <c r="J71" i="1"/>
  <c r="M64" i="1"/>
  <c r="L67" i="1"/>
  <c r="L65" i="1"/>
  <c r="K62" i="1"/>
  <c r="K63" i="1" s="1"/>
  <c r="K70" i="1"/>
  <c r="C11" i="2"/>
  <c r="I56" i="1"/>
  <c r="I76" i="1" s="1"/>
  <c r="I77" i="1" s="1"/>
  <c r="AJ16" i="1"/>
  <c r="AN14" i="1"/>
  <c r="AF7" i="1"/>
  <c r="AP16" i="1"/>
  <c r="AT14" i="1"/>
  <c r="AT16" i="1" s="1"/>
  <c r="AL7" i="1"/>
  <c r="AG7" i="1"/>
  <c r="AM14" i="1"/>
  <c r="AI16" i="1"/>
  <c r="AE7" i="1"/>
  <c r="AO59" i="1"/>
  <c r="AN42" i="1"/>
  <c r="AR40" i="1"/>
  <c r="AR42" i="1" s="1"/>
  <c r="AP42" i="1"/>
  <c r="AT40" i="1"/>
  <c r="AT42" i="1" s="1"/>
  <c r="AJ33" i="1"/>
  <c r="AS40" i="1"/>
  <c r="AS42" i="1" s="1"/>
  <c r="AO42" i="1"/>
  <c r="AK33" i="1"/>
  <c r="AK16" i="1"/>
  <c r="AO14" i="1"/>
  <c r="AM42" i="1"/>
  <c r="AQ40" i="1"/>
  <c r="AQ42" i="1" s="1"/>
  <c r="AR59" i="1"/>
  <c r="AS59" i="1"/>
  <c r="AP68" i="1"/>
  <c r="AT66" i="1"/>
  <c r="AT68" i="1" s="1"/>
  <c r="AE59" i="1"/>
  <c r="AN59" i="1"/>
  <c r="AL33" i="1"/>
  <c r="AI33" i="1"/>
  <c r="AL59" i="1"/>
  <c r="AI68" i="1"/>
  <c r="AM66" i="1"/>
  <c r="G28" i="6" l="1"/>
  <c r="F28" i="6" s="1"/>
  <c r="H28" i="5"/>
  <c r="H30" i="8"/>
  <c r="H28" i="4"/>
  <c r="I47" i="1"/>
  <c r="I48" i="1" s="1"/>
  <c r="K36" i="1"/>
  <c r="K37" i="1" s="1"/>
  <c r="K44" i="1"/>
  <c r="L39" i="1"/>
  <c r="M38" i="1"/>
  <c r="L41" i="1"/>
  <c r="J45" i="1"/>
  <c r="J46" i="1"/>
  <c r="E12" i="2"/>
  <c r="K4" i="1"/>
  <c r="K24" i="1" s="1"/>
  <c r="K25" i="1" s="1"/>
  <c r="L19" i="1"/>
  <c r="L20" i="1"/>
  <c r="M10" i="1"/>
  <c r="M11" i="1" s="1"/>
  <c r="M18" i="1"/>
  <c r="N15" i="1"/>
  <c r="O12" i="1"/>
  <c r="N13" i="1"/>
  <c r="L62" i="1"/>
  <c r="L63" i="1" s="1"/>
  <c r="L70" i="1"/>
  <c r="N64" i="1"/>
  <c r="M67" i="1"/>
  <c r="M65" i="1"/>
  <c r="J73" i="1"/>
  <c r="J74" i="1" s="1"/>
  <c r="J56" i="1" s="1"/>
  <c r="J76" i="1" s="1"/>
  <c r="J77" i="1" s="1"/>
  <c r="K72" i="1"/>
  <c r="K71" i="1"/>
  <c r="K73" i="1" s="1"/>
  <c r="K74" i="1" s="1"/>
  <c r="AP7" i="1"/>
  <c r="AN16" i="1"/>
  <c r="AR14" i="1"/>
  <c r="AR16" i="1" s="1"/>
  <c r="AT7" i="1"/>
  <c r="AJ7" i="1"/>
  <c r="AM16" i="1"/>
  <c r="AQ14" i="1"/>
  <c r="AQ16" i="1" s="1"/>
  <c r="AI7" i="1"/>
  <c r="AT33" i="1"/>
  <c r="AP33" i="1"/>
  <c r="AQ33" i="1"/>
  <c r="AT59" i="1"/>
  <c r="AM33" i="1"/>
  <c r="AO16" i="1"/>
  <c r="AS14" i="1"/>
  <c r="AS16" i="1" s="1"/>
  <c r="AK7" i="1"/>
  <c r="AO33" i="1"/>
  <c r="AP59" i="1"/>
  <c r="AS33" i="1"/>
  <c r="AR33" i="1"/>
  <c r="AM68" i="1"/>
  <c r="AQ66" i="1"/>
  <c r="AQ68" i="1" s="1"/>
  <c r="AI59" i="1"/>
  <c r="AN33" i="1"/>
  <c r="G29" i="5" l="1"/>
  <c r="G31" i="8"/>
  <c r="H28" i="6"/>
  <c r="G29" i="4"/>
  <c r="D11" i="2"/>
  <c r="I30" i="1"/>
  <c r="I50" i="1" s="1"/>
  <c r="I51" i="1" s="1"/>
  <c r="L36" i="1"/>
  <c r="L37" i="1" s="1"/>
  <c r="L44" i="1"/>
  <c r="K46" i="1"/>
  <c r="K45" i="1"/>
  <c r="K47" i="1" s="1"/>
  <c r="K48" i="1" s="1"/>
  <c r="J47" i="1"/>
  <c r="J48" i="1" s="1"/>
  <c r="J30" i="1" s="1"/>
  <c r="J50" i="1" s="1"/>
  <c r="J51" i="1" s="1"/>
  <c r="N38" i="1"/>
  <c r="M41" i="1"/>
  <c r="M39" i="1"/>
  <c r="N10" i="1"/>
  <c r="N11" i="1" s="1"/>
  <c r="N18" i="1"/>
  <c r="M20" i="1"/>
  <c r="M19" i="1"/>
  <c r="M21" i="1" s="1"/>
  <c r="M22" i="1" s="1"/>
  <c r="P12" i="1"/>
  <c r="O15" i="1"/>
  <c r="O13" i="1"/>
  <c r="L21" i="1"/>
  <c r="L22" i="1" s="1"/>
  <c r="L4" i="1" s="1"/>
  <c r="L24" i="1" s="1"/>
  <c r="L25" i="1" s="1"/>
  <c r="M62" i="1"/>
  <c r="M63" i="1" s="1"/>
  <c r="M70" i="1"/>
  <c r="O64" i="1"/>
  <c r="N67" i="1"/>
  <c r="N65" i="1"/>
  <c r="L71" i="1"/>
  <c r="L72" i="1"/>
  <c r="K56" i="1"/>
  <c r="K76" i="1" s="1"/>
  <c r="K77" i="1" s="1"/>
  <c r="C12" i="2"/>
  <c r="AR7" i="1"/>
  <c r="AN7" i="1"/>
  <c r="AS7" i="1"/>
  <c r="AQ7" i="1"/>
  <c r="AM7" i="1"/>
  <c r="AM59" i="1"/>
  <c r="AQ59" i="1"/>
  <c r="AO7" i="1"/>
  <c r="F29" i="5" l="1"/>
  <c r="F31" i="8"/>
  <c r="G29" i="6"/>
  <c r="F29" i="4"/>
  <c r="M44" i="1"/>
  <c r="M36" i="1"/>
  <c r="M37" i="1" s="1"/>
  <c r="N39" i="1"/>
  <c r="O38" i="1"/>
  <c r="N41" i="1"/>
  <c r="K30" i="1"/>
  <c r="K50" i="1" s="1"/>
  <c r="K51" i="1" s="1"/>
  <c r="D12" i="2"/>
  <c r="L45" i="1"/>
  <c r="L46" i="1"/>
  <c r="O10" i="1"/>
  <c r="O11" i="1" s="1"/>
  <c r="O18" i="1"/>
  <c r="Q12" i="1"/>
  <c r="P15" i="1"/>
  <c r="P13" i="1"/>
  <c r="M4" i="1"/>
  <c r="M24" i="1" s="1"/>
  <c r="M25" i="1" s="1"/>
  <c r="E13" i="2"/>
  <c r="N20" i="1"/>
  <c r="N19" i="1"/>
  <c r="N21" i="1" s="1"/>
  <c r="N22" i="1" s="1"/>
  <c r="N4" i="1" s="1"/>
  <c r="N24" i="1" s="1"/>
  <c r="N25" i="1" s="1"/>
  <c r="L73" i="1"/>
  <c r="L74" i="1" s="1"/>
  <c r="L56" i="1" s="1"/>
  <c r="L76" i="1" s="1"/>
  <c r="L77" i="1" s="1"/>
  <c r="N62" i="1"/>
  <c r="N63" i="1" s="1"/>
  <c r="N70" i="1"/>
  <c r="M71" i="1"/>
  <c r="M72" i="1"/>
  <c r="M73" i="1" s="1"/>
  <c r="M74" i="1" s="1"/>
  <c r="O67" i="1"/>
  <c r="P64" i="1"/>
  <c r="O65" i="1"/>
  <c r="H29" i="5" l="1"/>
  <c r="H31" i="8"/>
  <c r="F29" i="6"/>
  <c r="H29" i="4"/>
  <c r="L47" i="1"/>
  <c r="L48" i="1" s="1"/>
  <c r="L30" i="1" s="1"/>
  <c r="L50" i="1" s="1"/>
  <c r="L51" i="1" s="1"/>
  <c r="N44" i="1"/>
  <c r="N36" i="1"/>
  <c r="N37" i="1" s="1"/>
  <c r="O41" i="1"/>
  <c r="P38" i="1"/>
  <c r="O39" i="1"/>
  <c r="M46" i="1"/>
  <c r="M45" i="1"/>
  <c r="M47" i="1" s="1"/>
  <c r="M48" i="1" s="1"/>
  <c r="M30" i="1" s="1"/>
  <c r="M50" i="1" s="1"/>
  <c r="M51" i="1" s="1"/>
  <c r="O20" i="1"/>
  <c r="O19" i="1"/>
  <c r="O21" i="1" s="1"/>
  <c r="O22" i="1" s="1"/>
  <c r="P10" i="1"/>
  <c r="P11" i="1" s="1"/>
  <c r="P18" i="1"/>
  <c r="Q15" i="1"/>
  <c r="R12" i="1"/>
  <c r="Q13" i="1"/>
  <c r="Q64" i="1"/>
  <c r="P67" i="1"/>
  <c r="P65" i="1"/>
  <c r="O62" i="1"/>
  <c r="O63" i="1" s="1"/>
  <c r="O70" i="1"/>
  <c r="M56" i="1"/>
  <c r="M76" i="1" s="1"/>
  <c r="M77" i="1" s="1"/>
  <c r="C13" i="2"/>
  <c r="N71" i="1"/>
  <c r="N72" i="1"/>
  <c r="N73" i="1" s="1"/>
  <c r="N74" i="1" s="1"/>
  <c r="N56" i="1" s="1"/>
  <c r="N76" i="1" s="1"/>
  <c r="N77" i="1" s="1"/>
  <c r="G30" i="5" l="1"/>
  <c r="G32" i="8"/>
  <c r="H29" i="6"/>
  <c r="G30" i="4"/>
  <c r="O36" i="1"/>
  <c r="O37" i="1" s="1"/>
  <c r="O44" i="1"/>
  <c r="D13" i="2"/>
  <c r="P39" i="1"/>
  <c r="Q38" i="1"/>
  <c r="P41" i="1"/>
  <c r="N46" i="1"/>
  <c r="N45" i="1"/>
  <c r="N47" i="1" s="1"/>
  <c r="N48" i="1" s="1"/>
  <c r="N30" i="1" s="1"/>
  <c r="N50" i="1" s="1"/>
  <c r="N51" i="1" s="1"/>
  <c r="E14" i="2"/>
  <c r="O4" i="1"/>
  <c r="O24" i="1" s="1"/>
  <c r="O25" i="1" s="1"/>
  <c r="S12" i="1"/>
  <c r="R15" i="1"/>
  <c r="R13" i="1"/>
  <c r="Q10" i="1"/>
  <c r="Q11" i="1" s="1"/>
  <c r="Q18" i="1"/>
  <c r="P20" i="1"/>
  <c r="P19" i="1"/>
  <c r="P62" i="1"/>
  <c r="P63" i="1" s="1"/>
  <c r="P70" i="1"/>
  <c r="O71" i="1"/>
  <c r="O72" i="1"/>
  <c r="R64" i="1"/>
  <c r="Q67" i="1"/>
  <c r="Q65" i="1"/>
  <c r="F30" i="5" l="1"/>
  <c r="F32" i="8"/>
  <c r="G30" i="6"/>
  <c r="F30" i="4"/>
  <c r="P21" i="1"/>
  <c r="P22" i="1" s="1"/>
  <c r="P4" i="1" s="1"/>
  <c r="P24" i="1" s="1"/>
  <c r="P25" i="1" s="1"/>
  <c r="P36" i="1"/>
  <c r="P37" i="1" s="1"/>
  <c r="P44" i="1"/>
  <c r="Q41" i="1"/>
  <c r="R38" i="1"/>
  <c r="Q39" i="1"/>
  <c r="O45" i="1"/>
  <c r="O46" i="1"/>
  <c r="Q19" i="1"/>
  <c r="Q20" i="1"/>
  <c r="R10" i="1"/>
  <c r="R11" i="1" s="1"/>
  <c r="R18" i="1"/>
  <c r="T12" i="1"/>
  <c r="S15" i="1"/>
  <c r="S13" i="1"/>
  <c r="Q62" i="1"/>
  <c r="Q63" i="1" s="1"/>
  <c r="Q70" i="1"/>
  <c r="P71" i="1"/>
  <c r="P72" i="1"/>
  <c r="S64" i="1"/>
  <c r="R67" i="1"/>
  <c r="R65" i="1"/>
  <c r="O73" i="1"/>
  <c r="O74" i="1" s="1"/>
  <c r="H30" i="5" l="1"/>
  <c r="H32" i="8"/>
  <c r="F30" i="6"/>
  <c r="H30" i="4"/>
  <c r="O47" i="1"/>
  <c r="O48" i="1" s="1"/>
  <c r="S38" i="1"/>
  <c r="R41" i="1"/>
  <c r="R39" i="1"/>
  <c r="Q36" i="1"/>
  <c r="Q37" i="1" s="1"/>
  <c r="Q44" i="1"/>
  <c r="P46" i="1"/>
  <c r="P45" i="1"/>
  <c r="P47" i="1" s="1"/>
  <c r="P48" i="1" s="1"/>
  <c r="P30" i="1" s="1"/>
  <c r="P50" i="1" s="1"/>
  <c r="P51" i="1" s="1"/>
  <c r="S10" i="1"/>
  <c r="S11" i="1" s="1"/>
  <c r="S18" i="1"/>
  <c r="U12" i="1"/>
  <c r="T15" i="1"/>
  <c r="T13" i="1"/>
  <c r="R19" i="1"/>
  <c r="R20" i="1"/>
  <c r="Q21" i="1"/>
  <c r="Q22" i="1" s="1"/>
  <c r="R62" i="1"/>
  <c r="R63" i="1" s="1"/>
  <c r="R70" i="1"/>
  <c r="O56" i="1"/>
  <c r="O76" i="1" s="1"/>
  <c r="O77" i="1" s="1"/>
  <c r="C14" i="2"/>
  <c r="T64" i="1"/>
  <c r="S67" i="1"/>
  <c r="S65" i="1"/>
  <c r="P73" i="1"/>
  <c r="P74" i="1" s="1"/>
  <c r="P56" i="1" s="1"/>
  <c r="P76" i="1" s="1"/>
  <c r="P77" i="1" s="1"/>
  <c r="Q72" i="1"/>
  <c r="Q71" i="1"/>
  <c r="Q73" i="1" s="1"/>
  <c r="Q74" i="1" s="1"/>
  <c r="G31" i="5" l="1"/>
  <c r="G33" i="8"/>
  <c r="F33" i="8" s="1"/>
  <c r="H33" i="8" s="1"/>
  <c r="H30" i="6"/>
  <c r="G31" i="4"/>
  <c r="Q46" i="1"/>
  <c r="Q45" i="1"/>
  <c r="R44" i="1"/>
  <c r="R36" i="1"/>
  <c r="R37" i="1" s="1"/>
  <c r="T38" i="1"/>
  <c r="S41" i="1"/>
  <c r="S39" i="1"/>
  <c r="O30" i="1"/>
  <c r="O50" i="1" s="1"/>
  <c r="O51" i="1" s="1"/>
  <c r="D14" i="2"/>
  <c r="Q4" i="1"/>
  <c r="Q24" i="1" s="1"/>
  <c r="Q25" i="1" s="1"/>
  <c r="E15" i="2"/>
  <c r="R21" i="1"/>
  <c r="R22" i="1" s="1"/>
  <c r="R4" i="1" s="1"/>
  <c r="R24" i="1" s="1"/>
  <c r="R25" i="1" s="1"/>
  <c r="T10" i="1"/>
  <c r="T11" i="1" s="1"/>
  <c r="T18" i="1"/>
  <c r="U15" i="1"/>
  <c r="V12" i="1"/>
  <c r="U13" i="1"/>
  <c r="S20" i="1"/>
  <c r="S19" i="1"/>
  <c r="R71" i="1"/>
  <c r="R72" i="1"/>
  <c r="Q56" i="1"/>
  <c r="Q76" i="1" s="1"/>
  <c r="Q77" i="1" s="1"/>
  <c r="C15" i="2"/>
  <c r="S62" i="1"/>
  <c r="S63" i="1" s="1"/>
  <c r="S70" i="1"/>
  <c r="U64" i="1"/>
  <c r="T67" i="1"/>
  <c r="T65" i="1"/>
  <c r="F31" i="5" l="1"/>
  <c r="G34" i="8"/>
  <c r="F34" i="8" s="1"/>
  <c r="H34" i="8" s="1"/>
  <c r="G31" i="6"/>
  <c r="F31" i="4"/>
  <c r="R73" i="1"/>
  <c r="R74" i="1" s="1"/>
  <c r="R56" i="1" s="1"/>
  <c r="R76" i="1" s="1"/>
  <c r="R77" i="1" s="1"/>
  <c r="S44" i="1"/>
  <c r="S36" i="1"/>
  <c r="S37" i="1" s="1"/>
  <c r="U38" i="1"/>
  <c r="T41" i="1"/>
  <c r="T39" i="1"/>
  <c r="R46" i="1"/>
  <c r="R45" i="1"/>
  <c r="R47" i="1" s="1"/>
  <c r="R48" i="1" s="1"/>
  <c r="R30" i="1" s="1"/>
  <c r="R50" i="1" s="1"/>
  <c r="R51" i="1" s="1"/>
  <c r="Q47" i="1"/>
  <c r="Q48" i="1" s="1"/>
  <c r="S21" i="1"/>
  <c r="S22" i="1" s="1"/>
  <c r="V15" i="1"/>
  <c r="W12" i="1"/>
  <c r="V13" i="1"/>
  <c r="T20" i="1"/>
  <c r="T19" i="1"/>
  <c r="T21" i="1" s="1"/>
  <c r="T22" i="1" s="1"/>
  <c r="T4" i="1" s="1"/>
  <c r="T24" i="1" s="1"/>
  <c r="T25" i="1" s="1"/>
  <c r="U10" i="1"/>
  <c r="U11" i="1" s="1"/>
  <c r="U18" i="1"/>
  <c r="S71" i="1"/>
  <c r="S72" i="1"/>
  <c r="T62" i="1"/>
  <c r="T63" i="1" s="1"/>
  <c r="T70" i="1"/>
  <c r="V64" i="1"/>
  <c r="U67" i="1"/>
  <c r="U65" i="1"/>
  <c r="H31" i="5" l="1"/>
  <c r="G32" i="5" s="1"/>
  <c r="G35" i="8"/>
  <c r="F35" i="8" s="1"/>
  <c r="H35" i="8" s="1"/>
  <c r="F31" i="6"/>
  <c r="H31" i="4"/>
  <c r="T36" i="1"/>
  <c r="T37" i="1" s="1"/>
  <c r="T44" i="1"/>
  <c r="U39" i="1"/>
  <c r="U41" i="1"/>
  <c r="V38" i="1"/>
  <c r="Q30" i="1"/>
  <c r="Q50" i="1" s="1"/>
  <c r="Q51" i="1" s="1"/>
  <c r="D15" i="2"/>
  <c r="S45" i="1"/>
  <c r="S46" i="1"/>
  <c r="U19" i="1"/>
  <c r="U20" i="1"/>
  <c r="X12" i="1"/>
  <c r="W15" i="1"/>
  <c r="W13" i="1"/>
  <c r="V10" i="1"/>
  <c r="V11" i="1" s="1"/>
  <c r="V18" i="1"/>
  <c r="S4" i="1"/>
  <c r="S24" i="1" s="1"/>
  <c r="S25" i="1" s="1"/>
  <c r="E16" i="2"/>
  <c r="T72" i="1"/>
  <c r="T71" i="1"/>
  <c r="T73" i="1" s="1"/>
  <c r="T74" i="1" s="1"/>
  <c r="T56" i="1" s="1"/>
  <c r="T76" i="1" s="1"/>
  <c r="T77" i="1" s="1"/>
  <c r="U62" i="1"/>
  <c r="U63" i="1" s="1"/>
  <c r="U70" i="1"/>
  <c r="W64" i="1"/>
  <c r="V67" i="1"/>
  <c r="V65" i="1"/>
  <c r="S73" i="1"/>
  <c r="S74" i="1" s="1"/>
  <c r="F32" i="5" l="1"/>
  <c r="G36" i="8"/>
  <c r="F36" i="8" s="1"/>
  <c r="H36" i="8" s="1"/>
  <c r="H31" i="6"/>
  <c r="G32" i="4"/>
  <c r="S47" i="1"/>
  <c r="S48" i="1" s="1"/>
  <c r="V39" i="1"/>
  <c r="V41" i="1"/>
  <c r="W38" i="1"/>
  <c r="U36" i="1"/>
  <c r="U37" i="1" s="1"/>
  <c r="U44" i="1"/>
  <c r="T45" i="1"/>
  <c r="T46" i="1"/>
  <c r="V20" i="1"/>
  <c r="V19" i="1"/>
  <c r="W10" i="1"/>
  <c r="W11" i="1" s="1"/>
  <c r="W18" i="1"/>
  <c r="Y12" i="1"/>
  <c r="X15" i="1"/>
  <c r="X13" i="1"/>
  <c r="U21" i="1"/>
  <c r="U22" i="1" s="1"/>
  <c r="S56" i="1"/>
  <c r="S76" i="1" s="1"/>
  <c r="S77" i="1" s="1"/>
  <c r="C16" i="2"/>
  <c r="U71" i="1"/>
  <c r="U72" i="1"/>
  <c r="V62" i="1"/>
  <c r="V63" i="1" s="1"/>
  <c r="V70" i="1"/>
  <c r="X64" i="1"/>
  <c r="W67" i="1"/>
  <c r="W65" i="1"/>
  <c r="H32" i="5" l="1"/>
  <c r="G37" i="8"/>
  <c r="F37" i="8" s="1"/>
  <c r="H37" i="8" s="1"/>
  <c r="G32" i="6"/>
  <c r="F32" i="4"/>
  <c r="U46" i="1"/>
  <c r="U45" i="1"/>
  <c r="U47" i="1" s="1"/>
  <c r="U48" i="1" s="1"/>
  <c r="T47" i="1"/>
  <c r="T48" i="1" s="1"/>
  <c r="T30" i="1" s="1"/>
  <c r="T50" i="1" s="1"/>
  <c r="T51" i="1" s="1"/>
  <c r="X38" i="1"/>
  <c r="W41" i="1"/>
  <c r="W39" i="1"/>
  <c r="V36" i="1"/>
  <c r="V37" i="1" s="1"/>
  <c r="V44" i="1"/>
  <c r="S30" i="1"/>
  <c r="S50" i="1" s="1"/>
  <c r="S51" i="1" s="1"/>
  <c r="D16" i="2"/>
  <c r="U4" i="1"/>
  <c r="U24" i="1" s="1"/>
  <c r="U25" i="1" s="1"/>
  <c r="E17" i="2"/>
  <c r="X10" i="1"/>
  <c r="X11" i="1" s="1"/>
  <c r="X18" i="1"/>
  <c r="Z12" i="1"/>
  <c r="Y15" i="1"/>
  <c r="Y13" i="1"/>
  <c r="W19" i="1"/>
  <c r="W20" i="1"/>
  <c r="V21" i="1"/>
  <c r="V22" i="1" s="1"/>
  <c r="V4" i="1" s="1"/>
  <c r="V24" i="1" s="1"/>
  <c r="V25" i="1" s="1"/>
  <c r="U30" i="1"/>
  <c r="U50" i="1" s="1"/>
  <c r="U51" i="1" s="1"/>
  <c r="D17" i="2"/>
  <c r="W62" i="1"/>
  <c r="W63" i="1" s="1"/>
  <c r="W70" i="1"/>
  <c r="V71" i="1"/>
  <c r="V72" i="1"/>
  <c r="X67" i="1"/>
  <c r="Y64" i="1"/>
  <c r="X65" i="1"/>
  <c r="U73" i="1"/>
  <c r="U74" i="1" s="1"/>
  <c r="G33" i="5" l="1"/>
  <c r="F33" i="5" s="1"/>
  <c r="H33" i="5" s="1"/>
  <c r="G34" i="5" s="1"/>
  <c r="F34" i="5" s="1"/>
  <c r="H34" i="5" s="1"/>
  <c r="G38" i="8"/>
  <c r="F38" i="8" s="1"/>
  <c r="H38" i="8" s="1"/>
  <c r="F32" i="6"/>
  <c r="H32" i="4"/>
  <c r="G33" i="4" s="1"/>
  <c r="F33" i="4" s="1"/>
  <c r="H33" i="4" s="1"/>
  <c r="G34" i="4" s="1"/>
  <c r="F34" i="4" s="1"/>
  <c r="H34" i="4" s="1"/>
  <c r="G35" i="4" s="1"/>
  <c r="F35" i="4" s="1"/>
  <c r="H35" i="4" s="1"/>
  <c r="G36" i="4" s="1"/>
  <c r="F36" i="4" s="1"/>
  <c r="H36" i="4" s="1"/>
  <c r="V46" i="1"/>
  <c r="V45" i="1"/>
  <c r="W36" i="1"/>
  <c r="W37" i="1" s="1"/>
  <c r="W44" i="1"/>
  <c r="X41" i="1"/>
  <c r="X39" i="1"/>
  <c r="Y38" i="1"/>
  <c r="W21" i="1"/>
  <c r="W22" i="1" s="1"/>
  <c r="Y10" i="1"/>
  <c r="Y11" i="1" s="1"/>
  <c r="Y18" i="1"/>
  <c r="AA12" i="1"/>
  <c r="Z15" i="1"/>
  <c r="Z13" i="1"/>
  <c r="X19" i="1"/>
  <c r="X20" i="1"/>
  <c r="U56" i="1"/>
  <c r="U76" i="1" s="1"/>
  <c r="U77" i="1" s="1"/>
  <c r="C17" i="2"/>
  <c r="Z64" i="1"/>
  <c r="Y67" i="1"/>
  <c r="Y65" i="1"/>
  <c r="X62" i="1"/>
  <c r="X63" i="1" s="1"/>
  <c r="X70" i="1"/>
  <c r="V73" i="1"/>
  <c r="V74" i="1" s="1"/>
  <c r="V56" i="1" s="1"/>
  <c r="V76" i="1" s="1"/>
  <c r="V77" i="1" s="1"/>
  <c r="W72" i="1"/>
  <c r="W71" i="1"/>
  <c r="G35" i="5" l="1"/>
  <c r="F35" i="5" s="1"/>
  <c r="H35" i="5"/>
  <c r="G39" i="8"/>
  <c r="F39" i="8" s="1"/>
  <c r="H39" i="8" s="1"/>
  <c r="H32" i="6"/>
  <c r="G33" i="6" s="1"/>
  <c r="F33" i="6" s="1"/>
  <c r="H33" i="6" s="1"/>
  <c r="G34" i="6" s="1"/>
  <c r="F34" i="6" s="1"/>
  <c r="H34" i="6" s="1"/>
  <c r="G35" i="6" s="1"/>
  <c r="F35" i="6" s="1"/>
  <c r="H35" i="6" s="1"/>
  <c r="G36" i="6" s="1"/>
  <c r="F36" i="6" s="1"/>
  <c r="H36" i="6" s="1"/>
  <c r="G37" i="6" s="1"/>
  <c r="F37" i="6" s="1"/>
  <c r="H37" i="6" s="1"/>
  <c r="G38" i="6" s="1"/>
  <c r="F38" i="6" s="1"/>
  <c r="H38" i="6" s="1"/>
  <c r="G39" i="6" s="1"/>
  <c r="F39" i="6" s="1"/>
  <c r="H39" i="6" s="1"/>
  <c r="G37" i="4"/>
  <c r="F37" i="4" s="1"/>
  <c r="H37" i="4" s="1"/>
  <c r="Y39" i="1"/>
  <c r="Z38" i="1"/>
  <c r="Y41" i="1"/>
  <c r="W46" i="1"/>
  <c r="W45" i="1"/>
  <c r="W47" i="1" s="1"/>
  <c r="W48" i="1" s="1"/>
  <c r="W30" i="1" s="1"/>
  <c r="W50" i="1" s="1"/>
  <c r="W51" i="1" s="1"/>
  <c r="V47" i="1"/>
  <c r="V48" i="1" s="1"/>
  <c r="V30" i="1" s="1"/>
  <c r="V50" i="1" s="1"/>
  <c r="V51" i="1" s="1"/>
  <c r="X36" i="1"/>
  <c r="X37" i="1" s="1"/>
  <c r="X44" i="1"/>
  <c r="X21" i="1"/>
  <c r="X22" i="1" s="1"/>
  <c r="X4" i="1" s="1"/>
  <c r="X24" i="1" s="1"/>
  <c r="X25" i="1" s="1"/>
  <c r="Z10" i="1"/>
  <c r="Z11" i="1" s="1"/>
  <c r="Z18" i="1"/>
  <c r="AB12" i="1"/>
  <c r="AA15" i="1"/>
  <c r="AA13" i="1"/>
  <c r="Y19" i="1"/>
  <c r="Y20" i="1"/>
  <c r="E18" i="2"/>
  <c r="W4" i="1"/>
  <c r="W24" i="1" s="1"/>
  <c r="W25" i="1" s="1"/>
  <c r="W73" i="1"/>
  <c r="W74" i="1" s="1"/>
  <c r="X72" i="1"/>
  <c r="X71" i="1"/>
  <c r="X73" i="1" s="1"/>
  <c r="X74" i="1" s="1"/>
  <c r="X56" i="1" s="1"/>
  <c r="X76" i="1" s="1"/>
  <c r="X77" i="1" s="1"/>
  <c r="Y62" i="1"/>
  <c r="Y63" i="1" s="1"/>
  <c r="Y70" i="1"/>
  <c r="AA64" i="1"/>
  <c r="Z67" i="1"/>
  <c r="Z65" i="1"/>
  <c r="G36" i="5" l="1"/>
  <c r="F36" i="5" s="1"/>
  <c r="H36" i="5"/>
  <c r="G37" i="5" s="1"/>
  <c r="F37" i="5" s="1"/>
  <c r="H37" i="5" s="1"/>
  <c r="G38" i="5" s="1"/>
  <c r="F38" i="5" s="1"/>
  <c r="H38" i="5" s="1"/>
  <c r="G40" i="8"/>
  <c r="F40" i="8" s="1"/>
  <c r="H40" i="8" s="1"/>
  <c r="G40" i="6"/>
  <c r="F40" i="6" s="1"/>
  <c r="H40" i="6" s="1"/>
  <c r="G41" i="6" s="1"/>
  <c r="F41" i="6" s="1"/>
  <c r="H41" i="6" s="1"/>
  <c r="G42" i="6" s="1"/>
  <c r="F42" i="6" s="1"/>
  <c r="H42" i="6" s="1"/>
  <c r="G43" i="6" s="1"/>
  <c r="F43" i="6" s="1"/>
  <c r="H43" i="6" s="1"/>
  <c r="G44" i="6" s="1"/>
  <c r="F44" i="6" s="1"/>
  <c r="H44" i="6" s="1"/>
  <c r="G45" i="6" s="1"/>
  <c r="F45" i="6" s="1"/>
  <c r="H45" i="6" s="1"/>
  <c r="G46" i="6" s="1"/>
  <c r="F46" i="6" s="1"/>
  <c r="H46" i="6" s="1"/>
  <c r="G47" i="6" s="1"/>
  <c r="F47" i="6" s="1"/>
  <c r="H47" i="6" s="1"/>
  <c r="G48" i="6" s="1"/>
  <c r="F48" i="6" s="1"/>
  <c r="H48" i="6" s="1"/>
  <c r="G49" i="6" s="1"/>
  <c r="F49" i="6" s="1"/>
  <c r="H49" i="6" s="1"/>
  <c r="G50" i="6" s="1"/>
  <c r="F50" i="6" s="1"/>
  <c r="H50" i="6" s="1"/>
  <c r="G38" i="4"/>
  <c r="F38" i="4" s="1"/>
  <c r="H38" i="4" s="1"/>
  <c r="D18" i="2"/>
  <c r="X46" i="1"/>
  <c r="X45" i="1"/>
  <c r="X47" i="1" s="1"/>
  <c r="X48" i="1" s="1"/>
  <c r="X30" i="1" s="1"/>
  <c r="X50" i="1" s="1"/>
  <c r="X51" i="1" s="1"/>
  <c r="Y36" i="1"/>
  <c r="Y37" i="1" s="1"/>
  <c r="Y44" i="1"/>
  <c r="AA38" i="1"/>
  <c r="Z41" i="1"/>
  <c r="Z39" i="1"/>
  <c r="Y21" i="1"/>
  <c r="Y22" i="1" s="1"/>
  <c r="AA10" i="1"/>
  <c r="AA11" i="1" s="1"/>
  <c r="AA18" i="1"/>
  <c r="AC12" i="1"/>
  <c r="AB15" i="1"/>
  <c r="AB13" i="1"/>
  <c r="Z20" i="1"/>
  <c r="Z19" i="1"/>
  <c r="Z21" i="1" s="1"/>
  <c r="Z22" i="1" s="1"/>
  <c r="Z4" i="1" s="1"/>
  <c r="Z24" i="1" s="1"/>
  <c r="Z25" i="1" s="1"/>
  <c r="Z62" i="1"/>
  <c r="Z63" i="1" s="1"/>
  <c r="Z70" i="1"/>
  <c r="AB64" i="1"/>
  <c r="AA67" i="1"/>
  <c r="AA65" i="1"/>
  <c r="Y72" i="1"/>
  <c r="Y71" i="1"/>
  <c r="Y73" i="1" s="1"/>
  <c r="Y74" i="1" s="1"/>
  <c r="C18" i="2"/>
  <c r="W56" i="1"/>
  <c r="W76" i="1" s="1"/>
  <c r="W77" i="1" s="1"/>
  <c r="G39" i="5" l="1"/>
  <c r="F39" i="5" s="1"/>
  <c r="H39" i="5" s="1"/>
  <c r="G41" i="8"/>
  <c r="F41" i="8" s="1"/>
  <c r="H41" i="8" s="1"/>
  <c r="G51" i="6"/>
  <c r="G39" i="4"/>
  <c r="Z36" i="1"/>
  <c r="Z37" i="1" s="1"/>
  <c r="Z44" i="1"/>
  <c r="AA39" i="1"/>
  <c r="AB38" i="1"/>
  <c r="AA41" i="1"/>
  <c r="Y45" i="1"/>
  <c r="Y46" i="1"/>
  <c r="AB10" i="1"/>
  <c r="AB11" i="1" s="1"/>
  <c r="AB18" i="1"/>
  <c r="AD12" i="1"/>
  <c r="AC15" i="1"/>
  <c r="AC13" i="1"/>
  <c r="AA19" i="1"/>
  <c r="AA20" i="1"/>
  <c r="Y4" i="1"/>
  <c r="Y24" i="1" s="1"/>
  <c r="Y25" i="1" s="1"/>
  <c r="Y56" i="1"/>
  <c r="Y76" i="1" s="1"/>
  <c r="Y77" i="1" s="1"/>
  <c r="AA62" i="1"/>
  <c r="AA63" i="1" s="1"/>
  <c r="AA70" i="1"/>
  <c r="AC64" i="1"/>
  <c r="AB67" i="1"/>
  <c r="AB65" i="1"/>
  <c r="Z71" i="1"/>
  <c r="Z72" i="1"/>
  <c r="G40" i="5" l="1"/>
  <c r="F40" i="5" s="1"/>
  <c r="H40" i="5"/>
  <c r="G42" i="8"/>
  <c r="F42" i="8" s="1"/>
  <c r="H42" i="8" s="1"/>
  <c r="F51" i="6"/>
  <c r="G68" i="6"/>
  <c r="F39" i="4"/>
  <c r="G40" i="4"/>
  <c r="Y47" i="1"/>
  <c r="Y48" i="1" s="1"/>
  <c r="Z45" i="1"/>
  <c r="Z46" i="1"/>
  <c r="AA36" i="1"/>
  <c r="AA37" i="1" s="1"/>
  <c r="AA44" i="1"/>
  <c r="AC38" i="1"/>
  <c r="AB41" i="1"/>
  <c r="AB39" i="1"/>
  <c r="AA21" i="1"/>
  <c r="AA22" i="1" s="1"/>
  <c r="AC10" i="1"/>
  <c r="AC11" i="1" s="1"/>
  <c r="AC18" i="1"/>
  <c r="AD15" i="1"/>
  <c r="AE12" i="1"/>
  <c r="AD13" i="1"/>
  <c r="AB20" i="1"/>
  <c r="AB19" i="1"/>
  <c r="AB21" i="1" s="1"/>
  <c r="AB22" i="1" s="1"/>
  <c r="AB4" i="1" s="1"/>
  <c r="AB24" i="1" s="1"/>
  <c r="AB25" i="1" s="1"/>
  <c r="Z73" i="1"/>
  <c r="Z74" i="1" s="1"/>
  <c r="Z56" i="1" s="1"/>
  <c r="Z76" i="1" s="1"/>
  <c r="Z77" i="1" s="1"/>
  <c r="AB62" i="1"/>
  <c r="AB63" i="1" s="1"/>
  <c r="AB70" i="1"/>
  <c r="AA72" i="1"/>
  <c r="AA71" i="1"/>
  <c r="AA73" i="1" s="1"/>
  <c r="AA74" i="1" s="1"/>
  <c r="AD64" i="1"/>
  <c r="AC67" i="1"/>
  <c r="AC65" i="1"/>
  <c r="G41" i="5" l="1"/>
  <c r="F41" i="5" s="1"/>
  <c r="H41" i="5"/>
  <c r="G42" i="5" s="1"/>
  <c r="F42" i="5" s="1"/>
  <c r="H42" i="5" s="1"/>
  <c r="G43" i="8"/>
  <c r="F43" i="8" s="1"/>
  <c r="H43" i="8" s="1"/>
  <c r="F68" i="6"/>
  <c r="H51" i="6"/>
  <c r="G52" i="6" s="1"/>
  <c r="F52" i="6" s="1"/>
  <c r="H52" i="6" s="1"/>
  <c r="G53" i="6" s="1"/>
  <c r="F53" i="6" s="1"/>
  <c r="H53" i="6" s="1"/>
  <c r="H39" i="4"/>
  <c r="F40" i="4"/>
  <c r="Z47" i="1"/>
  <c r="Z48" i="1" s="1"/>
  <c r="Z30" i="1" s="1"/>
  <c r="Z50" i="1" s="1"/>
  <c r="Z51" i="1" s="1"/>
  <c r="AD38" i="1"/>
  <c r="AC41" i="1"/>
  <c r="AC39" i="1"/>
  <c r="AB36" i="1"/>
  <c r="AB37" i="1" s="1"/>
  <c r="AB44" i="1"/>
  <c r="AA45" i="1"/>
  <c r="AA46" i="1"/>
  <c r="Y30" i="1"/>
  <c r="Y50" i="1" s="1"/>
  <c r="Y51" i="1" s="1"/>
  <c r="AF12" i="1"/>
  <c r="AE15" i="1"/>
  <c r="AE13" i="1"/>
  <c r="AD10" i="1"/>
  <c r="AD11" i="1" s="1"/>
  <c r="AD18" i="1"/>
  <c r="AC20" i="1"/>
  <c r="AC19" i="1"/>
  <c r="AA4" i="1"/>
  <c r="AA24" i="1" s="1"/>
  <c r="AA25" i="1" s="1"/>
  <c r="AC62" i="1"/>
  <c r="AC63" i="1" s="1"/>
  <c r="AC70" i="1"/>
  <c r="AD67" i="1"/>
  <c r="AE64" i="1"/>
  <c r="AD65" i="1"/>
  <c r="AA56" i="1"/>
  <c r="AA76" i="1" s="1"/>
  <c r="AA77" i="1" s="1"/>
  <c r="AB71" i="1"/>
  <c r="AB72" i="1"/>
  <c r="G43" i="5" l="1"/>
  <c r="F43" i="5" s="1"/>
  <c r="H43" i="5"/>
  <c r="G44" i="8"/>
  <c r="F44" i="8" s="1"/>
  <c r="H44" i="8" s="1"/>
  <c r="G54" i="6"/>
  <c r="F54" i="6" s="1"/>
  <c r="H54" i="6" s="1"/>
  <c r="AC21" i="1"/>
  <c r="AC22" i="1" s="1"/>
  <c r="AC4" i="1" s="1"/>
  <c r="AC24" i="1" s="1"/>
  <c r="AC25" i="1" s="1"/>
  <c r="AB45" i="1"/>
  <c r="AB46" i="1"/>
  <c r="AA47" i="1"/>
  <c r="AA48" i="1" s="1"/>
  <c r="AC36" i="1"/>
  <c r="AC37" i="1" s="1"/>
  <c r="AC44" i="1"/>
  <c r="AE38" i="1"/>
  <c r="AD39" i="1"/>
  <c r="AD41" i="1"/>
  <c r="AD20" i="1"/>
  <c r="AD19" i="1"/>
  <c r="AD21" i="1" s="1"/>
  <c r="AD22" i="1" s="1"/>
  <c r="AD4" i="1" s="1"/>
  <c r="AD24" i="1" s="1"/>
  <c r="AD25" i="1" s="1"/>
  <c r="AE10" i="1"/>
  <c r="AE11" i="1" s="1"/>
  <c r="AE18" i="1"/>
  <c r="AG12" i="1"/>
  <c r="AF15" i="1"/>
  <c r="AF13" i="1"/>
  <c r="AE67" i="1"/>
  <c r="AF64" i="1"/>
  <c r="AE65" i="1"/>
  <c r="AB73" i="1"/>
  <c r="AB74" i="1" s="1"/>
  <c r="AB56" i="1" s="1"/>
  <c r="AB76" i="1" s="1"/>
  <c r="AB77" i="1" s="1"/>
  <c r="AD62" i="1"/>
  <c r="AD63" i="1" s="1"/>
  <c r="AD70" i="1"/>
  <c r="AC72" i="1"/>
  <c r="AC71" i="1"/>
  <c r="AC73" i="1" s="1"/>
  <c r="AC74" i="1" s="1"/>
  <c r="G44" i="5" l="1"/>
  <c r="F44" i="5" s="1"/>
  <c r="H44" i="5"/>
  <c r="G45" i="8"/>
  <c r="F45" i="8" s="1"/>
  <c r="H45" i="8" s="1"/>
  <c r="G55" i="6"/>
  <c r="F55" i="6" s="1"/>
  <c r="H55" i="6" s="1"/>
  <c r="G56" i="6" s="1"/>
  <c r="F56" i="6" s="1"/>
  <c r="H56" i="6" s="1"/>
  <c r="G57" i="6" s="1"/>
  <c r="F57" i="6" s="1"/>
  <c r="H57" i="6" s="1"/>
  <c r="G58" i="6" s="1"/>
  <c r="F58" i="6" s="1"/>
  <c r="H58" i="6" s="1"/>
  <c r="G59" i="6" s="1"/>
  <c r="F59" i="6" s="1"/>
  <c r="H59" i="6" s="1"/>
  <c r="G60" i="6" s="1"/>
  <c r="F60" i="6" s="1"/>
  <c r="H60" i="6" s="1"/>
  <c r="AC46" i="1"/>
  <c r="AC45" i="1"/>
  <c r="AC47" i="1" s="1"/>
  <c r="AC48" i="1" s="1"/>
  <c r="AD36" i="1"/>
  <c r="AD37" i="1" s="1"/>
  <c r="AD44" i="1"/>
  <c r="AE41" i="1"/>
  <c r="AF38" i="1"/>
  <c r="AE39" i="1"/>
  <c r="AA30" i="1"/>
  <c r="AA50" i="1" s="1"/>
  <c r="AA51" i="1" s="1"/>
  <c r="AB47" i="1"/>
  <c r="AB48" i="1" s="1"/>
  <c r="AB30" i="1" s="1"/>
  <c r="AB50" i="1" s="1"/>
  <c r="AB51" i="1" s="1"/>
  <c r="AF10" i="1"/>
  <c r="AF11" i="1" s="1"/>
  <c r="AF18" i="1"/>
  <c r="AG15" i="1"/>
  <c r="AH12" i="1"/>
  <c r="AG13" i="1"/>
  <c r="AE20" i="1"/>
  <c r="AE19" i="1"/>
  <c r="AF67" i="1"/>
  <c r="AG64" i="1"/>
  <c r="AF65" i="1"/>
  <c r="AE62" i="1"/>
  <c r="AE63" i="1" s="1"/>
  <c r="AE70" i="1"/>
  <c r="AD72" i="1"/>
  <c r="AD71" i="1"/>
  <c r="AD73" i="1" s="1"/>
  <c r="AD74" i="1" s="1"/>
  <c r="AD56" i="1" s="1"/>
  <c r="AD76" i="1" s="1"/>
  <c r="AD77" i="1" s="1"/>
  <c r="AC56" i="1"/>
  <c r="AC76" i="1" s="1"/>
  <c r="AC77" i="1" s="1"/>
  <c r="G45" i="5" l="1"/>
  <c r="F45" i="5" s="1"/>
  <c r="H45" i="5"/>
  <c r="G46" i="8"/>
  <c r="F46" i="8" s="1"/>
  <c r="H46" i="8" s="1"/>
  <c r="G61" i="6"/>
  <c r="F61" i="6" s="1"/>
  <c r="H61" i="6" s="1"/>
  <c r="AE21" i="1"/>
  <c r="AE22" i="1" s="1"/>
  <c r="AF41" i="1"/>
  <c r="AF39" i="1"/>
  <c r="AG38" i="1"/>
  <c r="AD45" i="1"/>
  <c r="AD46" i="1"/>
  <c r="AC30" i="1"/>
  <c r="AC50" i="1" s="1"/>
  <c r="AC51" i="1" s="1"/>
  <c r="AE36" i="1"/>
  <c r="AE37" i="1" s="1"/>
  <c r="AE44" i="1"/>
  <c r="AH15" i="1"/>
  <c r="AI12" i="1"/>
  <c r="AH13" i="1"/>
  <c r="AE4" i="1"/>
  <c r="AE24" i="1" s="1"/>
  <c r="AE25" i="1" s="1"/>
  <c r="AG10" i="1"/>
  <c r="AG11" i="1" s="1"/>
  <c r="AG18" i="1"/>
  <c r="AF20" i="1"/>
  <c r="AF19" i="1"/>
  <c r="AF21" i="1" s="1"/>
  <c r="AF22" i="1" s="1"/>
  <c r="AF4" i="1" s="1"/>
  <c r="AF24" i="1" s="1"/>
  <c r="AF25" i="1" s="1"/>
  <c r="AE72" i="1"/>
  <c r="AE71" i="1"/>
  <c r="AE73" i="1" s="1"/>
  <c r="AE74" i="1" s="1"/>
  <c r="AG67" i="1"/>
  <c r="AH64" i="1"/>
  <c r="AG65" i="1"/>
  <c r="AF62" i="1"/>
  <c r="AF63" i="1" s="1"/>
  <c r="AF70" i="1"/>
  <c r="G46" i="5" l="1"/>
  <c r="F46" i="5" s="1"/>
  <c r="H46" i="5"/>
  <c r="G47" i="8"/>
  <c r="F47" i="8" s="1"/>
  <c r="H47" i="8" s="1"/>
  <c r="G62" i="6"/>
  <c r="F62" i="6" s="1"/>
  <c r="H62" i="6" s="1"/>
  <c r="G63" i="6" s="1"/>
  <c r="F63" i="6" s="1"/>
  <c r="H63" i="6" s="1"/>
  <c r="AE46" i="1"/>
  <c r="AE45" i="1"/>
  <c r="AD47" i="1"/>
  <c r="AD48" i="1" s="1"/>
  <c r="AD30" i="1" s="1"/>
  <c r="AD50" i="1" s="1"/>
  <c r="AD51" i="1" s="1"/>
  <c r="AH38" i="1"/>
  <c r="AG41" i="1"/>
  <c r="AG39" i="1"/>
  <c r="AF36" i="1"/>
  <c r="AF37" i="1" s="1"/>
  <c r="AF44" i="1"/>
  <c r="AG20" i="1"/>
  <c r="AG19" i="1"/>
  <c r="AG21" i="1" s="1"/>
  <c r="AG22" i="1" s="1"/>
  <c r="AJ12" i="1"/>
  <c r="AI15" i="1"/>
  <c r="AI13" i="1"/>
  <c r="AH10" i="1"/>
  <c r="AH11" i="1" s="1"/>
  <c r="AH18" i="1"/>
  <c r="AE56" i="1"/>
  <c r="AE76" i="1" s="1"/>
  <c r="AE77" i="1" s="1"/>
  <c r="AF71" i="1"/>
  <c r="AF72" i="1"/>
  <c r="AH67" i="1"/>
  <c r="AI64" i="1"/>
  <c r="AH65" i="1"/>
  <c r="AG62" i="1"/>
  <c r="AG63" i="1" s="1"/>
  <c r="AG70" i="1"/>
  <c r="G47" i="5" l="1"/>
  <c r="F47" i="5" s="1"/>
  <c r="H47" i="5"/>
  <c r="G48" i="8"/>
  <c r="F48" i="8" s="1"/>
  <c r="H48" i="8" s="1"/>
  <c r="AE47" i="1"/>
  <c r="AE48" i="1" s="1"/>
  <c r="AF46" i="1"/>
  <c r="AF45" i="1"/>
  <c r="AF47" i="1" s="1"/>
  <c r="AF48" i="1" s="1"/>
  <c r="AF30" i="1" s="1"/>
  <c r="AF50" i="1" s="1"/>
  <c r="AF51" i="1" s="1"/>
  <c r="AE30" i="1"/>
  <c r="AE50" i="1" s="1"/>
  <c r="AE51" i="1" s="1"/>
  <c r="AG44" i="1"/>
  <c r="AG36" i="1"/>
  <c r="AG37" i="1" s="1"/>
  <c r="AI38" i="1"/>
  <c r="AH41" i="1"/>
  <c r="AH39" i="1"/>
  <c r="AH20" i="1"/>
  <c r="AH19" i="1"/>
  <c r="AH21" i="1" s="1"/>
  <c r="AH22" i="1" s="1"/>
  <c r="AH4" i="1" s="1"/>
  <c r="AH24" i="1" s="1"/>
  <c r="AH25" i="1" s="1"/>
  <c r="AI10" i="1"/>
  <c r="AI11" i="1" s="1"/>
  <c r="AI18" i="1"/>
  <c r="AJ15" i="1"/>
  <c r="AK12" i="1"/>
  <c r="AJ13" i="1"/>
  <c r="AG4" i="1"/>
  <c r="AG24" i="1" s="1"/>
  <c r="AG25" i="1" s="1"/>
  <c r="AF73" i="1"/>
  <c r="AF74" i="1" s="1"/>
  <c r="AF56" i="1" s="1"/>
  <c r="AF76" i="1" s="1"/>
  <c r="AF77" i="1" s="1"/>
  <c r="AG72" i="1"/>
  <c r="AG71" i="1"/>
  <c r="AG73" i="1" s="1"/>
  <c r="AG74" i="1" s="1"/>
  <c r="AJ64" i="1"/>
  <c r="AI67" i="1"/>
  <c r="AI65" i="1"/>
  <c r="AH62" i="1"/>
  <c r="AH63" i="1" s="1"/>
  <c r="AH70" i="1"/>
  <c r="G48" i="5" l="1"/>
  <c r="F48" i="5" s="1"/>
  <c r="H48" i="5"/>
  <c r="G49" i="8"/>
  <c r="F49" i="8" s="1"/>
  <c r="H49" i="8" s="1"/>
  <c r="AH36" i="1"/>
  <c r="AH37" i="1" s="1"/>
  <c r="AH44" i="1"/>
  <c r="AI41" i="1"/>
  <c r="AJ38" i="1"/>
  <c r="AI39" i="1"/>
  <c r="AG45" i="1"/>
  <c r="AG46" i="1"/>
  <c r="AJ10" i="1"/>
  <c r="AJ11" i="1" s="1"/>
  <c r="AJ18" i="1"/>
  <c r="AL12" i="1"/>
  <c r="AK15" i="1"/>
  <c r="AK13" i="1"/>
  <c r="AI19" i="1"/>
  <c r="AI20" i="1"/>
  <c r="AK64" i="1"/>
  <c r="AJ67" i="1"/>
  <c r="AJ65" i="1"/>
  <c r="AI62" i="1"/>
  <c r="AI63" i="1" s="1"/>
  <c r="AI70" i="1"/>
  <c r="AH71" i="1"/>
  <c r="AH72" i="1"/>
  <c r="AG56" i="1"/>
  <c r="AG76" i="1" s="1"/>
  <c r="AG77" i="1" s="1"/>
  <c r="G49" i="5" l="1"/>
  <c r="F49" i="5" s="1"/>
  <c r="H49" i="5"/>
  <c r="G50" i="8"/>
  <c r="F50" i="8" s="1"/>
  <c r="H50" i="8" s="1"/>
  <c r="AG47" i="1"/>
  <c r="AG48" i="1" s="1"/>
  <c r="AK38" i="1"/>
  <c r="AJ41" i="1"/>
  <c r="AJ39" i="1"/>
  <c r="AI36" i="1"/>
  <c r="AI37" i="1" s="1"/>
  <c r="AI44" i="1"/>
  <c r="AH46" i="1"/>
  <c r="AH45" i="1"/>
  <c r="AH47" i="1" s="1"/>
  <c r="AH48" i="1" s="1"/>
  <c r="AH30" i="1" s="1"/>
  <c r="AH50" i="1" s="1"/>
  <c r="AH51" i="1" s="1"/>
  <c r="AI21" i="1"/>
  <c r="AI22" i="1" s="1"/>
  <c r="AK10" i="1"/>
  <c r="AK11" i="1" s="1"/>
  <c r="AK18" i="1"/>
  <c r="AL15" i="1"/>
  <c r="AM12" i="1"/>
  <c r="AL13" i="1"/>
  <c r="AJ20" i="1"/>
  <c r="AJ19" i="1"/>
  <c r="AJ21" i="1" s="1"/>
  <c r="AJ22" i="1" s="1"/>
  <c r="AJ4" i="1" s="1"/>
  <c r="AJ24" i="1" s="1"/>
  <c r="AJ25" i="1" s="1"/>
  <c r="AH73" i="1"/>
  <c r="AH74" i="1" s="1"/>
  <c r="AH56" i="1" s="1"/>
  <c r="AH76" i="1" s="1"/>
  <c r="AH77" i="1" s="1"/>
  <c r="AI71" i="1"/>
  <c r="AI72" i="1"/>
  <c r="AJ62" i="1"/>
  <c r="AJ63" i="1" s="1"/>
  <c r="AJ70" i="1"/>
  <c r="AL64" i="1"/>
  <c r="AK67" i="1"/>
  <c r="AK65" i="1"/>
  <c r="G50" i="5" l="1"/>
  <c r="F50" i="5" s="1"/>
  <c r="H50" i="5"/>
  <c r="G51" i="8"/>
  <c r="AI73" i="1"/>
  <c r="AI74" i="1" s="1"/>
  <c r="AI46" i="1"/>
  <c r="AI45" i="1"/>
  <c r="AI47" i="1" s="1"/>
  <c r="AI48" i="1" s="1"/>
  <c r="AJ36" i="1"/>
  <c r="AJ37" i="1" s="1"/>
  <c r="AJ44" i="1"/>
  <c r="AL38" i="1"/>
  <c r="AK41" i="1"/>
  <c r="AK39" i="1"/>
  <c r="AG30" i="1"/>
  <c r="AG50" i="1" s="1"/>
  <c r="AG51" i="1" s="1"/>
  <c r="AN12" i="1"/>
  <c r="AM15" i="1"/>
  <c r="AM13" i="1"/>
  <c r="AL10" i="1"/>
  <c r="AL11" i="1" s="1"/>
  <c r="AL18" i="1"/>
  <c r="AK19" i="1"/>
  <c r="AK21" i="1" s="1"/>
  <c r="AK22" i="1" s="1"/>
  <c r="AK20" i="1"/>
  <c r="AI4" i="1"/>
  <c r="AI24" i="1" s="1"/>
  <c r="AI25" i="1" s="1"/>
  <c r="AI30" i="1"/>
  <c r="AI50" i="1" s="1"/>
  <c r="AI51" i="1" s="1"/>
  <c r="AK62" i="1"/>
  <c r="AK63" i="1" s="1"/>
  <c r="AK70" i="1"/>
  <c r="AM64" i="1"/>
  <c r="AL67" i="1"/>
  <c r="AL65" i="1"/>
  <c r="AJ72" i="1"/>
  <c r="AJ71" i="1"/>
  <c r="AJ73" i="1" s="1"/>
  <c r="AJ74" i="1" s="1"/>
  <c r="AJ56" i="1" s="1"/>
  <c r="AJ76" i="1" s="1"/>
  <c r="AJ77" i="1" s="1"/>
  <c r="AI56" i="1"/>
  <c r="AI76" i="1" s="1"/>
  <c r="AI77" i="1" s="1"/>
  <c r="G51" i="5" l="1"/>
  <c r="F51" i="8"/>
  <c r="G68" i="8"/>
  <c r="AK36" i="1"/>
  <c r="AK37" i="1" s="1"/>
  <c r="AK44" i="1"/>
  <c r="AJ46" i="1"/>
  <c r="AJ45" i="1"/>
  <c r="AJ47" i="1" s="1"/>
  <c r="AJ48" i="1" s="1"/>
  <c r="AJ30" i="1" s="1"/>
  <c r="AJ50" i="1" s="1"/>
  <c r="AJ51" i="1" s="1"/>
  <c r="AL41" i="1"/>
  <c r="AL39" i="1"/>
  <c r="AM38" i="1"/>
  <c r="AK4" i="1"/>
  <c r="AK24" i="1" s="1"/>
  <c r="AK25" i="1" s="1"/>
  <c r="AL20" i="1"/>
  <c r="AL19" i="1"/>
  <c r="AL21" i="1" s="1"/>
  <c r="AL22" i="1" s="1"/>
  <c r="AL4" i="1" s="1"/>
  <c r="AL24" i="1" s="1"/>
  <c r="AL25" i="1" s="1"/>
  <c r="AM10" i="1"/>
  <c r="AM11" i="1" s="1"/>
  <c r="AM18" i="1"/>
  <c r="AO12" i="1"/>
  <c r="AN15" i="1"/>
  <c r="AN13" i="1"/>
  <c r="AN64" i="1"/>
  <c r="AM67" i="1"/>
  <c r="AM65" i="1"/>
  <c r="AK72" i="1"/>
  <c r="AK71" i="1"/>
  <c r="AK73" i="1" s="1"/>
  <c r="AK74" i="1" s="1"/>
  <c r="AL62" i="1"/>
  <c r="AL63" i="1" s="1"/>
  <c r="AL70" i="1"/>
  <c r="F51" i="5" l="1"/>
  <c r="G52" i="5"/>
  <c r="F68" i="8"/>
  <c r="H51" i="8"/>
  <c r="AM39" i="1"/>
  <c r="AN38" i="1"/>
  <c r="AM41" i="1"/>
  <c r="AL44" i="1"/>
  <c r="AL36" i="1"/>
  <c r="AL37" i="1" s="1"/>
  <c r="AK45" i="1"/>
  <c r="AK46" i="1"/>
  <c r="AP12" i="1"/>
  <c r="AO15" i="1"/>
  <c r="AO13" i="1"/>
  <c r="AN10" i="1"/>
  <c r="AN11" i="1" s="1"/>
  <c r="AN18" i="1"/>
  <c r="AM19" i="1"/>
  <c r="AM20" i="1"/>
  <c r="AL72" i="1"/>
  <c r="AL71" i="1"/>
  <c r="AK56" i="1"/>
  <c r="AK76" i="1" s="1"/>
  <c r="AK77" i="1" s="1"/>
  <c r="AM62" i="1"/>
  <c r="AM63" i="1" s="1"/>
  <c r="AM70" i="1"/>
  <c r="AN67" i="1"/>
  <c r="AO64" i="1"/>
  <c r="AN65" i="1"/>
  <c r="F52" i="5" l="1"/>
  <c r="H51" i="5"/>
  <c r="G52" i="8"/>
  <c r="F52" i="8" s="1"/>
  <c r="H52" i="8" s="1"/>
  <c r="AK47" i="1"/>
  <c r="AK48" i="1" s="1"/>
  <c r="AL46" i="1"/>
  <c r="AL45" i="1"/>
  <c r="AL47" i="1" s="1"/>
  <c r="AL48" i="1" s="1"/>
  <c r="AL30" i="1" s="1"/>
  <c r="AL50" i="1" s="1"/>
  <c r="AL51" i="1" s="1"/>
  <c r="AM36" i="1"/>
  <c r="AM37" i="1" s="1"/>
  <c r="AM44" i="1"/>
  <c r="AO38" i="1"/>
  <c r="AN41" i="1"/>
  <c r="AN39" i="1"/>
  <c r="AN19" i="1"/>
  <c r="AN20" i="1"/>
  <c r="AM21" i="1"/>
  <c r="AM22" i="1" s="1"/>
  <c r="AO10" i="1"/>
  <c r="AO11" i="1" s="1"/>
  <c r="AO18" i="1"/>
  <c r="AQ12" i="1"/>
  <c r="AP15" i="1"/>
  <c r="AP13" i="1"/>
  <c r="AO67" i="1"/>
  <c r="AP64" i="1"/>
  <c r="AO65" i="1"/>
  <c r="AN62" i="1"/>
  <c r="AN63" i="1" s="1"/>
  <c r="AN70" i="1"/>
  <c r="AL73" i="1"/>
  <c r="AL74" i="1" s="1"/>
  <c r="AL56" i="1" s="1"/>
  <c r="AL76" i="1" s="1"/>
  <c r="AL77" i="1" s="1"/>
  <c r="AM72" i="1"/>
  <c r="AM71" i="1"/>
  <c r="AM73" i="1" s="1"/>
  <c r="AM74" i="1" s="1"/>
  <c r="G53" i="8" l="1"/>
  <c r="F53" i="8" s="1"/>
  <c r="H53" i="8" s="1"/>
  <c r="AN36" i="1"/>
  <c r="AN37" i="1" s="1"/>
  <c r="AN44" i="1"/>
  <c r="AO41" i="1"/>
  <c r="AP38" i="1"/>
  <c r="AO39" i="1"/>
  <c r="AM45" i="1"/>
  <c r="AM46" i="1"/>
  <c r="AK30" i="1"/>
  <c r="AK50" i="1" s="1"/>
  <c r="AK51" i="1" s="1"/>
  <c r="AP10" i="1"/>
  <c r="AP11" i="1" s="1"/>
  <c r="AP18" i="1"/>
  <c r="AR12" i="1"/>
  <c r="AQ15" i="1"/>
  <c r="AQ13" i="1"/>
  <c r="AO19" i="1"/>
  <c r="AO20" i="1"/>
  <c r="AM4" i="1"/>
  <c r="AM24" i="1" s="1"/>
  <c r="AM25" i="1" s="1"/>
  <c r="AN21" i="1"/>
  <c r="AN22" i="1" s="1"/>
  <c r="AN4" i="1" s="1"/>
  <c r="AN24" i="1" s="1"/>
  <c r="AN25" i="1" s="1"/>
  <c r="AO62" i="1"/>
  <c r="AO63" i="1" s="1"/>
  <c r="AO70" i="1"/>
  <c r="AM56" i="1"/>
  <c r="AM76" i="1" s="1"/>
  <c r="AM77" i="1" s="1"/>
  <c r="AN71" i="1"/>
  <c r="AN72" i="1"/>
  <c r="AQ64" i="1"/>
  <c r="AP67" i="1"/>
  <c r="AP65" i="1"/>
  <c r="G54" i="8" l="1"/>
  <c r="F54" i="8" s="1"/>
  <c r="H54" i="8" s="1"/>
  <c r="AQ38" i="1"/>
  <c r="AP41" i="1"/>
  <c r="AP39" i="1"/>
  <c r="AM47" i="1"/>
  <c r="AM48" i="1" s="1"/>
  <c r="AO36" i="1"/>
  <c r="AO37" i="1" s="1"/>
  <c r="AO44" i="1"/>
  <c r="AN45" i="1"/>
  <c r="AN46" i="1"/>
  <c r="AO21" i="1"/>
  <c r="AO22" i="1" s="1"/>
  <c r="AQ10" i="1"/>
  <c r="AQ11" i="1" s="1"/>
  <c r="AQ18" i="1"/>
  <c r="AS12" i="1"/>
  <c r="AR15" i="1"/>
  <c r="AR13" i="1"/>
  <c r="AP20" i="1"/>
  <c r="AP19" i="1"/>
  <c r="AR64" i="1"/>
  <c r="AQ67" i="1"/>
  <c r="AQ65" i="1"/>
  <c r="AN73" i="1"/>
  <c r="AN74" i="1" s="1"/>
  <c r="AN56" i="1" s="1"/>
  <c r="AN76" i="1" s="1"/>
  <c r="AN77" i="1" s="1"/>
  <c r="AO72" i="1"/>
  <c r="AO71" i="1"/>
  <c r="AO73" i="1" s="1"/>
  <c r="AO74" i="1" s="1"/>
  <c r="AP62" i="1"/>
  <c r="AP63" i="1" s="1"/>
  <c r="AP70" i="1"/>
  <c r="G55" i="8" l="1"/>
  <c r="F55" i="8" s="1"/>
  <c r="H55" i="8" s="1"/>
  <c r="AP21" i="1"/>
  <c r="AP22" i="1" s="1"/>
  <c r="AP4" i="1" s="1"/>
  <c r="AP24" i="1" s="1"/>
  <c r="AP25" i="1" s="1"/>
  <c r="AN47" i="1"/>
  <c r="AN48" i="1" s="1"/>
  <c r="AN30" i="1" s="1"/>
  <c r="AN50" i="1" s="1"/>
  <c r="AN51" i="1" s="1"/>
  <c r="AP36" i="1"/>
  <c r="AP37" i="1" s="1"/>
  <c r="AP44" i="1"/>
  <c r="AO46" i="1"/>
  <c r="AO45" i="1"/>
  <c r="AO47" i="1" s="1"/>
  <c r="AO48" i="1" s="1"/>
  <c r="AM30" i="1"/>
  <c r="AM50" i="1" s="1"/>
  <c r="AM51" i="1" s="1"/>
  <c r="AR38" i="1"/>
  <c r="AQ39" i="1"/>
  <c r="AQ41" i="1"/>
  <c r="AR10" i="1"/>
  <c r="AR11" i="1" s="1"/>
  <c r="AR18" i="1"/>
  <c r="AT12" i="1"/>
  <c r="AS15" i="1"/>
  <c r="AS13" i="1"/>
  <c r="AQ19" i="1"/>
  <c r="AQ20" i="1"/>
  <c r="AO4" i="1"/>
  <c r="AO24" i="1" s="1"/>
  <c r="AO25" i="1" s="1"/>
  <c r="AP71" i="1"/>
  <c r="AP72" i="1"/>
  <c r="AO56" i="1"/>
  <c r="AO76" i="1" s="1"/>
  <c r="AO77" i="1" s="1"/>
  <c r="AQ62" i="1"/>
  <c r="AQ63" i="1" s="1"/>
  <c r="AQ70" i="1"/>
  <c r="AS64" i="1"/>
  <c r="AR67" i="1"/>
  <c r="AR65" i="1"/>
  <c r="G56" i="8" l="1"/>
  <c r="F56" i="8" s="1"/>
  <c r="H56" i="8" s="1"/>
  <c r="AR39" i="1"/>
  <c r="AS38" i="1"/>
  <c r="AR41" i="1"/>
  <c r="AQ36" i="1"/>
  <c r="AQ37" i="1" s="1"/>
  <c r="AQ44" i="1"/>
  <c r="AO30" i="1"/>
  <c r="AO50" i="1" s="1"/>
  <c r="AO51" i="1" s="1"/>
  <c r="AP46" i="1"/>
  <c r="AP45" i="1"/>
  <c r="AP47" i="1" s="1"/>
  <c r="AP48" i="1" s="1"/>
  <c r="AP30" i="1" s="1"/>
  <c r="AP50" i="1" s="1"/>
  <c r="AP51" i="1" s="1"/>
  <c r="AQ21" i="1"/>
  <c r="AQ22" i="1" s="1"/>
  <c r="AS10" i="1"/>
  <c r="AS11" i="1" s="1"/>
  <c r="AS18" i="1"/>
  <c r="AT15" i="1"/>
  <c r="AT13" i="1"/>
  <c r="AR20" i="1"/>
  <c r="AR19" i="1"/>
  <c r="AR62" i="1"/>
  <c r="AR63" i="1" s="1"/>
  <c r="AR70" i="1"/>
  <c r="AT64" i="1"/>
  <c r="AS67" i="1"/>
  <c r="AS65" i="1"/>
  <c r="AQ71" i="1"/>
  <c r="AQ72" i="1"/>
  <c r="AP73" i="1"/>
  <c r="AP74" i="1" s="1"/>
  <c r="AP56" i="1" s="1"/>
  <c r="AP76" i="1" s="1"/>
  <c r="AP77" i="1" s="1"/>
  <c r="G57" i="8" l="1"/>
  <c r="F57" i="8" s="1"/>
  <c r="H57" i="8" s="1"/>
  <c r="AS41" i="1"/>
  <c r="AS39" i="1"/>
  <c r="AT38" i="1"/>
  <c r="AQ45" i="1"/>
  <c r="AQ46" i="1"/>
  <c r="AR36" i="1"/>
  <c r="AR37" i="1" s="1"/>
  <c r="AR44" i="1"/>
  <c r="AR21" i="1"/>
  <c r="AR22" i="1" s="1"/>
  <c r="AR4" i="1" s="1"/>
  <c r="AR24" i="1" s="1"/>
  <c r="AR25" i="1" s="1"/>
  <c r="AT10" i="1"/>
  <c r="AT11" i="1" s="1"/>
  <c r="AT18" i="1"/>
  <c r="AS20" i="1"/>
  <c r="AS19" i="1"/>
  <c r="AS21" i="1" s="1"/>
  <c r="AS22" i="1" s="1"/>
  <c r="AS4" i="1" s="1"/>
  <c r="AS24" i="1" s="1"/>
  <c r="AS25" i="1" s="1"/>
  <c r="AQ4" i="1"/>
  <c r="AQ24" i="1" s="1"/>
  <c r="AQ25" i="1" s="1"/>
  <c r="AQ73" i="1"/>
  <c r="AQ74" i="1" s="1"/>
  <c r="AR72" i="1"/>
  <c r="AR71" i="1"/>
  <c r="AS62" i="1"/>
  <c r="AS63" i="1" s="1"/>
  <c r="AS70" i="1"/>
  <c r="AT67" i="1"/>
  <c r="AT65" i="1"/>
  <c r="G58" i="8" l="1"/>
  <c r="F58" i="8" s="1"/>
  <c r="H58" i="8" s="1"/>
  <c r="AR73" i="1"/>
  <c r="AR74" i="1" s="1"/>
  <c r="AR56" i="1" s="1"/>
  <c r="AR76" i="1" s="1"/>
  <c r="AR77" i="1" s="1"/>
  <c r="AR46" i="1"/>
  <c r="AR45" i="1"/>
  <c r="AR47" i="1" s="1"/>
  <c r="AR48" i="1" s="1"/>
  <c r="AR30" i="1" s="1"/>
  <c r="AR50" i="1" s="1"/>
  <c r="AR51" i="1" s="1"/>
  <c r="AQ47" i="1"/>
  <c r="AQ48" i="1" s="1"/>
  <c r="AT39" i="1"/>
  <c r="AT41" i="1"/>
  <c r="AS36" i="1"/>
  <c r="AS37" i="1" s="1"/>
  <c r="AS44" i="1"/>
  <c r="AT19" i="1"/>
  <c r="AT20" i="1"/>
  <c r="AS71" i="1"/>
  <c r="AS72" i="1"/>
  <c r="AT62" i="1"/>
  <c r="AT63" i="1" s="1"/>
  <c r="AT70" i="1"/>
  <c r="AQ56" i="1"/>
  <c r="AQ76" i="1" s="1"/>
  <c r="AQ77" i="1" s="1"/>
  <c r="G59" i="8" l="1"/>
  <c r="F59" i="8" s="1"/>
  <c r="H59" i="8" s="1"/>
  <c r="AQ30" i="1"/>
  <c r="AQ50" i="1" s="1"/>
  <c r="AQ51" i="1" s="1"/>
  <c r="AS46" i="1"/>
  <c r="AS45" i="1"/>
  <c r="AS47" i="1" s="1"/>
  <c r="AS48" i="1" s="1"/>
  <c r="AS30" i="1" s="1"/>
  <c r="AS50" i="1" s="1"/>
  <c r="AS51" i="1" s="1"/>
  <c r="AT36" i="1"/>
  <c r="AT37" i="1" s="1"/>
  <c r="AT44" i="1"/>
  <c r="AT21" i="1"/>
  <c r="AT22" i="1" s="1"/>
  <c r="AT4" i="1" s="1"/>
  <c r="AT24" i="1" s="1"/>
  <c r="AT25" i="1" s="1"/>
  <c r="AT71" i="1"/>
  <c r="AT72" i="1"/>
  <c r="AS73" i="1"/>
  <c r="AS74" i="1" s="1"/>
  <c r="AS56" i="1" s="1"/>
  <c r="AS76" i="1" s="1"/>
  <c r="AS77" i="1" s="1"/>
  <c r="G60" i="8" l="1"/>
  <c r="F60" i="8" s="1"/>
  <c r="H60" i="8" s="1"/>
  <c r="AT45" i="1"/>
  <c r="AT46" i="1"/>
  <c r="AT73" i="1"/>
  <c r="AT74" i="1" s="1"/>
  <c r="AT56" i="1" s="1"/>
  <c r="AT76" i="1" s="1"/>
  <c r="AT77" i="1" s="1"/>
  <c r="G61" i="8" l="1"/>
  <c r="F61" i="8" s="1"/>
  <c r="H61" i="8" s="1"/>
  <c r="AT47" i="1"/>
  <c r="AT48" i="1" s="1"/>
  <c r="AT30" i="1" s="1"/>
  <c r="AT50" i="1" s="1"/>
  <c r="AT51" i="1" s="1"/>
  <c r="G62" i="8" l="1"/>
  <c r="F62" i="8" s="1"/>
  <c r="H62" i="8" s="1"/>
  <c r="G63" i="8" l="1"/>
  <c r="F63" i="8" s="1"/>
  <c r="H63" i="8" s="1"/>
</calcChain>
</file>

<file path=xl/sharedStrings.xml><?xml version="1.0" encoding="utf-8"?>
<sst xmlns="http://schemas.openxmlformats.org/spreadsheetml/2006/main" count="1187" uniqueCount="324">
  <si>
    <t>1 Yr</t>
  </si>
  <si>
    <t>2 Yrs</t>
  </si>
  <si>
    <t>3 Yrs</t>
  </si>
  <si>
    <t>GROSS AMOUNT</t>
  </si>
  <si>
    <t>NET PROCEEDS</t>
  </si>
  <si>
    <t>Add:</t>
  </si>
  <si>
    <t>Service Fee</t>
  </si>
  <si>
    <t>Insurance</t>
  </si>
  <si>
    <t>CapCon</t>
  </si>
  <si>
    <t>membership fee</t>
  </si>
  <si>
    <t>Advance Interest</t>
  </si>
  <si>
    <t>LOAN AMOUNT</t>
  </si>
  <si>
    <t>Annual Interest Rate</t>
  </si>
  <si>
    <t>Effective Interest Rate</t>
  </si>
  <si>
    <t>Monthly Amortization</t>
  </si>
  <si>
    <t>PEOPLE'S MULTI-PURPOSE COOPERATIVE                                  EFFECTIVE ON JANUARY 16, 2025</t>
  </si>
  <si>
    <t>Net Proceeds</t>
  </si>
  <si>
    <t>1 Yr                    12 Months</t>
  </si>
  <si>
    <t>2 Yrs                 36 Months</t>
  </si>
  <si>
    <t>3 Yrs                  36 Months</t>
  </si>
  <si>
    <t xml:space="preserve">DATA ENTRY </t>
  </si>
  <si>
    <t>GROSS</t>
  </si>
  <si>
    <t>NET</t>
  </si>
  <si>
    <t>SF</t>
  </si>
  <si>
    <t xml:space="preserve">LOAN AMOUNT </t>
  </si>
  <si>
    <t>Annual Interest</t>
  </si>
  <si>
    <t>Effective Interest rate</t>
  </si>
  <si>
    <t>Loan Term</t>
  </si>
  <si>
    <t>Monthly Interest Rate</t>
  </si>
  <si>
    <t>Nr of Payments</t>
  </si>
  <si>
    <t>Income</t>
  </si>
  <si>
    <t>% Income</t>
  </si>
  <si>
    <t>Amortization</t>
  </si>
  <si>
    <t>pvap</t>
  </si>
  <si>
    <t>Timeline</t>
  </si>
  <si>
    <t>NET PROCEEDS/CASH FLOW</t>
  </si>
  <si>
    <t>Interest Rate of Return</t>
  </si>
  <si>
    <t>Loan  Balance</t>
  </si>
  <si>
    <t>LOAN LEDGER CARD</t>
  </si>
  <si>
    <t>Name:</t>
  </si>
  <si>
    <t>Loan Voucher No.</t>
  </si>
  <si>
    <t>Serial Nr:</t>
  </si>
  <si>
    <t>Address:</t>
  </si>
  <si>
    <t>Amount:</t>
  </si>
  <si>
    <t>Posting date</t>
  </si>
  <si>
    <t>Date of Loan:</t>
  </si>
  <si>
    <t>Maturity Date</t>
  </si>
  <si>
    <t>PEOPLE'S MULTI-PURPOSE COOPERATIVE</t>
  </si>
  <si>
    <t>Term:</t>
  </si>
  <si>
    <t>MOS</t>
  </si>
  <si>
    <t>20-E 2nd Camarilla St. corner 15th Ave., Brgy. San Roque, Murphy Cubao, Quezon City</t>
  </si>
  <si>
    <t>Loan</t>
  </si>
  <si>
    <t>Installment</t>
  </si>
  <si>
    <t>Principal</t>
  </si>
  <si>
    <t>EIR</t>
  </si>
  <si>
    <t>Balance</t>
  </si>
  <si>
    <t>Month 0</t>
  </si>
  <si>
    <t>LOAN RELEASE VOUCHER</t>
  </si>
  <si>
    <t>Date:</t>
  </si>
  <si>
    <t>LV No:</t>
  </si>
  <si>
    <t>Name of Borrower:</t>
  </si>
  <si>
    <t>Serial No.:</t>
  </si>
  <si>
    <t>Principal Amount</t>
  </si>
  <si>
    <t>(-)</t>
  </si>
  <si>
    <t>Balance Old Loan(s)</t>
  </si>
  <si>
    <t>Membership Fee:</t>
  </si>
  <si>
    <t>Paid up Capital:</t>
  </si>
  <si>
    <t>Insurance Premium - Paramount</t>
  </si>
  <si>
    <t>NET PROCEEDS (Php):</t>
  </si>
  <si>
    <t>PAYMENT</t>
  </si>
  <si>
    <t>Term  of loan in months:</t>
  </si>
  <si>
    <t>month(s)</t>
  </si>
  <si>
    <t xml:space="preserve">Monthly Amortization </t>
  </si>
  <si>
    <t>First Payment Due On:</t>
  </si>
  <si>
    <t>Maturity:</t>
  </si>
  <si>
    <t>EIR (%):</t>
  </si>
  <si>
    <t>Interest Rate per Month (%):</t>
  </si>
  <si>
    <t>Certified &amp; Corrected by:</t>
  </si>
  <si>
    <t>Verified by:</t>
  </si>
  <si>
    <t>Processor</t>
  </si>
  <si>
    <t>Verifier/PELVAMS Liason</t>
  </si>
  <si>
    <t>Received By:</t>
  </si>
  <si>
    <t>Approved By:</t>
  </si>
  <si>
    <t>Signature Over Printed Name/Date</t>
  </si>
  <si>
    <t>President</t>
  </si>
  <si>
    <t>CDEA DATA ENTRY</t>
  </si>
  <si>
    <t xml:space="preserve">20-E 2nd Camarilla St corner 15th Avenue, </t>
  </si>
  <si>
    <t>Brgy San Roque, Murphy Cubao, Quezon City</t>
  </si>
  <si>
    <t>Mobile No. (+63)953-033-1580 (GLOBE)</t>
  </si>
  <si>
    <t>LOAN APPLICATION FORM</t>
  </si>
  <si>
    <t>m</t>
  </si>
  <si>
    <t>d</t>
  </si>
  <si>
    <t>y</t>
  </si>
  <si>
    <t>APPLICATION TYPE</t>
  </si>
  <si>
    <t>LOAN CLASSIFICATION</t>
  </si>
  <si>
    <t>TERM</t>
  </si>
  <si>
    <t>RELEASE OF LOAN PROCEEDS</t>
  </si>
  <si>
    <t>New</t>
  </si>
  <si>
    <t>Salary Loan</t>
  </si>
  <si>
    <t>12 Months</t>
  </si>
  <si>
    <t>Check</t>
  </si>
  <si>
    <t>Renewal</t>
  </si>
  <si>
    <t>Pension Loan</t>
  </si>
  <si>
    <t>24 Months</t>
  </si>
  <si>
    <t>Bank Electronic Transfer to Borrowers Account</t>
  </si>
  <si>
    <t>Additional</t>
  </si>
  <si>
    <t>Emergency</t>
  </si>
  <si>
    <t>36 Months</t>
  </si>
  <si>
    <t>Others:</t>
  </si>
  <si>
    <t>Reloan</t>
  </si>
  <si>
    <t>Health Assistance Loan</t>
  </si>
  <si>
    <t>48 Months</t>
  </si>
  <si>
    <t>Restructure</t>
  </si>
  <si>
    <t>Educational Loan</t>
  </si>
  <si>
    <t>60 Months</t>
  </si>
  <si>
    <t xml:space="preserve">Others: </t>
  </si>
  <si>
    <t>AMOUNT APPLIED:</t>
  </si>
  <si>
    <t>MONTHLY AMORTIZATION:</t>
  </si>
  <si>
    <t>LOAN ID:</t>
  </si>
  <si>
    <t>DEDUCTION CODE:</t>
  </si>
  <si>
    <t>LOAN PURPOSE:</t>
  </si>
  <si>
    <t>MEM ID:</t>
  </si>
  <si>
    <t>Regular Member</t>
  </si>
  <si>
    <t>Old Member</t>
  </si>
  <si>
    <t>Associate Member</t>
  </si>
  <si>
    <t>New Member</t>
  </si>
  <si>
    <t>BORROWER'S INFORMATION</t>
  </si>
  <si>
    <t>(LAST NAME)</t>
  </si>
  <si>
    <t>(FIRST NAME)</t>
  </si>
  <si>
    <t>(MIDDLE NAME)</t>
  </si>
  <si>
    <t>(SUFFIX)</t>
  </si>
  <si>
    <t>Rank/Position:</t>
  </si>
  <si>
    <t>Branch of Service:</t>
  </si>
  <si>
    <t>Date of Appointment:</t>
  </si>
  <si>
    <t>Date of Retirement:</t>
  </si>
  <si>
    <t>Length of Service:</t>
  </si>
  <si>
    <t>Date of Birth:</t>
  </si>
  <si>
    <t>Age:</t>
  </si>
  <si>
    <t>Civil Status:</t>
  </si>
  <si>
    <t>Single</t>
  </si>
  <si>
    <t>Widower</t>
  </si>
  <si>
    <t>Home Phone No.</t>
  </si>
  <si>
    <t xml:space="preserve">Married </t>
  </si>
  <si>
    <t>Separated</t>
  </si>
  <si>
    <t>Unit Assignment:</t>
  </si>
  <si>
    <t>Unit/Office/Business Address:</t>
  </si>
  <si>
    <t>Unit/Office Telephone No/s:</t>
  </si>
  <si>
    <t>AFP/Company ID No:</t>
  </si>
  <si>
    <t>Email Address:</t>
  </si>
  <si>
    <t>Tax Identification No/s:</t>
  </si>
  <si>
    <t>-</t>
  </si>
  <si>
    <t>Present Address:</t>
  </si>
  <si>
    <t>NOTIFICATION CLAUSE</t>
  </si>
  <si>
    <t>I  hereby  acknowledge and authorized the People's Multi-Purpose Cooperative (PMPC) for the following: 1) the regular submission and disclosure</t>
  </si>
  <si>
    <t>of  my basic credit data  (as defined under Republic Act Nr 9510 and its Implementing Rules and Regulations) to the  Credit Information Corporation (CIC)</t>
  </si>
  <si>
    <t xml:space="preserve">as  well  as  any  updates  or  corrections  thereof;  and  2)  the sharing of my basic data and with other lenders authorized by the CIC, and credit reporting </t>
  </si>
  <si>
    <t>agencies duly accredited by the CIC.</t>
  </si>
  <si>
    <t>Printed Name &amp; Signature of Borrower</t>
  </si>
  <si>
    <t>CERTIFICATION</t>
  </si>
  <si>
    <t>I hereby certify that the applicant is assigned to this Office; is not on leave without pay; has no pending case; and, that all information he/she</t>
  </si>
  <si>
    <t>provided is true and correct.</t>
  </si>
  <si>
    <t>CERTIFYING OFFICER</t>
  </si>
  <si>
    <t>DESIGNATION</t>
  </si>
  <si>
    <t>OFFICE</t>
  </si>
  <si>
    <t>CONTACT NUMBER</t>
  </si>
  <si>
    <t>(Signature Over Printed Name)</t>
  </si>
  <si>
    <t>CREDIT HISTORY</t>
  </si>
  <si>
    <t>Loan ID</t>
  </si>
  <si>
    <t>Date Granted</t>
  </si>
  <si>
    <t>Loan Granted</t>
  </si>
  <si>
    <t>Term</t>
  </si>
  <si>
    <t>MA</t>
  </si>
  <si>
    <t>Status/Remarks</t>
  </si>
  <si>
    <t>Principal Balance</t>
  </si>
  <si>
    <t>LOAN APPROVAL</t>
  </si>
  <si>
    <t>Loan Amount:</t>
  </si>
  <si>
    <t>MA:</t>
  </si>
  <si>
    <t>Required NTHP:</t>
  </si>
  <si>
    <t>NTHP after MA</t>
  </si>
  <si>
    <t>Total Loan Exposure:</t>
  </si>
  <si>
    <t>PROCESSED &amp; VERIFIED BY:</t>
  </si>
  <si>
    <t>PAMELA CHERRY A REYES</t>
  </si>
  <si>
    <t>SIGNATURE OVER PRINTED NAME</t>
  </si>
  <si>
    <t>RECOMMEND APPROVAL/DISAPPROVAL:</t>
  </si>
  <si>
    <t>APPROVED/DISAPPROVED:</t>
  </si>
  <si>
    <t>ALEXANDER A FERIA JR</t>
  </si>
  <si>
    <t>PROMISORY NOTE NO:</t>
  </si>
  <si>
    <t>FOR VALUE RECEIVED,  the undersigned  promise  to  pay  the  People's Multi-Purpose Cooperative (PMPC)  the sum of Php</t>
  </si>
  <si>
    <t>in</t>
  </si>
  <si>
    <t xml:space="preserve"> equal monthly installments amounting to Php</t>
  </si>
  <si>
    <r>
      <t>each, to be paid on the</t>
    </r>
    <r>
      <rPr>
        <b/>
        <sz val="14"/>
        <rFont val="Calibri"/>
        <family val="2"/>
        <scheme val="minor"/>
      </rPr>
      <t xml:space="preserve"> 28th</t>
    </r>
    <r>
      <rPr>
        <sz val="14"/>
        <rFont val="Calibri"/>
        <family val="2"/>
        <scheme val="minor"/>
      </rPr>
      <t xml:space="preserve"> day of every month starting on </t>
    </r>
  </si>
  <si>
    <r>
      <t>/ Single Payment of</t>
    </r>
    <r>
      <rPr>
        <u/>
        <sz val="14"/>
        <rFont val="Calibri"/>
        <family val="2"/>
        <scheme val="minor"/>
      </rPr>
      <t xml:space="preserve">                                </t>
    </r>
    <r>
      <rPr>
        <sz val="14"/>
        <rFont val="Calibri"/>
        <family val="2"/>
        <scheme val="minor"/>
      </rPr>
      <t xml:space="preserve"> due on</t>
    </r>
    <r>
      <rPr>
        <u/>
        <sz val="14"/>
        <rFont val="Calibri"/>
        <family val="2"/>
        <scheme val="minor"/>
      </rPr>
      <t xml:space="preserve">                                    </t>
    </r>
    <r>
      <rPr>
        <sz val="14"/>
        <rFont val="Calibri"/>
        <family val="2"/>
        <scheme val="minor"/>
      </rPr>
      <t xml:space="preserve"> unpaid installments from maturity will bear charges on unpaid  principal </t>
    </r>
  </si>
  <si>
    <r>
      <t xml:space="preserve">at the rate of </t>
    </r>
    <r>
      <rPr>
        <b/>
        <sz val="14"/>
        <rFont val="Calibri"/>
        <family val="2"/>
        <scheme val="minor"/>
      </rPr>
      <t>2% per month</t>
    </r>
    <r>
      <rPr>
        <sz val="14"/>
        <rFont val="Calibri"/>
        <family val="2"/>
        <scheme val="minor"/>
      </rPr>
      <t xml:space="preserve"> as penatly thereof.</t>
    </r>
  </si>
  <si>
    <t xml:space="preserve">     I hereby waive presentment for payment and notice of dishonor. PMPC may accept partial payment reserving its right of recourse against me. PMPC is hereby authorized and empowered to set off or apply without notice what is due under this Note from whatever funds I have in the Cooperative.</t>
  </si>
  <si>
    <t xml:space="preserve">     It is further agreed that in case of separation from the service of whatever cause, the unpaid balance with its accumulated surcharges  and  interest  as stipulated above be deducted from my last paymnet, commutation of leave/furlough and/or from my pension.</t>
  </si>
  <si>
    <t xml:space="preserve">     It is further agreed that  when installments are not paid when due and payable, the whole of the principal sum remaining unpaid shall forthwith become due and payable at the election of the Cooperative. I promise and agree to pay for a reasonable attorney's fee if this note is not paid  according  to  its  legal tenor and effect when palced in a lawyer's hand for collection. In case litigation, venue shall be vested in the competent court as may be allowed by the Rules of Court at the sole option of PMPC.</t>
  </si>
  <si>
    <t xml:space="preserve">     Further, I hereby agree and authorized PMPC to encumber, assign or sell to any person or entity any right which it may have under thi Note, and/or any assignment, mortgage lien, pledge or other encumbrances constituted in favor of PMPC pursuant to the provisions of this Note if any.  The  consent  herein granted is recognized and acknowledged by me/us as a waiver, to all intent and purposes of whatever right I may have to notice of actual encumbrance/ assignment.</t>
  </si>
  <si>
    <t>Military/Pensioners ID</t>
  </si>
  <si>
    <t>Employee's ID/Office ID</t>
  </si>
  <si>
    <t>Driver's License</t>
  </si>
  <si>
    <t>Signature over Printed Name</t>
  </si>
  <si>
    <t xml:space="preserve">ID No: </t>
  </si>
  <si>
    <t xml:space="preserve">Expiration Date: </t>
  </si>
  <si>
    <t>LEFT THUMBMARK</t>
  </si>
  <si>
    <t>RIGHT THUMBMARK</t>
  </si>
  <si>
    <t>ACKNOWLEDGEMENT</t>
  </si>
  <si>
    <t>REPUBLIC OF THE PHILIPPINES</t>
  </si>
  <si>
    <t>(20-E, 2nd Camarilla St., Cor. 15th Ave.,BRGY San Roque, Murphy Cubao, Quezon City)  S.S</t>
  </si>
  <si>
    <t xml:space="preserve">     BEFORE ME, a Notary Public for and in Cubao, Quezon City this _______ day of _______________, 20_____, personally appeared __________________</t>
  </si>
  <si>
    <t>__________, who presented to me the Identification Cards mentioned above, known to me to  be  the  same  person  who  executed  the forgoing application for loan and promissory note and acknowledged that the same as his/her true act and deed and took oath  that  the  statement  herein are true and correct and that the application is made for the purpose under consideration.</t>
  </si>
  <si>
    <t>WITNESS MY HAND AND NOTARIAL SEAL, on the date, year and palce first above written.</t>
  </si>
  <si>
    <t>Doc No.</t>
  </si>
  <si>
    <t>Page No.</t>
  </si>
  <si>
    <t>Book No.</t>
  </si>
  <si>
    <t>Series of.</t>
  </si>
  <si>
    <t>AUTHORITY TO DEDUCT</t>
  </si>
  <si>
    <t>In connection with my loan described above, I  hereby  authorize  the  Finance/ Agent/ Disburing  Officer  of  the  AFP  Finance  Center,  subdivision  or</t>
  </si>
  <si>
    <t>instrumentality of the Government or any other office to which I may subsequently be detailed, assigned or appointed to deduct and /or withhold from my</t>
  </si>
  <si>
    <r>
      <t xml:space="preserve">monthly payment of </t>
    </r>
    <r>
      <rPr>
        <b/>
        <sz val="13"/>
        <color rgb="FF000000"/>
        <rFont val="Calibri"/>
        <family val="2"/>
        <scheme val="minor"/>
      </rPr>
      <t>Php</t>
    </r>
  </si>
  <si>
    <t>, for the period of</t>
  </si>
  <si>
    <r>
      <t xml:space="preserve">months with the total amount of </t>
    </r>
    <r>
      <rPr>
        <b/>
        <sz val="12"/>
        <color theme="1"/>
        <rFont val="Calibri"/>
        <family val="2"/>
        <scheme val="minor"/>
      </rPr>
      <t>Php</t>
    </r>
  </si>
  <si>
    <t>has been fully paid.</t>
  </si>
  <si>
    <t>Likewise, I hereby authorize the above-mentioned official to deduct and/or withhold part of my pension, commutation, salary or any amount due me</t>
  </si>
  <si>
    <t xml:space="preserve">and my heirs for the payment of said loan together with the surcharges interest, if any, until the same have been paid in fully. </t>
  </si>
  <si>
    <t>(Signature of Borrower Over Printed Name)</t>
  </si>
  <si>
    <t>THIS IS TO CERTIFY that the applicant is under my paying jurisdiction and the amount stated above can be sufficiently deducted from monthly pay.</t>
  </si>
  <si>
    <t>I guarantee to deduct the amount as stipulated above and to remit the same to the Treasurer, PEOPLE'S MULTI-PURPOSE COOPERATIVE (PMCP) as soon</t>
  </si>
  <si>
    <t>as possible.</t>
  </si>
  <si>
    <t xml:space="preserve">(Signature of Finance/Agent/Disbursing Officer over Printed Name) </t>
  </si>
  <si>
    <t>MADONNA LYN O MARQUEZ</t>
  </si>
  <si>
    <t>Chief HRM &amp; Dev Division</t>
  </si>
  <si>
    <t>CDEA, OCD LOAN TABLE</t>
  </si>
  <si>
    <t>OCD</t>
  </si>
  <si>
    <t>CAMP AGUINALDO QUEZON CITY</t>
  </si>
  <si>
    <t>1</t>
  </si>
  <si>
    <t>0</t>
  </si>
  <si>
    <t>COL.ALEXANDER L. FERIA (RET)CPA MNSA</t>
  </si>
  <si>
    <t>JEFFRAE A. SAPLA</t>
  </si>
  <si>
    <t>PAMELA CHERRY A. REYES</t>
  </si>
  <si>
    <t>091762720418</t>
  </si>
  <si>
    <t>MS. LALAIN N. BARROGA</t>
  </si>
  <si>
    <t>with the total amount of Php</t>
  </si>
  <si>
    <t>MS MADONNA LYN O MARQUEZ</t>
  </si>
  <si>
    <t>OIC HRMDD</t>
  </si>
  <si>
    <t>HRMD-AFMS</t>
  </si>
  <si>
    <t>MARQUEZ</t>
  </si>
  <si>
    <t>MADONNA LYN</t>
  </si>
  <si>
    <t>ORTEGA</t>
  </si>
  <si>
    <t>HRMD IV</t>
  </si>
  <si>
    <t>2004-023 OCD</t>
  </si>
  <si>
    <t>20 YEARS AND 6 MOS</t>
  </si>
  <si>
    <t>OCT 1 1981</t>
  </si>
  <si>
    <t>HRMDD - OCD</t>
  </si>
  <si>
    <t>madomarquez819@gmail.com</t>
  </si>
  <si>
    <t>6</t>
  </si>
  <si>
    <t>BLK 1 LOT 8 JOSHUA ST., BEYOND HOMES BRGY  SAN FRANCISCO, GENERAL TRIAS, CAVITE</t>
  </si>
  <si>
    <t>MS RUBY D ABELLADO</t>
  </si>
  <si>
    <t>HRMD III</t>
  </si>
  <si>
    <t>HRMDD</t>
  </si>
  <si>
    <t>02125296</t>
  </si>
  <si>
    <t>UMID I.D.</t>
  </si>
  <si>
    <t>006-0082-1396-1</t>
  </si>
  <si>
    <t>CDEA-001</t>
  </si>
  <si>
    <t>2004-023</t>
  </si>
  <si>
    <t>MADONNA LYN ORTEGA MARQUEZ</t>
  </si>
  <si>
    <t>COL.ALEXANDER L. FERIA (RET) CPA MNSA</t>
  </si>
  <si>
    <t>ALEXANDER A. FERIA JR.</t>
  </si>
  <si>
    <t>Brgy. San Roque, Murphy, Cubao, Quezon City</t>
  </si>
  <si>
    <t>Mobile Number: 09194983770 / 09530331580</t>
  </si>
  <si>
    <t>AUTHORIZATION FOR ACTIVE DEDUCTION</t>
  </si>
  <si>
    <t>20-E 15th Avenue Corner, 2nd Camarilla St.</t>
  </si>
  <si>
    <t>DATE</t>
  </si>
  <si>
    <t>To whom it may concern:</t>
  </si>
  <si>
    <t xml:space="preserve">                   I hereby authorize that the amount of </t>
  </si>
  <si>
    <t>Five Thousand Six Hundred Ten and 02/100 (Php 5,610.02)</t>
  </si>
  <si>
    <t>for a period</t>
  </si>
  <si>
    <t xml:space="preserve">months with the total amount of </t>
  </si>
  <si>
    <t>Sixty and 56/100</t>
  </si>
  <si>
    <t xml:space="preserve">Two Hundred One Thousand Nine Hundred </t>
  </si>
  <si>
    <t>MRS. LALAIN N. BARROGA</t>
  </si>
  <si>
    <t>OFFICE OF THE CIVIL DEFENSE</t>
  </si>
  <si>
    <t>PAMELA  CHERRY A. REYES</t>
  </si>
  <si>
    <t>KELVIN ART T OFRECIO</t>
  </si>
  <si>
    <t>CDEA-005</t>
  </si>
  <si>
    <t>2012-015</t>
  </si>
  <si>
    <t>BLK 8, LOT 36, PHASE O, FRANCISCO HOMES- NARRA, CSJDM, BULACAN</t>
  </si>
  <si>
    <t>katofrecio@gmail.com</t>
  </si>
  <si>
    <t>13 YEARS</t>
  </si>
  <si>
    <t>ITO III</t>
  </si>
  <si>
    <t>0443089829</t>
  </si>
  <si>
    <t>OFRECIO</t>
  </si>
  <si>
    <t>KELVIN ART</t>
  </si>
  <si>
    <t>TEOFISTO</t>
  </si>
  <si>
    <t>2012-039</t>
  </si>
  <si>
    <t>043 ZONE 2, PC HILL, ROSARY HEIGHTS I, COTABATO CITY</t>
  </si>
  <si>
    <t>MARY ANN</t>
  </si>
  <si>
    <t>ELVEÑA</t>
  </si>
  <si>
    <t>MENDEZ</t>
  </si>
  <si>
    <t>MARY ANN ELVEÑA MENDEZ</t>
  </si>
  <si>
    <t>TRAINING SPECIALIST I REGIONAL OFFICE - BARMM</t>
  </si>
  <si>
    <t>AUGUST 4 1978</t>
  </si>
  <si>
    <t>PRC ID</t>
  </si>
  <si>
    <t>AUGUST 4 2025</t>
  </si>
  <si>
    <t xml:space="preserve">CAMP GENERAL EMILIO AGUINALDO </t>
  </si>
  <si>
    <t>8366-66-00  LOCAL 119</t>
  </si>
  <si>
    <t>5</t>
  </si>
  <si>
    <t>4</t>
  </si>
  <si>
    <t>8</t>
  </si>
  <si>
    <t>3</t>
  </si>
  <si>
    <t>EMP NO. 2012-039</t>
  </si>
  <si>
    <t>CDEA-006</t>
  </si>
  <si>
    <t>RHODA SAMIANA PAGGABAO</t>
  </si>
  <si>
    <t xml:space="preserve">BLK 9 LOT 13 PH D. FRANCISCO HOMES SAN JOSE DEL MONTE BULACAN </t>
  </si>
  <si>
    <t xml:space="preserve">1988 - 006 </t>
  </si>
  <si>
    <t>PAGGABAO</t>
  </si>
  <si>
    <t>RHODA</t>
  </si>
  <si>
    <t xml:space="preserve">SAMIANA </t>
  </si>
  <si>
    <t>ADMINISTRATIVE OFFICER V</t>
  </si>
  <si>
    <t>8 YEARS</t>
  </si>
  <si>
    <t>rhodapaggabao@yahoo.com</t>
  </si>
  <si>
    <t>0917-549-9560</t>
  </si>
  <si>
    <t>2</t>
  </si>
  <si>
    <t>DECEMBER 31 2026</t>
  </si>
  <si>
    <t>CDEA - 009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</si>
</sst>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44" formatCode="_(&quot;$&quot;* #,##0.00_);_(&quot;$&quot;* \(#,##0.00\);_(&quot;$&quot;* &quot;-&quot;??_);_(@_)"/>
    <numFmt numFmtId="164" formatCode="_-* #,##0.00_-;\-* #,##0.00_-;_-* &quot;-&quot;??_-;_-@_-"/>
    <numFmt numFmtId="165" formatCode="0.0000%"/>
    <numFmt numFmtId="166" formatCode="0.0%"/>
    <numFmt numFmtId="167" formatCode="_-* #,##0_-;\-* #,##0_-;_-* &quot;-&quot;??_-;_-@_-"/>
    <numFmt numFmtId="168" formatCode="_-* #,##0.000000_-;\-* #,##0.000000_-;_-* &quot;-&quot;??_-;_-@_-"/>
    <numFmt numFmtId="169" formatCode="_-* #,##0.0000_-;\-* #,##0.0000_-;_-* &quot;-&quot;??_-;_-@_-"/>
    <numFmt numFmtId="170" formatCode="dd/mm/yyyy;@"/>
    <numFmt numFmtId="171" formatCode="[$-3409]dd\-mmm\-yy;@"/>
    <numFmt numFmtId="172" formatCode="&quot;₱&quot;#,##0.00"/>
    <numFmt numFmtId="173" formatCode="[$-409]mmmm\ d\,\ yyyy;@"/>
  </numFmts>
  <fonts count="50">
    <font>
      <sz val="11"/>
      <color theme="1"/>
      <name val="Calibri"/>
      <charset val="134"/>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6"/>
      <color theme="1"/>
      <name val="Calibri"/>
      <family val="2"/>
      <scheme val="minor"/>
    </font>
    <font>
      <b/>
      <sz val="16"/>
      <color theme="1"/>
      <name val="Calibri"/>
      <family val="2"/>
      <scheme val="minor"/>
    </font>
    <font>
      <b/>
      <sz val="11"/>
      <color theme="0"/>
      <name val="Calibri"/>
      <family val="2"/>
      <scheme val="minor"/>
    </font>
    <font>
      <b/>
      <sz val="11"/>
      <color theme="1"/>
      <name val="Century Gothic"/>
      <family val="2"/>
    </font>
    <font>
      <sz val="11"/>
      <color theme="1"/>
      <name val="Century Gothic"/>
      <family val="2"/>
    </font>
    <font>
      <sz val="11"/>
      <color theme="1"/>
      <name val="Calibri"/>
      <family val="2"/>
      <scheme val="minor"/>
    </font>
    <font>
      <b/>
      <sz val="11"/>
      <color theme="1"/>
      <name val="Calibri"/>
      <family val="2"/>
      <scheme val="minor"/>
    </font>
    <font>
      <b/>
      <sz val="11"/>
      <color theme="1"/>
      <name val="Arial"/>
      <family val="2"/>
    </font>
    <font>
      <b/>
      <sz val="11"/>
      <color rgb="FFFF0000"/>
      <name val="Calibri"/>
      <family val="2"/>
      <scheme val="minor"/>
    </font>
    <font>
      <sz val="16"/>
      <color rgb="FFFF0000"/>
      <name val="Calibri"/>
      <family val="2"/>
      <scheme val="minor"/>
    </font>
    <font>
      <sz val="11"/>
      <color theme="1"/>
      <name val="Arial"/>
      <family val="2"/>
    </font>
    <font>
      <sz val="11"/>
      <color theme="1"/>
      <name val="Bahnschrift Light Condensed"/>
      <family val="2"/>
    </font>
    <font>
      <b/>
      <sz val="18"/>
      <color theme="1"/>
      <name val="MS Gothic"/>
      <family val="3"/>
    </font>
    <font>
      <sz val="10"/>
      <color theme="1"/>
      <name val="Arial"/>
      <family val="2"/>
    </font>
    <font>
      <b/>
      <sz val="14"/>
      <color theme="0"/>
      <name val="Arial"/>
      <family val="2"/>
    </font>
    <font>
      <b/>
      <sz val="12"/>
      <color theme="1"/>
      <name val="Arial"/>
      <family val="2"/>
    </font>
    <font>
      <sz val="11"/>
      <color rgb="FFFF0000"/>
      <name val="Calibri"/>
      <family val="2"/>
      <scheme val="minor"/>
    </font>
    <font>
      <sz val="12"/>
      <color theme="1"/>
      <name val="Arial"/>
      <family val="2"/>
    </font>
    <font>
      <sz val="12"/>
      <color theme="1"/>
      <name val="MS Gothic"/>
      <family val="3"/>
    </font>
    <font>
      <sz val="12"/>
      <color theme="1"/>
      <name val="Bahnschrift Light Condensed"/>
      <family val="2"/>
    </font>
    <font>
      <sz val="11"/>
      <color theme="0"/>
      <name val="Arial"/>
      <family val="2"/>
    </font>
    <font>
      <sz val="12"/>
      <color theme="1"/>
      <name val="Arial"/>
      <family val="2"/>
    </font>
    <font>
      <b/>
      <sz val="10"/>
      <color theme="1"/>
      <name val="Arial"/>
      <family val="2"/>
    </font>
    <font>
      <sz val="12"/>
      <color theme="1"/>
      <name val="Calibri"/>
      <family val="2"/>
      <scheme val="minor"/>
    </font>
    <font>
      <b/>
      <sz val="12"/>
      <color theme="1"/>
      <name val="Arial"/>
      <family val="2"/>
    </font>
    <font>
      <b/>
      <sz val="12"/>
      <color theme="1"/>
      <name val="Calibri"/>
      <family val="2"/>
      <scheme val="minor"/>
    </font>
    <font>
      <b/>
      <sz val="12"/>
      <color theme="0"/>
      <name val="Calibri"/>
      <family val="2"/>
      <scheme val="minor"/>
    </font>
    <font>
      <b/>
      <i/>
      <sz val="12"/>
      <color theme="1"/>
      <name val="Calibri"/>
      <family val="2"/>
      <scheme val="minor"/>
    </font>
    <font>
      <sz val="12"/>
      <color theme="0"/>
      <name val="Calibri"/>
      <family val="2"/>
      <scheme val="minor"/>
    </font>
    <font>
      <sz val="14"/>
      <name val="Calibri"/>
      <family val="2"/>
      <scheme val="minor"/>
    </font>
    <font>
      <b/>
      <sz val="14"/>
      <color theme="0"/>
      <name val="Calibri"/>
      <family val="2"/>
      <scheme val="minor"/>
    </font>
    <font>
      <b/>
      <sz val="11"/>
      <name val="Arial"/>
      <family val="2"/>
    </font>
    <font>
      <b/>
      <sz val="12"/>
      <name val="Arial"/>
      <family val="2"/>
    </font>
    <font>
      <b/>
      <sz val="14"/>
      <name val="Calibri"/>
      <family val="2"/>
      <scheme val="minor"/>
    </font>
    <font>
      <u/>
      <sz val="14"/>
      <name val="Calibri"/>
      <family val="2"/>
      <scheme val="minor"/>
    </font>
    <font>
      <sz val="12"/>
      <color theme="1"/>
      <name val="Calibri"/>
      <family val="2"/>
    </font>
    <font>
      <sz val="13"/>
      <color rgb="FF000000"/>
      <name val="Calibri"/>
      <family val="2"/>
      <scheme val="minor"/>
    </font>
    <font>
      <sz val="13"/>
      <color theme="1"/>
      <name val="Calibri"/>
      <family val="2"/>
      <scheme val="minor"/>
    </font>
    <font>
      <sz val="12"/>
      <color rgb="FF000000"/>
      <name val="Calibri"/>
      <family val="2"/>
      <scheme val="minor"/>
    </font>
    <font>
      <sz val="14"/>
      <color theme="0"/>
      <name val="Calibri"/>
      <family val="2"/>
      <scheme val="minor"/>
    </font>
    <font>
      <b/>
      <sz val="13"/>
      <color rgb="FF000000"/>
      <name val="Calibri"/>
      <family val="2"/>
      <scheme val="minor"/>
    </font>
    <font>
      <b/>
      <sz val="14"/>
      <color theme="1"/>
      <name val="Calibri"/>
      <family val="2"/>
      <scheme val="minor"/>
    </font>
    <font>
      <u/>
      <sz val="11"/>
      <color theme="10"/>
      <name val="Calibri"/>
      <family val="2"/>
      <scheme val="minor"/>
    </font>
  </fonts>
  <fills count="10">
    <fill>
      <patternFill patternType="none"/>
    </fill>
    <fill>
      <patternFill patternType="gray125"/>
    </fill>
    <fill>
      <patternFill patternType="solid">
        <fgColor rgb="FFFFFF00"/>
        <bgColor indexed="64"/>
      </patternFill>
    </fill>
    <fill>
      <patternFill patternType="solid">
        <fgColor theme="9" tint="0.39994506668294322"/>
        <bgColor indexed="64"/>
      </patternFill>
    </fill>
    <fill>
      <patternFill patternType="solid">
        <fgColor theme="1"/>
        <bgColor indexed="64"/>
      </patternFill>
    </fill>
    <fill>
      <patternFill patternType="solid">
        <fgColor rgb="FFFFFF00"/>
        <bgColor indexed="64"/>
      </patternFill>
    </fill>
    <fill>
      <patternFill patternType="solid">
        <fgColor theme="1" tint="0.499984740745262"/>
        <bgColor indexed="64"/>
      </patternFill>
    </fill>
    <fill>
      <patternFill patternType="solid">
        <fgColor rgb="FF002060"/>
        <bgColor indexed="64"/>
      </patternFill>
    </fill>
    <fill>
      <patternFill patternType="solid">
        <fgColor theme="4" tint="0.59999389629810485"/>
        <bgColor indexed="64"/>
      </patternFill>
    </fill>
    <fill>
      <patternFill patternType="solid">
        <fgColor rgb="FF92D050"/>
        <bgColor indexed="64"/>
      </patternFill>
    </fill>
  </fills>
  <borders count="41">
    <border>
      <left/>
      <right/>
      <top/>
      <bottom/>
      <diagonal/>
    </border>
    <border>
      <left style="thin">
        <color auto="1"/>
      </left>
      <right style="thin">
        <color auto="1"/>
      </right>
      <top style="thin">
        <color auto="1"/>
      </top>
      <bottom style="thin">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thin">
        <color auto="1"/>
      </bottom>
      <diagonal/>
    </border>
    <border>
      <left/>
      <right/>
      <top style="medium">
        <color auto="1"/>
      </top>
      <bottom/>
      <diagonal/>
    </border>
    <border>
      <left/>
      <right/>
      <top style="thin">
        <color auto="1"/>
      </top>
      <bottom style="thin">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diagonal/>
    </border>
    <border>
      <left/>
      <right style="medium">
        <color auto="1"/>
      </right>
      <top style="medium">
        <color auto="1"/>
      </top>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top/>
      <bottom/>
      <diagonal/>
    </border>
    <border>
      <left/>
      <right style="medium">
        <color auto="1"/>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right/>
      <top/>
      <bottom style="thin">
        <color auto="1"/>
      </bottom>
      <diagonal/>
    </border>
    <border>
      <left/>
      <right/>
      <top style="thin">
        <color auto="1"/>
      </top>
      <bottom/>
      <diagonal/>
    </border>
    <border>
      <left/>
      <right/>
      <top/>
      <bottom style="double">
        <color auto="1"/>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style="thin">
        <color auto="1"/>
      </right>
      <top style="thin">
        <color auto="1"/>
      </top>
      <bottom style="medium">
        <color auto="1"/>
      </bottom>
      <diagonal/>
    </border>
    <border>
      <left/>
      <right style="thin">
        <color indexed="64"/>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diagonal/>
    </border>
    <border>
      <left/>
      <right style="thin">
        <color indexed="64"/>
      </right>
      <top/>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style="medium">
        <color indexed="64"/>
      </top>
      <bottom style="medium">
        <color indexed="64"/>
      </bottom>
      <diagonal/>
    </border>
    <border>
      <left/>
      <right/>
      <top style="thin">
        <color indexed="64"/>
      </top>
      <bottom style="medium">
        <color indexed="64"/>
      </bottom>
      <diagonal/>
    </border>
    <border>
      <left style="thin">
        <color auto="1"/>
      </left>
      <right style="medium">
        <color auto="1"/>
      </right>
      <top/>
      <bottom style="thin">
        <color auto="1"/>
      </bottom>
      <diagonal/>
    </border>
    <border>
      <left/>
      <right style="medium">
        <color indexed="64"/>
      </right>
      <top style="thin">
        <color auto="1"/>
      </top>
      <bottom style="thin">
        <color auto="1"/>
      </bottom>
      <diagonal/>
    </border>
    <border>
      <left style="medium">
        <color auto="1"/>
      </left>
      <right style="thin">
        <color auto="1"/>
      </right>
      <top/>
      <bottom style="thin">
        <color auto="1"/>
      </bottom>
      <diagonal/>
    </border>
    <border>
      <left/>
      <right/>
      <top style="medium">
        <color auto="1"/>
      </top>
      <bottom style="thin">
        <color auto="1"/>
      </bottom>
      <diagonal/>
    </border>
  </borders>
  <cellStyleXfs count="4">
    <xf numFmtId="0" fontId="0" fillId="0" borderId="0"/>
    <xf numFmtId="164" fontId="12" fillId="0" borderId="0" applyFont="0" applyFill="0" applyBorder="0" applyAlignment="0" applyProtection="0"/>
    <xf numFmtId="9" fontId="12" fillId="0" borderId="0" applyFont="0" applyFill="0" applyBorder="0" applyAlignment="0" applyProtection="0"/>
    <xf numFmtId="0" fontId="49" fillId="0" borderId="0" applyNumberFormat="0" applyFill="0" applyBorder="0" applyAlignment="0" applyProtection="0"/>
  </cellStyleXfs>
  <cellXfs count="499">
    <xf numFmtId="0" fontId="0" fillId="0" borderId="0" xfId="0"/>
    <xf numFmtId="0" fontId="0" fillId="2" borderId="0" xfId="0" applyFill="1"/>
    <xf numFmtId="164" fontId="0" fillId="0" borderId="0" xfId="1" applyFont="1"/>
    <xf numFmtId="0" fontId="7" fillId="0" borderId="0" xfId="0" applyFont="1"/>
    <xf numFmtId="164" fontId="0" fillId="2" borderId="0" xfId="1" applyFont="1" applyFill="1"/>
    <xf numFmtId="164" fontId="0" fillId="0" borderId="0" xfId="1" applyFont="1" applyFill="1"/>
    <xf numFmtId="166" fontId="0" fillId="0" borderId="1" xfId="2" applyNumberFormat="1" applyFont="1" applyBorder="1"/>
    <xf numFmtId="167" fontId="0" fillId="0" borderId="0" xfId="1" applyNumberFormat="1" applyFont="1"/>
    <xf numFmtId="10" fontId="0" fillId="0" borderId="0" xfId="1" applyNumberFormat="1" applyFont="1"/>
    <xf numFmtId="168" fontId="0" fillId="0" borderId="0" xfId="1" applyNumberFormat="1" applyFont="1"/>
    <xf numFmtId="169" fontId="0" fillId="0" borderId="0" xfId="1" applyNumberFormat="1" applyFont="1"/>
    <xf numFmtId="10" fontId="0" fillId="0" borderId="0" xfId="2" applyNumberFormat="1" applyFont="1"/>
    <xf numFmtId="0" fontId="0" fillId="3" borderId="0" xfId="0" applyFill="1"/>
    <xf numFmtId="165" fontId="0" fillId="3" borderId="0" xfId="1" applyNumberFormat="1" applyFont="1" applyFill="1"/>
    <xf numFmtId="0" fontId="0" fillId="0" borderId="0" xfId="0" applyAlignment="1">
      <alignment vertical="center"/>
    </xf>
    <xf numFmtId="165" fontId="0" fillId="0" borderId="0" xfId="1" applyNumberFormat="1" applyFont="1" applyFill="1"/>
    <xf numFmtId="167" fontId="0" fillId="0" borderId="0" xfId="1" applyNumberFormat="1" applyFont="1" applyFill="1"/>
    <xf numFmtId="10" fontId="0" fillId="0" borderId="0" xfId="2" applyNumberFormat="1" applyFont="1" applyFill="1"/>
    <xf numFmtId="10" fontId="0" fillId="0" borderId="0" xfId="1" applyNumberFormat="1" applyFont="1" applyFill="1"/>
    <xf numFmtId="168" fontId="0" fillId="0" borderId="0" xfId="1" applyNumberFormat="1" applyFont="1" applyFill="1"/>
    <xf numFmtId="169" fontId="0" fillId="0" borderId="0" xfId="1" applyNumberFormat="1" applyFont="1" applyFill="1"/>
    <xf numFmtId="164" fontId="0" fillId="0" borderId="0" xfId="1" applyFont="1" applyFill="1" applyAlignment="1">
      <alignment vertical="center"/>
    </xf>
    <xf numFmtId="0" fontId="10" fillId="0" borderId="0" xfId="0" applyFont="1" applyAlignment="1">
      <alignment horizontal="center" wrapText="1"/>
    </xf>
    <xf numFmtId="4" fontId="11" fillId="0" borderId="4" xfId="0" applyNumberFormat="1" applyFont="1" applyBorder="1"/>
    <xf numFmtId="164" fontId="11" fillId="0" borderId="1" xfId="1" applyFont="1" applyBorder="1"/>
    <xf numFmtId="4" fontId="11" fillId="0" borderId="1" xfId="0" applyNumberFormat="1" applyFont="1" applyBorder="1"/>
    <xf numFmtId="4" fontId="11" fillId="0" borderId="0" xfId="0" applyNumberFormat="1" applyFont="1"/>
    <xf numFmtId="0" fontId="0" fillId="0" borderId="0" xfId="0" applyAlignment="1">
      <alignment horizontal="center"/>
    </xf>
    <xf numFmtId="164" fontId="0" fillId="0" borderId="0" xfId="0" applyNumberFormat="1"/>
    <xf numFmtId="164" fontId="0" fillId="5" borderId="0" xfId="1" applyFont="1" applyFill="1"/>
    <xf numFmtId="9" fontId="0" fillId="0" borderId="0" xfId="2" applyFont="1"/>
    <xf numFmtId="9" fontId="0" fillId="0" borderId="0" xfId="1" applyNumberFormat="1" applyFont="1"/>
    <xf numFmtId="0" fontId="0" fillId="0" borderId="1" xfId="0" applyBorder="1"/>
    <xf numFmtId="0" fontId="0" fillId="5" borderId="0" xfId="0" applyFill="1" applyAlignment="1">
      <alignment horizontal="center"/>
    </xf>
    <xf numFmtId="0" fontId="14" fillId="5" borderId="0" xfId="0" applyFont="1" applyFill="1"/>
    <xf numFmtId="164" fontId="0" fillId="0" borderId="6" xfId="1" applyFont="1" applyBorder="1"/>
    <xf numFmtId="164" fontId="15" fillId="0" borderId="0" xfId="2" applyNumberFormat="1" applyFont="1" applyFill="1"/>
    <xf numFmtId="164" fontId="0" fillId="5" borderId="0" xfId="0" applyNumberFormat="1" applyFill="1"/>
    <xf numFmtId="10" fontId="0" fillId="0" borderId="0" xfId="0" applyNumberFormat="1"/>
    <xf numFmtId="0" fontId="15" fillId="0" borderId="0" xfId="0" applyFont="1"/>
    <xf numFmtId="0" fontId="17" fillId="0" borderId="8" xfId="0" applyFont="1" applyBorder="1"/>
    <xf numFmtId="0" fontId="17" fillId="0" borderId="5" xfId="0" applyFont="1" applyBorder="1"/>
    <xf numFmtId="0" fontId="18" fillId="0" borderId="5" xfId="0" applyFont="1" applyBorder="1"/>
    <xf numFmtId="0" fontId="17" fillId="0" borderId="9" xfId="0" applyFont="1" applyBorder="1"/>
    <xf numFmtId="0" fontId="17" fillId="0" borderId="13" xfId="0" applyFont="1" applyBorder="1"/>
    <xf numFmtId="0" fontId="17" fillId="0" borderId="0" xfId="0" applyFont="1"/>
    <xf numFmtId="0" fontId="18" fillId="0" borderId="0" xfId="0" applyFont="1" applyAlignment="1">
      <alignment vertical="center"/>
    </xf>
    <xf numFmtId="0" fontId="17" fillId="0" borderId="14" xfId="0" applyFont="1" applyBorder="1"/>
    <xf numFmtId="0" fontId="0" fillId="0" borderId="4" xfId="0" applyBorder="1"/>
    <xf numFmtId="0" fontId="18" fillId="0" borderId="0" xfId="0" applyFont="1"/>
    <xf numFmtId="0" fontId="0" fillId="0" borderId="13" xfId="0" applyBorder="1"/>
    <xf numFmtId="14" fontId="0" fillId="0" borderId="6" xfId="0" applyNumberFormat="1" applyBorder="1"/>
    <xf numFmtId="170" fontId="0" fillId="0" borderId="1" xfId="0" applyNumberFormat="1" applyBorder="1"/>
    <xf numFmtId="14" fontId="0" fillId="0" borderId="1" xfId="0" applyNumberFormat="1" applyBorder="1"/>
    <xf numFmtId="0" fontId="0" fillId="0" borderId="17" xfId="0" applyBorder="1"/>
    <xf numFmtId="0" fontId="0" fillId="5" borderId="1" xfId="0" applyFill="1" applyBorder="1" applyAlignment="1">
      <alignment horizontal="center"/>
    </xf>
    <xf numFmtId="0" fontId="0" fillId="5" borderId="17" xfId="0" applyFill="1" applyBorder="1" applyAlignment="1">
      <alignment horizontal="center"/>
    </xf>
    <xf numFmtId="167" fontId="0" fillId="0" borderId="17" xfId="0" applyNumberFormat="1" applyBorder="1"/>
    <xf numFmtId="14" fontId="0" fillId="0" borderId="0" xfId="0" applyNumberFormat="1"/>
    <xf numFmtId="0" fontId="0" fillId="9" borderId="1" xfId="0" applyFill="1" applyBorder="1"/>
    <xf numFmtId="164" fontId="0" fillId="9" borderId="1" xfId="0" applyNumberFormat="1" applyFill="1" applyBorder="1"/>
    <xf numFmtId="167" fontId="0" fillId="9" borderId="1" xfId="0" applyNumberFormat="1" applyFill="1" applyBorder="1"/>
    <xf numFmtId="167" fontId="0" fillId="9" borderId="1" xfId="1" applyNumberFormat="1" applyFont="1" applyFill="1" applyBorder="1" applyProtection="1"/>
    <xf numFmtId="0" fontId="17" fillId="0" borderId="0" xfId="0" applyFont="1" applyAlignment="1">
      <alignment vertical="center"/>
    </xf>
    <xf numFmtId="0" fontId="22" fillId="0" borderId="0" xfId="0" applyFont="1" applyAlignment="1">
      <alignment vertical="center"/>
    </xf>
    <xf numFmtId="14" fontId="0" fillId="0" borderId="4" xfId="0" applyNumberFormat="1" applyBorder="1" applyAlignment="1">
      <alignment horizontal="right" vertical="center"/>
    </xf>
    <xf numFmtId="0" fontId="23" fillId="0" borderId="1" xfId="0" applyFont="1" applyBorder="1"/>
    <xf numFmtId="49" fontId="17" fillId="0" borderId="0" xfId="0" applyNumberFormat="1" applyFont="1" applyAlignment="1">
      <alignment horizontal="right" vertical="center"/>
    </xf>
    <xf numFmtId="0" fontId="22" fillId="0" borderId="13" xfId="0" applyFont="1" applyBorder="1"/>
    <xf numFmtId="0" fontId="22" fillId="0" borderId="0" xfId="0" applyFont="1"/>
    <xf numFmtId="0" fontId="22" fillId="0" borderId="14" xfId="0" applyFont="1" applyBorder="1"/>
    <xf numFmtId="0" fontId="24" fillId="0" borderId="0" xfId="0" applyFont="1"/>
    <xf numFmtId="0" fontId="17" fillId="0" borderId="0" xfId="0" applyFont="1" applyAlignment="1">
      <alignment horizontal="right" vertical="center"/>
    </xf>
    <xf numFmtId="0" fontId="24" fillId="0" borderId="13" xfId="0" applyFont="1" applyBorder="1"/>
    <xf numFmtId="0" fontId="24" fillId="0" borderId="0" xfId="0" applyFont="1" applyAlignment="1">
      <alignment vertical="center"/>
    </xf>
    <xf numFmtId="0" fontId="24" fillId="0" borderId="0" xfId="0" applyFont="1" applyAlignment="1">
      <alignment horizontal="right" vertical="center"/>
    </xf>
    <xf numFmtId="0" fontId="26" fillId="0" borderId="0" xfId="0" applyFont="1" applyAlignment="1">
      <alignment vertical="center"/>
    </xf>
    <xf numFmtId="0" fontId="24" fillId="0" borderId="14" xfId="0" applyFont="1" applyBorder="1"/>
    <xf numFmtId="0" fontId="0" fillId="0" borderId="14" xfId="0" applyBorder="1"/>
    <xf numFmtId="0" fontId="27" fillId="7" borderId="0" xfId="0" applyFont="1" applyFill="1" applyAlignment="1">
      <alignment horizontal="center" vertical="center"/>
    </xf>
    <xf numFmtId="0" fontId="28" fillId="0" borderId="0" xfId="0" applyFont="1" applyAlignment="1">
      <alignment vertical="center"/>
    </xf>
    <xf numFmtId="167" fontId="25" fillId="0" borderId="18" xfId="1" applyNumberFormat="1" applyFont="1" applyBorder="1" applyAlignment="1">
      <alignment vertical="center"/>
    </xf>
    <xf numFmtId="0" fontId="17" fillId="0" borderId="20" xfId="0" applyFont="1" applyBorder="1"/>
    <xf numFmtId="0" fontId="18" fillId="0" borderId="20" xfId="0" applyFont="1" applyBorder="1"/>
    <xf numFmtId="0" fontId="17" fillId="0" borderId="19" xfId="0" applyFont="1" applyBorder="1" applyAlignment="1">
      <alignment vertical="center"/>
    </xf>
    <xf numFmtId="0" fontId="17" fillId="0" borderId="21" xfId="0" applyFont="1" applyBorder="1"/>
    <xf numFmtId="0" fontId="17" fillId="0" borderId="22" xfId="0" applyFont="1" applyBorder="1"/>
    <xf numFmtId="0" fontId="18" fillId="0" borderId="22" xfId="0" applyFont="1" applyBorder="1"/>
    <xf numFmtId="0" fontId="17" fillId="0" borderId="23" xfId="0" applyFont="1" applyBorder="1"/>
    <xf numFmtId="0" fontId="0" fillId="0" borderId="24" xfId="0" applyBorder="1"/>
    <xf numFmtId="164" fontId="0" fillId="0" borderId="0" xfId="1" applyFont="1" applyBorder="1" applyProtection="1"/>
    <xf numFmtId="164" fontId="0" fillId="0" borderId="0" xfId="1" applyFont="1" applyFill="1" applyBorder="1" applyProtection="1"/>
    <xf numFmtId="10" fontId="0" fillId="0" borderId="0" xfId="2" applyNumberFormat="1" applyFont="1" applyFill="1" applyBorder="1" applyProtection="1"/>
    <xf numFmtId="10" fontId="0" fillId="0" borderId="0" xfId="2" applyNumberFormat="1" applyFont="1" applyFill="1" applyBorder="1"/>
    <xf numFmtId="1" fontId="0" fillId="0" borderId="15" xfId="0" applyNumberFormat="1" applyBorder="1"/>
    <xf numFmtId="164" fontId="0" fillId="0" borderId="0" xfId="1" applyFont="1" applyFill="1" applyBorder="1"/>
    <xf numFmtId="0" fontId="0" fillId="0" borderId="11" xfId="0" applyBorder="1"/>
    <xf numFmtId="14" fontId="0" fillId="0" borderId="0" xfId="0" applyNumberFormat="1" applyAlignment="1">
      <alignment horizontal="right" vertical="center"/>
    </xf>
    <xf numFmtId="167" fontId="0" fillId="0" borderId="0" xfId="0" applyNumberFormat="1"/>
    <xf numFmtId="167" fontId="0" fillId="0" borderId="0" xfId="1" applyNumberFormat="1" applyFont="1" applyFill="1" applyBorder="1" applyProtection="1"/>
    <xf numFmtId="0" fontId="30" fillId="0" borderId="0" xfId="0" applyFont="1"/>
    <xf numFmtId="0" fontId="30" fillId="0" borderId="0" xfId="0" applyFont="1" applyAlignment="1">
      <alignment horizontal="left"/>
    </xf>
    <xf numFmtId="0" fontId="32" fillId="0" borderId="0" xfId="0" applyFont="1"/>
    <xf numFmtId="0" fontId="32" fillId="0" borderId="15" xfId="1" applyNumberFormat="1" applyFont="1" applyBorder="1" applyAlignment="1">
      <alignment vertical="center"/>
    </xf>
    <xf numFmtId="0" fontId="32" fillId="0" borderId="6" xfId="1" applyNumberFormat="1" applyFont="1" applyBorder="1" applyAlignment="1">
      <alignment vertical="center"/>
    </xf>
    <xf numFmtId="0" fontId="32" fillId="0" borderId="16" xfId="1" applyNumberFormat="1" applyFont="1" applyBorder="1" applyAlignment="1">
      <alignment vertical="center"/>
    </xf>
    <xf numFmtId="0" fontId="32" fillId="0" borderId="0" xfId="0" applyFont="1" applyAlignment="1">
      <alignment horizontal="center" vertical="top"/>
    </xf>
    <xf numFmtId="0" fontId="32" fillId="0" borderId="0" xfId="0" applyFont="1" applyAlignment="1">
      <alignment horizontal="left"/>
    </xf>
    <xf numFmtId="0" fontId="30" fillId="0" borderId="1" xfId="0" applyFont="1" applyBorder="1"/>
    <xf numFmtId="0" fontId="30" fillId="0" borderId="0" xfId="0" applyFont="1" applyAlignment="1">
      <alignment horizontal="center"/>
    </xf>
    <xf numFmtId="0" fontId="30" fillId="0" borderId="11" xfId="0" applyFont="1" applyBorder="1"/>
    <xf numFmtId="0" fontId="32" fillId="0" borderId="26" xfId="0" applyFont="1" applyBorder="1" applyAlignment="1">
      <alignment vertical="top"/>
    </xf>
    <xf numFmtId="0" fontId="32" fillId="0" borderId="19" xfId="0" applyFont="1" applyBorder="1" applyAlignment="1">
      <alignment vertical="top"/>
    </xf>
    <xf numFmtId="0" fontId="32" fillId="0" borderId="0" xfId="0" applyFont="1" applyAlignment="1">
      <alignment vertical="top"/>
    </xf>
    <xf numFmtId="0" fontId="32" fillId="0" borderId="28" xfId="0" applyFont="1" applyBorder="1" applyAlignment="1">
      <alignment vertical="top"/>
    </xf>
    <xf numFmtId="0" fontId="32" fillId="0" borderId="18" xfId="0" applyFont="1" applyBorder="1" applyAlignment="1">
      <alignment vertical="top"/>
    </xf>
    <xf numFmtId="0" fontId="32" fillId="0" borderId="28" xfId="0" applyFont="1" applyBorder="1" applyAlignment="1">
      <alignment horizontal="left" vertical="center"/>
    </xf>
    <xf numFmtId="0" fontId="32" fillId="0" borderId="28" xfId="0" applyFont="1" applyBorder="1" applyAlignment="1">
      <alignment vertical="center"/>
    </xf>
    <xf numFmtId="0" fontId="32" fillId="0" borderId="15" xfId="0" applyFont="1" applyBorder="1" applyAlignment="1">
      <alignment vertical="center"/>
    </xf>
    <xf numFmtId="0" fontId="32" fillId="0" borderId="6" xfId="0" applyFont="1" applyBorder="1" applyAlignment="1">
      <alignment vertical="top"/>
    </xf>
    <xf numFmtId="0" fontId="32" fillId="0" borderId="26" xfId="0" applyFont="1" applyBorder="1" applyAlignment="1">
      <alignment horizontal="left" vertical="center"/>
    </xf>
    <xf numFmtId="0" fontId="32" fillId="0" borderId="1" xfId="0" applyFont="1" applyBorder="1"/>
    <xf numFmtId="0" fontId="30" fillId="0" borderId="19" xfId="0" applyFont="1" applyBorder="1"/>
    <xf numFmtId="0" fontId="30" fillId="0" borderId="27" xfId="0" applyFont="1" applyBorder="1"/>
    <xf numFmtId="0" fontId="30" fillId="0" borderId="30" xfId="0" applyFont="1" applyBorder="1"/>
    <xf numFmtId="0" fontId="30" fillId="0" borderId="18" xfId="0" applyFont="1" applyBorder="1"/>
    <xf numFmtId="0" fontId="30" fillId="0" borderId="29" xfId="0" applyFont="1" applyBorder="1"/>
    <xf numFmtId="0" fontId="32" fillId="0" borderId="22" xfId="0" applyFont="1" applyBorder="1" applyAlignment="1">
      <alignment vertical="center"/>
    </xf>
    <xf numFmtId="164" fontId="32" fillId="0" borderId="0" xfId="1" quotePrefix="1" applyFont="1" applyBorder="1" applyAlignment="1">
      <alignment vertical="center"/>
    </xf>
    <xf numFmtId="164" fontId="32" fillId="0" borderId="0" xfId="1" applyFont="1" applyBorder="1" applyAlignment="1">
      <alignment vertical="center"/>
    </xf>
    <xf numFmtId="0" fontId="34" fillId="0" borderId="0" xfId="0" applyFont="1" applyAlignment="1">
      <alignment horizontal="center" vertical="top"/>
    </xf>
    <xf numFmtId="0" fontId="32" fillId="0" borderId="0" xfId="0" applyFont="1" applyAlignment="1">
      <alignment vertical="center"/>
    </xf>
    <xf numFmtId="0" fontId="32" fillId="0" borderId="1" xfId="0" applyFont="1" applyBorder="1" applyAlignment="1">
      <alignment horizontal="center" vertical="center"/>
    </xf>
    <xf numFmtId="49" fontId="32" fillId="0" borderId="0" xfId="1" applyNumberFormat="1" applyFont="1" applyAlignment="1">
      <alignment horizontal="center" vertical="center"/>
    </xf>
    <xf numFmtId="0" fontId="32" fillId="0" borderId="0" xfId="0" applyFont="1" applyAlignment="1">
      <alignment horizontal="left" vertical="center"/>
    </xf>
    <xf numFmtId="0" fontId="32" fillId="0" borderId="0" xfId="0" applyFont="1" applyAlignment="1">
      <alignment horizontal="center"/>
    </xf>
    <xf numFmtId="0" fontId="30" fillId="0" borderId="22" xfId="0" applyFont="1" applyBorder="1"/>
    <xf numFmtId="0" fontId="32" fillId="0" borderId="31" xfId="0" applyFont="1" applyBorder="1" applyAlignment="1">
      <alignment horizontal="center"/>
    </xf>
    <xf numFmtId="0" fontId="32" fillId="0" borderId="32" xfId="0" applyFont="1" applyBorder="1" applyAlignment="1">
      <alignment horizontal="center"/>
    </xf>
    <xf numFmtId="0" fontId="30" fillId="0" borderId="31" xfId="0" applyFont="1" applyBorder="1"/>
    <xf numFmtId="0" fontId="30" fillId="0" borderId="0" xfId="0" applyFont="1" applyAlignment="1">
      <alignment wrapText="1"/>
    </xf>
    <xf numFmtId="0" fontId="30" fillId="0" borderId="32" xfId="0" applyFont="1" applyBorder="1" applyAlignment="1">
      <alignment horizontal="center"/>
    </xf>
    <xf numFmtId="0" fontId="30" fillId="0" borderId="32" xfId="0" applyFont="1" applyBorder="1"/>
    <xf numFmtId="0" fontId="32" fillId="0" borderId="18" xfId="0" applyFont="1" applyBorder="1" applyAlignment="1">
      <alignment horizontal="center"/>
    </xf>
    <xf numFmtId="0" fontId="36" fillId="0" borderId="0" xfId="0" applyFont="1" applyAlignment="1">
      <alignment vertical="top" wrapText="1"/>
    </xf>
    <xf numFmtId="0" fontId="36" fillId="0" borderId="0" xfId="0" applyFont="1" applyAlignment="1">
      <alignment wrapText="1"/>
    </xf>
    <xf numFmtId="167" fontId="39" fillId="0" borderId="0" xfId="0" applyNumberFormat="1" applyFont="1" applyAlignment="1">
      <alignment wrapText="1"/>
    </xf>
    <xf numFmtId="0" fontId="30" fillId="0" borderId="0" xfId="0" applyFont="1" applyAlignment="1">
      <alignment vertical="top"/>
    </xf>
    <xf numFmtId="0" fontId="42" fillId="0" borderId="0" xfId="0" applyFont="1"/>
    <xf numFmtId="0" fontId="30" fillId="0" borderId="19" xfId="0" applyFont="1" applyBorder="1" applyAlignment="1">
      <alignment vertical="top"/>
    </xf>
    <xf numFmtId="0" fontId="30" fillId="0" borderId="18" xfId="0" applyFont="1" applyBorder="1" applyAlignment="1">
      <alignment vertical="top"/>
    </xf>
    <xf numFmtId="0" fontId="43" fillId="0" borderId="0" xfId="0" applyFont="1" applyAlignment="1">
      <alignment horizontal="left" vertical="center"/>
    </xf>
    <xf numFmtId="0" fontId="44" fillId="0" borderId="0" xfId="0" applyFont="1"/>
    <xf numFmtId="0" fontId="44" fillId="0" borderId="0" xfId="0" applyFont="1" applyAlignment="1">
      <alignment horizontal="left" vertical="center"/>
    </xf>
    <xf numFmtId="0" fontId="44" fillId="0" borderId="0" xfId="0" applyFont="1" applyAlignment="1">
      <alignment vertical="top" wrapText="1"/>
    </xf>
    <xf numFmtId="0" fontId="44" fillId="0" borderId="0" xfId="0" applyFont="1" applyAlignment="1">
      <alignment horizontal="left" vertical="top" wrapText="1"/>
    </xf>
    <xf numFmtId="0" fontId="44" fillId="0" borderId="0" xfId="0" applyFont="1" applyAlignment="1">
      <alignment vertical="center"/>
    </xf>
    <xf numFmtId="0" fontId="43" fillId="0" borderId="0" xfId="0" applyFont="1"/>
    <xf numFmtId="0" fontId="45" fillId="0" borderId="0" xfId="0" applyFont="1"/>
    <xf numFmtId="0" fontId="46" fillId="0" borderId="0" xfId="0" applyFont="1" applyAlignment="1">
      <alignment vertical="center"/>
    </xf>
    <xf numFmtId="0" fontId="33" fillId="0" borderId="0" xfId="0" applyFont="1" applyAlignment="1">
      <alignment horizontal="center"/>
    </xf>
    <xf numFmtId="0" fontId="35" fillId="0" borderId="0" xfId="0" applyFont="1" applyAlignment="1">
      <alignment horizontal="center"/>
    </xf>
    <xf numFmtId="0" fontId="43" fillId="0" borderId="0" xfId="0" applyFont="1" applyAlignment="1">
      <alignment vertical="center"/>
    </xf>
    <xf numFmtId="0" fontId="30" fillId="0" borderId="0" xfId="0" applyFont="1" applyAlignment="1">
      <alignment vertical="center"/>
    </xf>
    <xf numFmtId="0" fontId="48" fillId="0" borderId="0" xfId="0" applyFont="1" applyAlignment="1">
      <alignment vertical="center"/>
    </xf>
    <xf numFmtId="14" fontId="0" fillId="0" borderId="33" xfId="0" applyNumberFormat="1" applyBorder="1" applyAlignment="1">
      <alignment horizontal="right" vertical="center"/>
    </xf>
    <xf numFmtId="164" fontId="0" fillId="9" borderId="24" xfId="0" applyNumberFormat="1" applyFill="1" applyBorder="1"/>
    <xf numFmtId="167" fontId="0" fillId="9" borderId="24" xfId="0" applyNumberFormat="1" applyFill="1" applyBorder="1"/>
    <xf numFmtId="167" fontId="0" fillId="9" borderId="24" xfId="1" applyNumberFormat="1" applyFont="1" applyFill="1" applyBorder="1" applyProtection="1"/>
    <xf numFmtId="167" fontId="0" fillId="0" borderId="12" xfId="0" applyNumberFormat="1" applyBorder="1"/>
    <xf numFmtId="4" fontId="11" fillId="0" borderId="33" xfId="0" applyNumberFormat="1" applyFont="1" applyBorder="1"/>
    <xf numFmtId="164" fontId="11" fillId="0" borderId="24" xfId="1" applyFont="1" applyBorder="1"/>
    <xf numFmtId="4" fontId="11" fillId="0" borderId="24" xfId="0" applyNumberFormat="1" applyFont="1" applyBorder="1"/>
    <xf numFmtId="49" fontId="32" fillId="0" borderId="1" xfId="1" applyNumberFormat="1" applyFont="1" applyBorder="1" applyAlignment="1">
      <alignment horizontal="center" vertical="center"/>
    </xf>
    <xf numFmtId="49" fontId="32" fillId="0" borderId="11" xfId="1" applyNumberFormat="1" applyFont="1" applyBorder="1" applyAlignment="1">
      <alignment horizontal="center" vertical="center"/>
    </xf>
    <xf numFmtId="0" fontId="48" fillId="0" borderId="0" xfId="0" applyFont="1"/>
    <xf numFmtId="167" fontId="32" fillId="0" borderId="18" xfId="0" applyNumberFormat="1" applyFont="1" applyBorder="1" applyAlignment="1">
      <alignment vertical="center"/>
    </xf>
    <xf numFmtId="0" fontId="5" fillId="0" borderId="18" xfId="0" applyFont="1" applyBorder="1"/>
    <xf numFmtId="0" fontId="32" fillId="0" borderId="6" xfId="0" applyFont="1" applyBorder="1" applyAlignment="1">
      <alignment vertical="center" wrapText="1"/>
    </xf>
    <xf numFmtId="0" fontId="32" fillId="0" borderId="13" xfId="0" applyFont="1" applyBorder="1" applyAlignment="1">
      <alignment vertical="center" wrapText="1"/>
    </xf>
    <xf numFmtId="0" fontId="32" fillId="0" borderId="14" xfId="0" applyFont="1" applyBorder="1" applyAlignment="1">
      <alignment vertical="center" wrapText="1"/>
    </xf>
    <xf numFmtId="167" fontId="32" fillId="0" borderId="22" xfId="0" applyNumberFormat="1" applyFont="1" applyBorder="1" applyAlignment="1">
      <alignment vertical="center"/>
    </xf>
    <xf numFmtId="0" fontId="0" fillId="0" borderId="37" xfId="0" applyBorder="1"/>
    <xf numFmtId="0" fontId="32" fillId="0" borderId="0" xfId="0" applyFont="1" applyAlignment="1">
      <alignment vertical="center" wrapText="1"/>
    </xf>
    <xf numFmtId="0" fontId="0" fillId="0" borderId="30" xfId="0" applyBorder="1"/>
    <xf numFmtId="14" fontId="0" fillId="0" borderId="30" xfId="0" applyNumberFormat="1" applyBorder="1"/>
    <xf numFmtId="0" fontId="0" fillId="0" borderId="22" xfId="0" applyBorder="1"/>
    <xf numFmtId="0" fontId="13" fillId="0" borderId="14" xfId="0" applyFont="1" applyBorder="1"/>
    <xf numFmtId="14" fontId="0" fillId="0" borderId="2" xfId="0" applyNumberFormat="1" applyBorder="1" applyAlignment="1">
      <alignment horizontal="right" vertical="center"/>
    </xf>
    <xf numFmtId="0" fontId="0" fillId="0" borderId="3" xfId="0" applyBorder="1"/>
    <xf numFmtId="164" fontId="0" fillId="0" borderId="3" xfId="0" applyNumberFormat="1" applyBorder="1"/>
    <xf numFmtId="167" fontId="0" fillId="0" borderId="3" xfId="0" applyNumberFormat="1" applyBorder="1"/>
    <xf numFmtId="167" fontId="0" fillId="0" borderId="3" xfId="1" applyNumberFormat="1" applyFont="1" applyFill="1" applyBorder="1" applyProtection="1"/>
    <xf numFmtId="167" fontId="0" fillId="0" borderId="7" xfId="0" applyNumberFormat="1" applyBorder="1"/>
    <xf numFmtId="164" fontId="0" fillId="0" borderId="1" xfId="0" applyNumberFormat="1" applyBorder="1"/>
    <xf numFmtId="167" fontId="0" fillId="0" borderId="1" xfId="0" applyNumberFormat="1" applyBorder="1"/>
    <xf numFmtId="167" fontId="0" fillId="0" borderId="1" xfId="1" applyNumberFormat="1" applyFont="1" applyFill="1" applyBorder="1" applyProtection="1"/>
    <xf numFmtId="164" fontId="0" fillId="0" borderId="24" xfId="0" applyNumberFormat="1" applyBorder="1"/>
    <xf numFmtId="167" fontId="0" fillId="0" borderId="24" xfId="0" applyNumberFormat="1" applyBorder="1"/>
    <xf numFmtId="167" fontId="0" fillId="0" borderId="24" xfId="1" applyNumberFormat="1" applyFont="1" applyFill="1" applyBorder="1" applyProtection="1"/>
    <xf numFmtId="167" fontId="0" fillId="0" borderId="34" xfId="0" applyNumberFormat="1" applyBorder="1"/>
    <xf numFmtId="164" fontId="0" fillId="0" borderId="11" xfId="0" applyNumberFormat="1" applyBorder="1"/>
    <xf numFmtId="167" fontId="0" fillId="0" borderId="11" xfId="0" applyNumberFormat="1" applyBorder="1"/>
    <xf numFmtId="167" fontId="0" fillId="0" borderId="11" xfId="1" applyNumberFormat="1" applyFont="1" applyFill="1" applyBorder="1" applyProtection="1"/>
    <xf numFmtId="0" fontId="4" fillId="0" borderId="0" xfId="0" applyFont="1"/>
    <xf numFmtId="0" fontId="0" fillId="0" borderId="5" xfId="0" applyBorder="1"/>
    <xf numFmtId="0" fontId="0" fillId="0" borderId="21" xfId="0" applyBorder="1"/>
    <xf numFmtId="0" fontId="0" fillId="0" borderId="23" xfId="0" applyBorder="1"/>
    <xf numFmtId="0" fontId="0" fillId="0" borderId="9" xfId="0" applyBorder="1"/>
    <xf numFmtId="0" fontId="0" fillId="0" borderId="8" xfId="0" applyBorder="1"/>
    <xf numFmtId="0" fontId="4" fillId="0" borderId="22" xfId="0" applyFont="1" applyBorder="1"/>
    <xf numFmtId="0" fontId="0" fillId="0" borderId="39" xfId="0" applyBorder="1"/>
    <xf numFmtId="0" fontId="32" fillId="0" borderId="22" xfId="0" applyFont="1" applyBorder="1"/>
    <xf numFmtId="0" fontId="32" fillId="0" borderId="19" xfId="0" applyFont="1" applyBorder="1"/>
    <xf numFmtId="0" fontId="0" fillId="0" borderId="31" xfId="0" applyBorder="1"/>
    <xf numFmtId="14" fontId="0" fillId="8" borderId="1" xfId="0" applyNumberFormat="1" applyFill="1" applyBorder="1" applyAlignment="1">
      <alignment horizontal="right" vertical="center"/>
    </xf>
    <xf numFmtId="14" fontId="0" fillId="0" borderId="1" xfId="0" applyNumberFormat="1" applyBorder="1" applyAlignment="1">
      <alignment horizontal="right" vertical="center"/>
    </xf>
    <xf numFmtId="14" fontId="0" fillId="0" borderId="24" xfId="0" applyNumberFormat="1" applyBorder="1" applyAlignment="1">
      <alignment horizontal="right" vertical="center"/>
    </xf>
    <xf numFmtId="0" fontId="3" fillId="0" borderId="14" xfId="0" applyFont="1" applyBorder="1"/>
    <xf numFmtId="49" fontId="13" fillId="0" borderId="1" xfId="1" applyNumberFormat="1" applyFont="1" applyBorder="1" applyAlignment="1">
      <alignment horizontal="center" vertical="center"/>
    </xf>
    <xf numFmtId="49" fontId="13" fillId="0" borderId="11" xfId="1" applyNumberFormat="1" applyFont="1" applyBorder="1" applyAlignment="1">
      <alignment horizontal="center" vertical="center"/>
    </xf>
    <xf numFmtId="164" fontId="32" fillId="0" borderId="28" xfId="1" applyFont="1" applyBorder="1" applyAlignment="1">
      <alignment vertical="center"/>
    </xf>
    <xf numFmtId="164" fontId="32" fillId="0" borderId="18" xfId="1" applyFont="1" applyBorder="1" applyAlignment="1">
      <alignment vertical="center"/>
    </xf>
    <xf numFmtId="164" fontId="32" fillId="0" borderId="29" xfId="1" applyFont="1" applyBorder="1" applyAlignment="1">
      <alignment vertical="center"/>
    </xf>
    <xf numFmtId="0" fontId="1" fillId="0" borderId="32" xfId="0" applyFont="1" applyBorder="1"/>
    <xf numFmtId="164" fontId="0" fillId="0" borderId="24" xfId="1" applyFont="1" applyFill="1" applyBorder="1" applyProtection="1"/>
    <xf numFmtId="1" fontId="0" fillId="0" borderId="1" xfId="0" applyNumberFormat="1" applyBorder="1"/>
    <xf numFmtId="164" fontId="0" fillId="0" borderId="17" xfId="0" applyNumberFormat="1" applyBorder="1"/>
    <xf numFmtId="0" fontId="0" fillId="0" borderId="1" xfId="0" applyBorder="1" applyAlignment="1">
      <alignment horizontal="center"/>
    </xf>
    <xf numFmtId="0" fontId="0" fillId="0" borderId="17" xfId="0" applyBorder="1" applyAlignment="1">
      <alignment horizontal="center"/>
    </xf>
    <xf numFmtId="0" fontId="0" fillId="0" borderId="0" xfId="0" applyAlignment="1">
      <alignment horizontal="center"/>
    </xf>
    <xf numFmtId="0" fontId="0" fillId="6" borderId="5" xfId="0" applyFill="1" applyBorder="1" applyAlignment="1">
      <alignment horizontal="center"/>
    </xf>
    <xf numFmtId="0" fontId="10" fillId="0" borderId="0" xfId="0" applyFont="1" applyAlignment="1">
      <alignment horizontal="center" wrapText="1"/>
    </xf>
    <xf numFmtId="0" fontId="8" fillId="0" borderId="0" xfId="0" applyFont="1" applyAlignment="1">
      <alignment horizontal="center" vertical="center" wrapText="1"/>
    </xf>
    <xf numFmtId="0" fontId="9" fillId="4" borderId="0" xfId="0" applyFont="1" applyFill="1" applyAlignment="1">
      <alignment horizontal="center"/>
    </xf>
    <xf numFmtId="0" fontId="10" fillId="0" borderId="2" xfId="0" applyFont="1" applyBorder="1" applyAlignment="1">
      <alignment horizontal="center"/>
    </xf>
    <xf numFmtId="0" fontId="10" fillId="0" borderId="4" xfId="0" applyFont="1" applyBorder="1" applyAlignment="1">
      <alignment horizontal="center"/>
    </xf>
    <xf numFmtId="0" fontId="10" fillId="0" borderId="3" xfId="0" applyFont="1" applyBorder="1" applyAlignment="1">
      <alignment horizontal="center" wrapText="1"/>
    </xf>
    <xf numFmtId="0" fontId="10" fillId="0" borderId="1" xfId="0" applyFont="1" applyBorder="1" applyAlignment="1">
      <alignment horizontal="center" wrapText="1"/>
    </xf>
    <xf numFmtId="0" fontId="36" fillId="0" borderId="0" xfId="0" applyFont="1" applyAlignment="1">
      <alignment horizontal="left" vertical="top" wrapText="1"/>
    </xf>
    <xf numFmtId="0" fontId="32" fillId="0" borderId="26" xfId="0" applyFont="1" applyBorder="1" applyAlignment="1">
      <alignment horizontal="center"/>
    </xf>
    <xf numFmtId="0" fontId="32" fillId="0" borderId="19" xfId="0" applyFont="1" applyBorder="1" applyAlignment="1">
      <alignment horizontal="center"/>
    </xf>
    <xf numFmtId="0" fontId="32" fillId="0" borderId="27" xfId="0" applyFont="1" applyBorder="1" applyAlignment="1">
      <alignment horizontal="center"/>
    </xf>
    <xf numFmtId="0" fontId="30" fillId="0" borderId="22" xfId="0" applyFont="1" applyBorder="1" applyAlignment="1">
      <alignment horizontal="center" wrapText="1"/>
    </xf>
    <xf numFmtId="0" fontId="30" fillId="0" borderId="22" xfId="0" applyFont="1" applyBorder="1" applyAlignment="1">
      <alignment horizontal="center"/>
    </xf>
    <xf numFmtId="172" fontId="32" fillId="0" borderId="28" xfId="0" applyNumberFormat="1" applyFont="1" applyBorder="1" applyAlignment="1">
      <alignment horizontal="center" vertical="center"/>
    </xf>
    <xf numFmtId="172" fontId="32" fillId="0" borderId="18" xfId="0" applyNumberFormat="1" applyFont="1" applyBorder="1" applyAlignment="1">
      <alignment horizontal="center" vertical="center"/>
    </xf>
    <xf numFmtId="172" fontId="32" fillId="0" borderId="29" xfId="0" applyNumberFormat="1" applyFont="1" applyBorder="1" applyAlignment="1">
      <alignment horizontal="center" vertical="center"/>
    </xf>
    <xf numFmtId="167" fontId="32" fillId="0" borderId="28" xfId="0" applyNumberFormat="1" applyFont="1" applyBorder="1" applyAlignment="1">
      <alignment horizontal="center" vertical="center"/>
    </xf>
    <xf numFmtId="0" fontId="32" fillId="0" borderId="18" xfId="0" applyFont="1" applyBorder="1" applyAlignment="1">
      <alignment horizontal="center" vertical="center"/>
    </xf>
    <xf numFmtId="0" fontId="32" fillId="0" borderId="29" xfId="0" applyFont="1" applyBorder="1" applyAlignment="1">
      <alignment horizontal="center" vertical="center"/>
    </xf>
    <xf numFmtId="4" fontId="32" fillId="0" borderId="28" xfId="0" applyNumberFormat="1" applyFont="1" applyBorder="1" applyAlignment="1">
      <alignment horizontal="center" vertical="center"/>
    </xf>
    <xf numFmtId="0" fontId="32" fillId="0" borderId="0" xfId="0" applyFont="1" applyAlignment="1">
      <alignment horizontal="center"/>
    </xf>
    <xf numFmtId="0" fontId="37" fillId="7" borderId="15" xfId="0" applyFont="1" applyFill="1" applyBorder="1" applyAlignment="1">
      <alignment horizontal="center" vertical="center"/>
    </xf>
    <xf numFmtId="0" fontId="37" fillId="7" borderId="6" xfId="0" applyFont="1" applyFill="1" applyBorder="1" applyAlignment="1">
      <alignment horizontal="center" vertical="center"/>
    </xf>
    <xf numFmtId="164" fontId="32" fillId="0" borderId="22" xfId="1" applyFont="1" applyBorder="1" applyAlignment="1">
      <alignment horizontal="center" vertical="center"/>
    </xf>
    <xf numFmtId="0" fontId="32" fillId="0" borderId="5" xfId="0" applyFont="1" applyBorder="1" applyAlignment="1">
      <alignment horizontal="center" vertical="top"/>
    </xf>
    <xf numFmtId="0" fontId="44" fillId="0" borderId="0" xfId="0" applyFont="1" applyAlignment="1">
      <alignment horizontal="center" vertical="top" wrapText="1"/>
    </xf>
    <xf numFmtId="0" fontId="44" fillId="0" borderId="0" xfId="0" applyFont="1" applyAlignment="1">
      <alignment horizontal="left" vertical="top" wrapText="1"/>
    </xf>
    <xf numFmtId="0" fontId="44" fillId="0" borderId="22" xfId="0" applyFont="1" applyBorder="1" applyAlignment="1">
      <alignment horizontal="left" vertical="center"/>
    </xf>
    <xf numFmtId="172" fontId="40" fillId="0" borderId="0" xfId="0" applyNumberFormat="1" applyFont="1" applyAlignment="1">
      <alignment horizontal="center" vertical="top" wrapText="1"/>
    </xf>
    <xf numFmtId="0" fontId="40" fillId="0" borderId="0" xfId="0" applyFont="1" applyAlignment="1">
      <alignment horizontal="center" vertical="top" wrapText="1"/>
    </xf>
    <xf numFmtId="172" fontId="38" fillId="0" borderId="0" xfId="1" applyNumberFormat="1" applyFont="1" applyAlignment="1">
      <alignment horizontal="center" wrapText="1"/>
    </xf>
    <xf numFmtId="164" fontId="38" fillId="0" borderId="0" xfId="1" applyFont="1" applyAlignment="1">
      <alignment horizontal="center" wrapText="1"/>
    </xf>
    <xf numFmtId="0" fontId="36" fillId="0" borderId="0" xfId="0" applyFont="1" applyAlignment="1">
      <alignment horizontal="center" vertical="top" wrapText="1"/>
    </xf>
    <xf numFmtId="17" fontId="39" fillId="0" borderId="0" xfId="0" applyNumberFormat="1" applyFont="1" applyAlignment="1">
      <alignment horizontal="center" wrapText="1"/>
    </xf>
    <xf numFmtId="49" fontId="32" fillId="0" borderId="15" xfId="1" applyNumberFormat="1" applyFont="1" applyBorder="1" applyAlignment="1">
      <alignment horizontal="center" vertical="center"/>
    </xf>
    <xf numFmtId="49" fontId="32" fillId="0" borderId="6" xfId="1" applyNumberFormat="1" applyFont="1" applyBorder="1" applyAlignment="1">
      <alignment horizontal="center" vertical="center"/>
    </xf>
    <xf numFmtId="49" fontId="32" fillId="0" borderId="16" xfId="1" applyNumberFormat="1" applyFont="1" applyBorder="1" applyAlignment="1">
      <alignment horizontal="center" vertical="center"/>
    </xf>
    <xf numFmtId="173" fontId="32" fillId="0" borderId="15" xfId="0" applyNumberFormat="1" applyFont="1" applyBorder="1" applyAlignment="1">
      <alignment horizontal="center" vertical="center"/>
    </xf>
    <xf numFmtId="173" fontId="32" fillId="0" borderId="6" xfId="0" applyNumberFormat="1" applyFont="1" applyBorder="1" applyAlignment="1">
      <alignment horizontal="center" vertical="center"/>
    </xf>
    <xf numFmtId="173" fontId="32" fillId="0" borderId="16" xfId="0" applyNumberFormat="1" applyFont="1" applyBorder="1" applyAlignment="1">
      <alignment horizontal="center" vertical="center"/>
    </xf>
    <xf numFmtId="0" fontId="32" fillId="0" borderId="0" xfId="0" applyFont="1" applyAlignment="1">
      <alignment horizontal="left" vertical="top"/>
    </xf>
    <xf numFmtId="0" fontId="32" fillId="0" borderId="15" xfId="0" applyFont="1" applyBorder="1" applyAlignment="1">
      <alignment horizontal="left" vertical="center"/>
    </xf>
    <xf numFmtId="0" fontId="32" fillId="0" borderId="6" xfId="0" applyFont="1" applyBorder="1" applyAlignment="1">
      <alignment horizontal="left" vertical="center"/>
    </xf>
    <xf numFmtId="0" fontId="32" fillId="0" borderId="16" xfId="0" applyFont="1" applyBorder="1" applyAlignment="1">
      <alignment horizontal="left" vertical="center"/>
    </xf>
    <xf numFmtId="0" fontId="13" fillId="0" borderId="15" xfId="0" applyFont="1" applyBorder="1" applyAlignment="1">
      <alignment horizontal="left" vertical="center"/>
    </xf>
    <xf numFmtId="0" fontId="13" fillId="0" borderId="6" xfId="0" applyFont="1" applyBorder="1" applyAlignment="1">
      <alignment horizontal="left" vertical="center"/>
    </xf>
    <xf numFmtId="0" fontId="13" fillId="0" borderId="16" xfId="0" applyFont="1" applyBorder="1" applyAlignment="1">
      <alignment horizontal="left" vertical="center"/>
    </xf>
    <xf numFmtId="0" fontId="32" fillId="0" borderId="0" xfId="0" applyFont="1" applyAlignment="1">
      <alignment horizontal="left"/>
    </xf>
    <xf numFmtId="0" fontId="33" fillId="7" borderId="15" xfId="0" applyFont="1" applyFill="1" applyBorder="1" applyAlignment="1">
      <alignment horizontal="center"/>
    </xf>
    <xf numFmtId="0" fontId="35" fillId="7" borderId="6" xfId="0" applyFont="1" applyFill="1" applyBorder="1" applyAlignment="1">
      <alignment horizontal="center"/>
    </xf>
    <xf numFmtId="0" fontId="35" fillId="7" borderId="16" xfId="0" applyFont="1" applyFill="1" applyBorder="1" applyAlignment="1">
      <alignment horizontal="center"/>
    </xf>
    <xf numFmtId="1" fontId="32" fillId="0" borderId="15" xfId="0" applyNumberFormat="1" applyFont="1" applyBorder="1" applyAlignment="1">
      <alignment horizontal="left" vertical="center"/>
    </xf>
    <xf numFmtId="164" fontId="49" fillId="0" borderId="15" xfId="3" applyNumberFormat="1" applyBorder="1" applyAlignment="1">
      <alignment horizontal="left" vertical="center"/>
    </xf>
    <xf numFmtId="164" fontId="13" fillId="0" borderId="6" xfId="1" applyFont="1" applyBorder="1" applyAlignment="1">
      <alignment horizontal="left" vertical="center"/>
    </xf>
    <xf numFmtId="164" fontId="13" fillId="0" borderId="16" xfId="1" applyFont="1" applyBorder="1" applyAlignment="1">
      <alignment horizontal="left" vertical="center"/>
    </xf>
    <xf numFmtId="14" fontId="32" fillId="0" borderId="15" xfId="0" applyNumberFormat="1" applyFont="1" applyBorder="1" applyAlignment="1">
      <alignment horizontal="left" vertical="center" wrapText="1"/>
    </xf>
    <xf numFmtId="0" fontId="32" fillId="0" borderId="6" xfId="0" applyFont="1" applyBorder="1" applyAlignment="1">
      <alignment horizontal="left" vertical="center" wrapText="1"/>
    </xf>
    <xf numFmtId="0" fontId="32" fillId="0" borderId="16" xfId="0" applyFont="1" applyBorder="1" applyAlignment="1">
      <alignment horizontal="left" vertical="center" wrapText="1"/>
    </xf>
    <xf numFmtId="164" fontId="32" fillId="0" borderId="15" xfId="1" applyFont="1" applyBorder="1" applyAlignment="1">
      <alignment horizontal="left" vertical="center"/>
    </xf>
    <xf numFmtId="164" fontId="32" fillId="0" borderId="6" xfId="1" applyFont="1" applyBorder="1" applyAlignment="1">
      <alignment horizontal="left" vertical="center"/>
    </xf>
    <xf numFmtId="164" fontId="32" fillId="0" borderId="16" xfId="1" applyFont="1" applyBorder="1" applyAlignment="1">
      <alignment horizontal="left" vertical="center"/>
    </xf>
    <xf numFmtId="0" fontId="31" fillId="0" borderId="0" xfId="0" applyFont="1" applyAlignment="1">
      <alignment horizontal="center" vertical="center"/>
    </xf>
    <xf numFmtId="0" fontId="33" fillId="7" borderId="15" xfId="0" applyFont="1" applyFill="1" applyBorder="1" applyAlignment="1">
      <alignment horizontal="center" vertical="center"/>
    </xf>
    <xf numFmtId="0" fontId="33" fillId="7" borderId="6" xfId="0" applyFont="1" applyFill="1" applyBorder="1" applyAlignment="1">
      <alignment horizontal="center" vertical="center"/>
    </xf>
    <xf numFmtId="0" fontId="33" fillId="7" borderId="16" xfId="0" applyFont="1" applyFill="1" applyBorder="1" applyAlignment="1">
      <alignment horizontal="center" vertical="center"/>
    </xf>
    <xf numFmtId="0" fontId="30" fillId="0" borderId="0" xfId="0" applyFont="1" applyAlignment="1">
      <alignment horizontal="right" vertical="center"/>
    </xf>
    <xf numFmtId="0" fontId="30" fillId="0" borderId="0" xfId="0" applyFont="1" applyAlignment="1">
      <alignment horizontal="left" vertical="center"/>
    </xf>
    <xf numFmtId="4" fontId="48" fillId="0" borderId="18" xfId="0" applyNumberFormat="1" applyFont="1" applyBorder="1" applyAlignment="1">
      <alignment horizontal="center" vertical="center"/>
    </xf>
    <xf numFmtId="0" fontId="44" fillId="0" borderId="35" xfId="0" applyFont="1" applyBorder="1" applyAlignment="1">
      <alignment horizontal="left" vertical="center"/>
    </xf>
    <xf numFmtId="0" fontId="30" fillId="0" borderId="2" xfId="0" applyFont="1" applyBorder="1" applyAlignment="1">
      <alignment horizontal="center" vertical="top"/>
    </xf>
    <xf numFmtId="0" fontId="30" fillId="0" borderId="3" xfId="0" applyFont="1" applyBorder="1" applyAlignment="1">
      <alignment horizontal="center" vertical="top"/>
    </xf>
    <xf numFmtId="0" fontId="30" fillId="0" borderId="7" xfId="0" applyFont="1" applyBorder="1" applyAlignment="1">
      <alignment horizontal="center" vertical="top"/>
    </xf>
    <xf numFmtId="0" fontId="30" fillId="0" borderId="4" xfId="0" applyFont="1" applyBorder="1" applyAlignment="1">
      <alignment horizontal="center" vertical="top"/>
    </xf>
    <xf numFmtId="0" fontId="30" fillId="0" borderId="1" xfId="0" applyFont="1" applyBorder="1" applyAlignment="1">
      <alignment horizontal="center" vertical="top"/>
    </xf>
    <xf numFmtId="0" fontId="30" fillId="0" borderId="17" xfId="0" applyFont="1" applyBorder="1" applyAlignment="1">
      <alignment horizontal="center" vertical="top"/>
    </xf>
    <xf numFmtId="0" fontId="30" fillId="0" borderId="33" xfId="0" applyFont="1" applyBorder="1" applyAlignment="1">
      <alignment horizontal="center" vertical="top"/>
    </xf>
    <xf numFmtId="0" fontId="30" fillId="0" borderId="24" xfId="0" applyFont="1" applyBorder="1" applyAlignment="1">
      <alignment horizontal="center" vertical="top"/>
    </xf>
    <xf numFmtId="0" fontId="30" fillId="0" borderId="34" xfId="0" applyFont="1" applyBorder="1" applyAlignment="1">
      <alignment horizontal="center" vertical="top"/>
    </xf>
    <xf numFmtId="0" fontId="30" fillId="0" borderId="8" xfId="0" applyFont="1" applyBorder="1" applyAlignment="1">
      <alignment horizontal="center" vertical="top"/>
    </xf>
    <xf numFmtId="0" fontId="30" fillId="0" borderId="5" xfId="0" applyFont="1" applyBorder="1" applyAlignment="1">
      <alignment horizontal="center" vertical="top"/>
    </xf>
    <xf numFmtId="0" fontId="30" fillId="0" borderId="9" xfId="0" applyFont="1" applyBorder="1" applyAlignment="1">
      <alignment horizontal="center" vertical="top"/>
    </xf>
    <xf numFmtId="0" fontId="30" fillId="0" borderId="13" xfId="0" applyFont="1" applyBorder="1" applyAlignment="1">
      <alignment horizontal="center" vertical="top"/>
    </xf>
    <xf numFmtId="0" fontId="30" fillId="0" borderId="0" xfId="0" applyFont="1" applyAlignment="1">
      <alignment horizontal="center" vertical="top"/>
    </xf>
    <xf numFmtId="0" fontId="30" fillId="0" borderId="14" xfId="0" applyFont="1" applyBorder="1" applyAlignment="1">
      <alignment horizontal="center" vertical="top"/>
    </xf>
    <xf numFmtId="0" fontId="30" fillId="0" borderId="21" xfId="0" applyFont="1" applyBorder="1" applyAlignment="1">
      <alignment horizontal="center" vertical="top"/>
    </xf>
    <xf numFmtId="0" fontId="30" fillId="0" borderId="22" xfId="0" applyFont="1" applyBorder="1" applyAlignment="1">
      <alignment horizontal="center" vertical="top"/>
    </xf>
    <xf numFmtId="0" fontId="30" fillId="0" borderId="23" xfId="0" applyFont="1" applyBorder="1" applyAlignment="1">
      <alignment horizontal="center" vertical="top"/>
    </xf>
    <xf numFmtId="0" fontId="32" fillId="0" borderId="0" xfId="0" applyFont="1" applyAlignment="1">
      <alignment horizontal="center" vertical="top"/>
    </xf>
    <xf numFmtId="0" fontId="32" fillId="0" borderId="1" xfId="0" applyFont="1" applyBorder="1" applyAlignment="1">
      <alignment horizontal="left" vertical="center"/>
    </xf>
    <xf numFmtId="0" fontId="32" fillId="0" borderId="22" xfId="0" applyFont="1" applyBorder="1" applyAlignment="1">
      <alignment horizontal="center"/>
    </xf>
    <xf numFmtId="0" fontId="32" fillId="0" borderId="28" xfId="0" applyFont="1" applyBorder="1" applyAlignment="1">
      <alignment horizontal="center"/>
    </xf>
    <xf numFmtId="0" fontId="32" fillId="0" borderId="18" xfId="0" applyFont="1" applyBorder="1" applyAlignment="1">
      <alignment horizontal="center"/>
    </xf>
    <xf numFmtId="0" fontId="32" fillId="0" borderId="29" xfId="0" applyFont="1" applyBorder="1" applyAlignment="1">
      <alignment horizontal="center"/>
    </xf>
    <xf numFmtId="0" fontId="32" fillId="0" borderId="26" xfId="0" applyFont="1" applyBorder="1" applyAlignment="1">
      <alignment horizontal="left" vertical="top"/>
    </xf>
    <xf numFmtId="0" fontId="32" fillId="0" borderId="19" xfId="0" applyFont="1" applyBorder="1" applyAlignment="1">
      <alignment horizontal="left" vertical="top"/>
    </xf>
    <xf numFmtId="0" fontId="32" fillId="0" borderId="27" xfId="0" applyFont="1" applyBorder="1" applyAlignment="1">
      <alignment horizontal="left" vertical="top"/>
    </xf>
    <xf numFmtId="0" fontId="32" fillId="0" borderId="1" xfId="0" applyFont="1" applyBorder="1" applyAlignment="1">
      <alignment horizontal="center"/>
    </xf>
    <xf numFmtId="164" fontId="32" fillId="0" borderId="28" xfId="1" applyFont="1" applyBorder="1" applyAlignment="1">
      <alignment horizontal="center" vertical="center"/>
    </xf>
    <xf numFmtId="164" fontId="32" fillId="0" borderId="18" xfId="1" applyFont="1" applyBorder="1" applyAlignment="1">
      <alignment horizontal="center" vertical="center"/>
    </xf>
    <xf numFmtId="164" fontId="32" fillId="0" borderId="29" xfId="1" applyFont="1" applyBorder="1" applyAlignment="1">
      <alignment horizontal="center" vertical="center"/>
    </xf>
    <xf numFmtId="1" fontId="32" fillId="0" borderId="28" xfId="1" applyNumberFormat="1" applyFont="1" applyBorder="1" applyAlignment="1">
      <alignment horizontal="center" vertical="center"/>
    </xf>
    <xf numFmtId="0" fontId="32" fillId="0" borderId="18" xfId="1" applyNumberFormat="1" applyFont="1" applyBorder="1" applyAlignment="1">
      <alignment horizontal="center" vertical="center"/>
    </xf>
    <xf numFmtId="0" fontId="32" fillId="0" borderId="29" xfId="1" applyNumberFormat="1" applyFont="1" applyBorder="1" applyAlignment="1">
      <alignment horizontal="center" vertical="center"/>
    </xf>
    <xf numFmtId="0" fontId="32" fillId="0" borderId="26" xfId="0" applyFont="1" applyBorder="1" applyAlignment="1">
      <alignment horizontal="left" vertical="center"/>
    </xf>
    <xf numFmtId="0" fontId="32" fillId="0" borderId="27" xfId="0" applyFont="1" applyBorder="1" applyAlignment="1">
      <alignment horizontal="left" vertical="center"/>
    </xf>
    <xf numFmtId="0" fontId="32" fillId="0" borderId="28" xfId="0" applyFont="1" applyBorder="1" applyAlignment="1">
      <alignment horizontal="left" vertical="center"/>
    </xf>
    <xf numFmtId="0" fontId="32" fillId="0" borderId="29" xfId="0" applyFont="1" applyBorder="1" applyAlignment="1">
      <alignment horizontal="left" vertical="center"/>
    </xf>
    <xf numFmtId="0" fontId="30" fillId="0" borderId="26" xfId="0" applyFont="1" applyBorder="1" applyAlignment="1">
      <alignment horizontal="center" vertical="center"/>
    </xf>
    <xf numFmtId="0" fontId="30" fillId="0" borderId="19" xfId="0" applyFont="1" applyBorder="1" applyAlignment="1">
      <alignment horizontal="center" vertical="center"/>
    </xf>
    <xf numFmtId="0" fontId="30" fillId="0" borderId="27" xfId="0" applyFont="1" applyBorder="1" applyAlignment="1">
      <alignment horizontal="center" vertical="center"/>
    </xf>
    <xf numFmtId="0" fontId="30" fillId="0" borderId="28" xfId="0" applyFont="1" applyBorder="1" applyAlignment="1">
      <alignment horizontal="center" vertical="center"/>
    </xf>
    <xf numFmtId="0" fontId="30" fillId="0" borderId="18" xfId="0" applyFont="1" applyBorder="1" applyAlignment="1">
      <alignment horizontal="center" vertical="center"/>
    </xf>
    <xf numFmtId="0" fontId="30" fillId="0" borderId="29" xfId="0" applyFont="1" applyBorder="1" applyAlignment="1">
      <alignment horizontal="center" vertical="center"/>
    </xf>
    <xf numFmtId="0" fontId="32" fillId="0" borderId="19" xfId="0" applyFont="1" applyBorder="1" applyAlignment="1">
      <alignment horizontal="left" vertical="center"/>
    </xf>
    <xf numFmtId="0" fontId="30" fillId="0" borderId="0" xfId="0" applyFont="1" applyAlignment="1">
      <alignment horizontal="center"/>
    </xf>
    <xf numFmtId="0" fontId="32" fillId="0" borderId="25" xfId="0" applyFont="1" applyBorder="1" applyAlignment="1">
      <alignment horizontal="center"/>
    </xf>
    <xf numFmtId="0" fontId="32" fillId="0" borderId="26" xfId="0" applyFont="1" applyBorder="1" applyAlignment="1">
      <alignment horizontal="center" vertical="top"/>
    </xf>
    <xf numFmtId="0" fontId="32" fillId="0" borderId="19" xfId="0" applyFont="1" applyBorder="1" applyAlignment="1">
      <alignment horizontal="center" vertical="top"/>
    </xf>
    <xf numFmtId="0" fontId="32" fillId="0" borderId="27" xfId="0" applyFont="1" applyBorder="1" applyAlignment="1">
      <alignment horizontal="center" vertical="top"/>
    </xf>
    <xf numFmtId="0" fontId="32" fillId="0" borderId="15" xfId="0" applyFont="1" applyBorder="1" applyAlignment="1">
      <alignment horizontal="left"/>
    </xf>
    <xf numFmtId="0" fontId="32" fillId="0" borderId="6" xfId="0" applyFont="1" applyBorder="1" applyAlignment="1">
      <alignment horizontal="left"/>
    </xf>
    <xf numFmtId="0" fontId="32" fillId="0" borderId="16" xfId="0" applyFont="1" applyBorder="1" applyAlignment="1">
      <alignment horizontal="left"/>
    </xf>
    <xf numFmtId="0" fontId="30" fillId="0" borderId="22" xfId="0" applyFont="1" applyBorder="1" applyAlignment="1">
      <alignment horizontal="left"/>
    </xf>
    <xf numFmtId="172" fontId="32" fillId="0" borderId="19" xfId="0" applyNumberFormat="1" applyFont="1" applyBorder="1" applyAlignment="1">
      <alignment horizontal="center" vertical="center"/>
    </xf>
    <xf numFmtId="172" fontId="32" fillId="0" borderId="0" xfId="0" applyNumberFormat="1" applyFont="1" applyAlignment="1">
      <alignment horizontal="center" vertical="center"/>
    </xf>
    <xf numFmtId="172" fontId="32" fillId="0" borderId="27" xfId="0" applyNumberFormat="1" applyFont="1" applyBorder="1" applyAlignment="1">
      <alignment horizontal="center" vertical="center"/>
    </xf>
    <xf numFmtId="44" fontId="30" fillId="0" borderId="28" xfId="0" applyNumberFormat="1" applyFont="1" applyBorder="1" applyAlignment="1">
      <alignment horizontal="center" vertical="center"/>
    </xf>
    <xf numFmtId="0" fontId="13" fillId="0" borderId="22" xfId="0" applyFont="1" applyBorder="1" applyAlignment="1">
      <alignment horizontal="center"/>
    </xf>
    <xf numFmtId="0" fontId="32" fillId="0" borderId="22" xfId="0" applyFont="1" applyBorder="1" applyAlignment="1">
      <alignment horizontal="left"/>
    </xf>
    <xf numFmtId="0" fontId="32" fillId="0" borderId="6" xfId="0" applyFont="1" applyBorder="1" applyAlignment="1">
      <alignment horizontal="center" vertical="center"/>
    </xf>
    <xf numFmtId="0" fontId="32" fillId="0" borderId="16" xfId="0" applyFont="1" applyBorder="1" applyAlignment="1">
      <alignment horizontal="center" vertical="center"/>
    </xf>
    <xf numFmtId="0" fontId="32" fillId="0" borderId="18" xfId="0" applyFont="1" applyBorder="1" applyAlignment="1">
      <alignment horizontal="left" vertical="center"/>
    </xf>
    <xf numFmtId="0" fontId="32" fillId="0" borderId="15" xfId="0" applyFont="1" applyBorder="1" applyAlignment="1">
      <alignment horizontal="center" vertical="center"/>
    </xf>
    <xf numFmtId="0" fontId="32" fillId="0" borderId="0" xfId="0" applyFont="1" applyAlignment="1">
      <alignment horizontal="right" vertical="center"/>
    </xf>
    <xf numFmtId="49" fontId="32" fillId="0" borderId="15" xfId="1" applyNumberFormat="1" applyFont="1" applyBorder="1" applyAlignment="1">
      <alignment horizontal="left" vertical="center"/>
    </xf>
    <xf numFmtId="49" fontId="32" fillId="0" borderId="6" xfId="1" applyNumberFormat="1" applyFont="1" applyBorder="1" applyAlignment="1">
      <alignment horizontal="left" vertical="center"/>
    </xf>
    <xf numFmtId="49" fontId="32" fillId="0" borderId="16" xfId="1" applyNumberFormat="1" applyFont="1" applyBorder="1" applyAlignment="1">
      <alignment horizontal="left" vertical="center"/>
    </xf>
    <xf numFmtId="10" fontId="25" fillId="0" borderId="6" xfId="1" applyNumberFormat="1" applyFont="1" applyBorder="1" applyAlignment="1">
      <alignment horizontal="right" vertical="center"/>
    </xf>
    <xf numFmtId="0" fontId="13" fillId="0" borderId="18" xfId="0" applyFont="1" applyBorder="1" applyAlignment="1">
      <alignment horizontal="center"/>
    </xf>
    <xf numFmtId="0" fontId="17" fillId="0" borderId="19" xfId="0" applyFont="1" applyBorder="1" applyAlignment="1">
      <alignment horizontal="center" vertical="center"/>
    </xf>
    <xf numFmtId="164" fontId="25" fillId="0" borderId="18" xfId="1" applyFont="1" applyBorder="1" applyAlignment="1">
      <alignment horizontal="center" vertical="center"/>
    </xf>
    <xf numFmtId="167" fontId="25" fillId="0" borderId="18" xfId="1" applyNumberFormat="1" applyFont="1" applyBorder="1" applyAlignment="1">
      <alignment horizontal="center" vertical="center"/>
    </xf>
    <xf numFmtId="164" fontId="25" fillId="0" borderId="6" xfId="1" applyFont="1" applyBorder="1" applyAlignment="1">
      <alignment horizontal="right" vertical="center"/>
    </xf>
    <xf numFmtId="170" fontId="25" fillId="0" borderId="6" xfId="1" applyNumberFormat="1" applyFont="1" applyBorder="1" applyAlignment="1">
      <alignment horizontal="right" vertical="center"/>
    </xf>
    <xf numFmtId="164" fontId="25" fillId="0" borderId="6" xfId="1" applyFont="1" applyBorder="1" applyAlignment="1">
      <alignment horizontal="center" vertical="center"/>
    </xf>
    <xf numFmtId="44" fontId="17" fillId="0" borderId="6" xfId="0" applyNumberFormat="1" applyFont="1" applyBorder="1" applyAlignment="1">
      <alignment horizontal="center" vertical="center"/>
    </xf>
    <xf numFmtId="0" fontId="24" fillId="0" borderId="18" xfId="0" applyFont="1" applyBorder="1" applyAlignment="1">
      <alignment vertical="center"/>
    </xf>
    <xf numFmtId="44" fontId="24" fillId="0" borderId="6" xfId="0" applyNumberFormat="1" applyFont="1" applyBorder="1" applyAlignment="1">
      <alignment horizontal="left" vertical="center"/>
    </xf>
    <xf numFmtId="14" fontId="24" fillId="0" borderId="6" xfId="0" applyNumberFormat="1" applyFont="1" applyBorder="1" applyAlignment="1">
      <alignment horizontal="left"/>
    </xf>
    <xf numFmtId="0" fontId="24" fillId="0" borderId="6" xfId="0" applyFont="1" applyBorder="1" applyAlignment="1">
      <alignment horizontal="left"/>
    </xf>
    <xf numFmtId="164" fontId="25" fillId="0" borderId="19" xfId="1" applyFont="1" applyBorder="1" applyAlignment="1">
      <alignment horizontal="center" vertical="center"/>
    </xf>
    <xf numFmtId="10" fontId="16" fillId="0" borderId="2" xfId="2" applyNumberFormat="1" applyFont="1" applyFill="1" applyBorder="1" applyAlignment="1" applyProtection="1">
      <alignment horizontal="center" vertical="center"/>
    </xf>
    <xf numFmtId="10" fontId="0" fillId="0" borderId="3" xfId="2" applyNumberFormat="1" applyFont="1" applyFill="1" applyBorder="1" applyAlignment="1" applyProtection="1">
      <alignment horizontal="center" vertical="center"/>
    </xf>
    <xf numFmtId="10" fontId="0" fillId="0" borderId="7" xfId="2" applyNumberFormat="1" applyFont="1" applyFill="1" applyBorder="1" applyAlignment="1" applyProtection="1">
      <alignment horizontal="center" vertical="center"/>
    </xf>
    <xf numFmtId="10" fontId="0" fillId="0" borderId="4" xfId="2" applyNumberFormat="1" applyFont="1" applyFill="1" applyBorder="1" applyAlignment="1" applyProtection="1">
      <alignment horizontal="center" vertical="center"/>
    </xf>
    <xf numFmtId="10" fontId="0" fillId="0" borderId="1" xfId="2" applyNumberFormat="1" applyFont="1" applyFill="1" applyBorder="1" applyAlignment="1" applyProtection="1">
      <alignment horizontal="center" vertical="center"/>
    </xf>
    <xf numFmtId="10" fontId="0" fillId="0" borderId="17" xfId="2" applyNumberFormat="1" applyFont="1" applyFill="1" applyBorder="1" applyAlignment="1" applyProtection="1">
      <alignment horizontal="center" vertical="center"/>
    </xf>
    <xf numFmtId="0" fontId="0" fillId="0" borderId="4" xfId="0" applyBorder="1" applyAlignment="1">
      <alignment horizontal="center" vertical="center" wrapText="1"/>
    </xf>
    <xf numFmtId="0" fontId="19" fillId="0" borderId="0" xfId="0" applyFont="1" applyAlignment="1">
      <alignment horizontal="center" vertical="center"/>
    </xf>
    <xf numFmtId="0" fontId="20" fillId="0" borderId="0" xfId="0" applyFont="1" applyAlignment="1">
      <alignment horizontal="center"/>
    </xf>
    <xf numFmtId="0" fontId="21" fillId="7" borderId="0" xfId="0" applyFont="1" applyFill="1" applyAlignment="1">
      <alignment horizontal="center" vertical="center"/>
    </xf>
    <xf numFmtId="171" fontId="17" fillId="0" borderId="18" xfId="0" applyNumberFormat="1" applyFont="1" applyBorder="1" applyAlignment="1">
      <alignment horizontal="center" vertical="center"/>
    </xf>
    <xf numFmtId="0" fontId="0" fillId="0" borderId="1" xfId="0" applyBorder="1" applyAlignment="1">
      <alignment horizontal="left" vertical="center"/>
    </xf>
    <xf numFmtId="0" fontId="48" fillId="0" borderId="22" xfId="0" applyFont="1" applyBorder="1" applyAlignment="1">
      <alignment horizontal="center"/>
    </xf>
    <xf numFmtId="0" fontId="32" fillId="0" borderId="36" xfId="0" applyFont="1" applyBorder="1" applyAlignment="1">
      <alignment horizontal="left" vertical="center"/>
    </xf>
    <xf numFmtId="0" fontId="32" fillId="0" borderId="36" xfId="0" applyFont="1" applyBorder="1" applyAlignment="1">
      <alignment horizontal="center" vertical="center"/>
    </xf>
    <xf numFmtId="49" fontId="30" fillId="0" borderId="22" xfId="0" applyNumberFormat="1" applyFont="1" applyBorder="1" applyAlignment="1">
      <alignment horizontal="center"/>
    </xf>
    <xf numFmtId="0" fontId="31" fillId="0" borderId="22" xfId="0" applyFont="1" applyBorder="1" applyAlignment="1">
      <alignment horizontal="center"/>
    </xf>
    <xf numFmtId="1" fontId="30" fillId="0" borderId="22" xfId="0" applyNumberFormat="1" applyFont="1" applyBorder="1" applyAlignment="1">
      <alignment horizontal="center"/>
    </xf>
    <xf numFmtId="0" fontId="30" fillId="0" borderId="35" xfId="0" applyFont="1" applyBorder="1" applyAlignment="1">
      <alignment horizontal="center"/>
    </xf>
    <xf numFmtId="0" fontId="32" fillId="0" borderId="1" xfId="0" applyFont="1" applyBorder="1" applyAlignment="1">
      <alignment horizontal="right" vertical="center"/>
    </xf>
    <xf numFmtId="14" fontId="32" fillId="0" borderId="1" xfId="0" applyNumberFormat="1" applyFont="1" applyBorder="1" applyAlignment="1">
      <alignment horizontal="right" vertical="center"/>
    </xf>
    <xf numFmtId="172" fontId="32" fillId="0" borderId="1" xfId="1" applyNumberFormat="1" applyFont="1" applyBorder="1" applyAlignment="1">
      <alignment horizontal="right" vertical="center"/>
    </xf>
    <xf numFmtId="167" fontId="32" fillId="0" borderId="1" xfId="0" applyNumberFormat="1" applyFont="1" applyBorder="1" applyAlignment="1">
      <alignment horizontal="right" vertical="center"/>
    </xf>
    <xf numFmtId="14" fontId="32" fillId="0" borderId="15" xfId="0" applyNumberFormat="1" applyFont="1" applyBorder="1" applyAlignment="1">
      <alignment horizontal="right" vertical="center"/>
    </xf>
    <xf numFmtId="14" fontId="32" fillId="0" borderId="6" xfId="0" applyNumberFormat="1" applyFont="1" applyBorder="1" applyAlignment="1">
      <alignment horizontal="right" vertical="center"/>
    </xf>
    <xf numFmtId="14" fontId="32" fillId="0" borderId="16" xfId="0" applyNumberFormat="1" applyFont="1" applyBorder="1" applyAlignment="1">
      <alignment horizontal="right" vertical="center"/>
    </xf>
    <xf numFmtId="172" fontId="32" fillId="0" borderId="1" xfId="0" applyNumberFormat="1" applyFont="1" applyBorder="1" applyAlignment="1">
      <alignment horizontal="right" vertical="center"/>
    </xf>
    <xf numFmtId="0" fontId="33" fillId="7" borderId="6" xfId="0" applyFont="1" applyFill="1" applyBorder="1" applyAlignment="1">
      <alignment horizontal="center"/>
    </xf>
    <xf numFmtId="0" fontId="33" fillId="7" borderId="16" xfId="0" applyFont="1" applyFill="1" applyBorder="1" applyAlignment="1">
      <alignment horizontal="center"/>
    </xf>
    <xf numFmtId="0" fontId="32" fillId="0" borderId="22" xfId="0" applyFont="1" applyBorder="1" applyAlignment="1">
      <alignment horizontal="center" wrapText="1"/>
    </xf>
    <xf numFmtId="167" fontId="32" fillId="0" borderId="18" xfId="0" applyNumberFormat="1" applyFont="1" applyBorder="1" applyAlignment="1">
      <alignment horizontal="center" vertical="center"/>
    </xf>
    <xf numFmtId="167" fontId="32" fillId="0" borderId="29" xfId="0" applyNumberFormat="1" applyFont="1" applyBorder="1" applyAlignment="1">
      <alignment horizontal="center" vertical="center"/>
    </xf>
    <xf numFmtId="4" fontId="32" fillId="0" borderId="18" xfId="0" applyNumberFormat="1" applyFont="1" applyBorder="1" applyAlignment="1">
      <alignment horizontal="center" vertical="center"/>
    </xf>
    <xf numFmtId="4" fontId="32" fillId="0" borderId="29" xfId="0" applyNumberFormat="1" applyFont="1" applyBorder="1" applyAlignment="1">
      <alignment horizontal="center" vertical="center"/>
    </xf>
    <xf numFmtId="0" fontId="32" fillId="0" borderId="15" xfId="0" applyFont="1" applyBorder="1" applyAlignment="1">
      <alignment horizontal="center"/>
    </xf>
    <xf numFmtId="0" fontId="32" fillId="0" borderId="6" xfId="0" applyFont="1" applyBorder="1" applyAlignment="1">
      <alignment horizontal="center"/>
    </xf>
    <xf numFmtId="0" fontId="32" fillId="0" borderId="16" xfId="0" applyFont="1" applyBorder="1" applyAlignment="1">
      <alignment horizontal="center"/>
    </xf>
    <xf numFmtId="164" fontId="30" fillId="0" borderId="22" xfId="0" applyNumberFormat="1" applyFont="1" applyBorder="1" applyAlignment="1">
      <alignment horizontal="center"/>
    </xf>
    <xf numFmtId="0" fontId="32" fillId="0" borderId="5" xfId="0" applyFont="1" applyBorder="1" applyAlignment="1">
      <alignment horizontal="center"/>
    </xf>
    <xf numFmtId="0" fontId="6" fillId="0" borderId="19" xfId="0" applyFont="1" applyBorder="1" applyAlignment="1">
      <alignment horizontal="center"/>
    </xf>
    <xf numFmtId="0" fontId="32" fillId="0" borderId="40" xfId="0" applyFont="1" applyBorder="1" applyAlignment="1">
      <alignment horizontal="center"/>
    </xf>
    <xf numFmtId="0" fontId="17" fillId="0" borderId="5" xfId="0" applyFont="1" applyBorder="1" applyAlignment="1">
      <alignment horizontal="center" vertical="center"/>
    </xf>
    <xf numFmtId="164" fontId="49" fillId="5" borderId="15" xfId="3" applyNumberFormat="1" applyFill="1" applyBorder="1" applyAlignment="1">
      <alignment horizontal="left" vertical="center"/>
    </xf>
    <xf numFmtId="164" fontId="32" fillId="5" borderId="6" xfId="1" applyFont="1" applyFill="1" applyBorder="1" applyAlignment="1">
      <alignment horizontal="left" vertical="center"/>
    </xf>
    <xf numFmtId="164" fontId="32" fillId="5" borderId="16" xfId="1" applyFont="1" applyFill="1" applyBorder="1" applyAlignment="1">
      <alignment horizontal="left" vertical="center"/>
    </xf>
    <xf numFmtId="0" fontId="32" fillId="0" borderId="15" xfId="0" applyFont="1" applyBorder="1" applyAlignment="1">
      <alignment horizontal="left" vertical="center" wrapText="1"/>
    </xf>
    <xf numFmtId="0" fontId="29" fillId="0" borderId="18" xfId="0" applyFont="1" applyBorder="1" applyAlignment="1">
      <alignment horizontal="center" vertical="center"/>
    </xf>
    <xf numFmtId="0" fontId="32" fillId="0" borderId="6" xfId="0" applyFont="1" applyBorder="1" applyAlignment="1">
      <alignment horizontal="left" vertical="top"/>
    </xf>
    <xf numFmtId="0" fontId="32" fillId="0" borderId="18" xfId="0" applyFont="1" applyBorder="1" applyAlignment="1">
      <alignment horizontal="left" vertical="top"/>
    </xf>
    <xf numFmtId="0" fontId="30" fillId="0" borderId="15" xfId="0" applyFont="1" applyBorder="1" applyAlignment="1">
      <alignment horizontal="center"/>
    </xf>
    <xf numFmtId="0" fontId="30" fillId="0" borderId="6" xfId="0" applyFont="1" applyBorder="1" applyAlignment="1">
      <alignment horizontal="center"/>
    </xf>
    <xf numFmtId="0" fontId="30" fillId="0" borderId="16" xfId="0" applyFont="1" applyBorder="1" applyAlignment="1">
      <alignment horizontal="center"/>
    </xf>
    <xf numFmtId="0" fontId="32" fillId="0" borderId="31" xfId="0" applyFont="1" applyBorder="1" applyAlignment="1">
      <alignment horizontal="left"/>
    </xf>
    <xf numFmtId="0" fontId="32" fillId="0" borderId="32" xfId="0" applyFont="1" applyBorder="1" applyAlignment="1">
      <alignment horizontal="left"/>
    </xf>
    <xf numFmtId="14" fontId="25" fillId="0" borderId="6" xfId="1" applyNumberFormat="1" applyFont="1" applyBorder="1" applyAlignment="1">
      <alignment horizontal="right" vertical="center"/>
    </xf>
    <xf numFmtId="0" fontId="32" fillId="0" borderId="31" xfId="0" applyFont="1" applyBorder="1" applyAlignment="1">
      <alignment horizontal="right" vertical="center"/>
    </xf>
    <xf numFmtId="0" fontId="32" fillId="0" borderId="32" xfId="0" applyFont="1" applyBorder="1" applyAlignment="1">
      <alignment horizontal="right" vertical="center"/>
    </xf>
    <xf numFmtId="0" fontId="32" fillId="0" borderId="18" xfId="0" applyFont="1" applyBorder="1" applyAlignment="1">
      <alignment horizontal="left"/>
    </xf>
    <xf numFmtId="14" fontId="32" fillId="0" borderId="28" xfId="1" applyNumberFormat="1" applyFont="1" applyBorder="1" applyAlignment="1">
      <alignment horizontal="center" vertical="center"/>
    </xf>
    <xf numFmtId="0" fontId="30" fillId="0" borderId="15" xfId="0" applyFont="1" applyBorder="1" applyAlignment="1">
      <alignment horizontal="center" vertical="center"/>
    </xf>
    <xf numFmtId="0" fontId="30" fillId="0" borderId="6" xfId="0" applyFont="1" applyBorder="1" applyAlignment="1">
      <alignment horizontal="center" vertical="center"/>
    </xf>
    <xf numFmtId="0" fontId="30" fillId="0" borderId="16" xfId="0" applyFont="1" applyBorder="1" applyAlignment="1">
      <alignment horizontal="center" vertical="center"/>
    </xf>
    <xf numFmtId="0" fontId="30" fillId="0" borderId="32" xfId="0" applyFont="1" applyBorder="1" applyAlignment="1">
      <alignment horizontal="center"/>
    </xf>
    <xf numFmtId="0" fontId="32" fillId="0" borderId="32" xfId="0" applyFont="1" applyBorder="1" applyAlignment="1">
      <alignment horizontal="center"/>
    </xf>
    <xf numFmtId="0" fontId="30" fillId="0" borderId="0" xfId="0" applyFont="1" applyAlignment="1">
      <alignment horizontal="left"/>
    </xf>
    <xf numFmtId="172" fontId="32" fillId="0" borderId="26" xfId="0" applyNumberFormat="1" applyFont="1" applyBorder="1" applyAlignment="1">
      <alignment horizontal="center" vertical="center"/>
    </xf>
    <xf numFmtId="14" fontId="24" fillId="0" borderId="6" xfId="0" applyNumberFormat="1" applyFont="1" applyBorder="1" applyAlignment="1">
      <alignment horizontal="left" vertical="center"/>
    </xf>
    <xf numFmtId="0" fontId="17" fillId="0" borderId="6" xfId="0" applyFont="1" applyBorder="1" applyAlignment="1">
      <alignment horizontal="center" vertical="center"/>
    </xf>
    <xf numFmtId="0" fontId="30" fillId="0" borderId="19" xfId="0" applyFont="1" applyBorder="1" applyAlignment="1">
      <alignment horizontal="right" vertical="center"/>
    </xf>
    <xf numFmtId="0" fontId="30" fillId="0" borderId="27" xfId="0" applyFont="1" applyBorder="1" applyAlignment="1">
      <alignment horizontal="right" vertical="center"/>
    </xf>
    <xf numFmtId="10" fontId="16" fillId="0" borderId="26" xfId="2" applyNumberFormat="1" applyFont="1" applyBorder="1" applyAlignment="1" applyProtection="1">
      <alignment horizontal="center" vertical="center"/>
    </xf>
    <xf numFmtId="10" fontId="16" fillId="0" borderId="19" xfId="2" applyNumberFormat="1" applyFont="1" applyBorder="1" applyAlignment="1" applyProtection="1">
      <alignment horizontal="center" vertical="center"/>
    </xf>
    <xf numFmtId="10" fontId="16" fillId="0" borderId="27" xfId="2" applyNumberFormat="1" applyFont="1" applyBorder="1" applyAlignment="1" applyProtection="1">
      <alignment horizontal="center" vertical="center"/>
    </xf>
    <xf numFmtId="10" fontId="16" fillId="0" borderId="31" xfId="2" applyNumberFormat="1" applyFont="1" applyBorder="1" applyAlignment="1" applyProtection="1">
      <alignment horizontal="center" vertical="center"/>
    </xf>
    <xf numFmtId="10" fontId="16" fillId="0" borderId="0" xfId="2" applyNumberFormat="1" applyFont="1" applyBorder="1" applyAlignment="1" applyProtection="1">
      <alignment horizontal="center" vertical="center"/>
    </xf>
    <xf numFmtId="10" fontId="16" fillId="0" borderId="32" xfId="2" applyNumberFormat="1" applyFont="1" applyBorder="1" applyAlignment="1" applyProtection="1">
      <alignment horizontal="center" vertical="center"/>
    </xf>
    <xf numFmtId="0" fontId="2" fillId="0" borderId="15" xfId="0" applyFont="1" applyBorder="1" applyAlignment="1">
      <alignment horizontal="center"/>
    </xf>
    <xf numFmtId="0" fontId="0" fillId="0" borderId="6" xfId="0" applyBorder="1" applyAlignment="1">
      <alignment horizontal="center"/>
    </xf>
    <xf numFmtId="0" fontId="0" fillId="0" borderId="16" xfId="0" applyBorder="1" applyAlignment="1">
      <alignment horizontal="center"/>
    </xf>
    <xf numFmtId="0" fontId="0" fillId="5" borderId="26" xfId="0" applyFill="1" applyBorder="1" applyAlignment="1">
      <alignment horizontal="center" vertical="center" wrapText="1"/>
    </xf>
    <xf numFmtId="0" fontId="0" fillId="5" borderId="31" xfId="0" applyFill="1" applyBorder="1" applyAlignment="1">
      <alignment horizontal="center" vertical="center" wrapText="1"/>
    </xf>
    <xf numFmtId="0" fontId="0" fillId="5" borderId="28" xfId="0" applyFill="1" applyBorder="1" applyAlignment="1">
      <alignment horizontal="center" vertical="center" wrapText="1"/>
    </xf>
    <xf numFmtId="0" fontId="32" fillId="0" borderId="15" xfId="0" applyFont="1" applyBorder="1" applyAlignment="1">
      <alignment horizontal="center" vertical="center" wrapText="1"/>
    </xf>
    <xf numFmtId="0" fontId="32" fillId="0" borderId="6" xfId="0" applyFont="1" applyBorder="1" applyAlignment="1">
      <alignment horizontal="center" vertical="center" wrapText="1"/>
    </xf>
    <xf numFmtId="0" fontId="32" fillId="0" borderId="16" xfId="0" applyFont="1" applyBorder="1" applyAlignment="1">
      <alignment horizontal="center" vertical="center" wrapText="1"/>
    </xf>
    <xf numFmtId="49" fontId="32" fillId="0" borderId="15" xfId="0" applyNumberFormat="1" applyFont="1" applyBorder="1" applyAlignment="1">
      <alignment horizontal="left" vertical="center"/>
    </xf>
    <xf numFmtId="14" fontId="32" fillId="0" borderId="15" xfId="0" applyNumberFormat="1" applyFont="1" applyBorder="1" applyAlignment="1">
      <alignment horizontal="center" vertical="center"/>
    </xf>
    <xf numFmtId="10" fontId="16" fillId="0" borderId="2" xfId="2" applyNumberFormat="1" applyFont="1" applyBorder="1" applyAlignment="1" applyProtection="1">
      <alignment horizontal="center" vertical="center"/>
    </xf>
    <xf numFmtId="10" fontId="0" fillId="0" borderId="3" xfId="2" applyNumberFormat="1" applyFont="1" applyBorder="1" applyAlignment="1" applyProtection="1">
      <alignment horizontal="center" vertical="center"/>
    </xf>
    <xf numFmtId="10" fontId="0" fillId="0" borderId="7" xfId="2" applyNumberFormat="1" applyFont="1" applyBorder="1" applyAlignment="1" applyProtection="1">
      <alignment horizontal="center" vertical="center"/>
    </xf>
    <xf numFmtId="10" fontId="0" fillId="0" borderId="4" xfId="2" applyNumberFormat="1" applyFont="1" applyBorder="1" applyAlignment="1" applyProtection="1">
      <alignment horizontal="center" vertical="center"/>
    </xf>
    <xf numFmtId="10" fontId="0" fillId="0" borderId="1" xfId="2" applyNumberFormat="1" applyFont="1" applyBorder="1" applyAlignment="1" applyProtection="1">
      <alignment horizontal="center" vertical="center"/>
    </xf>
    <xf numFmtId="10" fontId="0" fillId="0" borderId="17" xfId="2" applyNumberFormat="1" applyFont="1" applyBorder="1" applyAlignment="1" applyProtection="1">
      <alignment horizontal="center" vertical="center"/>
    </xf>
    <xf numFmtId="0" fontId="3" fillId="0" borderId="15" xfId="0" applyFont="1" applyBorder="1" applyAlignment="1">
      <alignment horizontal="center"/>
    </xf>
    <xf numFmtId="0" fontId="4" fillId="0" borderId="6" xfId="0" applyFont="1" applyBorder="1" applyAlignment="1">
      <alignment horizontal="center"/>
    </xf>
    <xf numFmtId="0" fontId="4" fillId="0" borderId="16" xfId="0" applyFont="1" applyBorder="1" applyAlignment="1">
      <alignment horizontal="center"/>
    </xf>
    <xf numFmtId="0" fontId="0" fillId="5" borderId="4" xfId="0" applyFill="1" applyBorder="1" applyAlignment="1">
      <alignment horizontal="center" vertical="center" wrapText="1"/>
    </xf>
    <xf numFmtId="0" fontId="0" fillId="5" borderId="10" xfId="0" applyFill="1" applyBorder="1" applyAlignment="1">
      <alignment horizontal="center" vertical="center" wrapText="1"/>
    </xf>
    <xf numFmtId="0" fontId="32" fillId="0" borderId="38" xfId="0" applyFont="1" applyBorder="1" applyAlignment="1">
      <alignment horizontal="center" vertical="center" wrapText="1"/>
    </xf>
    <xf numFmtId="10" fontId="0" fillId="0" borderId="10" xfId="2" applyNumberFormat="1" applyFont="1" applyBorder="1" applyAlignment="1" applyProtection="1">
      <alignment horizontal="center" vertical="center"/>
    </xf>
    <xf numFmtId="10" fontId="0" fillId="0" borderId="11" xfId="2" applyNumberFormat="1" applyFont="1" applyBorder="1" applyAlignment="1" applyProtection="1">
      <alignment horizontal="center" vertical="center"/>
    </xf>
    <xf numFmtId="10" fontId="0" fillId="0" borderId="12" xfId="2" applyNumberFormat="1" applyFont="1" applyBorder="1" applyAlignment="1" applyProtection="1">
      <alignment horizontal="center" vertical="center"/>
    </xf>
    <xf numFmtId="0" fontId="4" fillId="0" borderId="15" xfId="0" applyFont="1" applyBorder="1" applyAlignment="1">
      <alignment horizontal="center"/>
    </xf>
    <xf numFmtId="0" fontId="30" fillId="0" borderId="1" xfId="0" applyFont="1" applyBorder="1" applyAlignment="1">
      <alignment horizontal="center" vertical="center" wrapText="1"/>
    </xf>
    <xf numFmtId="0" fontId="30" fillId="0" borderId="17" xfId="0" applyFont="1" applyBorder="1" applyAlignment="1">
      <alignment horizontal="center" vertical="center" wrapText="1"/>
    </xf>
    <xf numFmtId="49" fontId="32" fillId="0" borderId="28" xfId="1" applyNumberFormat="1" applyFont="1" applyBorder="1" applyAlignment="1">
      <alignment horizontal="center" vertical="center"/>
    </xf>
    <xf numFmtId="49" fontId="32" fillId="0" borderId="1" xfId="0" applyNumberFormat="1" applyFont="1" applyBorder="1" applyAlignment="1">
      <alignment horizontal="right" vertical="center"/>
    </xf>
    <xf numFmtId="0" fontId="4" fillId="0" borderId="22" xfId="0" applyFont="1" applyBorder="1" applyAlignment="1">
      <alignment horizontal="center"/>
    </xf>
    <xf numFmtId="0" fontId="4" fillId="0" borderId="35" xfId="0" applyFont="1" applyBorder="1" applyAlignment="1">
      <alignment horizontal="center"/>
    </xf>
    <xf numFmtId="0" fontId="0" fillId="0" borderId="35" xfId="0" applyBorder="1" applyAlignment="1">
      <alignment horizontal="center"/>
    </xf>
    <xf numFmtId="0" fontId="4" fillId="0" borderId="0" xfId="0" applyFont="1" applyAlignment="1">
      <alignment horizontal="center"/>
    </xf>
    <xf numFmtId="0" fontId="13" fillId="0" borderId="0" xfId="0" applyFont="1" applyAlignment="1">
      <alignment horizontal="center"/>
    </xf>
    <xf numFmtId="171" fontId="0" fillId="0" borderId="22" xfId="0" applyNumberFormat="1" applyBorder="1" applyAlignment="1">
      <alignment horizontal="center"/>
    </xf>
    <xf numFmtId="0" fontId="0" fillId="0" borderId="22" xfId="0" applyBorder="1" applyAlignment="1">
      <alignment horizontal="center"/>
    </xf>
    <xf numFmtId="0" fontId="4" fillId="0" borderId="0" xfId="0" applyFont="1" applyAlignment="1">
      <alignment horizontal="left"/>
    </xf>
    <xf numFmtId="0" fontId="0" fillId="0" borderId="0" xfId="0" applyAlignment="1">
      <alignment horizontal="left"/>
    </xf>
  </cellXfs>
  <cellStyles count="4">
    <cellStyle name="Comma" xfId="1" builtinId="3"/>
    <cellStyle name="Hyperlink" xfId="3" builtinId="8"/>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2.xml"/><Relationship Id="rId14"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3.pn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3.png"/><Relationship Id="rId4" Type="http://schemas.openxmlformats.org/officeDocument/2006/relationships/image" Target="../media/image1.png"/></Relationships>
</file>

<file path=xl/drawings/_rels/drawing4.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2.png"/><Relationship Id="rId1" Type="http://schemas.openxmlformats.org/officeDocument/2006/relationships/image" Target="../media/image3.png"/><Relationship Id="rId5" Type="http://schemas.openxmlformats.org/officeDocument/2006/relationships/image" Target="../media/image4.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22</xdr:col>
      <xdr:colOff>0</xdr:colOff>
      <xdr:row>19</xdr:row>
      <xdr:rowOff>19050</xdr:rowOff>
    </xdr:from>
    <xdr:to>
      <xdr:col>57</xdr:col>
      <xdr:colOff>0</xdr:colOff>
      <xdr:row>19</xdr:row>
      <xdr:rowOff>20731</xdr:rowOff>
    </xdr:to>
    <xdr:cxnSp macro="">
      <xdr:nvCxnSpPr>
        <xdr:cNvPr id="29" name="Straight Connector 28">
          <a:extLst>
            <a:ext uri="{FF2B5EF4-FFF2-40B4-BE49-F238E27FC236}">
              <a16:creationId xmlns:a16="http://schemas.microsoft.com/office/drawing/2014/main" id="{5733C9BA-3E5A-489B-BF72-A5F489C79AE6}"/>
            </a:ext>
          </a:extLst>
        </xdr:cNvPr>
        <xdr:cNvCxnSpPr/>
      </xdr:nvCxnSpPr>
      <xdr:spPr>
        <a:xfrm flipV="1">
          <a:off x="17731740" y="3501390"/>
          <a:ext cx="1173480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20731</xdr:colOff>
      <xdr:row>19</xdr:row>
      <xdr:rowOff>1</xdr:rowOff>
    </xdr:from>
    <xdr:to>
      <xdr:col>22</xdr:col>
      <xdr:colOff>28575</xdr:colOff>
      <xdr:row>95</xdr:row>
      <xdr:rowOff>19053</xdr:rowOff>
    </xdr:to>
    <xdr:cxnSp macro="">
      <xdr:nvCxnSpPr>
        <xdr:cNvPr id="30" name="Straight Connector 29">
          <a:extLst>
            <a:ext uri="{FF2B5EF4-FFF2-40B4-BE49-F238E27FC236}">
              <a16:creationId xmlns:a16="http://schemas.microsoft.com/office/drawing/2014/main" id="{63BA6207-5A15-471C-AFE7-60A591415645}"/>
            </a:ext>
          </a:extLst>
        </xdr:cNvPr>
        <xdr:cNvCxnSpPr/>
      </xdr:nvCxnSpPr>
      <xdr:spPr>
        <a:xfrm>
          <a:off x="17752471" y="3482341"/>
          <a:ext cx="7844" cy="15228572"/>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296958</xdr:colOff>
      <xdr:row>19</xdr:row>
      <xdr:rowOff>38100</xdr:rowOff>
    </xdr:from>
    <xdr:to>
      <xdr:col>57</xdr:col>
      <xdr:colOff>9525</xdr:colOff>
      <xdr:row>95</xdr:row>
      <xdr:rowOff>9525</xdr:rowOff>
    </xdr:to>
    <xdr:cxnSp macro="">
      <xdr:nvCxnSpPr>
        <xdr:cNvPr id="31" name="Straight Connector 30">
          <a:extLst>
            <a:ext uri="{FF2B5EF4-FFF2-40B4-BE49-F238E27FC236}">
              <a16:creationId xmlns:a16="http://schemas.microsoft.com/office/drawing/2014/main" id="{9B1DEAFC-9662-47E0-A6B9-778618F2A55E}"/>
            </a:ext>
          </a:extLst>
        </xdr:cNvPr>
        <xdr:cNvCxnSpPr/>
      </xdr:nvCxnSpPr>
      <xdr:spPr>
        <a:xfrm>
          <a:off x="29428218" y="3520440"/>
          <a:ext cx="47847" cy="1518094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32" name="Picture 31">
          <a:extLst>
            <a:ext uri="{FF2B5EF4-FFF2-40B4-BE49-F238E27FC236}">
              <a16:creationId xmlns:a16="http://schemas.microsoft.com/office/drawing/2014/main" id="{6A04FA01-3410-4D25-9138-3E14DFCBE321}"/>
            </a:ext>
          </a:extLst>
        </xdr:cNvPr>
        <xdr:cNvPicPr/>
      </xdr:nvPicPr>
      <xdr:blipFill>
        <a:blip xmlns:r="http://schemas.openxmlformats.org/officeDocument/2006/relationships" r:embed="rId1" cstate="print"/>
        <a:srcRect/>
        <a:stretch>
          <a:fillRect/>
        </a:stretch>
      </xdr:blipFill>
      <xdr:spPr bwMode="auto">
        <a:xfrm>
          <a:off x="22730460" y="3606166"/>
          <a:ext cx="1615441" cy="859154"/>
        </a:xfrm>
        <a:prstGeom prst="rect">
          <a:avLst/>
        </a:prstGeom>
        <a:noFill/>
        <a:ln w="9525">
          <a:noFill/>
          <a:miter lim="800000"/>
          <a:headEnd/>
          <a:tailEnd/>
        </a:ln>
      </xdr:spPr>
    </xdr:pic>
    <xdr:clientData/>
  </xdr:oneCellAnchor>
  <xdr:twoCellAnchor>
    <xdr:from>
      <xdr:col>22</xdr:col>
      <xdr:colOff>0</xdr:colOff>
      <xdr:row>49</xdr:row>
      <xdr:rowOff>0</xdr:rowOff>
    </xdr:from>
    <xdr:to>
      <xdr:col>57</xdr:col>
      <xdr:colOff>0</xdr:colOff>
      <xdr:row>49</xdr:row>
      <xdr:rowOff>1681</xdr:rowOff>
    </xdr:to>
    <xdr:cxnSp macro="">
      <xdr:nvCxnSpPr>
        <xdr:cNvPr id="33" name="Straight Connector 32">
          <a:extLst>
            <a:ext uri="{FF2B5EF4-FFF2-40B4-BE49-F238E27FC236}">
              <a16:creationId xmlns:a16="http://schemas.microsoft.com/office/drawing/2014/main" id="{D176E1FE-A337-47DE-9137-05A813EBEFCC}"/>
            </a:ext>
          </a:extLst>
        </xdr:cNvPr>
        <xdr:cNvCxnSpPr/>
      </xdr:nvCxnSpPr>
      <xdr:spPr>
        <a:xfrm flipV="1">
          <a:off x="17731740" y="9540240"/>
          <a:ext cx="1173480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22860</xdr:colOff>
      <xdr:row>87</xdr:row>
      <xdr:rowOff>173131</xdr:rowOff>
    </xdr:from>
    <xdr:to>
      <xdr:col>57</xdr:col>
      <xdr:colOff>19050</xdr:colOff>
      <xdr:row>87</xdr:row>
      <xdr:rowOff>180975</xdr:rowOff>
    </xdr:to>
    <xdr:cxnSp macro="">
      <xdr:nvCxnSpPr>
        <xdr:cNvPr id="34" name="Straight Connector 33">
          <a:extLst>
            <a:ext uri="{FF2B5EF4-FFF2-40B4-BE49-F238E27FC236}">
              <a16:creationId xmlns:a16="http://schemas.microsoft.com/office/drawing/2014/main" id="{68DFA4C1-AA05-4E70-8DC6-7425F2BCFBAF}"/>
            </a:ext>
          </a:extLst>
        </xdr:cNvPr>
        <xdr:cNvCxnSpPr/>
      </xdr:nvCxnSpPr>
      <xdr:spPr>
        <a:xfrm>
          <a:off x="17754600" y="17287651"/>
          <a:ext cx="1173099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19</xdr:row>
      <xdr:rowOff>19050</xdr:rowOff>
    </xdr:from>
    <xdr:to>
      <xdr:col>57</xdr:col>
      <xdr:colOff>0</xdr:colOff>
      <xdr:row>19</xdr:row>
      <xdr:rowOff>20731</xdr:rowOff>
    </xdr:to>
    <xdr:cxnSp macro="">
      <xdr:nvCxnSpPr>
        <xdr:cNvPr id="35" name="Straight Connector 34">
          <a:extLst>
            <a:ext uri="{FF2B5EF4-FFF2-40B4-BE49-F238E27FC236}">
              <a16:creationId xmlns:a16="http://schemas.microsoft.com/office/drawing/2014/main" id="{11611494-BC29-4872-ACAE-E67AC27AC951}"/>
            </a:ext>
          </a:extLst>
        </xdr:cNvPr>
        <xdr:cNvCxnSpPr/>
      </xdr:nvCxnSpPr>
      <xdr:spPr>
        <a:xfrm flipV="1">
          <a:off x="17731740" y="3501390"/>
          <a:ext cx="1173480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85725</xdr:colOff>
      <xdr:row>31</xdr:row>
      <xdr:rowOff>169545</xdr:rowOff>
    </xdr:from>
    <xdr:ext cx="219075" cy="247650"/>
    <xdr:pic>
      <xdr:nvPicPr>
        <xdr:cNvPr id="36" name="Picture 35" descr="https://tse1.mm.bing.net/th?id=OIP.11IPUqok7qInEpcWmz9WawHaIZ&amp;pid=Api&amp;P=0">
          <a:extLst>
            <a:ext uri="{FF2B5EF4-FFF2-40B4-BE49-F238E27FC236}">
              <a16:creationId xmlns:a16="http://schemas.microsoft.com/office/drawing/2014/main" id="{4794DF8C-CFB1-41D4-8B11-ED3F3746845D}"/>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8152745" y="6120765"/>
          <a:ext cx="219075" cy="247650"/>
        </a:xfrm>
        <a:prstGeom prst="rect">
          <a:avLst/>
        </a:prstGeom>
        <a:noFill/>
        <a:ln w="9525">
          <a:noFill/>
          <a:miter lim="800000"/>
          <a:headEnd/>
          <a:tailEnd/>
        </a:ln>
      </xdr:spPr>
    </xdr:pic>
    <xdr:clientData/>
  </xdr:oneCellAnchor>
  <xdr:oneCellAnchor>
    <xdr:from>
      <xdr:col>38</xdr:col>
      <xdr:colOff>87630</xdr:colOff>
      <xdr:row>31</xdr:row>
      <xdr:rowOff>148590</xdr:rowOff>
    </xdr:from>
    <xdr:ext cx="219075" cy="247650"/>
    <xdr:pic>
      <xdr:nvPicPr>
        <xdr:cNvPr id="38" name="Picture 37" descr="https://tse1.mm.bing.net/th?id=OIP.11IPUqok7qInEpcWmz9WawHaIZ&amp;pid=Api&amp;P=0">
          <a:extLst>
            <a:ext uri="{FF2B5EF4-FFF2-40B4-BE49-F238E27FC236}">
              <a16:creationId xmlns:a16="http://schemas.microsoft.com/office/drawing/2014/main" id="{07D5518C-CDA5-4ACA-AFF4-099383A8E6C5}"/>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060150" y="6099810"/>
          <a:ext cx="219075" cy="247650"/>
        </a:xfrm>
        <a:prstGeom prst="rect">
          <a:avLst/>
        </a:prstGeom>
        <a:noFill/>
        <a:ln w="9525">
          <a:noFill/>
          <a:miter lim="800000"/>
          <a:headEnd/>
          <a:tailEnd/>
        </a:ln>
      </xdr:spPr>
    </xdr:pic>
    <xdr:clientData/>
  </xdr:oneCellAnchor>
  <xdr:oneCellAnchor>
    <xdr:from>
      <xdr:col>45</xdr:col>
      <xdr:colOff>114300</xdr:colOff>
      <xdr:row>31</xdr:row>
      <xdr:rowOff>177165</xdr:rowOff>
    </xdr:from>
    <xdr:ext cx="219075" cy="247650"/>
    <xdr:pic>
      <xdr:nvPicPr>
        <xdr:cNvPr id="39" name="Picture 38" descr="https://tse1.mm.bing.net/th?id=OIP.11IPUqok7qInEpcWmz9WawHaIZ&amp;pid=Api&amp;P=0">
          <a:extLst>
            <a:ext uri="{FF2B5EF4-FFF2-40B4-BE49-F238E27FC236}">
              <a16:creationId xmlns:a16="http://schemas.microsoft.com/office/drawing/2014/main" id="{52369CAA-E3C3-4F0A-B55E-3A0249D77DF8}"/>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557480" y="6128385"/>
          <a:ext cx="219075" cy="247650"/>
        </a:xfrm>
        <a:prstGeom prst="rect">
          <a:avLst/>
        </a:prstGeom>
        <a:noFill/>
        <a:ln w="9525">
          <a:noFill/>
          <a:miter lim="800000"/>
          <a:headEnd/>
          <a:tailEnd/>
        </a:ln>
      </xdr:spPr>
    </xdr:pic>
    <xdr:clientData/>
  </xdr:oneCellAnchor>
  <xdr:oneCellAnchor>
    <xdr:from>
      <xdr:col>31</xdr:col>
      <xdr:colOff>85725</xdr:colOff>
      <xdr:row>41</xdr:row>
      <xdr:rowOff>154305</xdr:rowOff>
    </xdr:from>
    <xdr:ext cx="219075" cy="247650"/>
    <xdr:pic>
      <xdr:nvPicPr>
        <xdr:cNvPr id="40" name="Picture 39" descr="https://tse1.mm.bing.net/th?id=OIP.11IPUqok7qInEpcWmz9WawHaIZ&amp;pid=Api&amp;P=0">
          <a:extLst>
            <a:ext uri="{FF2B5EF4-FFF2-40B4-BE49-F238E27FC236}">
              <a16:creationId xmlns:a16="http://schemas.microsoft.com/office/drawing/2014/main" id="{3F829763-EEBC-4A01-BE74-AF2C53BD67CE}"/>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0834985" y="8101965"/>
          <a:ext cx="219075" cy="247650"/>
        </a:xfrm>
        <a:prstGeom prst="rect">
          <a:avLst/>
        </a:prstGeom>
        <a:noFill/>
        <a:ln w="9525">
          <a:noFill/>
          <a:miter lim="800000"/>
          <a:headEnd/>
          <a:tailEnd/>
        </a:ln>
      </xdr:spPr>
    </xdr:pic>
    <xdr:clientData/>
  </xdr:oneCellAnchor>
  <xdr:oneCellAnchor>
    <xdr:from>
      <xdr:col>43</xdr:col>
      <xdr:colOff>95250</xdr:colOff>
      <xdr:row>41</xdr:row>
      <xdr:rowOff>169545</xdr:rowOff>
    </xdr:from>
    <xdr:ext cx="219075" cy="247650"/>
    <xdr:pic>
      <xdr:nvPicPr>
        <xdr:cNvPr id="41" name="Picture 40" descr="https://tse1.mm.bing.net/th?id=OIP.11IPUqok7qInEpcWmz9WawHaIZ&amp;pid=Api&amp;P=0">
          <a:extLst>
            <a:ext uri="{FF2B5EF4-FFF2-40B4-BE49-F238E27FC236}">
              <a16:creationId xmlns:a16="http://schemas.microsoft.com/office/drawing/2014/main" id="{BC6A9124-E5A0-489F-95B7-0BFFDE6F64A3}"/>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867870" y="8117205"/>
          <a:ext cx="219075" cy="247650"/>
        </a:xfrm>
        <a:prstGeom prst="rect">
          <a:avLst/>
        </a:prstGeom>
        <a:noFill/>
        <a:ln w="9525">
          <a:noFill/>
          <a:miter lim="800000"/>
          <a:headEnd/>
          <a:tailEnd/>
        </a:ln>
      </xdr:spPr>
    </xdr:pic>
    <xdr:clientData/>
  </xdr:oneCellAnchor>
  <xdr:twoCellAnchor>
    <xdr:from>
      <xdr:col>22</xdr:col>
      <xdr:colOff>0</xdr:colOff>
      <xdr:row>95</xdr:row>
      <xdr:rowOff>30480</xdr:rowOff>
    </xdr:from>
    <xdr:to>
      <xdr:col>56</xdr:col>
      <xdr:colOff>331470</xdr:colOff>
      <xdr:row>95</xdr:row>
      <xdr:rowOff>38324</xdr:rowOff>
    </xdr:to>
    <xdr:cxnSp macro="">
      <xdr:nvCxnSpPr>
        <xdr:cNvPr id="43" name="Straight Connector 42">
          <a:extLst>
            <a:ext uri="{FF2B5EF4-FFF2-40B4-BE49-F238E27FC236}">
              <a16:creationId xmlns:a16="http://schemas.microsoft.com/office/drawing/2014/main" id="{BF167059-2FE6-4E0E-BAF7-AA02FAF02D2E}"/>
            </a:ext>
          </a:extLst>
        </xdr:cNvPr>
        <xdr:cNvCxnSpPr/>
      </xdr:nvCxnSpPr>
      <xdr:spPr>
        <a:xfrm>
          <a:off x="17731740" y="18722340"/>
          <a:ext cx="1173099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98</xdr:row>
      <xdr:rowOff>18917</xdr:rowOff>
    </xdr:from>
    <xdr:to>
      <xdr:col>57</xdr:col>
      <xdr:colOff>7620</xdr:colOff>
      <xdr:row>98</xdr:row>
      <xdr:rowOff>45720</xdr:rowOff>
    </xdr:to>
    <xdr:cxnSp macro="">
      <xdr:nvCxnSpPr>
        <xdr:cNvPr id="44" name="Straight Connector 43">
          <a:extLst>
            <a:ext uri="{FF2B5EF4-FFF2-40B4-BE49-F238E27FC236}">
              <a16:creationId xmlns:a16="http://schemas.microsoft.com/office/drawing/2014/main" id="{57C98FD7-42C9-488D-807C-72D4879AD537}"/>
            </a:ext>
          </a:extLst>
        </xdr:cNvPr>
        <xdr:cNvCxnSpPr/>
      </xdr:nvCxnSpPr>
      <xdr:spPr>
        <a:xfrm>
          <a:off x="17731740" y="19259417"/>
          <a:ext cx="1174242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7620</xdr:colOff>
      <xdr:row>98</xdr:row>
      <xdr:rowOff>47622</xdr:rowOff>
    </xdr:from>
    <xdr:to>
      <xdr:col>22</xdr:col>
      <xdr:colOff>9393</xdr:colOff>
      <xdr:row>170</xdr:row>
      <xdr:rowOff>45720</xdr:rowOff>
    </xdr:to>
    <xdr:cxnSp macro="">
      <xdr:nvCxnSpPr>
        <xdr:cNvPr id="45" name="Straight Connector 44">
          <a:extLst>
            <a:ext uri="{FF2B5EF4-FFF2-40B4-BE49-F238E27FC236}">
              <a16:creationId xmlns:a16="http://schemas.microsoft.com/office/drawing/2014/main" id="{7C91A153-8367-4F7C-AC89-CF801CE177FB}"/>
            </a:ext>
          </a:extLst>
        </xdr:cNvPr>
        <xdr:cNvCxnSpPr/>
      </xdr:nvCxnSpPr>
      <xdr:spPr>
        <a:xfrm flipH="1">
          <a:off x="17739360" y="19288122"/>
          <a:ext cx="1773" cy="15177138"/>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93681</xdr:colOff>
      <xdr:row>125</xdr:row>
      <xdr:rowOff>186017</xdr:rowOff>
    </xdr:from>
    <xdr:ext cx="219075" cy="247650"/>
    <xdr:pic>
      <xdr:nvPicPr>
        <xdr:cNvPr id="47" name="Picture 46" descr="https://tse1.mm.bing.net/th?id=OIP.11IPUqok7qInEpcWmz9WawHaIZ&amp;pid=Api&amp;P=0">
          <a:extLst>
            <a:ext uri="{FF2B5EF4-FFF2-40B4-BE49-F238E27FC236}">
              <a16:creationId xmlns:a16="http://schemas.microsoft.com/office/drawing/2014/main" id="{E2605CDB-735B-4934-89D7-546E0F0B510A}"/>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201581" y="25431077"/>
          <a:ext cx="219075" cy="247650"/>
        </a:xfrm>
        <a:prstGeom prst="rect">
          <a:avLst/>
        </a:prstGeom>
        <a:noFill/>
        <a:ln w="9525">
          <a:noFill/>
          <a:miter lim="800000"/>
          <a:headEnd/>
          <a:tailEnd/>
        </a:ln>
      </xdr:spPr>
    </xdr:pic>
    <xdr:clientData/>
  </xdr:oneCellAnchor>
  <xdr:oneCellAnchor>
    <xdr:from>
      <xdr:col>50</xdr:col>
      <xdr:colOff>233978</xdr:colOff>
      <xdr:row>125</xdr:row>
      <xdr:rowOff>200361</xdr:rowOff>
    </xdr:from>
    <xdr:ext cx="219075" cy="247650"/>
    <xdr:pic>
      <xdr:nvPicPr>
        <xdr:cNvPr id="48" name="Picture 47" descr="https://tse1.mm.bing.net/th?id=OIP.11IPUqok7qInEpcWmz9WawHaIZ&amp;pid=Api&amp;P=0">
          <a:extLst>
            <a:ext uri="{FF2B5EF4-FFF2-40B4-BE49-F238E27FC236}">
              <a16:creationId xmlns:a16="http://schemas.microsoft.com/office/drawing/2014/main" id="{B68871E0-E75C-4F2E-8665-73F5D24F55B6}"/>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7353558" y="25445421"/>
          <a:ext cx="219075" cy="247650"/>
        </a:xfrm>
        <a:prstGeom prst="rect">
          <a:avLst/>
        </a:prstGeom>
        <a:noFill/>
        <a:ln w="9525">
          <a:noFill/>
          <a:miter lim="800000"/>
          <a:headEnd/>
          <a:tailEnd/>
        </a:ln>
      </xdr:spPr>
    </xdr:pic>
    <xdr:clientData/>
  </xdr:oneCellAnchor>
  <xdr:oneCellAnchor>
    <xdr:from>
      <xdr:col>37</xdr:col>
      <xdr:colOff>92049</xdr:colOff>
      <xdr:row>119</xdr:row>
      <xdr:rowOff>176892</xdr:rowOff>
    </xdr:from>
    <xdr:ext cx="219075" cy="247650"/>
    <xdr:pic>
      <xdr:nvPicPr>
        <xdr:cNvPr id="49" name="Picture 48" descr="https://tse1.mm.bing.net/th?id=OIP.11IPUqok7qInEpcWmz9WawHaIZ&amp;pid=Api&amp;P=0">
          <a:extLst>
            <a:ext uri="{FF2B5EF4-FFF2-40B4-BE49-F238E27FC236}">
              <a16:creationId xmlns:a16="http://schemas.microsoft.com/office/drawing/2014/main" id="{5A30EDDA-F41E-4375-BB2C-BD205A0852BB}"/>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3074513" y="25009928"/>
          <a:ext cx="219075" cy="247650"/>
        </a:xfrm>
        <a:prstGeom prst="rect">
          <a:avLst/>
        </a:prstGeom>
        <a:noFill/>
        <a:ln w="9525">
          <a:noFill/>
          <a:miter lim="800000"/>
          <a:headEnd/>
          <a:tailEnd/>
        </a:ln>
      </xdr:spPr>
    </xdr:pic>
    <xdr:clientData/>
  </xdr:oneCellAnchor>
  <xdr:oneCellAnchor>
    <xdr:from>
      <xdr:col>34</xdr:col>
      <xdr:colOff>0</xdr:colOff>
      <xdr:row>154</xdr:row>
      <xdr:rowOff>0</xdr:rowOff>
    </xdr:from>
    <xdr:ext cx="219075" cy="247650"/>
    <xdr:pic>
      <xdr:nvPicPr>
        <xdr:cNvPr id="50" name="Picture 49" descr="https://tse1.mm.bing.net/th?id=OIP.11IPUqok7qInEpcWmz9WawHaIZ&amp;pid=Api&amp;P=0">
          <a:extLst>
            <a:ext uri="{FF2B5EF4-FFF2-40B4-BE49-F238E27FC236}">
              <a16:creationId xmlns:a16="http://schemas.microsoft.com/office/drawing/2014/main" id="{E59C5084-5FE8-4AF1-A92E-D069EA8A4AB4}"/>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1755100" y="31546800"/>
          <a:ext cx="219075" cy="247650"/>
        </a:xfrm>
        <a:prstGeom prst="rect">
          <a:avLst/>
        </a:prstGeom>
        <a:noFill/>
        <a:ln w="9525">
          <a:noFill/>
          <a:miter lim="800000"/>
          <a:headEnd/>
          <a:tailEnd/>
        </a:ln>
      </xdr:spPr>
    </xdr:pic>
    <xdr:clientData/>
  </xdr:oneCellAnchor>
  <xdr:twoCellAnchor>
    <xdr:from>
      <xdr:col>22</xdr:col>
      <xdr:colOff>0</xdr:colOff>
      <xdr:row>170</xdr:row>
      <xdr:rowOff>60960</xdr:rowOff>
    </xdr:from>
    <xdr:to>
      <xdr:col>57</xdr:col>
      <xdr:colOff>7620</xdr:colOff>
      <xdr:row>170</xdr:row>
      <xdr:rowOff>87763</xdr:rowOff>
    </xdr:to>
    <xdr:cxnSp macro="">
      <xdr:nvCxnSpPr>
        <xdr:cNvPr id="51" name="Straight Connector 50">
          <a:extLst>
            <a:ext uri="{FF2B5EF4-FFF2-40B4-BE49-F238E27FC236}">
              <a16:creationId xmlns:a16="http://schemas.microsoft.com/office/drawing/2014/main" id="{91F6A5F5-1D25-4512-97F0-8EB90B324132}"/>
            </a:ext>
          </a:extLst>
        </xdr:cNvPr>
        <xdr:cNvCxnSpPr/>
      </xdr:nvCxnSpPr>
      <xdr:spPr>
        <a:xfrm>
          <a:off x="17731740" y="34480500"/>
          <a:ext cx="1174242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314193</xdr:colOff>
      <xdr:row>98</xdr:row>
      <xdr:rowOff>9522</xdr:rowOff>
    </xdr:from>
    <xdr:to>
      <xdr:col>56</xdr:col>
      <xdr:colOff>327660</xdr:colOff>
      <xdr:row>170</xdr:row>
      <xdr:rowOff>121920</xdr:rowOff>
    </xdr:to>
    <xdr:cxnSp macro="">
      <xdr:nvCxnSpPr>
        <xdr:cNvPr id="52" name="Straight Connector 51">
          <a:extLst>
            <a:ext uri="{FF2B5EF4-FFF2-40B4-BE49-F238E27FC236}">
              <a16:creationId xmlns:a16="http://schemas.microsoft.com/office/drawing/2014/main" id="{29BD3CA2-691B-406D-8340-6A47C53404F9}"/>
            </a:ext>
          </a:extLst>
        </xdr:cNvPr>
        <xdr:cNvCxnSpPr/>
      </xdr:nvCxnSpPr>
      <xdr:spPr>
        <a:xfrm>
          <a:off x="30321753" y="19265262"/>
          <a:ext cx="13467" cy="15741018"/>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215441</xdr:colOff>
      <xdr:row>19</xdr:row>
      <xdr:rowOff>100695</xdr:rowOff>
    </xdr:from>
    <xdr:to>
      <xdr:col>15</xdr:col>
      <xdr:colOff>561334</xdr:colOff>
      <xdr:row>22</xdr:row>
      <xdr:rowOff>135620</xdr:rowOff>
    </xdr:to>
    <xdr:pic>
      <xdr:nvPicPr>
        <xdr:cNvPr id="4" name="Picture 3">
          <a:extLst>
            <a:ext uri="{FF2B5EF4-FFF2-40B4-BE49-F238E27FC236}">
              <a16:creationId xmlns:a16="http://schemas.microsoft.com/office/drawing/2014/main" id="{765B8CF2-88F3-497F-A754-FA92C48C80BE}"/>
            </a:ext>
          </a:extLst>
        </xdr:cNvPr>
        <xdr:cNvPicPr/>
      </xdr:nvPicPr>
      <xdr:blipFill>
        <a:blip xmlns:r="http://schemas.openxmlformats.org/officeDocument/2006/relationships" r:embed="rId4" cstate="print"/>
        <a:srcRect b="17620"/>
        <a:stretch>
          <a:fillRect/>
        </a:stretch>
      </xdr:blipFill>
      <xdr:spPr>
        <a:xfrm>
          <a:off x="12578891" y="3729720"/>
          <a:ext cx="1060268" cy="635000"/>
        </a:xfrm>
        <a:prstGeom prst="rect">
          <a:avLst/>
        </a:prstGeom>
        <a:noFill/>
        <a:ln w="9525">
          <a:noFill/>
          <a:miter lim="800000"/>
          <a:headEnd/>
          <a:tailEnd/>
        </a:ln>
      </xdr:spPr>
    </xdr:pic>
    <xdr:clientData/>
  </xdr:twoCellAnchor>
  <xdr:oneCellAnchor>
    <xdr:from>
      <xdr:col>45</xdr:col>
      <xdr:colOff>278130</xdr:colOff>
      <xdr:row>62</xdr:row>
      <xdr:rowOff>182880</xdr:rowOff>
    </xdr:from>
    <xdr:ext cx="219075" cy="247650"/>
    <xdr:pic>
      <xdr:nvPicPr>
        <xdr:cNvPr id="5" name="Picture 4" descr="https://tse1.mm.bing.net/th?id=OIP.11IPUqok7qInEpcWmz9WawHaIZ&amp;pid=Api&amp;P=0">
          <a:extLst>
            <a:ext uri="{FF2B5EF4-FFF2-40B4-BE49-F238E27FC236}">
              <a16:creationId xmlns:a16="http://schemas.microsoft.com/office/drawing/2014/main" id="{C2531F95-DD0E-49DB-A355-ED8E6F211B52}"/>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738455" y="12746355"/>
          <a:ext cx="219075" cy="247650"/>
        </a:xfrm>
        <a:prstGeom prst="rect">
          <a:avLst/>
        </a:prstGeom>
        <a:noFill/>
        <a:ln w="9525">
          <a:noFill/>
          <a:miter lim="800000"/>
          <a:headEnd/>
          <a:tailEnd/>
        </a:ln>
      </xdr:spPr>
    </xdr:pic>
    <xdr:clientData/>
  </xdr:oneCellAnchor>
  <xdr:twoCellAnchor>
    <xdr:from>
      <xdr:col>22</xdr:col>
      <xdr:colOff>0</xdr:colOff>
      <xdr:row>19</xdr:row>
      <xdr:rowOff>19050</xdr:rowOff>
    </xdr:from>
    <xdr:to>
      <xdr:col>57</xdr:col>
      <xdr:colOff>0</xdr:colOff>
      <xdr:row>19</xdr:row>
      <xdr:rowOff>20731</xdr:rowOff>
    </xdr:to>
    <xdr:cxnSp macro="">
      <xdr:nvCxnSpPr>
        <xdr:cNvPr id="6" name="Straight Connector 5">
          <a:extLst>
            <a:ext uri="{FF2B5EF4-FFF2-40B4-BE49-F238E27FC236}">
              <a16:creationId xmlns:a16="http://schemas.microsoft.com/office/drawing/2014/main" id="{AFFBACB6-E439-423A-895E-BA9331813ED6}"/>
            </a:ext>
          </a:extLst>
        </xdr:cNvPr>
        <xdr:cNvCxnSpPr/>
      </xdr:nvCxnSpPr>
      <xdr:spPr>
        <a:xfrm flipV="1">
          <a:off x="18011775"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20731</xdr:colOff>
      <xdr:row>19</xdr:row>
      <xdr:rowOff>1</xdr:rowOff>
    </xdr:from>
    <xdr:to>
      <xdr:col>22</xdr:col>
      <xdr:colOff>28575</xdr:colOff>
      <xdr:row>95</xdr:row>
      <xdr:rowOff>19053</xdr:rowOff>
    </xdr:to>
    <xdr:cxnSp macro="">
      <xdr:nvCxnSpPr>
        <xdr:cNvPr id="7" name="Straight Connector 6">
          <a:extLst>
            <a:ext uri="{FF2B5EF4-FFF2-40B4-BE49-F238E27FC236}">
              <a16:creationId xmlns:a16="http://schemas.microsoft.com/office/drawing/2014/main" id="{6648F44B-7F31-40C6-9E12-441516B1CE07}"/>
            </a:ext>
          </a:extLst>
        </xdr:cNvPr>
        <xdr:cNvCxnSpPr/>
      </xdr:nvCxnSpPr>
      <xdr:spPr>
        <a:xfrm>
          <a:off x="18032506" y="3629026"/>
          <a:ext cx="7844" cy="15611477"/>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296958</xdr:colOff>
      <xdr:row>19</xdr:row>
      <xdr:rowOff>38100</xdr:rowOff>
    </xdr:from>
    <xdr:to>
      <xdr:col>57</xdr:col>
      <xdr:colOff>9525</xdr:colOff>
      <xdr:row>95</xdr:row>
      <xdr:rowOff>9525</xdr:rowOff>
    </xdr:to>
    <xdr:cxnSp macro="">
      <xdr:nvCxnSpPr>
        <xdr:cNvPr id="8" name="Straight Connector 7">
          <a:extLst>
            <a:ext uri="{FF2B5EF4-FFF2-40B4-BE49-F238E27FC236}">
              <a16:creationId xmlns:a16="http://schemas.microsoft.com/office/drawing/2014/main" id="{0A5AE70B-68A9-40EC-99AD-58A9D8D90819}"/>
            </a:ext>
          </a:extLst>
        </xdr:cNvPr>
        <xdr:cNvCxnSpPr/>
      </xdr:nvCxnSpPr>
      <xdr:spPr>
        <a:xfrm>
          <a:off x="29319633" y="3667125"/>
          <a:ext cx="36417" cy="1556385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9" name="Picture 8">
          <a:extLst>
            <a:ext uri="{FF2B5EF4-FFF2-40B4-BE49-F238E27FC236}">
              <a16:creationId xmlns:a16="http://schemas.microsoft.com/office/drawing/2014/main" id="{708A6FF7-7DB5-4C6D-AA30-710352525021}"/>
            </a:ext>
          </a:extLst>
        </xdr:cNvPr>
        <xdr:cNvPicPr/>
      </xdr:nvPicPr>
      <xdr:blipFill>
        <a:blip xmlns:r="http://schemas.openxmlformats.org/officeDocument/2006/relationships" r:embed="rId1" cstate="print"/>
        <a:srcRect/>
        <a:stretch>
          <a:fillRect/>
        </a:stretch>
      </xdr:blipFill>
      <xdr:spPr bwMode="auto">
        <a:xfrm>
          <a:off x="22850475" y="3752851"/>
          <a:ext cx="1615441" cy="859154"/>
        </a:xfrm>
        <a:prstGeom prst="rect">
          <a:avLst/>
        </a:prstGeom>
        <a:noFill/>
        <a:ln w="9525">
          <a:noFill/>
          <a:miter lim="800000"/>
          <a:headEnd/>
          <a:tailEnd/>
        </a:ln>
      </xdr:spPr>
    </xdr:pic>
    <xdr:clientData/>
  </xdr:oneCellAnchor>
  <xdr:twoCellAnchor>
    <xdr:from>
      <xdr:col>21</xdr:col>
      <xdr:colOff>979714</xdr:colOff>
      <xdr:row>49</xdr:row>
      <xdr:rowOff>95250</xdr:rowOff>
    </xdr:from>
    <xdr:to>
      <xdr:col>56</xdr:col>
      <xdr:colOff>258536</xdr:colOff>
      <xdr:row>49</xdr:row>
      <xdr:rowOff>96931</xdr:rowOff>
    </xdr:to>
    <xdr:cxnSp macro="">
      <xdr:nvCxnSpPr>
        <xdr:cNvPr id="10" name="Straight Connector 9">
          <a:extLst>
            <a:ext uri="{FF2B5EF4-FFF2-40B4-BE49-F238E27FC236}">
              <a16:creationId xmlns:a16="http://schemas.microsoft.com/office/drawing/2014/main" id="{098DC1EA-1ADD-44CE-9E2A-7F265CC58A6F}"/>
            </a:ext>
          </a:extLst>
        </xdr:cNvPr>
        <xdr:cNvCxnSpPr/>
      </xdr:nvCxnSpPr>
      <xdr:spPr>
        <a:xfrm flipV="1">
          <a:off x="18015857" y="9946821"/>
          <a:ext cx="1143000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22860</xdr:colOff>
      <xdr:row>87</xdr:row>
      <xdr:rowOff>173131</xdr:rowOff>
    </xdr:from>
    <xdr:to>
      <xdr:col>57</xdr:col>
      <xdr:colOff>19050</xdr:colOff>
      <xdr:row>87</xdr:row>
      <xdr:rowOff>180975</xdr:rowOff>
    </xdr:to>
    <xdr:cxnSp macro="">
      <xdr:nvCxnSpPr>
        <xdr:cNvPr id="11" name="Straight Connector 10">
          <a:extLst>
            <a:ext uri="{FF2B5EF4-FFF2-40B4-BE49-F238E27FC236}">
              <a16:creationId xmlns:a16="http://schemas.microsoft.com/office/drawing/2014/main" id="{388998FB-D6A0-4728-A21F-D3E2552C6B8D}"/>
            </a:ext>
          </a:extLst>
        </xdr:cNvPr>
        <xdr:cNvCxnSpPr/>
      </xdr:nvCxnSpPr>
      <xdr:spPr>
        <a:xfrm>
          <a:off x="18034635" y="17784856"/>
          <a:ext cx="1133094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30</xdr:col>
      <xdr:colOff>93345</xdr:colOff>
      <xdr:row>31</xdr:row>
      <xdr:rowOff>158115</xdr:rowOff>
    </xdr:from>
    <xdr:ext cx="219075" cy="247650"/>
    <xdr:pic>
      <xdr:nvPicPr>
        <xdr:cNvPr id="13" name="Picture 12" descr="https://tse1.mm.bing.net/th?id=OIP.11IPUqok7qInEpcWmz9WawHaIZ&amp;pid=Api&amp;P=0">
          <a:extLst>
            <a:ext uri="{FF2B5EF4-FFF2-40B4-BE49-F238E27FC236}">
              <a16:creationId xmlns:a16="http://schemas.microsoft.com/office/drawing/2014/main" id="{0A6B2A11-E0D3-402A-8E1B-E2215A2579B9}"/>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0695920" y="6292215"/>
          <a:ext cx="219075" cy="247650"/>
        </a:xfrm>
        <a:prstGeom prst="rect">
          <a:avLst/>
        </a:prstGeom>
        <a:noFill/>
        <a:ln w="9525">
          <a:noFill/>
          <a:miter lim="800000"/>
          <a:headEnd/>
          <a:tailEnd/>
        </a:ln>
      </xdr:spPr>
    </xdr:pic>
    <xdr:clientData/>
  </xdr:oneCellAnchor>
  <xdr:oneCellAnchor>
    <xdr:from>
      <xdr:col>42</xdr:col>
      <xdr:colOff>63682</xdr:colOff>
      <xdr:row>51</xdr:row>
      <xdr:rowOff>4081</xdr:rowOff>
    </xdr:from>
    <xdr:ext cx="219075" cy="247650"/>
    <xdr:pic>
      <xdr:nvPicPr>
        <xdr:cNvPr id="18" name="Picture 17" descr="https://tse1.mm.bing.net/th?id=OIP.11IPUqok7qInEpcWmz9WawHaIZ&amp;pid=Api&amp;P=0">
          <a:extLst>
            <a:ext uri="{FF2B5EF4-FFF2-40B4-BE49-F238E27FC236}">
              <a16:creationId xmlns:a16="http://schemas.microsoft.com/office/drawing/2014/main" id="{0F7C31DD-FD41-43B4-99CF-2563BC6968EC}"/>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679003" y="10263867"/>
          <a:ext cx="219075" cy="247650"/>
        </a:xfrm>
        <a:prstGeom prst="rect">
          <a:avLst/>
        </a:prstGeom>
        <a:noFill/>
        <a:ln w="9525">
          <a:noFill/>
          <a:miter lim="800000"/>
          <a:headEnd/>
          <a:tailEnd/>
        </a:ln>
      </xdr:spPr>
    </xdr:pic>
    <xdr:clientData/>
  </xdr:oneCellAnchor>
  <xdr:twoCellAnchor>
    <xdr:from>
      <xdr:col>22</xdr:col>
      <xdr:colOff>0</xdr:colOff>
      <xdr:row>95</xdr:row>
      <xdr:rowOff>30480</xdr:rowOff>
    </xdr:from>
    <xdr:to>
      <xdr:col>56</xdr:col>
      <xdr:colOff>331470</xdr:colOff>
      <xdr:row>95</xdr:row>
      <xdr:rowOff>38324</xdr:rowOff>
    </xdr:to>
    <xdr:cxnSp macro="">
      <xdr:nvCxnSpPr>
        <xdr:cNvPr id="19" name="Straight Connector 18">
          <a:extLst>
            <a:ext uri="{FF2B5EF4-FFF2-40B4-BE49-F238E27FC236}">
              <a16:creationId xmlns:a16="http://schemas.microsoft.com/office/drawing/2014/main" id="{D6236F83-5C8A-4183-8EDF-0C7F0C356666}"/>
            </a:ext>
          </a:extLst>
        </xdr:cNvPr>
        <xdr:cNvCxnSpPr/>
      </xdr:nvCxnSpPr>
      <xdr:spPr>
        <a:xfrm>
          <a:off x="18011775" y="19251930"/>
          <a:ext cx="11332845"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98</xdr:row>
      <xdr:rowOff>18917</xdr:rowOff>
    </xdr:from>
    <xdr:to>
      <xdr:col>57</xdr:col>
      <xdr:colOff>7620</xdr:colOff>
      <xdr:row>98</xdr:row>
      <xdr:rowOff>45720</xdr:rowOff>
    </xdr:to>
    <xdr:cxnSp macro="">
      <xdr:nvCxnSpPr>
        <xdr:cNvPr id="20" name="Straight Connector 19">
          <a:extLst>
            <a:ext uri="{FF2B5EF4-FFF2-40B4-BE49-F238E27FC236}">
              <a16:creationId xmlns:a16="http://schemas.microsoft.com/office/drawing/2014/main" id="{FB78CB35-D01A-4882-8329-75EBB6919275}"/>
            </a:ext>
          </a:extLst>
        </xdr:cNvPr>
        <xdr:cNvCxnSpPr/>
      </xdr:nvCxnSpPr>
      <xdr:spPr>
        <a:xfrm>
          <a:off x="18011775" y="19811867"/>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7620</xdr:colOff>
      <xdr:row>98</xdr:row>
      <xdr:rowOff>47622</xdr:rowOff>
    </xdr:from>
    <xdr:to>
      <xdr:col>22</xdr:col>
      <xdr:colOff>9393</xdr:colOff>
      <xdr:row>170</xdr:row>
      <xdr:rowOff>45720</xdr:rowOff>
    </xdr:to>
    <xdr:cxnSp macro="">
      <xdr:nvCxnSpPr>
        <xdr:cNvPr id="21" name="Straight Connector 20">
          <a:extLst>
            <a:ext uri="{FF2B5EF4-FFF2-40B4-BE49-F238E27FC236}">
              <a16:creationId xmlns:a16="http://schemas.microsoft.com/office/drawing/2014/main" id="{AD0FB996-7B38-42DF-83BE-E5824C556AC4}"/>
            </a:ext>
          </a:extLst>
        </xdr:cNvPr>
        <xdr:cNvCxnSpPr/>
      </xdr:nvCxnSpPr>
      <xdr:spPr>
        <a:xfrm flipH="1">
          <a:off x="18019395" y="19840572"/>
          <a:ext cx="1773" cy="15828648"/>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27214</xdr:colOff>
      <xdr:row>128</xdr:row>
      <xdr:rowOff>0</xdr:rowOff>
    </xdr:from>
    <xdr:to>
      <xdr:col>56</xdr:col>
      <xdr:colOff>312964</xdr:colOff>
      <xdr:row>128</xdr:row>
      <xdr:rowOff>27214</xdr:rowOff>
    </xdr:to>
    <xdr:cxnSp macro="">
      <xdr:nvCxnSpPr>
        <xdr:cNvPr id="22" name="Straight Connector 21">
          <a:extLst>
            <a:ext uri="{FF2B5EF4-FFF2-40B4-BE49-F238E27FC236}">
              <a16:creationId xmlns:a16="http://schemas.microsoft.com/office/drawing/2014/main" id="{74C6B0A5-59D8-4E53-B2D0-C3CF822AC630}"/>
            </a:ext>
          </a:extLst>
        </xdr:cNvPr>
        <xdr:cNvCxnSpPr/>
      </xdr:nvCxnSpPr>
      <xdr:spPr>
        <a:xfrm>
          <a:off x="18111107" y="26670000"/>
          <a:ext cx="11389178" cy="2721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9525</xdr:colOff>
      <xdr:row>169</xdr:row>
      <xdr:rowOff>175260</xdr:rowOff>
    </xdr:from>
    <xdr:to>
      <xdr:col>57</xdr:col>
      <xdr:colOff>17145</xdr:colOff>
      <xdr:row>170</xdr:row>
      <xdr:rowOff>11563</xdr:rowOff>
    </xdr:to>
    <xdr:cxnSp macro="">
      <xdr:nvCxnSpPr>
        <xdr:cNvPr id="25" name="Straight Connector 24">
          <a:extLst>
            <a:ext uri="{FF2B5EF4-FFF2-40B4-BE49-F238E27FC236}">
              <a16:creationId xmlns:a16="http://schemas.microsoft.com/office/drawing/2014/main" id="{F9E8A496-8CAA-4B11-AC0B-9FA0ED905148}"/>
            </a:ext>
          </a:extLst>
        </xdr:cNvPr>
        <xdr:cNvCxnSpPr/>
      </xdr:nvCxnSpPr>
      <xdr:spPr>
        <a:xfrm>
          <a:off x="18021300" y="35608260"/>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314193</xdr:colOff>
      <xdr:row>98</xdr:row>
      <xdr:rowOff>9522</xdr:rowOff>
    </xdr:from>
    <xdr:to>
      <xdr:col>56</xdr:col>
      <xdr:colOff>327660</xdr:colOff>
      <xdr:row>170</xdr:row>
      <xdr:rowOff>121920</xdr:rowOff>
    </xdr:to>
    <xdr:cxnSp macro="">
      <xdr:nvCxnSpPr>
        <xdr:cNvPr id="26" name="Straight Connector 25">
          <a:extLst>
            <a:ext uri="{FF2B5EF4-FFF2-40B4-BE49-F238E27FC236}">
              <a16:creationId xmlns:a16="http://schemas.microsoft.com/office/drawing/2014/main" id="{CDE108E7-E05E-41BC-9CF3-FF2898473EB6}"/>
            </a:ext>
          </a:extLst>
        </xdr:cNvPr>
        <xdr:cNvCxnSpPr/>
      </xdr:nvCxnSpPr>
      <xdr:spPr>
        <a:xfrm>
          <a:off x="29336868" y="19802472"/>
          <a:ext cx="13467" cy="15942948"/>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514798</xdr:colOff>
      <xdr:row>19</xdr:row>
      <xdr:rowOff>114302</xdr:rowOff>
    </xdr:from>
    <xdr:to>
      <xdr:col>15</xdr:col>
      <xdr:colOff>177613</xdr:colOff>
      <xdr:row>22</xdr:row>
      <xdr:rowOff>74932</xdr:rowOff>
    </xdr:to>
    <xdr:pic>
      <xdr:nvPicPr>
        <xdr:cNvPr id="2" name="Picture 1">
          <a:extLst>
            <a:ext uri="{FF2B5EF4-FFF2-40B4-BE49-F238E27FC236}">
              <a16:creationId xmlns:a16="http://schemas.microsoft.com/office/drawing/2014/main" id="{3292794D-BECE-448C-B465-7FC6CD5279AF}"/>
            </a:ext>
          </a:extLst>
        </xdr:cNvPr>
        <xdr:cNvPicPr/>
      </xdr:nvPicPr>
      <xdr:blipFill>
        <a:blip xmlns:r="http://schemas.openxmlformats.org/officeDocument/2006/relationships" r:embed="rId1" cstate="print"/>
        <a:srcRect b="17620"/>
        <a:stretch>
          <a:fillRect/>
        </a:stretch>
      </xdr:blipFill>
      <xdr:spPr>
        <a:xfrm>
          <a:off x="12539158" y="3596642"/>
          <a:ext cx="1141095" cy="509270"/>
        </a:xfrm>
        <a:prstGeom prst="rect">
          <a:avLst/>
        </a:prstGeom>
        <a:noFill/>
        <a:ln w="9525">
          <a:noFill/>
          <a:miter lim="800000"/>
          <a:headEnd/>
          <a:tailEnd/>
        </a:ln>
      </xdr:spPr>
    </xdr:pic>
    <xdr:clientData/>
  </xdr:twoCellAnchor>
  <xdr:oneCellAnchor>
    <xdr:from>
      <xdr:col>45</xdr:col>
      <xdr:colOff>220980</xdr:colOff>
      <xdr:row>62</xdr:row>
      <xdr:rowOff>78105</xdr:rowOff>
    </xdr:from>
    <xdr:ext cx="219075" cy="247650"/>
    <xdr:pic>
      <xdr:nvPicPr>
        <xdr:cNvPr id="3" name="Picture 2" descr="https://tse1.mm.bing.net/th?id=OIP.11IPUqok7qInEpcWmz9WawHaIZ&amp;pid=Api&amp;P=0">
          <a:extLst>
            <a:ext uri="{FF2B5EF4-FFF2-40B4-BE49-F238E27FC236}">
              <a16:creationId xmlns:a16="http://schemas.microsoft.com/office/drawing/2014/main" id="{6AF94842-A10F-4C59-89A0-C0B1CC06196A}"/>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6540460" y="12216765"/>
          <a:ext cx="219075" cy="247650"/>
        </a:xfrm>
        <a:prstGeom prst="rect">
          <a:avLst/>
        </a:prstGeom>
        <a:noFill/>
        <a:ln w="9525">
          <a:noFill/>
          <a:miter lim="800000"/>
          <a:headEnd/>
          <a:tailEnd/>
        </a:ln>
      </xdr:spPr>
    </xdr:pic>
    <xdr:clientData/>
  </xdr:oneCellAnchor>
  <xdr:twoCellAnchor>
    <xdr:from>
      <xdr:col>22</xdr:col>
      <xdr:colOff>0</xdr:colOff>
      <xdr:row>19</xdr:row>
      <xdr:rowOff>19050</xdr:rowOff>
    </xdr:from>
    <xdr:to>
      <xdr:col>57</xdr:col>
      <xdr:colOff>0</xdr:colOff>
      <xdr:row>19</xdr:row>
      <xdr:rowOff>20731</xdr:rowOff>
    </xdr:to>
    <xdr:cxnSp macro="">
      <xdr:nvCxnSpPr>
        <xdr:cNvPr id="4" name="Straight Connector 3">
          <a:extLst>
            <a:ext uri="{FF2B5EF4-FFF2-40B4-BE49-F238E27FC236}">
              <a16:creationId xmlns:a16="http://schemas.microsoft.com/office/drawing/2014/main" id="{09F5A609-AA8F-4990-8239-0400FB855E92}"/>
            </a:ext>
          </a:extLst>
        </xdr:cNvPr>
        <xdr:cNvCxnSpPr/>
      </xdr:nvCxnSpPr>
      <xdr:spPr>
        <a:xfrm flipV="1">
          <a:off x="18608040" y="3501390"/>
          <a:ext cx="1173480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20731</xdr:colOff>
      <xdr:row>19</xdr:row>
      <xdr:rowOff>1</xdr:rowOff>
    </xdr:from>
    <xdr:to>
      <xdr:col>22</xdr:col>
      <xdr:colOff>28575</xdr:colOff>
      <xdr:row>95</xdr:row>
      <xdr:rowOff>19053</xdr:rowOff>
    </xdr:to>
    <xdr:cxnSp macro="">
      <xdr:nvCxnSpPr>
        <xdr:cNvPr id="5" name="Straight Connector 4">
          <a:extLst>
            <a:ext uri="{FF2B5EF4-FFF2-40B4-BE49-F238E27FC236}">
              <a16:creationId xmlns:a16="http://schemas.microsoft.com/office/drawing/2014/main" id="{2C0EC415-CFCB-4B63-AFFE-DA764D8C395D}"/>
            </a:ext>
          </a:extLst>
        </xdr:cNvPr>
        <xdr:cNvCxnSpPr/>
      </xdr:nvCxnSpPr>
      <xdr:spPr>
        <a:xfrm>
          <a:off x="18628771" y="3482341"/>
          <a:ext cx="7844" cy="15251432"/>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296958</xdr:colOff>
      <xdr:row>19</xdr:row>
      <xdr:rowOff>38100</xdr:rowOff>
    </xdr:from>
    <xdr:to>
      <xdr:col>57</xdr:col>
      <xdr:colOff>9525</xdr:colOff>
      <xdr:row>95</xdr:row>
      <xdr:rowOff>9525</xdr:rowOff>
    </xdr:to>
    <xdr:cxnSp macro="">
      <xdr:nvCxnSpPr>
        <xdr:cNvPr id="6" name="Straight Connector 5">
          <a:extLst>
            <a:ext uri="{FF2B5EF4-FFF2-40B4-BE49-F238E27FC236}">
              <a16:creationId xmlns:a16="http://schemas.microsoft.com/office/drawing/2014/main" id="{32264AC6-A929-4227-8E38-19A678BD5955}"/>
            </a:ext>
          </a:extLst>
        </xdr:cNvPr>
        <xdr:cNvCxnSpPr/>
      </xdr:nvCxnSpPr>
      <xdr:spPr>
        <a:xfrm>
          <a:off x="30304518" y="3520440"/>
          <a:ext cx="47847" cy="1520380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7" name="Picture 6">
          <a:extLst>
            <a:ext uri="{FF2B5EF4-FFF2-40B4-BE49-F238E27FC236}">
              <a16:creationId xmlns:a16="http://schemas.microsoft.com/office/drawing/2014/main" id="{B6C0A72B-3866-425D-AF07-EB8A9CE7456F}"/>
            </a:ext>
          </a:extLst>
        </xdr:cNvPr>
        <xdr:cNvPicPr/>
      </xdr:nvPicPr>
      <xdr:blipFill>
        <a:blip xmlns:r="http://schemas.openxmlformats.org/officeDocument/2006/relationships" r:embed="rId4" cstate="print"/>
        <a:srcRect/>
        <a:stretch>
          <a:fillRect/>
        </a:stretch>
      </xdr:blipFill>
      <xdr:spPr bwMode="auto">
        <a:xfrm>
          <a:off x="23606760" y="3606166"/>
          <a:ext cx="1615441" cy="859154"/>
        </a:xfrm>
        <a:prstGeom prst="rect">
          <a:avLst/>
        </a:prstGeom>
        <a:noFill/>
        <a:ln w="9525">
          <a:noFill/>
          <a:miter lim="800000"/>
          <a:headEnd/>
          <a:tailEnd/>
        </a:ln>
      </xdr:spPr>
    </xdr:pic>
    <xdr:clientData/>
  </xdr:oneCellAnchor>
  <xdr:twoCellAnchor>
    <xdr:from>
      <xdr:col>22</xdr:col>
      <xdr:colOff>0</xdr:colOff>
      <xdr:row>48</xdr:row>
      <xdr:rowOff>179295</xdr:rowOff>
    </xdr:from>
    <xdr:to>
      <xdr:col>57</xdr:col>
      <xdr:colOff>0</xdr:colOff>
      <xdr:row>48</xdr:row>
      <xdr:rowOff>180976</xdr:rowOff>
    </xdr:to>
    <xdr:cxnSp macro="">
      <xdr:nvCxnSpPr>
        <xdr:cNvPr id="8" name="Straight Connector 7">
          <a:extLst>
            <a:ext uri="{FF2B5EF4-FFF2-40B4-BE49-F238E27FC236}">
              <a16:creationId xmlns:a16="http://schemas.microsoft.com/office/drawing/2014/main" id="{ACA5A1CB-F3E3-4753-9829-A1BA35340220}"/>
            </a:ext>
          </a:extLst>
        </xdr:cNvPr>
        <xdr:cNvCxnSpPr/>
      </xdr:nvCxnSpPr>
      <xdr:spPr>
        <a:xfrm flipV="1">
          <a:off x="18075088" y="9883589"/>
          <a:ext cx="11373971"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22860</xdr:colOff>
      <xdr:row>87</xdr:row>
      <xdr:rowOff>173131</xdr:rowOff>
    </xdr:from>
    <xdr:to>
      <xdr:col>57</xdr:col>
      <xdr:colOff>19050</xdr:colOff>
      <xdr:row>87</xdr:row>
      <xdr:rowOff>180975</xdr:rowOff>
    </xdr:to>
    <xdr:cxnSp macro="">
      <xdr:nvCxnSpPr>
        <xdr:cNvPr id="9" name="Straight Connector 8">
          <a:extLst>
            <a:ext uri="{FF2B5EF4-FFF2-40B4-BE49-F238E27FC236}">
              <a16:creationId xmlns:a16="http://schemas.microsoft.com/office/drawing/2014/main" id="{FF7AD202-B374-4197-A74D-C77E59CD3456}"/>
            </a:ext>
          </a:extLst>
        </xdr:cNvPr>
        <xdr:cNvCxnSpPr/>
      </xdr:nvCxnSpPr>
      <xdr:spPr>
        <a:xfrm>
          <a:off x="18630900" y="17287651"/>
          <a:ext cx="1173099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19</xdr:row>
      <xdr:rowOff>19050</xdr:rowOff>
    </xdr:from>
    <xdr:to>
      <xdr:col>57</xdr:col>
      <xdr:colOff>0</xdr:colOff>
      <xdr:row>19</xdr:row>
      <xdr:rowOff>20731</xdr:rowOff>
    </xdr:to>
    <xdr:cxnSp macro="">
      <xdr:nvCxnSpPr>
        <xdr:cNvPr id="10" name="Straight Connector 9">
          <a:extLst>
            <a:ext uri="{FF2B5EF4-FFF2-40B4-BE49-F238E27FC236}">
              <a16:creationId xmlns:a16="http://schemas.microsoft.com/office/drawing/2014/main" id="{C96781BB-54A7-4FCA-A29F-CDE75130695C}"/>
            </a:ext>
          </a:extLst>
        </xdr:cNvPr>
        <xdr:cNvCxnSpPr/>
      </xdr:nvCxnSpPr>
      <xdr:spPr>
        <a:xfrm flipV="1">
          <a:off x="18608040" y="3501390"/>
          <a:ext cx="1173480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85725</xdr:colOff>
      <xdr:row>31</xdr:row>
      <xdr:rowOff>169545</xdr:rowOff>
    </xdr:from>
    <xdr:ext cx="219075" cy="247650"/>
    <xdr:pic>
      <xdr:nvPicPr>
        <xdr:cNvPr id="11" name="Picture 10" descr="https://tse1.mm.bing.net/th?id=OIP.11IPUqok7qInEpcWmz9WawHaIZ&amp;pid=Api&amp;P=0">
          <a:extLst>
            <a:ext uri="{FF2B5EF4-FFF2-40B4-BE49-F238E27FC236}">
              <a16:creationId xmlns:a16="http://schemas.microsoft.com/office/drawing/2014/main" id="{C0DC5E6F-21B2-48E4-8A75-F69DA763C9AE}"/>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9029045" y="6120765"/>
          <a:ext cx="219075" cy="247650"/>
        </a:xfrm>
        <a:prstGeom prst="rect">
          <a:avLst/>
        </a:prstGeom>
        <a:noFill/>
        <a:ln w="9525">
          <a:noFill/>
          <a:miter lim="800000"/>
          <a:headEnd/>
          <a:tailEnd/>
        </a:ln>
      </xdr:spPr>
    </xdr:pic>
    <xdr:clientData/>
  </xdr:oneCellAnchor>
  <xdr:oneCellAnchor>
    <xdr:from>
      <xdr:col>30</xdr:col>
      <xdr:colOff>64770</xdr:colOff>
      <xdr:row>31</xdr:row>
      <xdr:rowOff>196215</xdr:rowOff>
    </xdr:from>
    <xdr:ext cx="219075" cy="247650"/>
    <xdr:pic>
      <xdr:nvPicPr>
        <xdr:cNvPr id="12" name="Picture 11" descr="https://tse1.mm.bing.net/th?id=OIP.11IPUqok7qInEpcWmz9WawHaIZ&amp;pid=Api&amp;P=0">
          <a:extLst>
            <a:ext uri="{FF2B5EF4-FFF2-40B4-BE49-F238E27FC236}">
              <a16:creationId xmlns:a16="http://schemas.microsoft.com/office/drawing/2014/main" id="{2B23B9E2-3E24-4072-ABA1-ADB3D2B2D40F}"/>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0667345" y="6320790"/>
          <a:ext cx="219075" cy="247650"/>
        </a:xfrm>
        <a:prstGeom prst="rect">
          <a:avLst/>
        </a:prstGeom>
        <a:noFill/>
        <a:ln w="9525">
          <a:noFill/>
          <a:miter lim="800000"/>
          <a:headEnd/>
          <a:tailEnd/>
        </a:ln>
      </xdr:spPr>
    </xdr:pic>
    <xdr:clientData/>
  </xdr:oneCellAnchor>
  <xdr:oneCellAnchor>
    <xdr:from>
      <xdr:col>38</xdr:col>
      <xdr:colOff>53340</xdr:colOff>
      <xdr:row>32</xdr:row>
      <xdr:rowOff>188595</xdr:rowOff>
    </xdr:from>
    <xdr:ext cx="219075" cy="247650"/>
    <xdr:pic>
      <xdr:nvPicPr>
        <xdr:cNvPr id="13" name="Picture 12" descr="https://tse1.mm.bing.net/th?id=OIP.11IPUqok7qInEpcWmz9WawHaIZ&amp;pid=Api&amp;P=0">
          <a:extLst>
            <a:ext uri="{FF2B5EF4-FFF2-40B4-BE49-F238E27FC236}">
              <a16:creationId xmlns:a16="http://schemas.microsoft.com/office/drawing/2014/main" id="{E0EAC13E-7AAC-4929-BE9C-40A5D25D2ADE}"/>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3246715" y="6513195"/>
          <a:ext cx="219075" cy="247650"/>
        </a:xfrm>
        <a:prstGeom prst="rect">
          <a:avLst/>
        </a:prstGeom>
        <a:noFill/>
        <a:ln w="9525">
          <a:noFill/>
          <a:miter lim="800000"/>
          <a:headEnd/>
          <a:tailEnd/>
        </a:ln>
      </xdr:spPr>
    </xdr:pic>
    <xdr:clientData/>
  </xdr:oneCellAnchor>
  <xdr:oneCellAnchor>
    <xdr:from>
      <xdr:col>45</xdr:col>
      <xdr:colOff>114300</xdr:colOff>
      <xdr:row>31</xdr:row>
      <xdr:rowOff>177165</xdr:rowOff>
    </xdr:from>
    <xdr:ext cx="219075" cy="247650"/>
    <xdr:pic>
      <xdr:nvPicPr>
        <xdr:cNvPr id="14" name="Picture 13" descr="https://tse1.mm.bing.net/th?id=OIP.11IPUqok7qInEpcWmz9WawHaIZ&amp;pid=Api&amp;P=0">
          <a:extLst>
            <a:ext uri="{FF2B5EF4-FFF2-40B4-BE49-F238E27FC236}">
              <a16:creationId xmlns:a16="http://schemas.microsoft.com/office/drawing/2014/main" id="{90C26F45-F469-4830-8482-D6959B25E841}"/>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6433780" y="6128385"/>
          <a:ext cx="219075" cy="247650"/>
        </a:xfrm>
        <a:prstGeom prst="rect">
          <a:avLst/>
        </a:prstGeom>
        <a:noFill/>
        <a:ln w="9525">
          <a:noFill/>
          <a:miter lim="800000"/>
          <a:headEnd/>
          <a:tailEnd/>
        </a:ln>
      </xdr:spPr>
    </xdr:pic>
    <xdr:clientData/>
  </xdr:oneCellAnchor>
  <xdr:oneCellAnchor>
    <xdr:from>
      <xdr:col>31</xdr:col>
      <xdr:colOff>85725</xdr:colOff>
      <xdr:row>41</xdr:row>
      <xdr:rowOff>154305</xdr:rowOff>
    </xdr:from>
    <xdr:ext cx="219075" cy="247650"/>
    <xdr:pic>
      <xdr:nvPicPr>
        <xdr:cNvPr id="15" name="Picture 14" descr="https://tse1.mm.bing.net/th?id=OIP.11IPUqok7qInEpcWmz9WawHaIZ&amp;pid=Api&amp;P=0">
          <a:extLst>
            <a:ext uri="{FF2B5EF4-FFF2-40B4-BE49-F238E27FC236}">
              <a16:creationId xmlns:a16="http://schemas.microsoft.com/office/drawing/2014/main" id="{A4B3496A-82AE-4B8E-A27A-5692CB7144DA}"/>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1711285" y="8109585"/>
          <a:ext cx="219075" cy="247650"/>
        </a:xfrm>
        <a:prstGeom prst="rect">
          <a:avLst/>
        </a:prstGeom>
        <a:noFill/>
        <a:ln w="9525">
          <a:noFill/>
          <a:miter lim="800000"/>
          <a:headEnd/>
          <a:tailEnd/>
        </a:ln>
      </xdr:spPr>
    </xdr:pic>
    <xdr:clientData/>
  </xdr:oneCellAnchor>
  <xdr:oneCellAnchor>
    <xdr:from>
      <xdr:col>43</xdr:col>
      <xdr:colOff>95250</xdr:colOff>
      <xdr:row>41</xdr:row>
      <xdr:rowOff>169545</xdr:rowOff>
    </xdr:from>
    <xdr:ext cx="219075" cy="247650"/>
    <xdr:pic>
      <xdr:nvPicPr>
        <xdr:cNvPr id="16" name="Picture 15" descr="https://tse1.mm.bing.net/th?id=OIP.11IPUqok7qInEpcWmz9WawHaIZ&amp;pid=Api&amp;P=0">
          <a:extLst>
            <a:ext uri="{FF2B5EF4-FFF2-40B4-BE49-F238E27FC236}">
              <a16:creationId xmlns:a16="http://schemas.microsoft.com/office/drawing/2014/main" id="{8AAB44BF-9A5E-41D7-AB81-EB078DE021A4}"/>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744170" y="8124825"/>
          <a:ext cx="219075" cy="247650"/>
        </a:xfrm>
        <a:prstGeom prst="rect">
          <a:avLst/>
        </a:prstGeom>
        <a:noFill/>
        <a:ln w="9525">
          <a:noFill/>
          <a:miter lim="800000"/>
          <a:headEnd/>
          <a:tailEnd/>
        </a:ln>
      </xdr:spPr>
    </xdr:pic>
    <xdr:clientData/>
  </xdr:oneCellAnchor>
  <xdr:oneCellAnchor>
    <xdr:from>
      <xdr:col>42</xdr:col>
      <xdr:colOff>69924</xdr:colOff>
      <xdr:row>50</xdr:row>
      <xdr:rowOff>171450</xdr:rowOff>
    </xdr:from>
    <xdr:ext cx="219075" cy="247650"/>
    <xdr:pic>
      <xdr:nvPicPr>
        <xdr:cNvPr id="17" name="Picture 16" descr="https://tse1.mm.bing.net/th?id=OIP.11IPUqok7qInEpcWmz9WawHaIZ&amp;pid=Api&amp;P=0">
          <a:extLst>
            <a:ext uri="{FF2B5EF4-FFF2-40B4-BE49-F238E27FC236}">
              <a16:creationId xmlns:a16="http://schemas.microsoft.com/office/drawing/2014/main" id="{F34CB405-DCDF-4CBC-B030-35BB363062E0}"/>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644424" y="10301568"/>
          <a:ext cx="219075" cy="247650"/>
        </a:xfrm>
        <a:prstGeom prst="rect">
          <a:avLst/>
        </a:prstGeom>
        <a:noFill/>
        <a:ln w="9525">
          <a:noFill/>
          <a:miter lim="800000"/>
          <a:headEnd/>
          <a:tailEnd/>
        </a:ln>
      </xdr:spPr>
    </xdr:pic>
    <xdr:clientData/>
  </xdr:oneCellAnchor>
  <xdr:twoCellAnchor>
    <xdr:from>
      <xdr:col>22</xdr:col>
      <xdr:colOff>9525</xdr:colOff>
      <xdr:row>94</xdr:row>
      <xdr:rowOff>182880</xdr:rowOff>
    </xdr:from>
    <xdr:to>
      <xdr:col>57</xdr:col>
      <xdr:colOff>7620</xdr:colOff>
      <xdr:row>94</xdr:row>
      <xdr:rowOff>190724</xdr:rowOff>
    </xdr:to>
    <xdr:cxnSp macro="">
      <xdr:nvCxnSpPr>
        <xdr:cNvPr id="18" name="Straight Connector 17">
          <a:extLst>
            <a:ext uri="{FF2B5EF4-FFF2-40B4-BE49-F238E27FC236}">
              <a16:creationId xmlns:a16="http://schemas.microsoft.com/office/drawing/2014/main" id="{D17A9DBB-3E6B-46E9-B08B-D71FD1918601}"/>
            </a:ext>
          </a:extLst>
        </xdr:cNvPr>
        <xdr:cNvCxnSpPr/>
      </xdr:nvCxnSpPr>
      <xdr:spPr>
        <a:xfrm>
          <a:off x="18021300" y="19109055"/>
          <a:ext cx="11332845"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98</xdr:row>
      <xdr:rowOff>18917</xdr:rowOff>
    </xdr:from>
    <xdr:to>
      <xdr:col>57</xdr:col>
      <xdr:colOff>7620</xdr:colOff>
      <xdr:row>98</xdr:row>
      <xdr:rowOff>45720</xdr:rowOff>
    </xdr:to>
    <xdr:cxnSp macro="">
      <xdr:nvCxnSpPr>
        <xdr:cNvPr id="19" name="Straight Connector 18">
          <a:extLst>
            <a:ext uri="{FF2B5EF4-FFF2-40B4-BE49-F238E27FC236}">
              <a16:creationId xmlns:a16="http://schemas.microsoft.com/office/drawing/2014/main" id="{460C3369-D01A-4227-B5EC-543C569A4053}"/>
            </a:ext>
          </a:extLst>
        </xdr:cNvPr>
        <xdr:cNvCxnSpPr/>
      </xdr:nvCxnSpPr>
      <xdr:spPr>
        <a:xfrm>
          <a:off x="18608040" y="19282277"/>
          <a:ext cx="1174242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7620</xdr:colOff>
      <xdr:row>98</xdr:row>
      <xdr:rowOff>47622</xdr:rowOff>
    </xdr:from>
    <xdr:to>
      <xdr:col>22</xdr:col>
      <xdr:colOff>9393</xdr:colOff>
      <xdr:row>170</xdr:row>
      <xdr:rowOff>45720</xdr:rowOff>
    </xdr:to>
    <xdr:cxnSp macro="">
      <xdr:nvCxnSpPr>
        <xdr:cNvPr id="20" name="Straight Connector 19">
          <a:extLst>
            <a:ext uri="{FF2B5EF4-FFF2-40B4-BE49-F238E27FC236}">
              <a16:creationId xmlns:a16="http://schemas.microsoft.com/office/drawing/2014/main" id="{EDEFCD7E-3A67-4498-BABD-7B10E9F0A867}"/>
            </a:ext>
          </a:extLst>
        </xdr:cNvPr>
        <xdr:cNvCxnSpPr/>
      </xdr:nvCxnSpPr>
      <xdr:spPr>
        <a:xfrm flipH="1">
          <a:off x="18615660" y="19310982"/>
          <a:ext cx="1773" cy="15619098"/>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128</xdr:row>
      <xdr:rowOff>0</xdr:rowOff>
    </xdr:from>
    <xdr:to>
      <xdr:col>56</xdr:col>
      <xdr:colOff>30480</xdr:colOff>
      <xdr:row>128</xdr:row>
      <xdr:rowOff>38100</xdr:rowOff>
    </xdr:to>
    <xdr:cxnSp macro="">
      <xdr:nvCxnSpPr>
        <xdr:cNvPr id="21" name="Straight Connector 20">
          <a:extLst>
            <a:ext uri="{FF2B5EF4-FFF2-40B4-BE49-F238E27FC236}">
              <a16:creationId xmlns:a16="http://schemas.microsoft.com/office/drawing/2014/main" id="{28F9A4B6-540F-4E93-9EBE-E69AF4086829}"/>
            </a:ext>
          </a:extLst>
        </xdr:cNvPr>
        <xdr:cNvCxnSpPr/>
      </xdr:nvCxnSpPr>
      <xdr:spPr>
        <a:xfrm>
          <a:off x="18608040" y="25877520"/>
          <a:ext cx="11430000" cy="3810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93681</xdr:colOff>
      <xdr:row>125</xdr:row>
      <xdr:rowOff>186017</xdr:rowOff>
    </xdr:from>
    <xdr:ext cx="219075" cy="247650"/>
    <xdr:pic>
      <xdr:nvPicPr>
        <xdr:cNvPr id="22" name="Picture 21" descr="https://tse1.mm.bing.net/th?id=OIP.11IPUqok7qInEpcWmz9WawHaIZ&amp;pid=Api&amp;P=0">
          <a:extLst>
            <a:ext uri="{FF2B5EF4-FFF2-40B4-BE49-F238E27FC236}">
              <a16:creationId xmlns:a16="http://schemas.microsoft.com/office/drawing/2014/main" id="{0A3A97DD-7905-4D4D-B915-B7E08B72EB3D}"/>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6077881" y="25453937"/>
          <a:ext cx="219075" cy="247650"/>
        </a:xfrm>
        <a:prstGeom prst="rect">
          <a:avLst/>
        </a:prstGeom>
        <a:noFill/>
        <a:ln w="9525">
          <a:noFill/>
          <a:miter lim="800000"/>
          <a:headEnd/>
          <a:tailEnd/>
        </a:ln>
      </xdr:spPr>
    </xdr:pic>
    <xdr:clientData/>
  </xdr:oneCellAnchor>
  <xdr:oneCellAnchor>
    <xdr:from>
      <xdr:col>50</xdr:col>
      <xdr:colOff>233978</xdr:colOff>
      <xdr:row>125</xdr:row>
      <xdr:rowOff>200361</xdr:rowOff>
    </xdr:from>
    <xdr:ext cx="219075" cy="247650"/>
    <xdr:pic>
      <xdr:nvPicPr>
        <xdr:cNvPr id="23" name="Picture 22" descr="https://tse1.mm.bing.net/th?id=OIP.11IPUqok7qInEpcWmz9WawHaIZ&amp;pid=Api&amp;P=0">
          <a:extLst>
            <a:ext uri="{FF2B5EF4-FFF2-40B4-BE49-F238E27FC236}">
              <a16:creationId xmlns:a16="http://schemas.microsoft.com/office/drawing/2014/main" id="{2BD47D5C-9BA1-49E8-B974-E8B9F3FE3A99}"/>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8229858" y="25468281"/>
          <a:ext cx="219075" cy="247650"/>
        </a:xfrm>
        <a:prstGeom prst="rect">
          <a:avLst/>
        </a:prstGeom>
        <a:noFill/>
        <a:ln w="9525">
          <a:noFill/>
          <a:miter lim="800000"/>
          <a:headEnd/>
          <a:tailEnd/>
        </a:ln>
      </xdr:spPr>
    </xdr:pic>
    <xdr:clientData/>
  </xdr:oneCellAnchor>
  <xdr:oneCellAnchor>
    <xdr:from>
      <xdr:col>37</xdr:col>
      <xdr:colOff>78441</xdr:colOff>
      <xdr:row>122</xdr:row>
      <xdr:rowOff>0</xdr:rowOff>
    </xdr:from>
    <xdr:ext cx="219075" cy="247650"/>
    <xdr:pic>
      <xdr:nvPicPr>
        <xdr:cNvPr id="24" name="Picture 23" descr="https://tse1.mm.bing.net/th?id=OIP.11IPUqok7qInEpcWmz9WawHaIZ&amp;pid=Api&amp;P=0">
          <a:extLst>
            <a:ext uri="{FF2B5EF4-FFF2-40B4-BE49-F238E27FC236}">
              <a16:creationId xmlns:a16="http://schemas.microsoft.com/office/drawing/2014/main" id="{2B76BA33-1437-4747-96A0-D4AF401EAA30}"/>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2947966" y="25231725"/>
          <a:ext cx="219075" cy="247650"/>
        </a:xfrm>
        <a:prstGeom prst="rect">
          <a:avLst/>
        </a:prstGeom>
        <a:noFill/>
        <a:ln w="9525">
          <a:noFill/>
          <a:miter lim="800000"/>
          <a:headEnd/>
          <a:tailEnd/>
        </a:ln>
      </xdr:spPr>
    </xdr:pic>
    <xdr:clientData/>
  </xdr:oneCellAnchor>
  <xdr:twoCellAnchor>
    <xdr:from>
      <xdr:col>22</xdr:col>
      <xdr:colOff>9525</xdr:colOff>
      <xdr:row>169</xdr:row>
      <xdr:rowOff>137160</xdr:rowOff>
    </xdr:from>
    <xdr:to>
      <xdr:col>57</xdr:col>
      <xdr:colOff>17145</xdr:colOff>
      <xdr:row>169</xdr:row>
      <xdr:rowOff>163963</xdr:rowOff>
    </xdr:to>
    <xdr:cxnSp macro="">
      <xdr:nvCxnSpPr>
        <xdr:cNvPr id="26" name="Straight Connector 25">
          <a:extLst>
            <a:ext uri="{FF2B5EF4-FFF2-40B4-BE49-F238E27FC236}">
              <a16:creationId xmlns:a16="http://schemas.microsoft.com/office/drawing/2014/main" id="{E69AD629-6596-40B3-9796-5A5A8A106FDB}"/>
            </a:ext>
          </a:extLst>
        </xdr:cNvPr>
        <xdr:cNvCxnSpPr/>
      </xdr:nvCxnSpPr>
      <xdr:spPr>
        <a:xfrm>
          <a:off x="18021300" y="35474910"/>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314193</xdr:colOff>
      <xdr:row>98</xdr:row>
      <xdr:rowOff>9522</xdr:rowOff>
    </xdr:from>
    <xdr:to>
      <xdr:col>56</xdr:col>
      <xdr:colOff>327660</xdr:colOff>
      <xdr:row>170</xdr:row>
      <xdr:rowOff>121920</xdr:rowOff>
    </xdr:to>
    <xdr:cxnSp macro="">
      <xdr:nvCxnSpPr>
        <xdr:cNvPr id="27" name="Straight Connector 26">
          <a:extLst>
            <a:ext uri="{FF2B5EF4-FFF2-40B4-BE49-F238E27FC236}">
              <a16:creationId xmlns:a16="http://schemas.microsoft.com/office/drawing/2014/main" id="{7D9D2180-4870-41E8-A05A-C77238373C38}"/>
            </a:ext>
          </a:extLst>
        </xdr:cNvPr>
        <xdr:cNvCxnSpPr/>
      </xdr:nvCxnSpPr>
      <xdr:spPr>
        <a:xfrm>
          <a:off x="30321753" y="19272882"/>
          <a:ext cx="13467" cy="15733398"/>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98</xdr:row>
      <xdr:rowOff>18917</xdr:rowOff>
    </xdr:from>
    <xdr:to>
      <xdr:col>57</xdr:col>
      <xdr:colOff>7620</xdr:colOff>
      <xdr:row>98</xdr:row>
      <xdr:rowOff>45720</xdr:rowOff>
    </xdr:to>
    <xdr:cxnSp macro="">
      <xdr:nvCxnSpPr>
        <xdr:cNvPr id="52" name="Straight Connector 51">
          <a:extLst>
            <a:ext uri="{FF2B5EF4-FFF2-40B4-BE49-F238E27FC236}">
              <a16:creationId xmlns:a16="http://schemas.microsoft.com/office/drawing/2014/main" id="{CB928A15-23E1-4EBC-9C34-1254BABD3F07}"/>
            </a:ext>
          </a:extLst>
        </xdr:cNvPr>
        <xdr:cNvCxnSpPr/>
      </xdr:nvCxnSpPr>
      <xdr:spPr>
        <a:xfrm>
          <a:off x="18002250" y="19840442"/>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7620</xdr:colOff>
      <xdr:row>98</xdr:row>
      <xdr:rowOff>47622</xdr:rowOff>
    </xdr:from>
    <xdr:to>
      <xdr:col>22</xdr:col>
      <xdr:colOff>9393</xdr:colOff>
      <xdr:row>170</xdr:row>
      <xdr:rowOff>45720</xdr:rowOff>
    </xdr:to>
    <xdr:cxnSp macro="">
      <xdr:nvCxnSpPr>
        <xdr:cNvPr id="53" name="Straight Connector 52">
          <a:extLst>
            <a:ext uri="{FF2B5EF4-FFF2-40B4-BE49-F238E27FC236}">
              <a16:creationId xmlns:a16="http://schemas.microsoft.com/office/drawing/2014/main" id="{3C3EDA09-31EA-47D3-9A5D-3AE9FA55E6BC}"/>
            </a:ext>
          </a:extLst>
        </xdr:cNvPr>
        <xdr:cNvCxnSpPr/>
      </xdr:nvCxnSpPr>
      <xdr:spPr>
        <a:xfrm flipH="1">
          <a:off x="18009870" y="19869147"/>
          <a:ext cx="1773" cy="158381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128</xdr:row>
      <xdr:rowOff>0</xdr:rowOff>
    </xdr:from>
    <xdr:to>
      <xdr:col>56</xdr:col>
      <xdr:colOff>30480</xdr:colOff>
      <xdr:row>128</xdr:row>
      <xdr:rowOff>38100</xdr:rowOff>
    </xdr:to>
    <xdr:cxnSp macro="">
      <xdr:nvCxnSpPr>
        <xdr:cNvPr id="54" name="Straight Connector 53">
          <a:extLst>
            <a:ext uri="{FF2B5EF4-FFF2-40B4-BE49-F238E27FC236}">
              <a16:creationId xmlns:a16="http://schemas.microsoft.com/office/drawing/2014/main" id="{71534220-8C67-4905-A33D-3D3A8D7F4D78}"/>
            </a:ext>
          </a:extLst>
        </xdr:cNvPr>
        <xdr:cNvCxnSpPr/>
      </xdr:nvCxnSpPr>
      <xdr:spPr>
        <a:xfrm>
          <a:off x="18002250" y="26593800"/>
          <a:ext cx="11041380" cy="3810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50</xdr:col>
      <xdr:colOff>233978</xdr:colOff>
      <xdr:row>125</xdr:row>
      <xdr:rowOff>200361</xdr:rowOff>
    </xdr:from>
    <xdr:ext cx="219075" cy="247650"/>
    <xdr:pic>
      <xdr:nvPicPr>
        <xdr:cNvPr id="56" name="Picture 55" descr="https://tse1.mm.bing.net/th?id=OIP.11IPUqok7qInEpcWmz9WawHaIZ&amp;pid=Api&amp;P=0">
          <a:extLst>
            <a:ext uri="{FF2B5EF4-FFF2-40B4-BE49-F238E27FC236}">
              <a16:creationId xmlns:a16="http://schemas.microsoft.com/office/drawing/2014/main" id="{03115DBE-13BC-4346-9438-454F469F48F0}"/>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7304028" y="26175036"/>
          <a:ext cx="219075" cy="247650"/>
        </a:xfrm>
        <a:prstGeom prst="rect">
          <a:avLst/>
        </a:prstGeom>
        <a:noFill/>
        <a:ln w="9525">
          <a:noFill/>
          <a:miter lim="800000"/>
          <a:headEnd/>
          <a:tailEnd/>
        </a:ln>
      </xdr:spPr>
    </xdr:pic>
    <xdr:clientData/>
  </xdr:oneCellAnchor>
  <xdr:twoCellAnchor>
    <xdr:from>
      <xdr:col>56</xdr:col>
      <xdr:colOff>314193</xdr:colOff>
      <xdr:row>98</xdr:row>
      <xdr:rowOff>9522</xdr:rowOff>
    </xdr:from>
    <xdr:to>
      <xdr:col>56</xdr:col>
      <xdr:colOff>327660</xdr:colOff>
      <xdr:row>170</xdr:row>
      <xdr:rowOff>121920</xdr:rowOff>
    </xdr:to>
    <xdr:cxnSp macro="">
      <xdr:nvCxnSpPr>
        <xdr:cNvPr id="58" name="Straight Connector 57">
          <a:extLst>
            <a:ext uri="{FF2B5EF4-FFF2-40B4-BE49-F238E27FC236}">
              <a16:creationId xmlns:a16="http://schemas.microsoft.com/office/drawing/2014/main" id="{AA83BE48-E7BB-4F49-A8C1-66B534A2F436}"/>
            </a:ext>
          </a:extLst>
        </xdr:cNvPr>
        <xdr:cNvCxnSpPr/>
      </xdr:nvCxnSpPr>
      <xdr:spPr>
        <a:xfrm>
          <a:off x="29327343" y="19831047"/>
          <a:ext cx="13467" cy="159524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98</xdr:row>
      <xdr:rowOff>57017</xdr:rowOff>
    </xdr:from>
    <xdr:to>
      <xdr:col>57</xdr:col>
      <xdr:colOff>7620</xdr:colOff>
      <xdr:row>98</xdr:row>
      <xdr:rowOff>83820</xdr:rowOff>
    </xdr:to>
    <xdr:cxnSp macro="">
      <xdr:nvCxnSpPr>
        <xdr:cNvPr id="59" name="Straight Connector 58">
          <a:extLst>
            <a:ext uri="{FF2B5EF4-FFF2-40B4-BE49-F238E27FC236}">
              <a16:creationId xmlns:a16="http://schemas.microsoft.com/office/drawing/2014/main" id="{47FE83F5-D27E-4BA1-B5CB-98247441240B}"/>
            </a:ext>
          </a:extLst>
        </xdr:cNvPr>
        <xdr:cNvCxnSpPr/>
      </xdr:nvCxnSpPr>
      <xdr:spPr>
        <a:xfrm>
          <a:off x="18011775" y="19754717"/>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7620</xdr:colOff>
      <xdr:row>98</xdr:row>
      <xdr:rowOff>47622</xdr:rowOff>
    </xdr:from>
    <xdr:to>
      <xdr:col>22</xdr:col>
      <xdr:colOff>9393</xdr:colOff>
      <xdr:row>170</xdr:row>
      <xdr:rowOff>45720</xdr:rowOff>
    </xdr:to>
    <xdr:cxnSp macro="">
      <xdr:nvCxnSpPr>
        <xdr:cNvPr id="60" name="Straight Connector 59">
          <a:extLst>
            <a:ext uri="{FF2B5EF4-FFF2-40B4-BE49-F238E27FC236}">
              <a16:creationId xmlns:a16="http://schemas.microsoft.com/office/drawing/2014/main" id="{453C73D3-3BE8-4545-B12D-0714518A3959}"/>
            </a:ext>
          </a:extLst>
        </xdr:cNvPr>
        <xdr:cNvCxnSpPr/>
      </xdr:nvCxnSpPr>
      <xdr:spPr>
        <a:xfrm flipH="1">
          <a:off x="18009870" y="19869147"/>
          <a:ext cx="1773" cy="158381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128</xdr:row>
      <xdr:rowOff>0</xdr:rowOff>
    </xdr:from>
    <xdr:to>
      <xdr:col>56</xdr:col>
      <xdr:colOff>257175</xdr:colOff>
      <xdr:row>128</xdr:row>
      <xdr:rowOff>28575</xdr:rowOff>
    </xdr:to>
    <xdr:cxnSp macro="">
      <xdr:nvCxnSpPr>
        <xdr:cNvPr id="61" name="Straight Connector 60">
          <a:extLst>
            <a:ext uri="{FF2B5EF4-FFF2-40B4-BE49-F238E27FC236}">
              <a16:creationId xmlns:a16="http://schemas.microsoft.com/office/drawing/2014/main" id="{D114E618-C63A-4192-82A2-B000FC5DDC04}"/>
            </a:ext>
          </a:extLst>
        </xdr:cNvPr>
        <xdr:cNvCxnSpPr/>
      </xdr:nvCxnSpPr>
      <xdr:spPr>
        <a:xfrm>
          <a:off x="18011775" y="26460450"/>
          <a:ext cx="11268075" cy="2857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314193</xdr:colOff>
      <xdr:row>98</xdr:row>
      <xdr:rowOff>9522</xdr:rowOff>
    </xdr:from>
    <xdr:to>
      <xdr:col>57</xdr:col>
      <xdr:colOff>1088</xdr:colOff>
      <xdr:row>170</xdr:row>
      <xdr:rowOff>121920</xdr:rowOff>
    </xdr:to>
    <xdr:cxnSp macro="">
      <xdr:nvCxnSpPr>
        <xdr:cNvPr id="65" name="Straight Connector 64">
          <a:extLst>
            <a:ext uri="{FF2B5EF4-FFF2-40B4-BE49-F238E27FC236}">
              <a16:creationId xmlns:a16="http://schemas.microsoft.com/office/drawing/2014/main" id="{8467A814-DAC9-4823-946C-BC17AA24B04A}"/>
            </a:ext>
          </a:extLst>
        </xdr:cNvPr>
        <xdr:cNvCxnSpPr/>
      </xdr:nvCxnSpPr>
      <xdr:spPr>
        <a:xfrm>
          <a:off x="29327343" y="19831047"/>
          <a:ext cx="10745" cy="1595247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editAs="oneCell">
    <xdr:from>
      <xdr:col>13</xdr:col>
      <xdr:colOff>514798</xdr:colOff>
      <xdr:row>19</xdr:row>
      <xdr:rowOff>114302</xdr:rowOff>
    </xdr:from>
    <xdr:to>
      <xdr:col>15</xdr:col>
      <xdr:colOff>177613</xdr:colOff>
      <xdr:row>22</xdr:row>
      <xdr:rowOff>120652</xdr:rowOff>
    </xdr:to>
    <xdr:pic>
      <xdr:nvPicPr>
        <xdr:cNvPr id="2" name="Picture 1">
          <a:extLst>
            <a:ext uri="{FF2B5EF4-FFF2-40B4-BE49-F238E27FC236}">
              <a16:creationId xmlns:a16="http://schemas.microsoft.com/office/drawing/2014/main" id="{A98934E4-50E3-4980-8C38-48416131C6C4}"/>
            </a:ext>
          </a:extLst>
        </xdr:cNvPr>
        <xdr:cNvPicPr/>
      </xdr:nvPicPr>
      <xdr:blipFill>
        <a:blip xmlns:r="http://schemas.openxmlformats.org/officeDocument/2006/relationships" r:embed="rId1" cstate="print"/>
        <a:srcRect b="17620"/>
        <a:stretch>
          <a:fillRect/>
        </a:stretch>
      </xdr:blipFill>
      <xdr:spPr>
        <a:xfrm>
          <a:off x="12539158" y="3596642"/>
          <a:ext cx="1141095" cy="554990"/>
        </a:xfrm>
        <a:prstGeom prst="rect">
          <a:avLst/>
        </a:prstGeom>
        <a:noFill/>
        <a:ln w="9525">
          <a:noFill/>
          <a:miter lim="800000"/>
          <a:headEnd/>
          <a:tailEnd/>
        </a:ln>
      </xdr:spPr>
    </xdr:pic>
    <xdr:clientData/>
  </xdr:twoCellAnchor>
  <xdr:oneCellAnchor>
    <xdr:from>
      <xdr:col>45</xdr:col>
      <xdr:colOff>278130</xdr:colOff>
      <xdr:row>62</xdr:row>
      <xdr:rowOff>182880</xdr:rowOff>
    </xdr:from>
    <xdr:ext cx="219075" cy="247650"/>
    <xdr:pic>
      <xdr:nvPicPr>
        <xdr:cNvPr id="3" name="Picture 2" descr="https://tse1.mm.bing.net/th?id=OIP.11IPUqok7qInEpcWmz9WawHaIZ&amp;pid=Api&amp;P=0">
          <a:extLst>
            <a:ext uri="{FF2B5EF4-FFF2-40B4-BE49-F238E27FC236}">
              <a16:creationId xmlns:a16="http://schemas.microsoft.com/office/drawing/2014/main" id="{454C9761-7CEF-4CE0-AAE5-441E03EC6AF9}"/>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738455" y="12746355"/>
          <a:ext cx="219075" cy="247650"/>
        </a:xfrm>
        <a:prstGeom prst="rect">
          <a:avLst/>
        </a:prstGeom>
        <a:noFill/>
        <a:ln w="9525">
          <a:noFill/>
          <a:miter lim="800000"/>
          <a:headEnd/>
          <a:tailEnd/>
        </a:ln>
      </xdr:spPr>
    </xdr:pic>
    <xdr:clientData/>
  </xdr:oneCellAnchor>
  <xdr:twoCellAnchor>
    <xdr:from>
      <xdr:col>22</xdr:col>
      <xdr:colOff>0</xdr:colOff>
      <xdr:row>19</xdr:row>
      <xdr:rowOff>19050</xdr:rowOff>
    </xdr:from>
    <xdr:to>
      <xdr:col>57</xdr:col>
      <xdr:colOff>0</xdr:colOff>
      <xdr:row>19</xdr:row>
      <xdr:rowOff>20731</xdr:rowOff>
    </xdr:to>
    <xdr:cxnSp macro="">
      <xdr:nvCxnSpPr>
        <xdr:cNvPr id="4" name="Straight Connector 3">
          <a:extLst>
            <a:ext uri="{FF2B5EF4-FFF2-40B4-BE49-F238E27FC236}">
              <a16:creationId xmlns:a16="http://schemas.microsoft.com/office/drawing/2014/main" id="{CE2C7654-CB68-4252-9DC5-BAF4E64CDF3A}"/>
            </a:ext>
          </a:extLst>
        </xdr:cNvPr>
        <xdr:cNvCxnSpPr/>
      </xdr:nvCxnSpPr>
      <xdr:spPr>
        <a:xfrm flipV="1">
          <a:off x="18608040" y="3501390"/>
          <a:ext cx="1173480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20731</xdr:colOff>
      <xdr:row>19</xdr:row>
      <xdr:rowOff>1</xdr:rowOff>
    </xdr:from>
    <xdr:to>
      <xdr:col>22</xdr:col>
      <xdr:colOff>28575</xdr:colOff>
      <xdr:row>95</xdr:row>
      <xdr:rowOff>19053</xdr:rowOff>
    </xdr:to>
    <xdr:cxnSp macro="">
      <xdr:nvCxnSpPr>
        <xdr:cNvPr id="5" name="Straight Connector 4">
          <a:extLst>
            <a:ext uri="{FF2B5EF4-FFF2-40B4-BE49-F238E27FC236}">
              <a16:creationId xmlns:a16="http://schemas.microsoft.com/office/drawing/2014/main" id="{F75CD28E-1CF1-44BE-8F58-53E5177F985C}"/>
            </a:ext>
          </a:extLst>
        </xdr:cNvPr>
        <xdr:cNvCxnSpPr/>
      </xdr:nvCxnSpPr>
      <xdr:spPr>
        <a:xfrm>
          <a:off x="18628771" y="3482341"/>
          <a:ext cx="7844" cy="15335252"/>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296958</xdr:colOff>
      <xdr:row>19</xdr:row>
      <xdr:rowOff>38100</xdr:rowOff>
    </xdr:from>
    <xdr:to>
      <xdr:col>57</xdr:col>
      <xdr:colOff>9525</xdr:colOff>
      <xdr:row>95</xdr:row>
      <xdr:rowOff>9525</xdr:rowOff>
    </xdr:to>
    <xdr:cxnSp macro="">
      <xdr:nvCxnSpPr>
        <xdr:cNvPr id="6" name="Straight Connector 5">
          <a:extLst>
            <a:ext uri="{FF2B5EF4-FFF2-40B4-BE49-F238E27FC236}">
              <a16:creationId xmlns:a16="http://schemas.microsoft.com/office/drawing/2014/main" id="{267F0CC8-9FB9-467D-BC5D-59F5EA7D1CF1}"/>
            </a:ext>
          </a:extLst>
        </xdr:cNvPr>
        <xdr:cNvCxnSpPr/>
      </xdr:nvCxnSpPr>
      <xdr:spPr>
        <a:xfrm>
          <a:off x="30304518" y="3520440"/>
          <a:ext cx="47847" cy="1528762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7" name="Picture 6">
          <a:extLst>
            <a:ext uri="{FF2B5EF4-FFF2-40B4-BE49-F238E27FC236}">
              <a16:creationId xmlns:a16="http://schemas.microsoft.com/office/drawing/2014/main" id="{10C1F9C4-584A-4E9F-836F-CF68B0837E2A}"/>
            </a:ext>
          </a:extLst>
        </xdr:cNvPr>
        <xdr:cNvPicPr/>
      </xdr:nvPicPr>
      <xdr:blipFill>
        <a:blip xmlns:r="http://schemas.openxmlformats.org/officeDocument/2006/relationships" r:embed="rId4" cstate="print"/>
        <a:srcRect/>
        <a:stretch>
          <a:fillRect/>
        </a:stretch>
      </xdr:blipFill>
      <xdr:spPr bwMode="auto">
        <a:xfrm>
          <a:off x="23606760" y="3606166"/>
          <a:ext cx="1615441" cy="859154"/>
        </a:xfrm>
        <a:prstGeom prst="rect">
          <a:avLst/>
        </a:prstGeom>
        <a:noFill/>
        <a:ln w="9525">
          <a:noFill/>
          <a:miter lim="800000"/>
          <a:headEnd/>
          <a:tailEnd/>
        </a:ln>
      </xdr:spPr>
    </xdr:pic>
    <xdr:clientData/>
  </xdr:oneCellAnchor>
  <xdr:twoCellAnchor>
    <xdr:from>
      <xdr:col>22</xdr:col>
      <xdr:colOff>0</xdr:colOff>
      <xdr:row>49</xdr:row>
      <xdr:rowOff>0</xdr:rowOff>
    </xdr:from>
    <xdr:to>
      <xdr:col>57</xdr:col>
      <xdr:colOff>0</xdr:colOff>
      <xdr:row>49</xdr:row>
      <xdr:rowOff>1681</xdr:rowOff>
    </xdr:to>
    <xdr:cxnSp macro="">
      <xdr:nvCxnSpPr>
        <xdr:cNvPr id="8" name="Straight Connector 7">
          <a:extLst>
            <a:ext uri="{FF2B5EF4-FFF2-40B4-BE49-F238E27FC236}">
              <a16:creationId xmlns:a16="http://schemas.microsoft.com/office/drawing/2014/main" id="{219DF353-781D-467E-B06E-6958E8BD8CBC}"/>
            </a:ext>
          </a:extLst>
        </xdr:cNvPr>
        <xdr:cNvCxnSpPr/>
      </xdr:nvCxnSpPr>
      <xdr:spPr>
        <a:xfrm flipV="1">
          <a:off x="18608040" y="9616440"/>
          <a:ext cx="1173480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22860</xdr:colOff>
      <xdr:row>87</xdr:row>
      <xdr:rowOff>173131</xdr:rowOff>
    </xdr:from>
    <xdr:to>
      <xdr:col>57</xdr:col>
      <xdr:colOff>19050</xdr:colOff>
      <xdr:row>87</xdr:row>
      <xdr:rowOff>180975</xdr:rowOff>
    </xdr:to>
    <xdr:cxnSp macro="">
      <xdr:nvCxnSpPr>
        <xdr:cNvPr id="9" name="Straight Connector 8">
          <a:extLst>
            <a:ext uri="{FF2B5EF4-FFF2-40B4-BE49-F238E27FC236}">
              <a16:creationId xmlns:a16="http://schemas.microsoft.com/office/drawing/2014/main" id="{C08819DE-D031-4697-B575-CC81A74683DB}"/>
            </a:ext>
          </a:extLst>
        </xdr:cNvPr>
        <xdr:cNvCxnSpPr/>
      </xdr:nvCxnSpPr>
      <xdr:spPr>
        <a:xfrm>
          <a:off x="18630900" y="17371471"/>
          <a:ext cx="1173099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28575</xdr:colOff>
      <xdr:row>18</xdr:row>
      <xdr:rowOff>190500</xdr:rowOff>
    </xdr:from>
    <xdr:to>
      <xdr:col>57</xdr:col>
      <xdr:colOff>28575</xdr:colOff>
      <xdr:row>18</xdr:row>
      <xdr:rowOff>192181</xdr:rowOff>
    </xdr:to>
    <xdr:cxnSp macro="">
      <xdr:nvCxnSpPr>
        <xdr:cNvPr id="10" name="Straight Connector 9">
          <a:extLst>
            <a:ext uri="{FF2B5EF4-FFF2-40B4-BE49-F238E27FC236}">
              <a16:creationId xmlns:a16="http://schemas.microsoft.com/office/drawing/2014/main" id="{70CA7647-64A6-4C6A-8131-0740DABAAEB5}"/>
            </a:ext>
          </a:extLst>
        </xdr:cNvPr>
        <xdr:cNvCxnSpPr/>
      </xdr:nvCxnSpPr>
      <xdr:spPr>
        <a:xfrm flipV="1">
          <a:off x="18040350" y="3619500"/>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85725</xdr:colOff>
      <xdr:row>31</xdr:row>
      <xdr:rowOff>169545</xdr:rowOff>
    </xdr:from>
    <xdr:ext cx="219075" cy="247650"/>
    <xdr:pic>
      <xdr:nvPicPr>
        <xdr:cNvPr id="11" name="Picture 10" descr="https://tse1.mm.bing.net/th?id=OIP.11IPUqok7qInEpcWmz9WawHaIZ&amp;pid=Api&amp;P=0">
          <a:extLst>
            <a:ext uri="{FF2B5EF4-FFF2-40B4-BE49-F238E27FC236}">
              <a16:creationId xmlns:a16="http://schemas.microsoft.com/office/drawing/2014/main" id="{41B747D6-B831-4358-B8E8-3CB61EAE83DF}"/>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9029045" y="6120765"/>
          <a:ext cx="219075" cy="247650"/>
        </a:xfrm>
        <a:prstGeom prst="rect">
          <a:avLst/>
        </a:prstGeom>
        <a:noFill/>
        <a:ln w="9525">
          <a:noFill/>
          <a:miter lim="800000"/>
          <a:headEnd/>
          <a:tailEnd/>
        </a:ln>
      </xdr:spPr>
    </xdr:pic>
    <xdr:clientData/>
  </xdr:oneCellAnchor>
  <xdr:oneCellAnchor>
    <xdr:from>
      <xdr:col>30</xdr:col>
      <xdr:colOff>93345</xdr:colOff>
      <xdr:row>31</xdr:row>
      <xdr:rowOff>158115</xdr:rowOff>
    </xdr:from>
    <xdr:ext cx="219075" cy="247650"/>
    <xdr:pic>
      <xdr:nvPicPr>
        <xdr:cNvPr id="12" name="Picture 11" descr="https://tse1.mm.bing.net/th?id=OIP.11IPUqok7qInEpcWmz9WawHaIZ&amp;pid=Api&amp;P=0">
          <a:extLst>
            <a:ext uri="{FF2B5EF4-FFF2-40B4-BE49-F238E27FC236}">
              <a16:creationId xmlns:a16="http://schemas.microsoft.com/office/drawing/2014/main" id="{A6869135-3A75-41BC-A1DC-21C1A750A245}"/>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0695920" y="6292215"/>
          <a:ext cx="219075" cy="247650"/>
        </a:xfrm>
        <a:prstGeom prst="rect">
          <a:avLst/>
        </a:prstGeom>
        <a:noFill/>
        <a:ln w="9525">
          <a:noFill/>
          <a:miter lim="800000"/>
          <a:headEnd/>
          <a:tailEnd/>
        </a:ln>
      </xdr:spPr>
    </xdr:pic>
    <xdr:clientData/>
  </xdr:oneCellAnchor>
  <xdr:oneCellAnchor>
    <xdr:from>
      <xdr:col>38</xdr:col>
      <xdr:colOff>89535</xdr:colOff>
      <xdr:row>33</xdr:row>
      <xdr:rowOff>165735</xdr:rowOff>
    </xdr:from>
    <xdr:ext cx="219075" cy="247650"/>
    <xdr:pic>
      <xdr:nvPicPr>
        <xdr:cNvPr id="13" name="Picture 12" descr="https://tse1.mm.bing.net/th?id=OIP.11IPUqok7qInEpcWmz9WawHaIZ&amp;pid=Api&amp;P=0">
          <a:extLst>
            <a:ext uri="{FF2B5EF4-FFF2-40B4-BE49-F238E27FC236}">
              <a16:creationId xmlns:a16="http://schemas.microsoft.com/office/drawing/2014/main" id="{6E6A3006-C642-4A43-806F-DC5C3E7E0B61}"/>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3282910" y="6699885"/>
          <a:ext cx="219075" cy="247650"/>
        </a:xfrm>
        <a:prstGeom prst="rect">
          <a:avLst/>
        </a:prstGeom>
        <a:noFill/>
        <a:ln w="9525">
          <a:noFill/>
          <a:miter lim="800000"/>
          <a:headEnd/>
          <a:tailEnd/>
        </a:ln>
      </xdr:spPr>
    </xdr:pic>
    <xdr:clientData/>
  </xdr:oneCellAnchor>
  <xdr:oneCellAnchor>
    <xdr:from>
      <xdr:col>45</xdr:col>
      <xdr:colOff>85725</xdr:colOff>
      <xdr:row>31</xdr:row>
      <xdr:rowOff>167640</xdr:rowOff>
    </xdr:from>
    <xdr:ext cx="219075" cy="247650"/>
    <xdr:pic>
      <xdr:nvPicPr>
        <xdr:cNvPr id="14" name="Picture 13" descr="https://tse1.mm.bing.net/th?id=OIP.11IPUqok7qInEpcWmz9WawHaIZ&amp;pid=Api&amp;P=0">
          <a:extLst>
            <a:ext uri="{FF2B5EF4-FFF2-40B4-BE49-F238E27FC236}">
              <a16:creationId xmlns:a16="http://schemas.microsoft.com/office/drawing/2014/main" id="{1B008F8C-AC15-424D-97C5-CDED3D2C43CA}"/>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546050" y="6301740"/>
          <a:ext cx="219075" cy="247650"/>
        </a:xfrm>
        <a:prstGeom prst="rect">
          <a:avLst/>
        </a:prstGeom>
        <a:noFill/>
        <a:ln w="9525">
          <a:noFill/>
          <a:miter lim="800000"/>
          <a:headEnd/>
          <a:tailEnd/>
        </a:ln>
      </xdr:spPr>
    </xdr:pic>
    <xdr:clientData/>
  </xdr:oneCellAnchor>
  <xdr:oneCellAnchor>
    <xdr:from>
      <xdr:col>31</xdr:col>
      <xdr:colOff>85725</xdr:colOff>
      <xdr:row>41</xdr:row>
      <xdr:rowOff>154305</xdr:rowOff>
    </xdr:from>
    <xdr:ext cx="219075" cy="247650"/>
    <xdr:pic>
      <xdr:nvPicPr>
        <xdr:cNvPr id="15" name="Picture 14" descr="https://tse1.mm.bing.net/th?id=OIP.11IPUqok7qInEpcWmz9WawHaIZ&amp;pid=Api&amp;P=0">
          <a:extLst>
            <a:ext uri="{FF2B5EF4-FFF2-40B4-BE49-F238E27FC236}">
              <a16:creationId xmlns:a16="http://schemas.microsoft.com/office/drawing/2014/main" id="{C0753059-8FA4-40AD-B1F9-DDEBDFD11E67}"/>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1711285" y="8124825"/>
          <a:ext cx="219075" cy="247650"/>
        </a:xfrm>
        <a:prstGeom prst="rect">
          <a:avLst/>
        </a:prstGeom>
        <a:noFill/>
        <a:ln w="9525">
          <a:noFill/>
          <a:miter lim="800000"/>
          <a:headEnd/>
          <a:tailEnd/>
        </a:ln>
      </xdr:spPr>
    </xdr:pic>
    <xdr:clientData/>
  </xdr:oneCellAnchor>
  <xdr:oneCellAnchor>
    <xdr:from>
      <xdr:col>43</xdr:col>
      <xdr:colOff>95250</xdr:colOff>
      <xdr:row>41</xdr:row>
      <xdr:rowOff>169545</xdr:rowOff>
    </xdr:from>
    <xdr:ext cx="219075" cy="247650"/>
    <xdr:pic>
      <xdr:nvPicPr>
        <xdr:cNvPr id="16" name="Picture 15" descr="https://tse1.mm.bing.net/th?id=OIP.11IPUqok7qInEpcWmz9WawHaIZ&amp;pid=Api&amp;P=0">
          <a:extLst>
            <a:ext uri="{FF2B5EF4-FFF2-40B4-BE49-F238E27FC236}">
              <a16:creationId xmlns:a16="http://schemas.microsoft.com/office/drawing/2014/main" id="{A1481562-28B9-47BC-A47B-D7C89D70CDE9}"/>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744170" y="8140065"/>
          <a:ext cx="219075" cy="247650"/>
        </a:xfrm>
        <a:prstGeom prst="rect">
          <a:avLst/>
        </a:prstGeom>
        <a:noFill/>
        <a:ln w="9525">
          <a:noFill/>
          <a:miter lim="800000"/>
          <a:headEnd/>
          <a:tailEnd/>
        </a:ln>
      </xdr:spPr>
    </xdr:pic>
    <xdr:clientData/>
  </xdr:oneCellAnchor>
  <xdr:oneCellAnchor>
    <xdr:from>
      <xdr:col>42</xdr:col>
      <xdr:colOff>118110</xdr:colOff>
      <xdr:row>49</xdr:row>
      <xdr:rowOff>180975</xdr:rowOff>
    </xdr:from>
    <xdr:ext cx="219075" cy="247650"/>
    <xdr:pic>
      <xdr:nvPicPr>
        <xdr:cNvPr id="17" name="Picture 16" descr="https://tse1.mm.bing.net/th?id=OIP.11IPUqok7qInEpcWmz9WawHaIZ&amp;pid=Api&amp;P=0">
          <a:extLst>
            <a:ext uri="{FF2B5EF4-FFF2-40B4-BE49-F238E27FC236}">
              <a16:creationId xmlns:a16="http://schemas.microsoft.com/office/drawing/2014/main" id="{50767F66-3BF2-432B-B327-3C132A5AE934}"/>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606885" y="10039350"/>
          <a:ext cx="219075" cy="247650"/>
        </a:xfrm>
        <a:prstGeom prst="rect">
          <a:avLst/>
        </a:prstGeom>
        <a:noFill/>
        <a:ln w="9525">
          <a:noFill/>
          <a:miter lim="800000"/>
          <a:headEnd/>
          <a:tailEnd/>
        </a:ln>
      </xdr:spPr>
    </xdr:pic>
    <xdr:clientData/>
  </xdr:oneCellAnchor>
  <xdr:twoCellAnchor>
    <xdr:from>
      <xdr:col>22</xdr:col>
      <xdr:colOff>0</xdr:colOff>
      <xdr:row>95</xdr:row>
      <xdr:rowOff>30480</xdr:rowOff>
    </xdr:from>
    <xdr:to>
      <xdr:col>56</xdr:col>
      <xdr:colOff>331470</xdr:colOff>
      <xdr:row>95</xdr:row>
      <xdr:rowOff>38324</xdr:rowOff>
    </xdr:to>
    <xdr:cxnSp macro="">
      <xdr:nvCxnSpPr>
        <xdr:cNvPr id="18" name="Straight Connector 17">
          <a:extLst>
            <a:ext uri="{FF2B5EF4-FFF2-40B4-BE49-F238E27FC236}">
              <a16:creationId xmlns:a16="http://schemas.microsoft.com/office/drawing/2014/main" id="{CB8C78E4-AA3A-414A-A265-DBA895A5F448}"/>
            </a:ext>
          </a:extLst>
        </xdr:cNvPr>
        <xdr:cNvCxnSpPr/>
      </xdr:nvCxnSpPr>
      <xdr:spPr>
        <a:xfrm>
          <a:off x="18608040" y="18829020"/>
          <a:ext cx="1173099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98</xdr:row>
      <xdr:rowOff>18917</xdr:rowOff>
    </xdr:from>
    <xdr:to>
      <xdr:col>57</xdr:col>
      <xdr:colOff>7620</xdr:colOff>
      <xdr:row>98</xdr:row>
      <xdr:rowOff>45720</xdr:rowOff>
    </xdr:to>
    <xdr:cxnSp macro="">
      <xdr:nvCxnSpPr>
        <xdr:cNvPr id="19" name="Straight Connector 18">
          <a:extLst>
            <a:ext uri="{FF2B5EF4-FFF2-40B4-BE49-F238E27FC236}">
              <a16:creationId xmlns:a16="http://schemas.microsoft.com/office/drawing/2014/main" id="{9EEB0510-DA78-4F2F-AC70-790DCEE6C2F2}"/>
            </a:ext>
          </a:extLst>
        </xdr:cNvPr>
        <xdr:cNvCxnSpPr/>
      </xdr:nvCxnSpPr>
      <xdr:spPr>
        <a:xfrm>
          <a:off x="18011775" y="19802342"/>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7620</xdr:colOff>
      <xdr:row>98</xdr:row>
      <xdr:rowOff>47622</xdr:rowOff>
    </xdr:from>
    <xdr:to>
      <xdr:col>22</xdr:col>
      <xdr:colOff>9393</xdr:colOff>
      <xdr:row>170</xdr:row>
      <xdr:rowOff>45720</xdr:rowOff>
    </xdr:to>
    <xdr:cxnSp macro="">
      <xdr:nvCxnSpPr>
        <xdr:cNvPr id="20" name="Straight Connector 19">
          <a:extLst>
            <a:ext uri="{FF2B5EF4-FFF2-40B4-BE49-F238E27FC236}">
              <a16:creationId xmlns:a16="http://schemas.microsoft.com/office/drawing/2014/main" id="{D1E818EC-D185-476C-84BF-D8EAF5CE6B3A}"/>
            </a:ext>
          </a:extLst>
        </xdr:cNvPr>
        <xdr:cNvCxnSpPr/>
      </xdr:nvCxnSpPr>
      <xdr:spPr>
        <a:xfrm flipH="1">
          <a:off x="18615660" y="19394802"/>
          <a:ext cx="1773" cy="15619098"/>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128</xdr:row>
      <xdr:rowOff>0</xdr:rowOff>
    </xdr:from>
    <xdr:to>
      <xdr:col>56</xdr:col>
      <xdr:colOff>30480</xdr:colOff>
      <xdr:row>128</xdr:row>
      <xdr:rowOff>38100</xdr:rowOff>
    </xdr:to>
    <xdr:cxnSp macro="">
      <xdr:nvCxnSpPr>
        <xdr:cNvPr id="21" name="Straight Connector 20">
          <a:extLst>
            <a:ext uri="{FF2B5EF4-FFF2-40B4-BE49-F238E27FC236}">
              <a16:creationId xmlns:a16="http://schemas.microsoft.com/office/drawing/2014/main" id="{E9ADB23B-897B-481E-B044-5C57DEEECD4C}"/>
            </a:ext>
          </a:extLst>
        </xdr:cNvPr>
        <xdr:cNvCxnSpPr/>
      </xdr:nvCxnSpPr>
      <xdr:spPr>
        <a:xfrm>
          <a:off x="18608040" y="25961340"/>
          <a:ext cx="11430000" cy="3810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103206</xdr:colOff>
      <xdr:row>125</xdr:row>
      <xdr:rowOff>147917</xdr:rowOff>
    </xdr:from>
    <xdr:ext cx="219075" cy="247650"/>
    <xdr:pic>
      <xdr:nvPicPr>
        <xdr:cNvPr id="22" name="Picture 21" descr="https://tse1.mm.bing.net/th?id=OIP.11IPUqok7qInEpcWmz9WawHaIZ&amp;pid=Api&amp;P=0">
          <a:extLst>
            <a:ext uri="{FF2B5EF4-FFF2-40B4-BE49-F238E27FC236}">
              <a16:creationId xmlns:a16="http://schemas.microsoft.com/office/drawing/2014/main" id="{E9BBD347-95A3-4A01-BFCF-CF21BB7E2278}"/>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239681" y="26074967"/>
          <a:ext cx="219075" cy="247650"/>
        </a:xfrm>
        <a:prstGeom prst="rect">
          <a:avLst/>
        </a:prstGeom>
        <a:noFill/>
        <a:ln w="9525">
          <a:noFill/>
          <a:miter lim="800000"/>
          <a:headEnd/>
          <a:tailEnd/>
        </a:ln>
      </xdr:spPr>
    </xdr:pic>
    <xdr:clientData/>
  </xdr:oneCellAnchor>
  <xdr:oneCellAnchor>
    <xdr:from>
      <xdr:col>50</xdr:col>
      <xdr:colOff>233978</xdr:colOff>
      <xdr:row>125</xdr:row>
      <xdr:rowOff>200361</xdr:rowOff>
    </xdr:from>
    <xdr:ext cx="219075" cy="247650"/>
    <xdr:pic>
      <xdr:nvPicPr>
        <xdr:cNvPr id="23" name="Picture 22" descr="https://tse1.mm.bing.net/th?id=OIP.11IPUqok7qInEpcWmz9WawHaIZ&amp;pid=Api&amp;P=0">
          <a:extLst>
            <a:ext uri="{FF2B5EF4-FFF2-40B4-BE49-F238E27FC236}">
              <a16:creationId xmlns:a16="http://schemas.microsoft.com/office/drawing/2014/main" id="{8356DF15-4E0E-4972-B361-E324F553794B}"/>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8229858" y="25552101"/>
          <a:ext cx="219075" cy="247650"/>
        </a:xfrm>
        <a:prstGeom prst="rect">
          <a:avLst/>
        </a:prstGeom>
        <a:noFill/>
        <a:ln w="9525">
          <a:noFill/>
          <a:miter lim="800000"/>
          <a:headEnd/>
          <a:tailEnd/>
        </a:ln>
      </xdr:spPr>
    </xdr:pic>
    <xdr:clientData/>
  </xdr:oneCellAnchor>
  <xdr:twoCellAnchor>
    <xdr:from>
      <xdr:col>22</xdr:col>
      <xdr:colOff>9525</xdr:colOff>
      <xdr:row>169</xdr:row>
      <xdr:rowOff>175260</xdr:rowOff>
    </xdr:from>
    <xdr:to>
      <xdr:col>57</xdr:col>
      <xdr:colOff>17145</xdr:colOff>
      <xdr:row>170</xdr:row>
      <xdr:rowOff>11563</xdr:rowOff>
    </xdr:to>
    <xdr:cxnSp macro="">
      <xdr:nvCxnSpPr>
        <xdr:cNvPr id="26" name="Straight Connector 25">
          <a:extLst>
            <a:ext uri="{FF2B5EF4-FFF2-40B4-BE49-F238E27FC236}">
              <a16:creationId xmlns:a16="http://schemas.microsoft.com/office/drawing/2014/main" id="{A75CFDBD-E9EA-4C05-A7E7-03316129533B}"/>
            </a:ext>
          </a:extLst>
        </xdr:cNvPr>
        <xdr:cNvCxnSpPr/>
      </xdr:nvCxnSpPr>
      <xdr:spPr>
        <a:xfrm>
          <a:off x="18021300" y="35598735"/>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314193</xdr:colOff>
      <xdr:row>98</xdr:row>
      <xdr:rowOff>9522</xdr:rowOff>
    </xdr:from>
    <xdr:to>
      <xdr:col>56</xdr:col>
      <xdr:colOff>327660</xdr:colOff>
      <xdr:row>170</xdr:row>
      <xdr:rowOff>121920</xdr:rowOff>
    </xdr:to>
    <xdr:cxnSp macro="">
      <xdr:nvCxnSpPr>
        <xdr:cNvPr id="27" name="Straight Connector 26">
          <a:extLst>
            <a:ext uri="{FF2B5EF4-FFF2-40B4-BE49-F238E27FC236}">
              <a16:creationId xmlns:a16="http://schemas.microsoft.com/office/drawing/2014/main" id="{2EB44596-75F8-410F-9BA4-1122AF54C7AC}"/>
            </a:ext>
          </a:extLst>
        </xdr:cNvPr>
        <xdr:cNvCxnSpPr/>
      </xdr:nvCxnSpPr>
      <xdr:spPr>
        <a:xfrm>
          <a:off x="30321753" y="19356702"/>
          <a:ext cx="13467" cy="15733398"/>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14</xdr:col>
      <xdr:colOff>215441</xdr:colOff>
      <xdr:row>19</xdr:row>
      <xdr:rowOff>100695</xdr:rowOff>
    </xdr:from>
    <xdr:to>
      <xdr:col>15</xdr:col>
      <xdr:colOff>561334</xdr:colOff>
      <xdr:row>22</xdr:row>
      <xdr:rowOff>135620</xdr:rowOff>
    </xdr:to>
    <xdr:pic>
      <xdr:nvPicPr>
        <xdr:cNvPr id="24" name="Picture 23">
          <a:extLst>
            <a:ext uri="{FF2B5EF4-FFF2-40B4-BE49-F238E27FC236}">
              <a16:creationId xmlns:a16="http://schemas.microsoft.com/office/drawing/2014/main" id="{485A1047-AD92-42EC-A175-FD66776E0E49}"/>
            </a:ext>
          </a:extLst>
        </xdr:cNvPr>
        <xdr:cNvPicPr/>
      </xdr:nvPicPr>
      <xdr:blipFill>
        <a:blip xmlns:r="http://schemas.openxmlformats.org/officeDocument/2006/relationships" r:embed="rId1" cstate="print"/>
        <a:srcRect b="17620"/>
        <a:stretch>
          <a:fillRect/>
        </a:stretch>
      </xdr:blipFill>
      <xdr:spPr>
        <a:xfrm>
          <a:off x="12569366" y="3729720"/>
          <a:ext cx="1060268" cy="635000"/>
        </a:xfrm>
        <a:prstGeom prst="rect">
          <a:avLst/>
        </a:prstGeom>
        <a:noFill/>
        <a:ln w="9525">
          <a:noFill/>
          <a:miter lim="800000"/>
          <a:headEnd/>
          <a:tailEn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14</xdr:col>
      <xdr:colOff>215441</xdr:colOff>
      <xdr:row>19</xdr:row>
      <xdr:rowOff>100695</xdr:rowOff>
    </xdr:from>
    <xdr:to>
      <xdr:col>15</xdr:col>
      <xdr:colOff>561334</xdr:colOff>
      <xdr:row>22</xdr:row>
      <xdr:rowOff>135620</xdr:rowOff>
    </xdr:to>
    <xdr:pic>
      <xdr:nvPicPr>
        <xdr:cNvPr id="2" name="Picture 1">
          <a:extLst>
            <a:ext uri="{FF2B5EF4-FFF2-40B4-BE49-F238E27FC236}">
              <a16:creationId xmlns:a16="http://schemas.microsoft.com/office/drawing/2014/main" id="{77467102-E412-4F5B-8D00-223E7D060B3E}"/>
            </a:ext>
          </a:extLst>
        </xdr:cNvPr>
        <xdr:cNvPicPr/>
      </xdr:nvPicPr>
      <xdr:blipFill>
        <a:blip xmlns:r="http://schemas.openxmlformats.org/officeDocument/2006/relationships" r:embed="rId1" cstate="print"/>
        <a:srcRect b="17620"/>
        <a:stretch>
          <a:fillRect/>
        </a:stretch>
      </xdr:blipFill>
      <xdr:spPr>
        <a:xfrm>
          <a:off x="12611548" y="3733802"/>
          <a:ext cx="1067072" cy="647247"/>
        </a:xfrm>
        <a:prstGeom prst="rect">
          <a:avLst/>
        </a:prstGeom>
        <a:noFill/>
        <a:ln w="9525">
          <a:noFill/>
          <a:miter lim="800000"/>
          <a:headEnd/>
          <a:tailEnd/>
        </a:ln>
      </xdr:spPr>
    </xdr:pic>
    <xdr:clientData/>
  </xdr:twoCellAnchor>
  <xdr:oneCellAnchor>
    <xdr:from>
      <xdr:col>45</xdr:col>
      <xdr:colOff>278130</xdr:colOff>
      <xdr:row>62</xdr:row>
      <xdr:rowOff>182880</xdr:rowOff>
    </xdr:from>
    <xdr:ext cx="219075" cy="247650"/>
    <xdr:pic>
      <xdr:nvPicPr>
        <xdr:cNvPr id="3" name="Picture 2" descr="https://tse1.mm.bing.net/th?id=OIP.11IPUqok7qInEpcWmz9WawHaIZ&amp;pid=Api&amp;P=0">
          <a:extLst>
            <a:ext uri="{FF2B5EF4-FFF2-40B4-BE49-F238E27FC236}">
              <a16:creationId xmlns:a16="http://schemas.microsoft.com/office/drawing/2014/main" id="{2D633A3E-0809-443B-A5D0-23632065ADB6}"/>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738455" y="12746355"/>
          <a:ext cx="219075" cy="247650"/>
        </a:xfrm>
        <a:prstGeom prst="rect">
          <a:avLst/>
        </a:prstGeom>
        <a:noFill/>
        <a:ln w="9525">
          <a:noFill/>
          <a:miter lim="800000"/>
          <a:headEnd/>
          <a:tailEnd/>
        </a:ln>
      </xdr:spPr>
    </xdr:pic>
    <xdr:clientData/>
  </xdr:oneCellAnchor>
  <xdr:twoCellAnchor>
    <xdr:from>
      <xdr:col>22</xdr:col>
      <xdr:colOff>0</xdr:colOff>
      <xdr:row>19</xdr:row>
      <xdr:rowOff>19050</xdr:rowOff>
    </xdr:from>
    <xdr:to>
      <xdr:col>57</xdr:col>
      <xdr:colOff>0</xdr:colOff>
      <xdr:row>19</xdr:row>
      <xdr:rowOff>20731</xdr:rowOff>
    </xdr:to>
    <xdr:cxnSp macro="">
      <xdr:nvCxnSpPr>
        <xdr:cNvPr id="4" name="Straight Connector 3">
          <a:extLst>
            <a:ext uri="{FF2B5EF4-FFF2-40B4-BE49-F238E27FC236}">
              <a16:creationId xmlns:a16="http://schemas.microsoft.com/office/drawing/2014/main" id="{8D730830-60AA-41D6-854B-4342AC24E1E4}"/>
            </a:ext>
          </a:extLst>
        </xdr:cNvPr>
        <xdr:cNvCxnSpPr/>
      </xdr:nvCxnSpPr>
      <xdr:spPr>
        <a:xfrm flipV="1">
          <a:off x="18011775"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20731</xdr:colOff>
      <xdr:row>19</xdr:row>
      <xdr:rowOff>1</xdr:rowOff>
    </xdr:from>
    <xdr:to>
      <xdr:col>22</xdr:col>
      <xdr:colOff>28575</xdr:colOff>
      <xdr:row>95</xdr:row>
      <xdr:rowOff>19053</xdr:rowOff>
    </xdr:to>
    <xdr:cxnSp macro="">
      <xdr:nvCxnSpPr>
        <xdr:cNvPr id="5" name="Straight Connector 4">
          <a:extLst>
            <a:ext uri="{FF2B5EF4-FFF2-40B4-BE49-F238E27FC236}">
              <a16:creationId xmlns:a16="http://schemas.microsoft.com/office/drawing/2014/main" id="{99FF6D62-4E16-41E6-8171-C07656A44971}"/>
            </a:ext>
          </a:extLst>
        </xdr:cNvPr>
        <xdr:cNvCxnSpPr/>
      </xdr:nvCxnSpPr>
      <xdr:spPr>
        <a:xfrm>
          <a:off x="18032506" y="3629026"/>
          <a:ext cx="7844" cy="15601952"/>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296958</xdr:colOff>
      <xdr:row>19</xdr:row>
      <xdr:rowOff>38100</xdr:rowOff>
    </xdr:from>
    <xdr:to>
      <xdr:col>57</xdr:col>
      <xdr:colOff>9525</xdr:colOff>
      <xdr:row>95</xdr:row>
      <xdr:rowOff>9525</xdr:rowOff>
    </xdr:to>
    <xdr:cxnSp macro="">
      <xdr:nvCxnSpPr>
        <xdr:cNvPr id="6" name="Straight Connector 5">
          <a:extLst>
            <a:ext uri="{FF2B5EF4-FFF2-40B4-BE49-F238E27FC236}">
              <a16:creationId xmlns:a16="http://schemas.microsoft.com/office/drawing/2014/main" id="{BADB79E2-9FB8-43BF-AE0B-DF15240E0470}"/>
            </a:ext>
          </a:extLst>
        </xdr:cNvPr>
        <xdr:cNvCxnSpPr/>
      </xdr:nvCxnSpPr>
      <xdr:spPr>
        <a:xfrm>
          <a:off x="29319633" y="3667125"/>
          <a:ext cx="36417" cy="1555432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7" name="Picture 6">
          <a:extLst>
            <a:ext uri="{FF2B5EF4-FFF2-40B4-BE49-F238E27FC236}">
              <a16:creationId xmlns:a16="http://schemas.microsoft.com/office/drawing/2014/main" id="{3DEE2112-350A-4BE5-88D7-F7099C059DB5}"/>
            </a:ext>
          </a:extLst>
        </xdr:cNvPr>
        <xdr:cNvPicPr/>
      </xdr:nvPicPr>
      <xdr:blipFill>
        <a:blip xmlns:r="http://schemas.openxmlformats.org/officeDocument/2006/relationships" r:embed="rId4" cstate="print"/>
        <a:srcRect/>
        <a:stretch>
          <a:fillRect/>
        </a:stretch>
      </xdr:blipFill>
      <xdr:spPr bwMode="auto">
        <a:xfrm>
          <a:off x="22850475" y="3752851"/>
          <a:ext cx="1615441" cy="859154"/>
        </a:xfrm>
        <a:prstGeom prst="rect">
          <a:avLst/>
        </a:prstGeom>
        <a:noFill/>
        <a:ln w="9525">
          <a:noFill/>
          <a:miter lim="800000"/>
          <a:headEnd/>
          <a:tailEnd/>
        </a:ln>
      </xdr:spPr>
    </xdr:pic>
    <xdr:clientData/>
  </xdr:oneCellAnchor>
  <xdr:twoCellAnchor>
    <xdr:from>
      <xdr:col>22</xdr:col>
      <xdr:colOff>0</xdr:colOff>
      <xdr:row>49</xdr:row>
      <xdr:rowOff>0</xdr:rowOff>
    </xdr:from>
    <xdr:to>
      <xdr:col>57</xdr:col>
      <xdr:colOff>0</xdr:colOff>
      <xdr:row>49</xdr:row>
      <xdr:rowOff>1681</xdr:rowOff>
    </xdr:to>
    <xdr:cxnSp macro="">
      <xdr:nvCxnSpPr>
        <xdr:cNvPr id="8" name="Straight Connector 7">
          <a:extLst>
            <a:ext uri="{FF2B5EF4-FFF2-40B4-BE49-F238E27FC236}">
              <a16:creationId xmlns:a16="http://schemas.microsoft.com/office/drawing/2014/main" id="{FBB6D5F8-1831-4A38-9BC4-51873EB58611}"/>
            </a:ext>
          </a:extLst>
        </xdr:cNvPr>
        <xdr:cNvCxnSpPr/>
      </xdr:nvCxnSpPr>
      <xdr:spPr>
        <a:xfrm flipV="1">
          <a:off x="18011775" y="98583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22860</xdr:colOff>
      <xdr:row>87</xdr:row>
      <xdr:rowOff>173131</xdr:rowOff>
    </xdr:from>
    <xdr:to>
      <xdr:col>57</xdr:col>
      <xdr:colOff>19050</xdr:colOff>
      <xdr:row>87</xdr:row>
      <xdr:rowOff>180975</xdr:rowOff>
    </xdr:to>
    <xdr:cxnSp macro="">
      <xdr:nvCxnSpPr>
        <xdr:cNvPr id="9" name="Straight Connector 8">
          <a:extLst>
            <a:ext uri="{FF2B5EF4-FFF2-40B4-BE49-F238E27FC236}">
              <a16:creationId xmlns:a16="http://schemas.microsoft.com/office/drawing/2014/main" id="{75346569-9861-4F56-BC3B-3D15860CB973}"/>
            </a:ext>
          </a:extLst>
        </xdr:cNvPr>
        <xdr:cNvCxnSpPr/>
      </xdr:nvCxnSpPr>
      <xdr:spPr>
        <a:xfrm>
          <a:off x="18034635" y="17775331"/>
          <a:ext cx="1133094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19</xdr:row>
      <xdr:rowOff>19050</xdr:rowOff>
    </xdr:from>
    <xdr:to>
      <xdr:col>57</xdr:col>
      <xdr:colOff>0</xdr:colOff>
      <xdr:row>19</xdr:row>
      <xdr:rowOff>20731</xdr:rowOff>
    </xdr:to>
    <xdr:cxnSp macro="">
      <xdr:nvCxnSpPr>
        <xdr:cNvPr id="10" name="Straight Connector 9">
          <a:extLst>
            <a:ext uri="{FF2B5EF4-FFF2-40B4-BE49-F238E27FC236}">
              <a16:creationId xmlns:a16="http://schemas.microsoft.com/office/drawing/2014/main" id="{F1DFCF38-3F53-474C-93EA-B6DF8C9A4337}"/>
            </a:ext>
          </a:extLst>
        </xdr:cNvPr>
        <xdr:cNvCxnSpPr/>
      </xdr:nvCxnSpPr>
      <xdr:spPr>
        <a:xfrm flipV="1">
          <a:off x="18011775"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85725</xdr:colOff>
      <xdr:row>31</xdr:row>
      <xdr:rowOff>169545</xdr:rowOff>
    </xdr:from>
    <xdr:ext cx="219075" cy="247650"/>
    <xdr:pic>
      <xdr:nvPicPr>
        <xdr:cNvPr id="11" name="Picture 10" descr="https://tse1.mm.bing.net/th?id=OIP.11IPUqok7qInEpcWmz9WawHaIZ&amp;pid=Api&amp;P=0">
          <a:extLst>
            <a:ext uri="{FF2B5EF4-FFF2-40B4-BE49-F238E27FC236}">
              <a16:creationId xmlns:a16="http://schemas.microsoft.com/office/drawing/2014/main" id="{03425B75-48F8-4CC3-9058-26764C136C6A}"/>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8421350" y="6303645"/>
          <a:ext cx="219075" cy="247650"/>
        </a:xfrm>
        <a:prstGeom prst="rect">
          <a:avLst/>
        </a:prstGeom>
        <a:noFill/>
        <a:ln w="9525">
          <a:noFill/>
          <a:miter lim="800000"/>
          <a:headEnd/>
          <a:tailEnd/>
        </a:ln>
      </xdr:spPr>
    </xdr:pic>
    <xdr:clientData/>
  </xdr:oneCellAnchor>
  <xdr:oneCellAnchor>
    <xdr:from>
      <xdr:col>30</xdr:col>
      <xdr:colOff>93345</xdr:colOff>
      <xdr:row>31</xdr:row>
      <xdr:rowOff>158115</xdr:rowOff>
    </xdr:from>
    <xdr:ext cx="219075" cy="247650"/>
    <xdr:pic>
      <xdr:nvPicPr>
        <xdr:cNvPr id="12" name="Picture 11" descr="https://tse1.mm.bing.net/th?id=OIP.11IPUqok7qInEpcWmz9WawHaIZ&amp;pid=Api&amp;P=0">
          <a:extLst>
            <a:ext uri="{FF2B5EF4-FFF2-40B4-BE49-F238E27FC236}">
              <a16:creationId xmlns:a16="http://schemas.microsoft.com/office/drawing/2014/main" id="{F56E1C48-A802-4EEC-B8E2-6AD6114CFBCC}"/>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0695920" y="6292215"/>
          <a:ext cx="219075" cy="247650"/>
        </a:xfrm>
        <a:prstGeom prst="rect">
          <a:avLst/>
        </a:prstGeom>
        <a:noFill/>
        <a:ln w="9525">
          <a:noFill/>
          <a:miter lim="800000"/>
          <a:headEnd/>
          <a:tailEnd/>
        </a:ln>
      </xdr:spPr>
    </xdr:pic>
    <xdr:clientData/>
  </xdr:oneCellAnchor>
  <xdr:oneCellAnchor>
    <xdr:from>
      <xdr:col>45</xdr:col>
      <xdr:colOff>85725</xdr:colOff>
      <xdr:row>31</xdr:row>
      <xdr:rowOff>167640</xdr:rowOff>
    </xdr:from>
    <xdr:ext cx="219075" cy="247650"/>
    <xdr:pic>
      <xdr:nvPicPr>
        <xdr:cNvPr id="14" name="Picture 13" descr="https://tse1.mm.bing.net/th?id=OIP.11IPUqok7qInEpcWmz9WawHaIZ&amp;pid=Api&amp;P=0">
          <a:extLst>
            <a:ext uri="{FF2B5EF4-FFF2-40B4-BE49-F238E27FC236}">
              <a16:creationId xmlns:a16="http://schemas.microsoft.com/office/drawing/2014/main" id="{C6EE60DD-A44A-4FCC-9ACF-FEFB0FC8E1CE}"/>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546050" y="6301740"/>
          <a:ext cx="219075" cy="247650"/>
        </a:xfrm>
        <a:prstGeom prst="rect">
          <a:avLst/>
        </a:prstGeom>
        <a:noFill/>
        <a:ln w="9525">
          <a:noFill/>
          <a:miter lim="800000"/>
          <a:headEnd/>
          <a:tailEnd/>
        </a:ln>
      </xdr:spPr>
    </xdr:pic>
    <xdr:clientData/>
  </xdr:oneCellAnchor>
  <xdr:oneCellAnchor>
    <xdr:from>
      <xdr:col>31</xdr:col>
      <xdr:colOff>85725</xdr:colOff>
      <xdr:row>41</xdr:row>
      <xdr:rowOff>154305</xdr:rowOff>
    </xdr:from>
    <xdr:ext cx="219075" cy="247650"/>
    <xdr:pic>
      <xdr:nvPicPr>
        <xdr:cNvPr id="15" name="Picture 14" descr="https://tse1.mm.bing.net/th?id=OIP.11IPUqok7qInEpcWmz9WawHaIZ&amp;pid=Api&amp;P=0">
          <a:extLst>
            <a:ext uri="{FF2B5EF4-FFF2-40B4-BE49-F238E27FC236}">
              <a16:creationId xmlns:a16="http://schemas.microsoft.com/office/drawing/2014/main" id="{0AE1663E-8283-4207-B40C-974A86B23F76}"/>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1012150" y="8336280"/>
          <a:ext cx="219075" cy="247650"/>
        </a:xfrm>
        <a:prstGeom prst="rect">
          <a:avLst/>
        </a:prstGeom>
        <a:noFill/>
        <a:ln w="9525">
          <a:noFill/>
          <a:miter lim="800000"/>
          <a:headEnd/>
          <a:tailEnd/>
        </a:ln>
      </xdr:spPr>
    </xdr:pic>
    <xdr:clientData/>
  </xdr:oneCellAnchor>
  <xdr:oneCellAnchor>
    <xdr:from>
      <xdr:col>43</xdr:col>
      <xdr:colOff>95250</xdr:colOff>
      <xdr:row>41</xdr:row>
      <xdr:rowOff>169545</xdr:rowOff>
    </xdr:from>
    <xdr:ext cx="219075" cy="247650"/>
    <xdr:pic>
      <xdr:nvPicPr>
        <xdr:cNvPr id="16" name="Picture 15" descr="https://tse1.mm.bing.net/th?id=OIP.11IPUqok7qInEpcWmz9WawHaIZ&amp;pid=Api&amp;P=0">
          <a:extLst>
            <a:ext uri="{FF2B5EF4-FFF2-40B4-BE49-F238E27FC236}">
              <a16:creationId xmlns:a16="http://schemas.microsoft.com/office/drawing/2014/main" id="{A65A4D2F-1B0E-4C7B-A5E8-4268601D8A37}"/>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907875" y="8351520"/>
          <a:ext cx="219075" cy="247650"/>
        </a:xfrm>
        <a:prstGeom prst="rect">
          <a:avLst/>
        </a:prstGeom>
        <a:noFill/>
        <a:ln w="9525">
          <a:noFill/>
          <a:miter lim="800000"/>
          <a:headEnd/>
          <a:tailEnd/>
        </a:ln>
      </xdr:spPr>
    </xdr:pic>
    <xdr:clientData/>
  </xdr:oneCellAnchor>
  <xdr:twoCellAnchor>
    <xdr:from>
      <xdr:col>22</xdr:col>
      <xdr:colOff>0</xdr:colOff>
      <xdr:row>95</xdr:row>
      <xdr:rowOff>30480</xdr:rowOff>
    </xdr:from>
    <xdr:to>
      <xdr:col>56</xdr:col>
      <xdr:colOff>331470</xdr:colOff>
      <xdr:row>95</xdr:row>
      <xdr:rowOff>38324</xdr:rowOff>
    </xdr:to>
    <xdr:cxnSp macro="">
      <xdr:nvCxnSpPr>
        <xdr:cNvPr id="18" name="Straight Connector 17">
          <a:extLst>
            <a:ext uri="{FF2B5EF4-FFF2-40B4-BE49-F238E27FC236}">
              <a16:creationId xmlns:a16="http://schemas.microsoft.com/office/drawing/2014/main" id="{60CF9318-1023-4A83-8F6E-9B6C09072889}"/>
            </a:ext>
          </a:extLst>
        </xdr:cNvPr>
        <xdr:cNvCxnSpPr/>
      </xdr:nvCxnSpPr>
      <xdr:spPr>
        <a:xfrm>
          <a:off x="18011775" y="19242405"/>
          <a:ext cx="11332845"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98</xdr:row>
      <xdr:rowOff>18917</xdr:rowOff>
    </xdr:from>
    <xdr:to>
      <xdr:col>57</xdr:col>
      <xdr:colOff>7620</xdr:colOff>
      <xdr:row>98</xdr:row>
      <xdr:rowOff>45720</xdr:rowOff>
    </xdr:to>
    <xdr:cxnSp macro="">
      <xdr:nvCxnSpPr>
        <xdr:cNvPr id="19" name="Straight Connector 18">
          <a:extLst>
            <a:ext uri="{FF2B5EF4-FFF2-40B4-BE49-F238E27FC236}">
              <a16:creationId xmlns:a16="http://schemas.microsoft.com/office/drawing/2014/main" id="{E55A745E-01B5-484E-B345-98875A38BAF6}"/>
            </a:ext>
          </a:extLst>
        </xdr:cNvPr>
        <xdr:cNvCxnSpPr/>
      </xdr:nvCxnSpPr>
      <xdr:spPr>
        <a:xfrm>
          <a:off x="18011775" y="19802342"/>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7620</xdr:colOff>
      <xdr:row>98</xdr:row>
      <xdr:rowOff>47622</xdr:rowOff>
    </xdr:from>
    <xdr:to>
      <xdr:col>22</xdr:col>
      <xdr:colOff>9393</xdr:colOff>
      <xdr:row>170</xdr:row>
      <xdr:rowOff>45720</xdr:rowOff>
    </xdr:to>
    <xdr:cxnSp macro="">
      <xdr:nvCxnSpPr>
        <xdr:cNvPr id="20" name="Straight Connector 19">
          <a:extLst>
            <a:ext uri="{FF2B5EF4-FFF2-40B4-BE49-F238E27FC236}">
              <a16:creationId xmlns:a16="http://schemas.microsoft.com/office/drawing/2014/main" id="{EB312254-F627-48C1-97A9-C7E9A0E16B11}"/>
            </a:ext>
          </a:extLst>
        </xdr:cNvPr>
        <xdr:cNvCxnSpPr/>
      </xdr:nvCxnSpPr>
      <xdr:spPr>
        <a:xfrm flipH="1">
          <a:off x="18019395" y="19831047"/>
          <a:ext cx="1773" cy="15828648"/>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128</xdr:row>
      <xdr:rowOff>0</xdr:rowOff>
    </xdr:from>
    <xdr:to>
      <xdr:col>56</xdr:col>
      <xdr:colOff>30480</xdr:colOff>
      <xdr:row>128</xdr:row>
      <xdr:rowOff>38100</xdr:rowOff>
    </xdr:to>
    <xdr:cxnSp macro="">
      <xdr:nvCxnSpPr>
        <xdr:cNvPr id="21" name="Straight Connector 20">
          <a:extLst>
            <a:ext uri="{FF2B5EF4-FFF2-40B4-BE49-F238E27FC236}">
              <a16:creationId xmlns:a16="http://schemas.microsoft.com/office/drawing/2014/main" id="{8D19E973-7409-4EE9-BC70-CE3E24D8A014}"/>
            </a:ext>
          </a:extLst>
        </xdr:cNvPr>
        <xdr:cNvCxnSpPr/>
      </xdr:nvCxnSpPr>
      <xdr:spPr>
        <a:xfrm>
          <a:off x="18011775" y="26546175"/>
          <a:ext cx="11041380" cy="3810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103206</xdr:colOff>
      <xdr:row>125</xdr:row>
      <xdr:rowOff>147917</xdr:rowOff>
    </xdr:from>
    <xdr:ext cx="219075" cy="247650"/>
    <xdr:pic>
      <xdr:nvPicPr>
        <xdr:cNvPr id="22" name="Picture 21" descr="https://tse1.mm.bing.net/th?id=OIP.11IPUqok7qInEpcWmz9WawHaIZ&amp;pid=Api&amp;P=0">
          <a:extLst>
            <a:ext uri="{FF2B5EF4-FFF2-40B4-BE49-F238E27FC236}">
              <a16:creationId xmlns:a16="http://schemas.microsoft.com/office/drawing/2014/main" id="{90C70F0D-E06B-4BAB-888C-D34D0BA262A2}"/>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239681" y="26074967"/>
          <a:ext cx="219075" cy="247650"/>
        </a:xfrm>
        <a:prstGeom prst="rect">
          <a:avLst/>
        </a:prstGeom>
        <a:noFill/>
        <a:ln w="9525">
          <a:noFill/>
          <a:miter lim="800000"/>
          <a:headEnd/>
          <a:tailEnd/>
        </a:ln>
      </xdr:spPr>
    </xdr:pic>
    <xdr:clientData/>
  </xdr:oneCellAnchor>
  <xdr:oneCellAnchor>
    <xdr:from>
      <xdr:col>50</xdr:col>
      <xdr:colOff>233978</xdr:colOff>
      <xdr:row>125</xdr:row>
      <xdr:rowOff>200361</xdr:rowOff>
    </xdr:from>
    <xdr:ext cx="219075" cy="247650"/>
    <xdr:pic>
      <xdr:nvPicPr>
        <xdr:cNvPr id="23" name="Picture 22" descr="https://tse1.mm.bing.net/th?id=OIP.11IPUqok7qInEpcWmz9WawHaIZ&amp;pid=Api&amp;P=0">
          <a:extLst>
            <a:ext uri="{FF2B5EF4-FFF2-40B4-BE49-F238E27FC236}">
              <a16:creationId xmlns:a16="http://schemas.microsoft.com/office/drawing/2014/main" id="{D117FD1A-0A30-4ECD-A530-D8EDF0759350}"/>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7313553" y="26127411"/>
          <a:ext cx="219075" cy="247650"/>
        </a:xfrm>
        <a:prstGeom prst="rect">
          <a:avLst/>
        </a:prstGeom>
        <a:noFill/>
        <a:ln w="9525">
          <a:noFill/>
          <a:miter lim="800000"/>
          <a:headEnd/>
          <a:tailEnd/>
        </a:ln>
      </xdr:spPr>
    </xdr:pic>
    <xdr:clientData/>
  </xdr:oneCellAnchor>
  <xdr:twoCellAnchor>
    <xdr:from>
      <xdr:col>22</xdr:col>
      <xdr:colOff>9525</xdr:colOff>
      <xdr:row>169</xdr:row>
      <xdr:rowOff>175260</xdr:rowOff>
    </xdr:from>
    <xdr:to>
      <xdr:col>57</xdr:col>
      <xdr:colOff>17145</xdr:colOff>
      <xdr:row>170</xdr:row>
      <xdr:rowOff>11563</xdr:rowOff>
    </xdr:to>
    <xdr:cxnSp macro="">
      <xdr:nvCxnSpPr>
        <xdr:cNvPr id="24" name="Straight Connector 23">
          <a:extLst>
            <a:ext uri="{FF2B5EF4-FFF2-40B4-BE49-F238E27FC236}">
              <a16:creationId xmlns:a16="http://schemas.microsoft.com/office/drawing/2014/main" id="{F0EB8C6C-FFB1-4480-887F-CB7A9FB0EC8D}"/>
            </a:ext>
          </a:extLst>
        </xdr:cNvPr>
        <xdr:cNvCxnSpPr/>
      </xdr:nvCxnSpPr>
      <xdr:spPr>
        <a:xfrm>
          <a:off x="18021300" y="35598735"/>
          <a:ext cx="1134237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314193</xdr:colOff>
      <xdr:row>98</xdr:row>
      <xdr:rowOff>9522</xdr:rowOff>
    </xdr:from>
    <xdr:to>
      <xdr:col>56</xdr:col>
      <xdr:colOff>327660</xdr:colOff>
      <xdr:row>170</xdr:row>
      <xdr:rowOff>121920</xdr:rowOff>
    </xdr:to>
    <xdr:cxnSp macro="">
      <xdr:nvCxnSpPr>
        <xdr:cNvPr id="25" name="Straight Connector 24">
          <a:extLst>
            <a:ext uri="{FF2B5EF4-FFF2-40B4-BE49-F238E27FC236}">
              <a16:creationId xmlns:a16="http://schemas.microsoft.com/office/drawing/2014/main" id="{F2AC31F9-3C23-490C-B513-571FC06085BF}"/>
            </a:ext>
          </a:extLst>
        </xdr:cNvPr>
        <xdr:cNvCxnSpPr/>
      </xdr:nvCxnSpPr>
      <xdr:spPr>
        <a:xfrm>
          <a:off x="29336868" y="19792947"/>
          <a:ext cx="13467" cy="15942948"/>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45</xdr:col>
      <xdr:colOff>278130</xdr:colOff>
      <xdr:row>62</xdr:row>
      <xdr:rowOff>182880</xdr:rowOff>
    </xdr:from>
    <xdr:ext cx="219075" cy="247650"/>
    <xdr:pic>
      <xdr:nvPicPr>
        <xdr:cNvPr id="27" name="Picture 26" descr="https://tse1.mm.bing.net/th?id=OIP.11IPUqok7qInEpcWmz9WawHaIZ&amp;pid=Api&amp;P=0">
          <a:extLst>
            <a:ext uri="{FF2B5EF4-FFF2-40B4-BE49-F238E27FC236}">
              <a16:creationId xmlns:a16="http://schemas.microsoft.com/office/drawing/2014/main" id="{669B748C-2A0A-4CC1-AB17-8E266D82E44F}"/>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738455" y="12746355"/>
          <a:ext cx="219075" cy="247650"/>
        </a:xfrm>
        <a:prstGeom prst="rect">
          <a:avLst/>
        </a:prstGeom>
        <a:noFill/>
        <a:ln w="9525">
          <a:noFill/>
          <a:miter lim="800000"/>
          <a:headEnd/>
          <a:tailEnd/>
        </a:ln>
      </xdr:spPr>
    </xdr:pic>
    <xdr:clientData/>
  </xdr:oneCellAnchor>
  <xdr:twoCellAnchor>
    <xdr:from>
      <xdr:col>22</xdr:col>
      <xdr:colOff>0</xdr:colOff>
      <xdr:row>19</xdr:row>
      <xdr:rowOff>19050</xdr:rowOff>
    </xdr:from>
    <xdr:to>
      <xdr:col>57</xdr:col>
      <xdr:colOff>0</xdr:colOff>
      <xdr:row>19</xdr:row>
      <xdr:rowOff>20731</xdr:rowOff>
    </xdr:to>
    <xdr:cxnSp macro="">
      <xdr:nvCxnSpPr>
        <xdr:cNvPr id="28" name="Straight Connector 27">
          <a:extLst>
            <a:ext uri="{FF2B5EF4-FFF2-40B4-BE49-F238E27FC236}">
              <a16:creationId xmlns:a16="http://schemas.microsoft.com/office/drawing/2014/main" id="{AF65DEDC-D64D-4344-9F7E-548C5521C248}"/>
            </a:ext>
          </a:extLst>
        </xdr:cNvPr>
        <xdr:cNvCxnSpPr/>
      </xdr:nvCxnSpPr>
      <xdr:spPr>
        <a:xfrm flipV="1">
          <a:off x="18011775"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1027659</xdr:colOff>
      <xdr:row>18</xdr:row>
      <xdr:rowOff>190501</xdr:rowOff>
    </xdr:from>
    <xdr:to>
      <xdr:col>21</xdr:col>
      <xdr:colOff>1035503</xdr:colOff>
      <xdr:row>95</xdr:row>
      <xdr:rowOff>5446</xdr:rowOff>
    </xdr:to>
    <xdr:cxnSp macro="">
      <xdr:nvCxnSpPr>
        <xdr:cNvPr id="29" name="Straight Connector 28">
          <a:extLst>
            <a:ext uri="{FF2B5EF4-FFF2-40B4-BE49-F238E27FC236}">
              <a16:creationId xmlns:a16="http://schemas.microsoft.com/office/drawing/2014/main" id="{E1FC8EE1-B419-42DD-B6DE-147FA3FB9315}"/>
            </a:ext>
          </a:extLst>
        </xdr:cNvPr>
        <xdr:cNvCxnSpPr/>
      </xdr:nvCxnSpPr>
      <xdr:spPr>
        <a:xfrm>
          <a:off x="18063802" y="3619501"/>
          <a:ext cx="7844" cy="1562644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296958</xdr:colOff>
      <xdr:row>19</xdr:row>
      <xdr:rowOff>38100</xdr:rowOff>
    </xdr:from>
    <xdr:to>
      <xdr:col>57</xdr:col>
      <xdr:colOff>9525</xdr:colOff>
      <xdr:row>95</xdr:row>
      <xdr:rowOff>9525</xdr:rowOff>
    </xdr:to>
    <xdr:cxnSp macro="">
      <xdr:nvCxnSpPr>
        <xdr:cNvPr id="30" name="Straight Connector 29">
          <a:extLst>
            <a:ext uri="{FF2B5EF4-FFF2-40B4-BE49-F238E27FC236}">
              <a16:creationId xmlns:a16="http://schemas.microsoft.com/office/drawing/2014/main" id="{BCDA06D7-5F66-4BF8-B048-070F5CB59B74}"/>
            </a:ext>
          </a:extLst>
        </xdr:cNvPr>
        <xdr:cNvCxnSpPr/>
      </xdr:nvCxnSpPr>
      <xdr:spPr>
        <a:xfrm>
          <a:off x="29319633" y="3667125"/>
          <a:ext cx="36417" cy="15554325"/>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36</xdr:col>
      <xdr:colOff>304800</xdr:colOff>
      <xdr:row>19</xdr:row>
      <xdr:rowOff>123826</xdr:rowOff>
    </xdr:from>
    <xdr:ext cx="1615441" cy="859154"/>
    <xdr:pic>
      <xdr:nvPicPr>
        <xdr:cNvPr id="31" name="Picture 30">
          <a:extLst>
            <a:ext uri="{FF2B5EF4-FFF2-40B4-BE49-F238E27FC236}">
              <a16:creationId xmlns:a16="http://schemas.microsoft.com/office/drawing/2014/main" id="{4E890A8A-8625-4E5A-A1F1-313695C40B99}"/>
            </a:ext>
          </a:extLst>
        </xdr:cNvPr>
        <xdr:cNvPicPr/>
      </xdr:nvPicPr>
      <xdr:blipFill>
        <a:blip xmlns:r="http://schemas.openxmlformats.org/officeDocument/2006/relationships" r:embed="rId4" cstate="print"/>
        <a:srcRect/>
        <a:stretch>
          <a:fillRect/>
        </a:stretch>
      </xdr:blipFill>
      <xdr:spPr bwMode="auto">
        <a:xfrm>
          <a:off x="22850475" y="3752851"/>
          <a:ext cx="1615441" cy="859154"/>
        </a:xfrm>
        <a:prstGeom prst="rect">
          <a:avLst/>
        </a:prstGeom>
        <a:noFill/>
        <a:ln w="9525">
          <a:noFill/>
          <a:miter lim="800000"/>
          <a:headEnd/>
          <a:tailEnd/>
        </a:ln>
      </xdr:spPr>
    </xdr:pic>
    <xdr:clientData/>
  </xdr:oneCellAnchor>
  <xdr:twoCellAnchor>
    <xdr:from>
      <xdr:col>22</xdr:col>
      <xdr:colOff>0</xdr:colOff>
      <xdr:row>49</xdr:row>
      <xdr:rowOff>0</xdr:rowOff>
    </xdr:from>
    <xdr:to>
      <xdr:col>57</xdr:col>
      <xdr:colOff>0</xdr:colOff>
      <xdr:row>49</xdr:row>
      <xdr:rowOff>1681</xdr:rowOff>
    </xdr:to>
    <xdr:cxnSp macro="">
      <xdr:nvCxnSpPr>
        <xdr:cNvPr id="32" name="Straight Connector 31">
          <a:extLst>
            <a:ext uri="{FF2B5EF4-FFF2-40B4-BE49-F238E27FC236}">
              <a16:creationId xmlns:a16="http://schemas.microsoft.com/office/drawing/2014/main" id="{ABF82DAD-E05D-479B-8193-A9280E1446AE}"/>
            </a:ext>
          </a:extLst>
        </xdr:cNvPr>
        <xdr:cNvCxnSpPr/>
      </xdr:nvCxnSpPr>
      <xdr:spPr>
        <a:xfrm flipV="1">
          <a:off x="18011775" y="98583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22860</xdr:colOff>
      <xdr:row>87</xdr:row>
      <xdr:rowOff>173131</xdr:rowOff>
    </xdr:from>
    <xdr:to>
      <xdr:col>57</xdr:col>
      <xdr:colOff>19050</xdr:colOff>
      <xdr:row>87</xdr:row>
      <xdr:rowOff>180975</xdr:rowOff>
    </xdr:to>
    <xdr:cxnSp macro="">
      <xdr:nvCxnSpPr>
        <xdr:cNvPr id="33" name="Straight Connector 32">
          <a:extLst>
            <a:ext uri="{FF2B5EF4-FFF2-40B4-BE49-F238E27FC236}">
              <a16:creationId xmlns:a16="http://schemas.microsoft.com/office/drawing/2014/main" id="{4D52E975-4360-4CCC-9E99-1D9AED95D4B8}"/>
            </a:ext>
          </a:extLst>
        </xdr:cNvPr>
        <xdr:cNvCxnSpPr/>
      </xdr:nvCxnSpPr>
      <xdr:spPr>
        <a:xfrm>
          <a:off x="18034635" y="17775331"/>
          <a:ext cx="11330940"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19</xdr:row>
      <xdr:rowOff>19050</xdr:rowOff>
    </xdr:from>
    <xdr:to>
      <xdr:col>57</xdr:col>
      <xdr:colOff>0</xdr:colOff>
      <xdr:row>19</xdr:row>
      <xdr:rowOff>20731</xdr:rowOff>
    </xdr:to>
    <xdr:cxnSp macro="">
      <xdr:nvCxnSpPr>
        <xdr:cNvPr id="34" name="Straight Connector 33">
          <a:extLst>
            <a:ext uri="{FF2B5EF4-FFF2-40B4-BE49-F238E27FC236}">
              <a16:creationId xmlns:a16="http://schemas.microsoft.com/office/drawing/2014/main" id="{D1E175CB-AF37-4625-8950-E7BE34154FD5}"/>
            </a:ext>
          </a:extLst>
        </xdr:cNvPr>
        <xdr:cNvCxnSpPr/>
      </xdr:nvCxnSpPr>
      <xdr:spPr>
        <a:xfrm flipV="1">
          <a:off x="18011775" y="3648075"/>
          <a:ext cx="11334750" cy="1681"/>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23</xdr:col>
      <xdr:colOff>85725</xdr:colOff>
      <xdr:row>31</xdr:row>
      <xdr:rowOff>169545</xdr:rowOff>
    </xdr:from>
    <xdr:ext cx="219075" cy="247650"/>
    <xdr:pic>
      <xdr:nvPicPr>
        <xdr:cNvPr id="35" name="Picture 34" descr="https://tse1.mm.bing.net/th?id=OIP.11IPUqok7qInEpcWmz9WawHaIZ&amp;pid=Api&amp;P=0">
          <a:extLst>
            <a:ext uri="{FF2B5EF4-FFF2-40B4-BE49-F238E27FC236}">
              <a16:creationId xmlns:a16="http://schemas.microsoft.com/office/drawing/2014/main" id="{DFA04A8A-2668-42B9-BA6B-4348E28D8AB2}"/>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18421350" y="6303645"/>
          <a:ext cx="219075" cy="247650"/>
        </a:xfrm>
        <a:prstGeom prst="rect">
          <a:avLst/>
        </a:prstGeom>
        <a:noFill/>
        <a:ln w="9525">
          <a:noFill/>
          <a:miter lim="800000"/>
          <a:headEnd/>
          <a:tailEnd/>
        </a:ln>
      </xdr:spPr>
    </xdr:pic>
    <xdr:clientData/>
  </xdr:oneCellAnchor>
  <xdr:oneCellAnchor>
    <xdr:from>
      <xdr:col>30</xdr:col>
      <xdr:colOff>93345</xdr:colOff>
      <xdr:row>31</xdr:row>
      <xdr:rowOff>158115</xdr:rowOff>
    </xdr:from>
    <xdr:ext cx="219075" cy="247650"/>
    <xdr:pic>
      <xdr:nvPicPr>
        <xdr:cNvPr id="36" name="Picture 35" descr="https://tse1.mm.bing.net/th?id=OIP.11IPUqok7qInEpcWmz9WawHaIZ&amp;pid=Api&amp;P=0">
          <a:extLst>
            <a:ext uri="{FF2B5EF4-FFF2-40B4-BE49-F238E27FC236}">
              <a16:creationId xmlns:a16="http://schemas.microsoft.com/office/drawing/2014/main" id="{3C358F69-044C-4F9F-91CD-D4609A3DA36B}"/>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0695920" y="6292215"/>
          <a:ext cx="219075" cy="247650"/>
        </a:xfrm>
        <a:prstGeom prst="rect">
          <a:avLst/>
        </a:prstGeom>
        <a:noFill/>
        <a:ln w="9525">
          <a:noFill/>
          <a:miter lim="800000"/>
          <a:headEnd/>
          <a:tailEnd/>
        </a:ln>
      </xdr:spPr>
    </xdr:pic>
    <xdr:clientData/>
  </xdr:oneCellAnchor>
  <xdr:oneCellAnchor>
    <xdr:from>
      <xdr:col>38</xdr:col>
      <xdr:colOff>89535</xdr:colOff>
      <xdr:row>34</xdr:row>
      <xdr:rowOff>152128</xdr:rowOff>
    </xdr:from>
    <xdr:ext cx="219075" cy="247650"/>
    <xdr:pic>
      <xdr:nvPicPr>
        <xdr:cNvPr id="37" name="Picture 36" descr="https://tse1.mm.bing.net/th?id=OIP.11IPUqok7qInEpcWmz9WawHaIZ&amp;pid=Api&amp;P=0">
          <a:extLst>
            <a:ext uri="{FF2B5EF4-FFF2-40B4-BE49-F238E27FC236}">
              <a16:creationId xmlns:a16="http://schemas.microsoft.com/office/drawing/2014/main" id="{4E276CF7-77D9-4780-8799-371587AC063E}"/>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3384964" y="6955699"/>
          <a:ext cx="219075" cy="247650"/>
        </a:xfrm>
        <a:prstGeom prst="rect">
          <a:avLst/>
        </a:prstGeom>
        <a:noFill/>
        <a:ln w="9525">
          <a:noFill/>
          <a:miter lim="800000"/>
          <a:headEnd/>
          <a:tailEnd/>
        </a:ln>
      </xdr:spPr>
    </xdr:pic>
    <xdr:clientData/>
  </xdr:oneCellAnchor>
  <xdr:oneCellAnchor>
    <xdr:from>
      <xdr:col>31</xdr:col>
      <xdr:colOff>85725</xdr:colOff>
      <xdr:row>41</xdr:row>
      <xdr:rowOff>154305</xdr:rowOff>
    </xdr:from>
    <xdr:ext cx="219075" cy="247650"/>
    <xdr:pic>
      <xdr:nvPicPr>
        <xdr:cNvPr id="39" name="Picture 38" descr="https://tse1.mm.bing.net/th?id=OIP.11IPUqok7qInEpcWmz9WawHaIZ&amp;pid=Api&amp;P=0">
          <a:extLst>
            <a:ext uri="{FF2B5EF4-FFF2-40B4-BE49-F238E27FC236}">
              <a16:creationId xmlns:a16="http://schemas.microsoft.com/office/drawing/2014/main" id="{639E5886-7827-4D74-96C0-A52AAC3362D2}"/>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1012150" y="8336280"/>
          <a:ext cx="219075" cy="247650"/>
        </a:xfrm>
        <a:prstGeom prst="rect">
          <a:avLst/>
        </a:prstGeom>
        <a:noFill/>
        <a:ln w="9525">
          <a:noFill/>
          <a:miter lim="800000"/>
          <a:headEnd/>
          <a:tailEnd/>
        </a:ln>
      </xdr:spPr>
    </xdr:pic>
    <xdr:clientData/>
  </xdr:oneCellAnchor>
  <xdr:oneCellAnchor>
    <xdr:from>
      <xdr:col>43</xdr:col>
      <xdr:colOff>95250</xdr:colOff>
      <xdr:row>41</xdr:row>
      <xdr:rowOff>169545</xdr:rowOff>
    </xdr:from>
    <xdr:ext cx="219075" cy="247650"/>
    <xdr:pic>
      <xdr:nvPicPr>
        <xdr:cNvPr id="40" name="Picture 39" descr="https://tse1.mm.bing.net/th?id=OIP.11IPUqok7qInEpcWmz9WawHaIZ&amp;pid=Api&amp;P=0">
          <a:extLst>
            <a:ext uri="{FF2B5EF4-FFF2-40B4-BE49-F238E27FC236}">
              <a16:creationId xmlns:a16="http://schemas.microsoft.com/office/drawing/2014/main" id="{0EA442FB-D382-44FC-B0A0-9C0B18FF689B}"/>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907875" y="8351520"/>
          <a:ext cx="219075" cy="247650"/>
        </a:xfrm>
        <a:prstGeom prst="rect">
          <a:avLst/>
        </a:prstGeom>
        <a:noFill/>
        <a:ln w="9525">
          <a:noFill/>
          <a:miter lim="800000"/>
          <a:headEnd/>
          <a:tailEnd/>
        </a:ln>
      </xdr:spPr>
    </xdr:pic>
    <xdr:clientData/>
  </xdr:oneCellAnchor>
  <xdr:oneCellAnchor>
    <xdr:from>
      <xdr:col>42</xdr:col>
      <xdr:colOff>51435</xdr:colOff>
      <xdr:row>50</xdr:row>
      <xdr:rowOff>200025</xdr:rowOff>
    </xdr:from>
    <xdr:ext cx="219075" cy="247650"/>
    <xdr:pic>
      <xdr:nvPicPr>
        <xdr:cNvPr id="41" name="Picture 40" descr="https://tse1.mm.bing.net/th?id=OIP.11IPUqok7qInEpcWmz9WawHaIZ&amp;pid=Api&amp;P=0">
          <a:extLst>
            <a:ext uri="{FF2B5EF4-FFF2-40B4-BE49-F238E27FC236}">
              <a16:creationId xmlns:a16="http://schemas.microsoft.com/office/drawing/2014/main" id="{560AAA7F-494C-41D0-8880-788ED2B4E124}"/>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4540210" y="10267950"/>
          <a:ext cx="219075" cy="247650"/>
        </a:xfrm>
        <a:prstGeom prst="rect">
          <a:avLst/>
        </a:prstGeom>
        <a:noFill/>
        <a:ln w="9525">
          <a:noFill/>
          <a:miter lim="800000"/>
          <a:headEnd/>
          <a:tailEnd/>
        </a:ln>
      </xdr:spPr>
    </xdr:pic>
    <xdr:clientData/>
  </xdr:oneCellAnchor>
  <xdr:twoCellAnchor>
    <xdr:from>
      <xdr:col>22</xdr:col>
      <xdr:colOff>0</xdr:colOff>
      <xdr:row>95</xdr:row>
      <xdr:rowOff>30480</xdr:rowOff>
    </xdr:from>
    <xdr:to>
      <xdr:col>56</xdr:col>
      <xdr:colOff>331470</xdr:colOff>
      <xdr:row>95</xdr:row>
      <xdr:rowOff>38324</xdr:rowOff>
    </xdr:to>
    <xdr:cxnSp macro="">
      <xdr:nvCxnSpPr>
        <xdr:cNvPr id="42" name="Straight Connector 41">
          <a:extLst>
            <a:ext uri="{FF2B5EF4-FFF2-40B4-BE49-F238E27FC236}">
              <a16:creationId xmlns:a16="http://schemas.microsoft.com/office/drawing/2014/main" id="{C34289DE-1ACF-49E3-8A34-A4B48339E2DF}"/>
            </a:ext>
          </a:extLst>
        </xdr:cNvPr>
        <xdr:cNvCxnSpPr/>
      </xdr:nvCxnSpPr>
      <xdr:spPr>
        <a:xfrm>
          <a:off x="18011775" y="19242405"/>
          <a:ext cx="11332845" cy="784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98</xdr:row>
      <xdr:rowOff>18917</xdr:rowOff>
    </xdr:from>
    <xdr:to>
      <xdr:col>57</xdr:col>
      <xdr:colOff>7620</xdr:colOff>
      <xdr:row>98</xdr:row>
      <xdr:rowOff>45720</xdr:rowOff>
    </xdr:to>
    <xdr:cxnSp macro="">
      <xdr:nvCxnSpPr>
        <xdr:cNvPr id="43" name="Straight Connector 42">
          <a:extLst>
            <a:ext uri="{FF2B5EF4-FFF2-40B4-BE49-F238E27FC236}">
              <a16:creationId xmlns:a16="http://schemas.microsoft.com/office/drawing/2014/main" id="{9CD8E7D9-ACA5-4DFA-AE0B-5D3DD0082A61}"/>
            </a:ext>
          </a:extLst>
        </xdr:cNvPr>
        <xdr:cNvCxnSpPr/>
      </xdr:nvCxnSpPr>
      <xdr:spPr>
        <a:xfrm>
          <a:off x="18083893" y="19830917"/>
          <a:ext cx="1143762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7620</xdr:colOff>
      <xdr:row>98</xdr:row>
      <xdr:rowOff>47622</xdr:rowOff>
    </xdr:from>
    <xdr:to>
      <xdr:col>22</xdr:col>
      <xdr:colOff>9393</xdr:colOff>
      <xdr:row>170</xdr:row>
      <xdr:rowOff>45720</xdr:rowOff>
    </xdr:to>
    <xdr:cxnSp macro="">
      <xdr:nvCxnSpPr>
        <xdr:cNvPr id="44" name="Straight Connector 43">
          <a:extLst>
            <a:ext uri="{FF2B5EF4-FFF2-40B4-BE49-F238E27FC236}">
              <a16:creationId xmlns:a16="http://schemas.microsoft.com/office/drawing/2014/main" id="{211ECBB6-E871-4B3F-A7C7-A4FCA0740198}"/>
            </a:ext>
          </a:extLst>
        </xdr:cNvPr>
        <xdr:cNvCxnSpPr/>
      </xdr:nvCxnSpPr>
      <xdr:spPr>
        <a:xfrm flipH="1">
          <a:off x="18019395" y="19831047"/>
          <a:ext cx="1773" cy="15828648"/>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0</xdr:colOff>
      <xdr:row>128</xdr:row>
      <xdr:rowOff>0</xdr:rowOff>
    </xdr:from>
    <xdr:to>
      <xdr:col>56</xdr:col>
      <xdr:colOff>30480</xdr:colOff>
      <xdr:row>128</xdr:row>
      <xdr:rowOff>38100</xdr:rowOff>
    </xdr:to>
    <xdr:cxnSp macro="">
      <xdr:nvCxnSpPr>
        <xdr:cNvPr id="45" name="Straight Connector 44">
          <a:extLst>
            <a:ext uri="{FF2B5EF4-FFF2-40B4-BE49-F238E27FC236}">
              <a16:creationId xmlns:a16="http://schemas.microsoft.com/office/drawing/2014/main" id="{550BEAF7-64B5-4F61-A745-D698361CF9C0}"/>
            </a:ext>
          </a:extLst>
        </xdr:cNvPr>
        <xdr:cNvCxnSpPr/>
      </xdr:nvCxnSpPr>
      <xdr:spPr>
        <a:xfrm>
          <a:off x="18011775" y="26546175"/>
          <a:ext cx="11041380" cy="38100"/>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44</xdr:col>
      <xdr:colOff>103206</xdr:colOff>
      <xdr:row>125</xdr:row>
      <xdr:rowOff>147917</xdr:rowOff>
    </xdr:from>
    <xdr:ext cx="219075" cy="247650"/>
    <xdr:pic>
      <xdr:nvPicPr>
        <xdr:cNvPr id="46" name="Picture 45" descr="https://tse1.mm.bing.net/th?id=OIP.11IPUqok7qInEpcWmz9WawHaIZ&amp;pid=Api&amp;P=0">
          <a:extLst>
            <a:ext uri="{FF2B5EF4-FFF2-40B4-BE49-F238E27FC236}">
              <a16:creationId xmlns:a16="http://schemas.microsoft.com/office/drawing/2014/main" id="{6F3D96A5-EB70-469A-9255-499C629B53D6}"/>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5239681" y="26074967"/>
          <a:ext cx="219075" cy="247650"/>
        </a:xfrm>
        <a:prstGeom prst="rect">
          <a:avLst/>
        </a:prstGeom>
        <a:noFill/>
        <a:ln w="9525">
          <a:noFill/>
          <a:miter lim="800000"/>
          <a:headEnd/>
          <a:tailEnd/>
        </a:ln>
      </xdr:spPr>
    </xdr:pic>
    <xdr:clientData/>
  </xdr:oneCellAnchor>
  <xdr:oneCellAnchor>
    <xdr:from>
      <xdr:col>50</xdr:col>
      <xdr:colOff>233978</xdr:colOff>
      <xdr:row>125</xdr:row>
      <xdr:rowOff>200361</xdr:rowOff>
    </xdr:from>
    <xdr:ext cx="219075" cy="247650"/>
    <xdr:pic>
      <xdr:nvPicPr>
        <xdr:cNvPr id="47" name="Picture 46" descr="https://tse1.mm.bing.net/th?id=OIP.11IPUqok7qInEpcWmz9WawHaIZ&amp;pid=Api&amp;P=0">
          <a:extLst>
            <a:ext uri="{FF2B5EF4-FFF2-40B4-BE49-F238E27FC236}">
              <a16:creationId xmlns:a16="http://schemas.microsoft.com/office/drawing/2014/main" id="{981FC439-3C58-4E8D-8E3B-4A274207EDFB}"/>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7313553" y="26127411"/>
          <a:ext cx="219075" cy="247650"/>
        </a:xfrm>
        <a:prstGeom prst="rect">
          <a:avLst/>
        </a:prstGeom>
        <a:noFill/>
        <a:ln w="9525">
          <a:noFill/>
          <a:miter lim="800000"/>
          <a:headEnd/>
          <a:tailEnd/>
        </a:ln>
      </xdr:spPr>
    </xdr:pic>
    <xdr:clientData/>
  </xdr:oneCellAnchor>
  <xdr:twoCellAnchor>
    <xdr:from>
      <xdr:col>22</xdr:col>
      <xdr:colOff>50346</xdr:colOff>
      <xdr:row>169</xdr:row>
      <xdr:rowOff>175260</xdr:rowOff>
    </xdr:from>
    <xdr:to>
      <xdr:col>57</xdr:col>
      <xdr:colOff>57966</xdr:colOff>
      <xdr:row>170</xdr:row>
      <xdr:rowOff>11563</xdr:rowOff>
    </xdr:to>
    <xdr:cxnSp macro="">
      <xdr:nvCxnSpPr>
        <xdr:cNvPr id="48" name="Straight Connector 47">
          <a:extLst>
            <a:ext uri="{FF2B5EF4-FFF2-40B4-BE49-F238E27FC236}">
              <a16:creationId xmlns:a16="http://schemas.microsoft.com/office/drawing/2014/main" id="{E494D461-A81B-4956-B60B-FEDCB9607F0C}"/>
            </a:ext>
          </a:extLst>
        </xdr:cNvPr>
        <xdr:cNvCxnSpPr/>
      </xdr:nvCxnSpPr>
      <xdr:spPr>
        <a:xfrm>
          <a:off x="18134239" y="35771546"/>
          <a:ext cx="11437620" cy="26803"/>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56</xdr:col>
      <xdr:colOff>314193</xdr:colOff>
      <xdr:row>98</xdr:row>
      <xdr:rowOff>9522</xdr:rowOff>
    </xdr:from>
    <xdr:to>
      <xdr:col>57</xdr:col>
      <xdr:colOff>1088</xdr:colOff>
      <xdr:row>170</xdr:row>
      <xdr:rowOff>121920</xdr:rowOff>
    </xdr:to>
    <xdr:cxnSp macro="">
      <xdr:nvCxnSpPr>
        <xdr:cNvPr id="49" name="Straight Connector 48">
          <a:extLst>
            <a:ext uri="{FF2B5EF4-FFF2-40B4-BE49-F238E27FC236}">
              <a16:creationId xmlns:a16="http://schemas.microsoft.com/office/drawing/2014/main" id="{4B125EA4-3B33-4CBE-B5CB-210EC76A847E}"/>
            </a:ext>
          </a:extLst>
        </xdr:cNvPr>
        <xdr:cNvCxnSpPr/>
      </xdr:nvCxnSpPr>
      <xdr:spPr>
        <a:xfrm>
          <a:off x="29487907" y="19821522"/>
          <a:ext cx="13467" cy="16087184"/>
        </a:xfrm>
        <a:prstGeom prst="line">
          <a:avLst/>
        </a:prstGeom>
        <a:ln w="38100">
          <a:solidFill>
            <a:schemeClr val="tx1"/>
          </a:solidFill>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37</xdr:col>
      <xdr:colOff>93681</xdr:colOff>
      <xdr:row>121</xdr:row>
      <xdr:rowOff>176492</xdr:rowOff>
    </xdr:from>
    <xdr:ext cx="219075" cy="247650"/>
    <xdr:pic>
      <xdr:nvPicPr>
        <xdr:cNvPr id="50" name="Picture 49" descr="https://tse1.mm.bing.net/th?id=OIP.11IPUqok7qInEpcWmz9WawHaIZ&amp;pid=Api&amp;P=0">
          <a:extLst>
            <a:ext uri="{FF2B5EF4-FFF2-40B4-BE49-F238E27FC236}">
              <a16:creationId xmlns:a16="http://schemas.microsoft.com/office/drawing/2014/main" id="{23E5BF29-3F57-4BC8-B966-EE57BAA6321A}"/>
            </a:ext>
          </a:extLst>
        </xdr:cNvPr>
        <xdr:cNvPicPr/>
      </xdr:nvPicPr>
      <xdr:blipFill>
        <a:blip xmlns:r="http://schemas.openxmlformats.org/officeDocument/2006/relationships" r:embed="rId2" cstate="print">
          <a:extLst>
            <a:ext uri="{BEBA8EAE-BF5A-486C-A8C5-ECC9F3942E4B}">
              <a14:imgProps xmlns:a14="http://schemas.microsoft.com/office/drawing/2010/main">
                <a14:imgLayer r:embed="rId3">
                  <a14:imgEffect>
                    <a14:backgroundRemoval t="10000" b="90000" l="10000" r="90000"/>
                  </a14:imgEffect>
                </a14:imgLayer>
              </a14:imgProps>
            </a:ext>
          </a:extLst>
        </a:blip>
        <a:srcRect/>
        <a:stretch>
          <a:fillRect/>
        </a:stretch>
      </xdr:blipFill>
      <xdr:spPr bwMode="auto">
        <a:xfrm>
          <a:off x="22963206" y="25293917"/>
          <a:ext cx="219075" cy="247650"/>
        </a:xfrm>
        <a:prstGeom prst="rect">
          <a:avLst/>
        </a:prstGeom>
        <a:noFill/>
        <a:ln w="9525">
          <a:noFill/>
          <a:miter lim="800000"/>
          <a:headEnd/>
          <a:tailEnd/>
        </a:ln>
      </xdr:spPr>
    </xdr:pic>
    <xdr:clientData/>
  </xdr:oneCellAnchor>
  <xdr:twoCellAnchor editAs="oneCell">
    <xdr:from>
      <xdr:col>14</xdr:col>
      <xdr:colOff>108857</xdr:colOff>
      <xdr:row>74</xdr:row>
      <xdr:rowOff>81642</xdr:rowOff>
    </xdr:from>
    <xdr:to>
      <xdr:col>15</xdr:col>
      <xdr:colOff>567508</xdr:colOff>
      <xdr:row>78</xdr:row>
      <xdr:rowOff>2721</xdr:rowOff>
    </xdr:to>
    <xdr:pic>
      <xdr:nvPicPr>
        <xdr:cNvPr id="55" name="Picture 54">
          <a:extLst>
            <a:ext uri="{FF2B5EF4-FFF2-40B4-BE49-F238E27FC236}">
              <a16:creationId xmlns:a16="http://schemas.microsoft.com/office/drawing/2014/main" id="{5A2CF9FC-F072-7EAE-9E57-574B1B8AA6D3}"/>
            </a:ext>
          </a:extLst>
        </xdr:cNvPr>
        <xdr:cNvPicPr/>
      </xdr:nvPicPr>
      <xdr:blipFill>
        <a:blip xmlns:r="http://schemas.openxmlformats.org/officeDocument/2006/relationships" r:embed="rId5" cstate="print"/>
        <a:srcRect/>
        <a:stretch>
          <a:fillRect/>
        </a:stretch>
      </xdr:blipFill>
      <xdr:spPr bwMode="auto">
        <a:xfrm>
          <a:off x="12491357" y="15035892"/>
          <a:ext cx="1179830" cy="733425"/>
        </a:xfrm>
        <a:prstGeom prst="rect">
          <a:avLst/>
        </a:prstGeom>
        <a:noFill/>
        <a:ln w="9525">
          <a:noFill/>
          <a:miter lim="800000"/>
          <a:headEnd/>
          <a:tailEnd/>
        </a:ln>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alfer\OneDrive\Desktop\CDEA%20LOAN%20TABLE%201.16.25.xlsx" TargetMode="External"/><Relationship Id="rId1" Type="http://schemas.openxmlformats.org/officeDocument/2006/relationships/externalLinkPath" Target="/Users/alfer/OneDrive/Desktop/CDEA%20LOAN%20TABLE%201.16.2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F:\MARQUEZ.xlsx" TargetMode="External"/><Relationship Id="rId1" Type="http://schemas.openxmlformats.org/officeDocument/2006/relationships/externalLinkPath" Target="file:///F:\MARQUEZ.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Entry"/>
      <sheetName val="Amortization  Table"/>
      <sheetName val="Computation Table"/>
    </sheetNames>
    <sheetDataSet>
      <sheetData sheetId="0" refreshError="1"/>
      <sheetData sheetId="1" refreshError="1"/>
      <sheetData sheetId="2">
        <row r="74">
          <cell r="X74">
            <v>19566.155999774499</v>
          </cell>
          <cell r="Z74">
            <v>21329.887774518666</v>
          </cell>
          <cell r="AB74">
            <v>23093.619549262832</v>
          </cell>
          <cell r="AD74">
            <v>24857.351324007006</v>
          </cell>
          <cell r="AF74">
            <v>26621.083098751173</v>
          </cell>
          <cell r="AH74">
            <v>28384.814873495339</v>
          </cell>
          <cell r="AJ74">
            <v>30148.54664823951</v>
          </cell>
          <cell r="AL74">
            <v>31912.278422983676</v>
          </cell>
          <cell r="AN74">
            <v>33676.010197727846</v>
          </cell>
          <cell r="AP74">
            <v>35439.741972472009</v>
          </cell>
        </row>
        <row r="100">
          <cell r="X100">
            <v>27716.936598859778</v>
          </cell>
          <cell r="Z100">
            <v>30214.976485933068</v>
          </cell>
          <cell r="AB100">
            <v>32713.016373006354</v>
          </cell>
          <cell r="AD100">
            <v>35211.05626007964</v>
          </cell>
          <cell r="AF100">
            <v>37709.09614715293</v>
          </cell>
          <cell r="AH100">
            <v>40207.13603422622</v>
          </cell>
          <cell r="AJ100">
            <v>42705.175921299509</v>
          </cell>
          <cell r="AL100">
            <v>45203.215808372799</v>
          </cell>
          <cell r="AN100">
            <v>47701.255695446082</v>
          </cell>
          <cell r="AP100">
            <v>50199.295582519371</v>
          </cell>
        </row>
        <row r="126">
          <cell r="X126">
            <v>51417.378331262276</v>
          </cell>
          <cell r="Z126">
            <v>56049.895272965412</v>
          </cell>
          <cell r="AB126">
            <v>60682.412214668555</v>
          </cell>
          <cell r="AD126">
            <v>65314.929156371705</v>
          </cell>
          <cell r="AF126">
            <v>69947.446098074841</v>
          </cell>
          <cell r="AH126">
            <v>74579.963039777984</v>
          </cell>
          <cell r="AJ126">
            <v>79212.479981481127</v>
          </cell>
          <cell r="AL126">
            <v>83844.99692318427</v>
          </cell>
          <cell r="AN126">
            <v>88477.513864887413</v>
          </cell>
          <cell r="AP126">
            <v>93110.030806590541</v>
          </cell>
        </row>
      </sheetData>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Data Entry"/>
      <sheetName val="Computation Table"/>
      <sheetName val="Amortization  Table"/>
      <sheetName val="1 Yr"/>
      <sheetName val="2 Yrs"/>
      <sheetName val="3 Yrs"/>
      <sheetName val="MARQUEZ"/>
    </sheetNames>
    <sheetDataSet>
      <sheetData sheetId="0" refreshError="1">
        <row r="3">
          <cell r="E3">
            <v>201960.56326226707</v>
          </cell>
        </row>
        <row r="4">
          <cell r="E4">
            <v>150000</v>
          </cell>
        </row>
        <row r="6">
          <cell r="E6">
            <v>16500</v>
          </cell>
        </row>
        <row r="7">
          <cell r="E7">
            <v>5400</v>
          </cell>
        </row>
        <row r="8">
          <cell r="E8">
            <v>5000</v>
          </cell>
        </row>
        <row r="9">
          <cell r="E9">
            <v>300</v>
          </cell>
        </row>
        <row r="10">
          <cell r="E10">
            <v>1037.5</v>
          </cell>
        </row>
        <row r="11">
          <cell r="E11">
            <v>178237.5</v>
          </cell>
        </row>
        <row r="12">
          <cell r="D12">
            <v>8.5000000000000006E-2</v>
          </cell>
          <cell r="E12">
            <v>8.3000000000000004E-2</v>
          </cell>
        </row>
        <row r="13">
          <cell r="D13">
            <v>8.855359027416676E-2</v>
          </cell>
        </row>
        <row r="14">
          <cell r="E14">
            <v>5610.0156461740853</v>
          </cell>
        </row>
      </sheetData>
      <sheetData sheetId="1" refreshError="1"/>
      <sheetData sheetId="2" refreshError="1"/>
      <sheetData sheetId="3" refreshError="1"/>
      <sheetData sheetId="4" refreshError="1"/>
      <sheetData sheetId="5" refreshError="1"/>
      <sheetData sheetId="6"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hyperlink" Target="mailto:rhodapaggabao@yahoo.com"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hyperlink" Target="mailto:katofrecio@gmail.com" TargetMode="External"/></Relationships>
</file>

<file path=xl/worksheets/_rels/sheet7.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5.bin"/><Relationship Id="rId1" Type="http://schemas.openxmlformats.org/officeDocument/2006/relationships/hyperlink" Target="mailto:madomarquez819@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34"/>
  <sheetViews>
    <sheetView tabSelected="1" workbookViewId="0">
      <selection activeCell="C5" sqref="C5"/>
    </sheetView>
  </sheetViews>
  <sheetFormatPr defaultColWidth="8.85546875" defaultRowHeight="15"/>
  <cols>
    <col min="2" max="2" width="21.28515625" customWidth="1"/>
    <col min="3" max="7" width="14.7109375" customWidth="1"/>
  </cols>
  <sheetData>
    <row r="1" spans="2:9">
      <c r="B1" s="230" t="s">
        <v>85</v>
      </c>
      <c r="C1" s="230"/>
      <c r="D1" s="230"/>
      <c r="E1" s="230"/>
    </row>
    <row r="2" spans="2:9">
      <c r="C2" s="27" t="s">
        <v>0</v>
      </c>
      <c r="D2" s="27" t="s">
        <v>1</v>
      </c>
      <c r="E2" s="27" t="s">
        <v>2</v>
      </c>
      <c r="F2" s="27"/>
      <c r="G2" s="27"/>
    </row>
    <row r="3" spans="2:9">
      <c r="B3" t="s">
        <v>3</v>
      </c>
      <c r="C3" s="28">
        <f>'Computation Table'!C56</f>
        <v>33568.249358133944</v>
      </c>
      <c r="D3" s="28">
        <f>'Computation Table'!C30</f>
        <v>66388.013164264121</v>
      </c>
      <c r="E3" s="28">
        <f>'Computation Table'!C4</f>
        <v>70983.871441386393</v>
      </c>
      <c r="F3" s="28"/>
      <c r="G3" s="28"/>
    </row>
    <row r="4" spans="2:9">
      <c r="B4" t="s">
        <v>4</v>
      </c>
      <c r="C4" s="4">
        <v>25000</v>
      </c>
      <c r="D4" s="29">
        <v>50000</v>
      </c>
      <c r="E4" s="29">
        <v>50000</v>
      </c>
      <c r="F4" s="5"/>
      <c r="G4" s="5"/>
      <c r="H4" s="2"/>
      <c r="I4" s="2"/>
    </row>
    <row r="5" spans="2:9">
      <c r="B5" t="s">
        <v>5</v>
      </c>
      <c r="C5" s="2"/>
      <c r="D5" s="2"/>
      <c r="E5" s="2"/>
      <c r="F5" s="5"/>
      <c r="G5" s="5"/>
      <c r="H5" s="2"/>
      <c r="I5" s="2"/>
    </row>
    <row r="6" spans="2:9">
      <c r="B6" t="s">
        <v>6</v>
      </c>
      <c r="C6" s="2">
        <f>'Computation Table'!C58</f>
        <v>1500</v>
      </c>
      <c r="D6" s="2">
        <f>'Computation Table'!C32</f>
        <v>4000</v>
      </c>
      <c r="E6" s="2">
        <f>'Computation Table'!C6</f>
        <v>5500</v>
      </c>
      <c r="F6" s="5"/>
      <c r="G6" s="5"/>
      <c r="H6" s="2"/>
      <c r="I6" s="2"/>
    </row>
    <row r="7" spans="2:9">
      <c r="B7" t="s">
        <v>7</v>
      </c>
      <c r="C7" s="2">
        <f>'Computation Table'!C59</f>
        <v>300</v>
      </c>
      <c r="D7" s="2">
        <f>'Computation Table'!C33</f>
        <v>1200</v>
      </c>
      <c r="E7" s="2">
        <f>'Computation Table'!C7</f>
        <v>1800</v>
      </c>
      <c r="F7" s="5"/>
      <c r="G7" s="5"/>
      <c r="H7" s="2"/>
      <c r="I7" s="2"/>
    </row>
    <row r="8" spans="2:9">
      <c r="B8" t="s">
        <v>8</v>
      </c>
      <c r="C8" s="2">
        <v>5000</v>
      </c>
      <c r="D8" s="2">
        <v>5000</v>
      </c>
      <c r="E8" s="2">
        <v>5000</v>
      </c>
      <c r="F8" s="5"/>
      <c r="G8" s="5"/>
      <c r="H8" s="2"/>
      <c r="I8" s="2"/>
    </row>
    <row r="9" spans="2:9">
      <c r="B9" t="s">
        <v>9</v>
      </c>
      <c r="C9" s="2"/>
      <c r="D9" s="2">
        <v>300</v>
      </c>
      <c r="E9" s="2"/>
      <c r="F9" s="5"/>
      <c r="G9" s="5"/>
      <c r="H9" s="2"/>
      <c r="I9" s="2"/>
    </row>
    <row r="10" spans="2:9">
      <c r="B10" t="s">
        <v>10</v>
      </c>
      <c r="C10" s="2">
        <f>'Computation Table'!C62</f>
        <v>187.5</v>
      </c>
      <c r="D10" s="2">
        <f>'Computation Table'!C36</f>
        <v>354.16666666666669</v>
      </c>
      <c r="E10" s="2">
        <f>'Computation Table'!C10</f>
        <v>345.83333333333337</v>
      </c>
      <c r="F10" s="5"/>
      <c r="G10" s="5"/>
      <c r="H10" s="2"/>
      <c r="I10" s="2"/>
    </row>
    <row r="11" spans="2:9">
      <c r="B11" t="s">
        <v>11</v>
      </c>
      <c r="C11" s="2">
        <f>SUM(C4:C10)</f>
        <v>31987.5</v>
      </c>
      <c r="D11" s="2">
        <f>SUM(D4:D10)</f>
        <v>60854.166666666664</v>
      </c>
      <c r="E11" s="2">
        <f>SUM(E4:E10)</f>
        <v>62645.833333333336</v>
      </c>
      <c r="F11" s="5"/>
      <c r="G11" s="5"/>
      <c r="H11" s="2"/>
      <c r="I11" s="2"/>
    </row>
    <row r="12" spans="2:9">
      <c r="B12" t="s">
        <v>12</v>
      </c>
      <c r="C12" s="11">
        <f>'Computation Table'!C64</f>
        <v>0.09</v>
      </c>
      <c r="D12" s="11">
        <f>'Computation Table'!C38</f>
        <v>8.5000000000000006E-2</v>
      </c>
      <c r="E12" s="11">
        <f>'Computation Table'!C12</f>
        <v>8.3000000000000004E-2</v>
      </c>
      <c r="F12" s="17"/>
      <c r="G12" s="17"/>
      <c r="H12" s="2"/>
      <c r="I12" s="2"/>
    </row>
    <row r="13" spans="2:9">
      <c r="B13" t="s">
        <v>13</v>
      </c>
      <c r="C13" s="11">
        <f>'Computation Table'!C65</f>
        <v>9.3806897670984268E-2</v>
      </c>
      <c r="D13" s="11">
        <f>'Computation Table'!C39</f>
        <v>8.855359027416676E-2</v>
      </c>
      <c r="E13" s="11">
        <f>'Computation Table'!C13</f>
        <v>8.6438012098464467E-2</v>
      </c>
      <c r="F13" s="17"/>
      <c r="G13" s="17"/>
      <c r="H13" s="2"/>
      <c r="I13" s="2"/>
    </row>
    <row r="14" spans="2:9">
      <c r="B14" t="s">
        <v>14</v>
      </c>
      <c r="C14" s="4">
        <f>'Computation Table'!C74</f>
        <v>2797.3541131778288</v>
      </c>
      <c r="D14" s="29">
        <f>'Computation Table'!C48</f>
        <v>2766.1672151776716</v>
      </c>
      <c r="E14" s="29">
        <f>'Computation Table'!C22</f>
        <v>1971.7742067051774</v>
      </c>
      <c r="F14" s="5"/>
      <c r="G14" s="5"/>
      <c r="H14" s="2"/>
      <c r="I14" s="2"/>
    </row>
    <row r="15" spans="2:9">
      <c r="B15" t="s">
        <v>6</v>
      </c>
      <c r="C15" s="30">
        <f>11%</f>
        <v>0.11</v>
      </c>
      <c r="D15" s="31">
        <v>0.06</v>
      </c>
      <c r="E15" s="31">
        <v>0.05</v>
      </c>
      <c r="F15" s="5"/>
      <c r="G15" s="5"/>
      <c r="H15" s="2"/>
      <c r="I15" s="2"/>
    </row>
    <row r="16" spans="2:9">
      <c r="C16" s="2"/>
      <c r="D16" s="2"/>
      <c r="E16" s="2"/>
      <c r="F16" s="2"/>
      <c r="G16" s="2"/>
      <c r="H16" s="2"/>
      <c r="I16" s="2"/>
    </row>
    <row r="17" spans="3:9">
      <c r="C17" s="2"/>
      <c r="D17" s="2"/>
      <c r="E17" s="2"/>
      <c r="F17" s="2"/>
      <c r="G17" s="2"/>
      <c r="H17" s="2"/>
      <c r="I17" s="2"/>
    </row>
    <row r="18" spans="3:9">
      <c r="C18" s="2"/>
      <c r="D18" s="2"/>
      <c r="E18" s="2"/>
      <c r="F18" s="2"/>
      <c r="G18" s="2"/>
      <c r="H18" s="2"/>
      <c r="I18" s="2"/>
    </row>
    <row r="19" spans="3:9">
      <c r="C19" s="2"/>
      <c r="D19" s="2"/>
      <c r="E19" s="2"/>
      <c r="F19" s="2"/>
      <c r="G19" s="2"/>
      <c r="H19" s="2"/>
      <c r="I19" s="2"/>
    </row>
    <row r="20" spans="3:9">
      <c r="C20" s="2"/>
      <c r="D20" s="2"/>
      <c r="E20" s="2"/>
      <c r="F20" s="2"/>
      <c r="G20" s="2"/>
      <c r="H20" s="2"/>
      <c r="I20" s="2"/>
    </row>
    <row r="21" spans="3:9">
      <c r="C21" s="2"/>
      <c r="D21" s="2"/>
      <c r="E21" s="2"/>
      <c r="F21" s="2"/>
      <c r="G21" s="2"/>
      <c r="H21" s="2"/>
      <c r="I21" s="2"/>
    </row>
    <row r="22" spans="3:9">
      <c r="C22" s="2"/>
      <c r="D22" s="2"/>
      <c r="E22" s="2"/>
      <c r="F22" s="2"/>
      <c r="G22" s="2"/>
      <c r="H22" s="2"/>
      <c r="I22" s="2"/>
    </row>
    <row r="23" spans="3:9">
      <c r="C23" s="2"/>
      <c r="D23" s="2"/>
      <c r="E23" s="2"/>
      <c r="F23" s="2"/>
      <c r="G23" s="2"/>
      <c r="H23" s="2"/>
      <c r="I23" s="2"/>
    </row>
    <row r="24" spans="3:9">
      <c r="C24" s="2"/>
      <c r="D24" s="2"/>
      <c r="E24" s="2"/>
      <c r="F24" s="2"/>
      <c r="G24" s="2"/>
      <c r="H24" s="2"/>
      <c r="I24" s="2"/>
    </row>
    <row r="25" spans="3:9">
      <c r="C25" s="2"/>
      <c r="D25" s="2"/>
      <c r="E25" s="2"/>
      <c r="F25" s="2"/>
      <c r="G25" s="2"/>
      <c r="H25" s="2"/>
      <c r="I25" s="2"/>
    </row>
    <row r="26" spans="3:9">
      <c r="C26" s="2"/>
      <c r="D26" s="2"/>
      <c r="E26" s="2"/>
      <c r="F26" s="2"/>
      <c r="G26" s="2"/>
      <c r="H26" s="2"/>
      <c r="I26" s="2"/>
    </row>
    <row r="27" spans="3:9">
      <c r="C27" s="2"/>
      <c r="D27" s="2"/>
      <c r="E27" s="2"/>
      <c r="F27" s="2"/>
      <c r="G27" s="2"/>
      <c r="H27" s="2"/>
      <c r="I27" s="2"/>
    </row>
    <row r="28" spans="3:9">
      <c r="C28" s="2"/>
      <c r="D28" s="2"/>
      <c r="E28" s="2"/>
      <c r="F28" s="2"/>
      <c r="G28" s="2"/>
      <c r="H28" s="2"/>
      <c r="I28" s="2"/>
    </row>
    <row r="29" spans="3:9">
      <c r="C29" s="2"/>
      <c r="D29" s="2"/>
      <c r="E29" s="2"/>
      <c r="F29" s="2"/>
      <c r="G29" s="2"/>
      <c r="H29" s="2"/>
      <c r="I29" s="2"/>
    </row>
    <row r="30" spans="3:9">
      <c r="C30" s="2"/>
      <c r="D30" s="2"/>
      <c r="E30" s="2"/>
      <c r="F30" s="2"/>
      <c r="G30" s="2"/>
      <c r="H30" s="2"/>
      <c r="I30" s="2"/>
    </row>
    <row r="31" spans="3:9">
      <c r="C31" s="2"/>
      <c r="D31" s="2"/>
      <c r="E31" s="2"/>
      <c r="F31" s="2"/>
      <c r="G31" s="2"/>
      <c r="H31" s="2"/>
      <c r="I31" s="2"/>
    </row>
    <row r="32" spans="3:9">
      <c r="C32" s="2"/>
      <c r="D32" s="2"/>
      <c r="E32" s="2"/>
      <c r="F32" s="2"/>
      <c r="G32" s="2"/>
      <c r="H32" s="2"/>
      <c r="I32" s="2"/>
    </row>
    <row r="33" spans="3:9">
      <c r="C33" s="2"/>
      <c r="D33" s="2"/>
      <c r="E33" s="2"/>
      <c r="F33" s="2"/>
      <c r="G33" s="2"/>
      <c r="H33" s="2"/>
      <c r="I33" s="2"/>
    </row>
    <row r="34" spans="3:9">
      <c r="C34" s="2"/>
      <c r="D34" s="2"/>
      <c r="E34" s="2"/>
      <c r="F34" s="2"/>
      <c r="G34" s="2"/>
      <c r="H34" s="2"/>
      <c r="I34" s="2"/>
    </row>
  </sheetData>
  <sheetProtection algorithmName="SHA-512" hashValue="jzFg+2CAwJjPTsVmm79TtR+SPpGJlC9OewjhydtvZw1v8HDD+s6SngAWpvhGYMhVFz19uLCHhDZwjg+5yJ/5dQ==" saltValue="/VoT5zAtFhe8UcqWumSMPQ==" spinCount="100000" sheet="1" objects="1" scenarios="1"/>
  <protectedRanges>
    <protectedRange sqref="C8:E8" name="Capcon"/>
    <protectedRange sqref="C9:E9" name="Membership fee"/>
    <protectedRange sqref="C4:E4" name="Net Proceeds"/>
  </protectedRanges>
  <mergeCells count="1">
    <mergeCell ref="B1:E1"/>
  </mergeCells>
  <pageMargins left="0.75" right="0.75" top="1" bottom="1" header="0.5" footer="0.5"/>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AT101"/>
  <sheetViews>
    <sheetView topLeftCell="A40" zoomScale="85" zoomScaleNormal="85" workbookViewId="0">
      <selection activeCell="C63" sqref="C63"/>
    </sheetView>
  </sheetViews>
  <sheetFormatPr defaultColWidth="9" defaultRowHeight="15"/>
  <cols>
    <col min="1" max="1" width="11.85546875" customWidth="1"/>
    <col min="2" max="2" width="36.7109375" customWidth="1"/>
    <col min="3" max="6" width="15.7109375" customWidth="1"/>
    <col min="7" max="10" width="15.5703125" customWidth="1"/>
    <col min="11" max="12" width="15.7109375" customWidth="1"/>
    <col min="13" max="26" width="15.7109375" style="2" customWidth="1"/>
    <col min="27" max="46" width="15.7109375" customWidth="1"/>
  </cols>
  <sheetData>
    <row r="1" spans="2:46" ht="21">
      <c r="C1" s="3" t="s">
        <v>20</v>
      </c>
      <c r="D1" s="3"/>
    </row>
    <row r="3" spans="2:46" ht="21">
      <c r="B3" s="3" t="s">
        <v>2</v>
      </c>
    </row>
    <row r="4" spans="2:46">
      <c r="B4" t="s">
        <v>21</v>
      </c>
      <c r="C4" s="2">
        <f>C22*C16</f>
        <v>70983.871441386393</v>
      </c>
      <c r="D4" s="2">
        <f>D22*D16</f>
        <v>32659.190601648839</v>
      </c>
      <c r="E4" s="2">
        <f>E22*E16</f>
        <v>65318.381203297678</v>
      </c>
      <c r="F4" s="2">
        <f>F22*F16</f>
        <v>97977.571804946507</v>
      </c>
      <c r="G4" s="2">
        <f>G22*G16</f>
        <v>130636.76240659536</v>
      </c>
      <c r="H4" s="2">
        <f t="shared" ref="H4:I4" si="0">H22*H16</f>
        <v>163295.95300824422</v>
      </c>
      <c r="I4" s="2">
        <f t="shared" si="0"/>
        <v>195955.14360989301</v>
      </c>
      <c r="J4" s="2">
        <f t="shared" ref="J4" si="1">J22*J16</f>
        <v>228614.33421154186</v>
      </c>
      <c r="K4" s="2">
        <f t="shared" ref="K4:AQ4" si="2">K22*K16</f>
        <v>261273.52481319071</v>
      </c>
      <c r="L4" s="2">
        <f t="shared" ref="L4:N4" si="3">L22*L16</f>
        <v>293932.71541483956</v>
      </c>
      <c r="M4" s="2">
        <f t="shared" si="3"/>
        <v>326591.90601648844</v>
      </c>
      <c r="N4" s="2">
        <f t="shared" si="3"/>
        <v>359251.09661813726</v>
      </c>
      <c r="O4" s="2">
        <f t="shared" si="2"/>
        <v>391910.28721978603</v>
      </c>
      <c r="P4" s="2">
        <f t="shared" ref="P4:Q4" si="4">P22*P16</f>
        <v>424569.47782143491</v>
      </c>
      <c r="Q4" s="2">
        <f t="shared" si="4"/>
        <v>457228.66842308373</v>
      </c>
      <c r="R4" s="2">
        <f t="shared" ref="R4" si="5">R22*R16</f>
        <v>489887.85902473261</v>
      </c>
      <c r="S4" s="2">
        <f t="shared" si="2"/>
        <v>522547.04962638143</v>
      </c>
      <c r="T4" s="2">
        <f t="shared" ref="T4:V4" si="6">T22*T16</f>
        <v>555206.24022803025</v>
      </c>
      <c r="U4" s="2">
        <f t="shared" si="6"/>
        <v>587865.43082967913</v>
      </c>
      <c r="V4" s="2">
        <f t="shared" si="6"/>
        <v>620524.62143132789</v>
      </c>
      <c r="W4" s="2">
        <f t="shared" si="2"/>
        <v>653183.81203297689</v>
      </c>
      <c r="X4" s="2">
        <f t="shared" ref="X4:Z4" si="7">X22*X16</f>
        <v>685843.00263462565</v>
      </c>
      <c r="Y4" s="2">
        <f t="shared" si="7"/>
        <v>718502.19323627453</v>
      </c>
      <c r="Z4" s="2">
        <f t="shared" si="7"/>
        <v>751161.38383792341</v>
      </c>
      <c r="AA4" s="2">
        <f t="shared" si="2"/>
        <v>783820.57443957205</v>
      </c>
      <c r="AB4" s="2">
        <f t="shared" ref="AB4:AD4" si="8">AB22*AB16</f>
        <v>816479.76504122093</v>
      </c>
      <c r="AC4" s="2">
        <f t="shared" si="8"/>
        <v>849138.95564286981</v>
      </c>
      <c r="AD4" s="2">
        <f t="shared" si="8"/>
        <v>881798.14624451869</v>
      </c>
      <c r="AE4" s="2">
        <f t="shared" si="2"/>
        <v>914457.33684616745</v>
      </c>
      <c r="AF4" s="2">
        <f t="shared" ref="AF4:AH4" si="9">AF22*AF16</f>
        <v>947116.52744781645</v>
      </c>
      <c r="AG4" s="2">
        <f t="shared" si="9"/>
        <v>979775.71804946521</v>
      </c>
      <c r="AH4" s="2">
        <f t="shared" si="9"/>
        <v>1012434.908651114</v>
      </c>
      <c r="AI4" s="2">
        <f t="shared" si="2"/>
        <v>1045094.0992527629</v>
      </c>
      <c r="AJ4" s="2">
        <f t="shared" ref="AJ4:AL4" si="10">AJ22*AJ16</f>
        <v>1077753.2898544117</v>
      </c>
      <c r="AK4" s="2">
        <f t="shared" si="10"/>
        <v>1110412.4804560605</v>
      </c>
      <c r="AL4" s="2">
        <f t="shared" si="10"/>
        <v>1143071.6710577095</v>
      </c>
      <c r="AM4" s="2">
        <f t="shared" si="2"/>
        <v>1175730.8616593583</v>
      </c>
      <c r="AN4" s="2">
        <f t="shared" ref="AN4:AP4" si="11">AN22*AN16</f>
        <v>1208390.052261007</v>
      </c>
      <c r="AO4" s="2">
        <f t="shared" si="11"/>
        <v>1241049.2428626558</v>
      </c>
      <c r="AP4" s="2">
        <f t="shared" si="11"/>
        <v>1273708.4334643048</v>
      </c>
      <c r="AQ4" s="2">
        <f t="shared" si="2"/>
        <v>1306367.6240659538</v>
      </c>
      <c r="AR4" s="2">
        <f t="shared" ref="AR4:AS4" si="12">AR22*AR16</f>
        <v>1339026.8146676023</v>
      </c>
      <c r="AS4" s="2">
        <f t="shared" si="12"/>
        <v>1371686.0052692513</v>
      </c>
      <c r="AT4" s="2">
        <f t="shared" ref="AT4" si="13">AT22*AT16</f>
        <v>1404345.1958709003</v>
      </c>
    </row>
    <row r="5" spans="2:46" s="1" customFormat="1">
      <c r="B5" s="1" t="s">
        <v>22</v>
      </c>
      <c r="C5" s="4">
        <f>'Data Entry'!E4</f>
        <v>50000</v>
      </c>
      <c r="D5" s="4">
        <v>25000</v>
      </c>
      <c r="E5" s="4">
        <v>50000</v>
      </c>
      <c r="F5" s="4">
        <v>75000</v>
      </c>
      <c r="G5" s="4">
        <v>100000</v>
      </c>
      <c r="H5" s="4">
        <v>125000</v>
      </c>
      <c r="I5" s="4">
        <v>150000</v>
      </c>
      <c r="J5" s="4">
        <v>175000</v>
      </c>
      <c r="K5" s="4">
        <v>200000</v>
      </c>
      <c r="L5" s="4">
        <v>225000</v>
      </c>
      <c r="M5" s="4">
        <v>250000</v>
      </c>
      <c r="N5" s="4">
        <v>275000</v>
      </c>
      <c r="O5" s="4">
        <v>300000</v>
      </c>
      <c r="P5" s="4">
        <v>325000</v>
      </c>
      <c r="Q5" s="4">
        <v>350000</v>
      </c>
      <c r="R5" s="4">
        <v>375000</v>
      </c>
      <c r="S5" s="4">
        <v>400000</v>
      </c>
      <c r="T5" s="4">
        <v>425000</v>
      </c>
      <c r="U5" s="4">
        <v>450000</v>
      </c>
      <c r="V5" s="4">
        <v>475000</v>
      </c>
      <c r="W5" s="4">
        <v>500000</v>
      </c>
      <c r="X5" s="4">
        <v>525000</v>
      </c>
      <c r="Y5" s="4">
        <v>550000</v>
      </c>
      <c r="Z5" s="4">
        <v>575000</v>
      </c>
      <c r="AA5" s="4">
        <v>600000</v>
      </c>
      <c r="AB5" s="4">
        <v>625000</v>
      </c>
      <c r="AC5" s="4">
        <v>650000</v>
      </c>
      <c r="AD5" s="4">
        <v>675000</v>
      </c>
      <c r="AE5" s="4">
        <v>700000</v>
      </c>
      <c r="AF5" s="4">
        <v>725000</v>
      </c>
      <c r="AG5" s="4">
        <v>750000</v>
      </c>
      <c r="AH5" s="4">
        <v>775000</v>
      </c>
      <c r="AI5" s="4">
        <v>800000</v>
      </c>
      <c r="AJ5" s="4">
        <v>825000</v>
      </c>
      <c r="AK5" s="4">
        <v>850000</v>
      </c>
      <c r="AL5" s="4">
        <v>875000</v>
      </c>
      <c r="AM5" s="4">
        <v>900000</v>
      </c>
      <c r="AN5" s="4">
        <v>925000</v>
      </c>
      <c r="AO5" s="4">
        <v>950000</v>
      </c>
      <c r="AP5" s="4">
        <v>975000</v>
      </c>
      <c r="AQ5" s="4">
        <v>1000000</v>
      </c>
      <c r="AR5" s="4">
        <v>1025000</v>
      </c>
      <c r="AS5" s="4">
        <v>1050000</v>
      </c>
      <c r="AT5" s="4">
        <v>1075000</v>
      </c>
    </row>
    <row r="6" spans="2:46">
      <c r="B6" t="s">
        <v>23</v>
      </c>
      <c r="C6" s="2">
        <f>C5*0.11</f>
        <v>5500</v>
      </c>
      <c r="D6" s="2">
        <f>D5*0.11</f>
        <v>2750</v>
      </c>
      <c r="E6" s="2">
        <f t="shared" ref="E6:AT6" si="14">E5*0.11</f>
        <v>5500</v>
      </c>
      <c r="F6" s="2">
        <f t="shared" si="14"/>
        <v>8250</v>
      </c>
      <c r="G6" s="2">
        <f t="shared" si="14"/>
        <v>11000</v>
      </c>
      <c r="H6" s="2">
        <f t="shared" si="14"/>
        <v>13750</v>
      </c>
      <c r="I6" s="2">
        <f t="shared" si="14"/>
        <v>16500</v>
      </c>
      <c r="J6" s="2">
        <f t="shared" si="14"/>
        <v>19250</v>
      </c>
      <c r="K6" s="2">
        <f t="shared" si="14"/>
        <v>22000</v>
      </c>
      <c r="L6" s="2">
        <f t="shared" si="14"/>
        <v>24750</v>
      </c>
      <c r="M6" s="2">
        <f t="shared" si="14"/>
        <v>27500</v>
      </c>
      <c r="N6" s="2">
        <f t="shared" si="14"/>
        <v>30250</v>
      </c>
      <c r="O6" s="2">
        <f t="shared" si="14"/>
        <v>33000</v>
      </c>
      <c r="P6" s="2">
        <f t="shared" si="14"/>
        <v>35750</v>
      </c>
      <c r="Q6" s="2">
        <f t="shared" si="14"/>
        <v>38500</v>
      </c>
      <c r="R6" s="2">
        <f t="shared" si="14"/>
        <v>41250</v>
      </c>
      <c r="S6" s="2">
        <f t="shared" si="14"/>
        <v>44000</v>
      </c>
      <c r="T6" s="2">
        <f t="shared" si="14"/>
        <v>46750</v>
      </c>
      <c r="U6" s="2">
        <f t="shared" si="14"/>
        <v>49500</v>
      </c>
      <c r="V6" s="2">
        <f t="shared" si="14"/>
        <v>52250</v>
      </c>
      <c r="W6" s="2">
        <f t="shared" si="14"/>
        <v>55000</v>
      </c>
      <c r="X6" s="2">
        <f t="shared" si="14"/>
        <v>57750</v>
      </c>
      <c r="Y6" s="2">
        <f t="shared" si="14"/>
        <v>60500</v>
      </c>
      <c r="Z6" s="2">
        <f t="shared" si="14"/>
        <v>63250</v>
      </c>
      <c r="AA6" s="2">
        <f t="shared" si="14"/>
        <v>66000</v>
      </c>
      <c r="AB6" s="2">
        <f t="shared" si="14"/>
        <v>68750</v>
      </c>
      <c r="AC6" s="2">
        <f t="shared" si="14"/>
        <v>71500</v>
      </c>
      <c r="AD6" s="2">
        <f t="shared" si="14"/>
        <v>74250</v>
      </c>
      <c r="AE6" s="2">
        <f t="shared" si="14"/>
        <v>77000</v>
      </c>
      <c r="AF6" s="2">
        <f t="shared" si="14"/>
        <v>79750</v>
      </c>
      <c r="AG6" s="2">
        <f t="shared" si="14"/>
        <v>82500</v>
      </c>
      <c r="AH6" s="2">
        <f t="shared" si="14"/>
        <v>85250</v>
      </c>
      <c r="AI6" s="2">
        <f t="shared" si="14"/>
        <v>88000</v>
      </c>
      <c r="AJ6" s="2">
        <f t="shared" si="14"/>
        <v>90750</v>
      </c>
      <c r="AK6" s="2">
        <f t="shared" si="14"/>
        <v>93500</v>
      </c>
      <c r="AL6" s="2">
        <f t="shared" si="14"/>
        <v>96250</v>
      </c>
      <c r="AM6" s="2">
        <f t="shared" si="14"/>
        <v>99000</v>
      </c>
      <c r="AN6" s="2">
        <f t="shared" si="14"/>
        <v>101750</v>
      </c>
      <c r="AO6" s="2">
        <f t="shared" si="14"/>
        <v>104500</v>
      </c>
      <c r="AP6" s="2">
        <f t="shared" si="14"/>
        <v>107250</v>
      </c>
      <c r="AQ6" s="2">
        <f t="shared" si="14"/>
        <v>110000</v>
      </c>
      <c r="AR6" s="2">
        <f t="shared" si="14"/>
        <v>112750</v>
      </c>
      <c r="AS6" s="2">
        <f t="shared" si="14"/>
        <v>115500</v>
      </c>
      <c r="AT6" s="2">
        <f t="shared" si="14"/>
        <v>118250</v>
      </c>
    </row>
    <row r="7" spans="2:46">
      <c r="B7" t="s">
        <v>7</v>
      </c>
      <c r="C7" s="2">
        <f>(C5/1000)*C16</f>
        <v>1800</v>
      </c>
      <c r="D7" s="2">
        <f>(D5/1000)*D16</f>
        <v>900</v>
      </c>
      <c r="E7" s="2">
        <f>(E5/1000)*E16</f>
        <v>1800</v>
      </c>
      <c r="F7" s="2">
        <f>(F5/1000)*F16</f>
        <v>2700</v>
      </c>
      <c r="G7" s="2">
        <f>(G5/1000)*G16</f>
        <v>3600</v>
      </c>
      <c r="H7" s="2">
        <f t="shared" ref="H7:I7" si="15">(H5/1000)*H16</f>
        <v>4500</v>
      </c>
      <c r="I7" s="2">
        <f t="shared" si="15"/>
        <v>5400</v>
      </c>
      <c r="J7" s="2">
        <f t="shared" ref="J7" si="16">(J5/1000)*J16</f>
        <v>6300</v>
      </c>
      <c r="K7" s="2">
        <f t="shared" ref="K7:AQ7" si="17">(K5/1000)*K16</f>
        <v>7200</v>
      </c>
      <c r="L7" s="2">
        <f t="shared" ref="L7:N7" si="18">(L5/1000)*L16</f>
        <v>8100</v>
      </c>
      <c r="M7" s="2">
        <f t="shared" si="18"/>
        <v>9000</v>
      </c>
      <c r="N7" s="2">
        <f t="shared" si="18"/>
        <v>9900</v>
      </c>
      <c r="O7" s="2">
        <f t="shared" si="17"/>
        <v>10800</v>
      </c>
      <c r="P7" s="2">
        <f t="shared" ref="P7:Q7" si="19">(P5/1000)*P16</f>
        <v>11700</v>
      </c>
      <c r="Q7" s="2">
        <f t="shared" si="19"/>
        <v>12600</v>
      </c>
      <c r="R7" s="2">
        <f t="shared" ref="R7" si="20">(R5/1000)*R16</f>
        <v>13500</v>
      </c>
      <c r="S7" s="2">
        <f t="shared" si="17"/>
        <v>14400</v>
      </c>
      <c r="T7" s="2">
        <f t="shared" ref="T7:V7" si="21">(T5/1000)*T16</f>
        <v>15300</v>
      </c>
      <c r="U7" s="2">
        <f t="shared" si="21"/>
        <v>16200</v>
      </c>
      <c r="V7" s="2">
        <f t="shared" si="21"/>
        <v>17100</v>
      </c>
      <c r="W7" s="2">
        <f t="shared" si="17"/>
        <v>18000</v>
      </c>
      <c r="X7" s="2">
        <f t="shared" ref="X7:Z7" si="22">(X5/1000)*X16</f>
        <v>18900</v>
      </c>
      <c r="Y7" s="2">
        <f t="shared" si="22"/>
        <v>19800</v>
      </c>
      <c r="Z7" s="2">
        <f t="shared" si="22"/>
        <v>20700</v>
      </c>
      <c r="AA7" s="2">
        <f t="shared" si="17"/>
        <v>21600</v>
      </c>
      <c r="AB7" s="2">
        <f t="shared" ref="AB7:AD7" si="23">(AB5/1000)*AB16</f>
        <v>22500</v>
      </c>
      <c r="AC7" s="2">
        <f t="shared" si="23"/>
        <v>23400</v>
      </c>
      <c r="AD7" s="2">
        <f t="shared" si="23"/>
        <v>24300</v>
      </c>
      <c r="AE7" s="2">
        <f t="shared" si="17"/>
        <v>25200</v>
      </c>
      <c r="AF7" s="2">
        <f t="shared" ref="AF7:AH7" si="24">(AF5/1000)*AF16</f>
        <v>26100</v>
      </c>
      <c r="AG7" s="2">
        <f t="shared" si="24"/>
        <v>27000</v>
      </c>
      <c r="AH7" s="2">
        <f t="shared" si="24"/>
        <v>27900</v>
      </c>
      <c r="AI7" s="2">
        <f t="shared" si="17"/>
        <v>28800</v>
      </c>
      <c r="AJ7" s="2">
        <f t="shared" ref="AJ7:AL7" si="25">(AJ5/1000)*AJ16</f>
        <v>29700</v>
      </c>
      <c r="AK7" s="2">
        <f t="shared" si="25"/>
        <v>30600</v>
      </c>
      <c r="AL7" s="2">
        <f t="shared" si="25"/>
        <v>31500</v>
      </c>
      <c r="AM7" s="2">
        <f t="shared" si="17"/>
        <v>32400</v>
      </c>
      <c r="AN7" s="2">
        <f t="shared" ref="AN7:AP7" si="26">(AN5/1000)*AN16</f>
        <v>33300</v>
      </c>
      <c r="AO7" s="2">
        <f t="shared" si="26"/>
        <v>34200</v>
      </c>
      <c r="AP7" s="2">
        <f t="shared" si="26"/>
        <v>35100</v>
      </c>
      <c r="AQ7" s="2">
        <f t="shared" si="17"/>
        <v>36000</v>
      </c>
      <c r="AR7" s="2">
        <f t="shared" ref="AR7:AS7" si="27">(AR5/1000)*AR16</f>
        <v>36900</v>
      </c>
      <c r="AS7" s="2">
        <f t="shared" si="27"/>
        <v>37800</v>
      </c>
      <c r="AT7" s="2">
        <f t="shared" ref="AT7" si="28">(AT5/1000)*AT16</f>
        <v>38700</v>
      </c>
    </row>
    <row r="8" spans="2:46">
      <c r="B8" t="s">
        <v>8</v>
      </c>
      <c r="C8" s="2">
        <f>'Data Entry'!E8</f>
        <v>5000</v>
      </c>
      <c r="D8" s="2"/>
      <c r="E8" s="2"/>
      <c r="F8" s="2"/>
      <c r="G8" s="2"/>
      <c r="H8" s="2"/>
      <c r="I8" s="2"/>
      <c r="J8" s="2"/>
      <c r="K8" s="2"/>
      <c r="L8" s="2"/>
      <c r="AA8" s="2"/>
      <c r="AB8" s="2"/>
      <c r="AC8" s="2"/>
      <c r="AD8" s="2"/>
      <c r="AE8" s="2"/>
      <c r="AF8" s="2"/>
      <c r="AG8" s="2"/>
      <c r="AH8" s="2"/>
      <c r="AI8" s="2"/>
      <c r="AJ8" s="2"/>
      <c r="AK8" s="2"/>
      <c r="AL8" s="2"/>
      <c r="AM8" s="2"/>
      <c r="AN8" s="2"/>
      <c r="AO8" s="2"/>
      <c r="AP8" s="2"/>
      <c r="AQ8" s="2"/>
      <c r="AR8" s="2"/>
      <c r="AS8" s="2"/>
      <c r="AT8" s="2"/>
    </row>
    <row r="9" spans="2:46">
      <c r="B9" t="s">
        <v>9</v>
      </c>
      <c r="C9" s="2">
        <f>'Data Entry'!E9</f>
        <v>0</v>
      </c>
      <c r="D9" s="2"/>
      <c r="E9" s="2"/>
      <c r="F9" s="2"/>
      <c r="G9" s="2"/>
      <c r="H9" s="2"/>
      <c r="I9" s="2"/>
      <c r="J9" s="2"/>
      <c r="K9" s="2"/>
      <c r="L9" s="2"/>
      <c r="AA9" s="2"/>
      <c r="AB9" s="2"/>
      <c r="AC9" s="2"/>
      <c r="AD9" s="2"/>
      <c r="AE9" s="2"/>
      <c r="AF9" s="2"/>
      <c r="AG9" s="2"/>
      <c r="AH9" s="2"/>
      <c r="AI9" s="2"/>
      <c r="AJ9" s="2"/>
      <c r="AK9" s="2"/>
      <c r="AL9" s="2"/>
      <c r="AM9" s="2"/>
      <c r="AN9" s="2"/>
      <c r="AO9" s="2"/>
      <c r="AP9" s="2"/>
      <c r="AQ9" s="2"/>
      <c r="AR9" s="2"/>
      <c r="AS9" s="2"/>
      <c r="AT9" s="2"/>
    </row>
    <row r="10" spans="2:46">
      <c r="B10" t="s">
        <v>10</v>
      </c>
      <c r="C10" s="2">
        <f t="shared" ref="C10:AT10" si="29">C15*C5*1</f>
        <v>345.83333333333337</v>
      </c>
      <c r="D10" s="2">
        <f t="shared" ref="D10" si="30">D15*D5*1</f>
        <v>172.91666666666669</v>
      </c>
      <c r="E10" s="2">
        <f t="shared" si="29"/>
        <v>345.83333333333337</v>
      </c>
      <c r="F10" s="2">
        <f t="shared" si="29"/>
        <v>518.75</v>
      </c>
      <c r="G10" s="2">
        <f t="shared" si="29"/>
        <v>691.66666666666674</v>
      </c>
      <c r="H10" s="2">
        <f t="shared" si="29"/>
        <v>864.58333333333337</v>
      </c>
      <c r="I10" s="2">
        <f t="shared" si="29"/>
        <v>1037.5</v>
      </c>
      <c r="J10" s="2">
        <f t="shared" si="29"/>
        <v>1210.4166666666667</v>
      </c>
      <c r="K10" s="2">
        <f t="shared" si="29"/>
        <v>1383.3333333333335</v>
      </c>
      <c r="L10" s="2">
        <f t="shared" si="29"/>
        <v>1556.2500000000002</v>
      </c>
      <c r="M10" s="2">
        <f t="shared" si="29"/>
        <v>1729.1666666666667</v>
      </c>
      <c r="N10" s="2">
        <f t="shared" si="29"/>
        <v>1902.0833333333335</v>
      </c>
      <c r="O10" s="2">
        <f t="shared" si="29"/>
        <v>2075</v>
      </c>
      <c r="P10" s="2">
        <f t="shared" si="29"/>
        <v>2247.916666666667</v>
      </c>
      <c r="Q10" s="2">
        <f t="shared" si="29"/>
        <v>2420.8333333333335</v>
      </c>
      <c r="R10" s="2">
        <f t="shared" si="29"/>
        <v>2593.7500000000005</v>
      </c>
      <c r="S10" s="2">
        <f t="shared" si="29"/>
        <v>2766.666666666667</v>
      </c>
      <c r="T10" s="2">
        <f t="shared" si="29"/>
        <v>2939.5833333333335</v>
      </c>
      <c r="U10" s="2">
        <f t="shared" si="29"/>
        <v>3112.5000000000005</v>
      </c>
      <c r="V10" s="2">
        <f t="shared" si="29"/>
        <v>3285.416666666667</v>
      </c>
      <c r="W10" s="2">
        <f t="shared" si="29"/>
        <v>3458.3333333333335</v>
      </c>
      <c r="X10" s="2">
        <f t="shared" si="29"/>
        <v>3631.2500000000005</v>
      </c>
      <c r="Y10" s="2">
        <f t="shared" si="29"/>
        <v>3804.166666666667</v>
      </c>
      <c r="Z10" s="2">
        <f t="shared" si="29"/>
        <v>3977.0833333333335</v>
      </c>
      <c r="AA10" s="2">
        <f t="shared" si="29"/>
        <v>4150</v>
      </c>
      <c r="AB10" s="2">
        <f t="shared" si="29"/>
        <v>4322.916666666667</v>
      </c>
      <c r="AC10" s="2">
        <f t="shared" si="29"/>
        <v>4495.8333333333339</v>
      </c>
      <c r="AD10" s="2">
        <f t="shared" si="29"/>
        <v>4668.75</v>
      </c>
      <c r="AE10" s="2">
        <f t="shared" si="29"/>
        <v>4841.666666666667</v>
      </c>
      <c r="AF10" s="2">
        <f t="shared" si="29"/>
        <v>5014.5833333333339</v>
      </c>
      <c r="AG10" s="2">
        <f t="shared" si="29"/>
        <v>5187.5000000000009</v>
      </c>
      <c r="AH10" s="2">
        <f t="shared" si="29"/>
        <v>5360.416666666667</v>
      </c>
      <c r="AI10" s="2">
        <f t="shared" si="29"/>
        <v>5533.3333333333339</v>
      </c>
      <c r="AJ10" s="2">
        <f t="shared" si="29"/>
        <v>5706.2500000000009</v>
      </c>
      <c r="AK10" s="2">
        <f t="shared" si="29"/>
        <v>5879.166666666667</v>
      </c>
      <c r="AL10" s="2">
        <f t="shared" si="29"/>
        <v>6052.0833333333339</v>
      </c>
      <c r="AM10" s="2">
        <f t="shared" si="29"/>
        <v>6225.0000000000009</v>
      </c>
      <c r="AN10" s="2">
        <f t="shared" si="29"/>
        <v>6397.916666666667</v>
      </c>
      <c r="AO10" s="2">
        <f t="shared" si="29"/>
        <v>6570.8333333333339</v>
      </c>
      <c r="AP10" s="2">
        <f t="shared" si="29"/>
        <v>6743.7500000000009</v>
      </c>
      <c r="AQ10" s="2">
        <f t="shared" si="29"/>
        <v>6916.666666666667</v>
      </c>
      <c r="AR10" s="2">
        <f t="shared" si="29"/>
        <v>7089.5833333333339</v>
      </c>
      <c r="AS10" s="2">
        <f t="shared" si="29"/>
        <v>7262.5000000000009</v>
      </c>
      <c r="AT10" s="2">
        <f t="shared" si="29"/>
        <v>7435.416666666667</v>
      </c>
    </row>
    <row r="11" spans="2:46">
      <c r="B11" t="s">
        <v>24</v>
      </c>
      <c r="C11" s="2">
        <f>SUM(C5:C10)</f>
        <v>62645.833333333336</v>
      </c>
      <c r="D11" s="2">
        <f>SUM(D5:D10)</f>
        <v>28822.916666666668</v>
      </c>
      <c r="E11" s="2">
        <f>SUM(E5:E10)</f>
        <v>57645.833333333336</v>
      </c>
      <c r="F11" s="2">
        <f>SUM(F5:F10)</f>
        <v>86468.75</v>
      </c>
      <c r="G11" s="2">
        <f>SUM(G5:G10)</f>
        <v>115291.66666666667</v>
      </c>
      <c r="H11" s="2">
        <f t="shared" ref="H11:I11" si="31">SUM(H5:H10)</f>
        <v>144114.58333333334</v>
      </c>
      <c r="I11" s="2">
        <f t="shared" si="31"/>
        <v>172937.5</v>
      </c>
      <c r="J11" s="2">
        <f t="shared" ref="J11" si="32">SUM(J5:J10)</f>
        <v>201760.41666666666</v>
      </c>
      <c r="K11" s="2">
        <f t="shared" ref="K11:AQ11" si="33">SUM(K5:K10)</f>
        <v>230583.33333333334</v>
      </c>
      <c r="L11" s="2">
        <f t="shared" ref="L11:N11" si="34">SUM(L5:L10)</f>
        <v>259406.25</v>
      </c>
      <c r="M11" s="2">
        <f t="shared" si="34"/>
        <v>288229.16666666669</v>
      </c>
      <c r="N11" s="2">
        <f t="shared" si="34"/>
        <v>317052.08333333331</v>
      </c>
      <c r="O11" s="2">
        <f t="shared" si="33"/>
        <v>345875</v>
      </c>
      <c r="P11" s="2">
        <f t="shared" ref="P11:Q11" si="35">SUM(P5:P10)</f>
        <v>374697.91666666669</v>
      </c>
      <c r="Q11" s="2">
        <f t="shared" si="35"/>
        <v>403520.83333333331</v>
      </c>
      <c r="R11" s="2">
        <f t="shared" ref="R11" si="36">SUM(R5:R10)</f>
        <v>432343.75</v>
      </c>
      <c r="S11" s="2">
        <f t="shared" si="33"/>
        <v>461166.66666666669</v>
      </c>
      <c r="T11" s="2">
        <f t="shared" ref="T11:V11" si="37">SUM(T5:T10)</f>
        <v>489989.58333333331</v>
      </c>
      <c r="U11" s="2">
        <f t="shared" si="37"/>
        <v>518812.5</v>
      </c>
      <c r="V11" s="2">
        <f t="shared" si="37"/>
        <v>547635.41666666663</v>
      </c>
      <c r="W11" s="2">
        <f t="shared" si="33"/>
        <v>576458.33333333337</v>
      </c>
      <c r="X11" s="2">
        <f t="shared" ref="X11:Z11" si="38">SUM(X5:X10)</f>
        <v>605281.25</v>
      </c>
      <c r="Y11" s="2">
        <f t="shared" si="38"/>
        <v>634104.16666666663</v>
      </c>
      <c r="Z11" s="2">
        <f t="shared" si="38"/>
        <v>662927.08333333337</v>
      </c>
      <c r="AA11" s="2">
        <f t="shared" si="33"/>
        <v>691750</v>
      </c>
      <c r="AB11" s="2">
        <f t="shared" ref="AB11:AD11" si="39">SUM(AB5:AB10)</f>
        <v>720572.91666666663</v>
      </c>
      <c r="AC11" s="2">
        <f t="shared" si="39"/>
        <v>749395.83333333337</v>
      </c>
      <c r="AD11" s="2">
        <f t="shared" si="39"/>
        <v>778218.75</v>
      </c>
      <c r="AE11" s="2">
        <f t="shared" si="33"/>
        <v>807041.66666666663</v>
      </c>
      <c r="AF11" s="2">
        <f t="shared" ref="AF11:AH11" si="40">SUM(AF5:AF10)</f>
        <v>835864.58333333337</v>
      </c>
      <c r="AG11" s="2">
        <f t="shared" si="40"/>
        <v>864687.5</v>
      </c>
      <c r="AH11" s="2">
        <f t="shared" si="40"/>
        <v>893510.41666666663</v>
      </c>
      <c r="AI11" s="2">
        <f t="shared" si="33"/>
        <v>922333.33333333337</v>
      </c>
      <c r="AJ11" s="2">
        <f t="shared" ref="AJ11:AL11" si="41">SUM(AJ5:AJ10)</f>
        <v>951156.25</v>
      </c>
      <c r="AK11" s="2">
        <f t="shared" si="41"/>
        <v>979979.16666666663</v>
      </c>
      <c r="AL11" s="2">
        <f t="shared" si="41"/>
        <v>1008802.0833333334</v>
      </c>
      <c r="AM11" s="2">
        <f t="shared" si="33"/>
        <v>1037625</v>
      </c>
      <c r="AN11" s="2">
        <f t="shared" ref="AN11:AP11" si="42">SUM(AN5:AN10)</f>
        <v>1066447.9166666667</v>
      </c>
      <c r="AO11" s="2">
        <f t="shared" si="42"/>
        <v>1095270.8333333333</v>
      </c>
      <c r="AP11" s="2">
        <f t="shared" si="42"/>
        <v>1124093.75</v>
      </c>
      <c r="AQ11" s="2">
        <f t="shared" si="33"/>
        <v>1152916.6666666667</v>
      </c>
      <c r="AR11" s="2">
        <f t="shared" ref="AR11:AS11" si="43">SUM(AR5:AR10)</f>
        <v>1181739.5833333333</v>
      </c>
      <c r="AS11" s="2">
        <f t="shared" si="43"/>
        <v>1210562.5</v>
      </c>
      <c r="AT11" s="2">
        <f t="shared" ref="AT11" si="44">SUM(AT5:AT10)</f>
        <v>1239385.4166666667</v>
      </c>
    </row>
    <row r="12" spans="2:46">
      <c r="B12" s="12" t="s">
        <v>25</v>
      </c>
      <c r="C12" s="13">
        <v>8.3000000000000004E-2</v>
      </c>
      <c r="D12" s="13">
        <v>8.3000000000000004E-2</v>
      </c>
      <c r="E12" s="13">
        <f>C12</f>
        <v>8.3000000000000004E-2</v>
      </c>
      <c r="F12" s="13">
        <f t="shared" ref="F12:AT12" si="45">E12</f>
        <v>8.3000000000000004E-2</v>
      </c>
      <c r="G12" s="13">
        <f t="shared" si="45"/>
        <v>8.3000000000000004E-2</v>
      </c>
      <c r="H12" s="13">
        <f t="shared" si="45"/>
        <v>8.3000000000000004E-2</v>
      </c>
      <c r="I12" s="13">
        <f t="shared" si="45"/>
        <v>8.3000000000000004E-2</v>
      </c>
      <c r="J12" s="13">
        <f t="shared" si="45"/>
        <v>8.3000000000000004E-2</v>
      </c>
      <c r="K12" s="13">
        <f t="shared" si="45"/>
        <v>8.3000000000000004E-2</v>
      </c>
      <c r="L12" s="13">
        <f t="shared" si="45"/>
        <v>8.3000000000000004E-2</v>
      </c>
      <c r="M12" s="13">
        <f t="shared" si="45"/>
        <v>8.3000000000000004E-2</v>
      </c>
      <c r="N12" s="13">
        <f t="shared" si="45"/>
        <v>8.3000000000000004E-2</v>
      </c>
      <c r="O12" s="13">
        <f t="shared" si="45"/>
        <v>8.3000000000000004E-2</v>
      </c>
      <c r="P12" s="13">
        <f t="shared" si="45"/>
        <v>8.3000000000000004E-2</v>
      </c>
      <c r="Q12" s="13">
        <f t="shared" si="45"/>
        <v>8.3000000000000004E-2</v>
      </c>
      <c r="R12" s="13">
        <f t="shared" si="45"/>
        <v>8.3000000000000004E-2</v>
      </c>
      <c r="S12" s="13">
        <f t="shared" si="45"/>
        <v>8.3000000000000004E-2</v>
      </c>
      <c r="T12" s="13">
        <f t="shared" si="45"/>
        <v>8.3000000000000004E-2</v>
      </c>
      <c r="U12" s="13">
        <f t="shared" si="45"/>
        <v>8.3000000000000004E-2</v>
      </c>
      <c r="V12" s="13">
        <f t="shared" si="45"/>
        <v>8.3000000000000004E-2</v>
      </c>
      <c r="W12" s="13">
        <f t="shared" si="45"/>
        <v>8.3000000000000004E-2</v>
      </c>
      <c r="X12" s="13">
        <f t="shared" si="45"/>
        <v>8.3000000000000004E-2</v>
      </c>
      <c r="Y12" s="13">
        <f t="shared" si="45"/>
        <v>8.3000000000000004E-2</v>
      </c>
      <c r="Z12" s="13">
        <f t="shared" si="45"/>
        <v>8.3000000000000004E-2</v>
      </c>
      <c r="AA12" s="13">
        <f t="shared" si="45"/>
        <v>8.3000000000000004E-2</v>
      </c>
      <c r="AB12" s="13">
        <f t="shared" si="45"/>
        <v>8.3000000000000004E-2</v>
      </c>
      <c r="AC12" s="13">
        <f t="shared" si="45"/>
        <v>8.3000000000000004E-2</v>
      </c>
      <c r="AD12" s="13">
        <f t="shared" si="45"/>
        <v>8.3000000000000004E-2</v>
      </c>
      <c r="AE12" s="13">
        <f t="shared" si="45"/>
        <v>8.3000000000000004E-2</v>
      </c>
      <c r="AF12" s="13">
        <f t="shared" si="45"/>
        <v>8.3000000000000004E-2</v>
      </c>
      <c r="AG12" s="13">
        <f t="shared" si="45"/>
        <v>8.3000000000000004E-2</v>
      </c>
      <c r="AH12" s="13">
        <f t="shared" si="45"/>
        <v>8.3000000000000004E-2</v>
      </c>
      <c r="AI12" s="13">
        <f t="shared" si="45"/>
        <v>8.3000000000000004E-2</v>
      </c>
      <c r="AJ12" s="13">
        <f t="shared" si="45"/>
        <v>8.3000000000000004E-2</v>
      </c>
      <c r="AK12" s="13">
        <f t="shared" si="45"/>
        <v>8.3000000000000004E-2</v>
      </c>
      <c r="AL12" s="13">
        <f t="shared" si="45"/>
        <v>8.3000000000000004E-2</v>
      </c>
      <c r="AM12" s="13">
        <f t="shared" si="45"/>
        <v>8.3000000000000004E-2</v>
      </c>
      <c r="AN12" s="13">
        <f t="shared" si="45"/>
        <v>8.3000000000000004E-2</v>
      </c>
      <c r="AO12" s="13">
        <f t="shared" si="45"/>
        <v>8.3000000000000004E-2</v>
      </c>
      <c r="AP12" s="13">
        <f t="shared" si="45"/>
        <v>8.3000000000000004E-2</v>
      </c>
      <c r="AQ12" s="13">
        <f t="shared" si="45"/>
        <v>8.3000000000000004E-2</v>
      </c>
      <c r="AR12" s="13">
        <f t="shared" si="45"/>
        <v>8.3000000000000004E-2</v>
      </c>
      <c r="AS12" s="13">
        <f t="shared" si="45"/>
        <v>8.3000000000000004E-2</v>
      </c>
      <c r="AT12" s="13">
        <f t="shared" si="45"/>
        <v>8.3000000000000004E-2</v>
      </c>
    </row>
    <row r="13" spans="2:46">
      <c r="B13" s="6" t="s">
        <v>26</v>
      </c>
      <c r="C13" s="6">
        <f>(1+C12/C16)^C16-1</f>
        <v>8.6438012098464467E-2</v>
      </c>
      <c r="D13" s="6">
        <f>(1+D12/D16)^D16-1</f>
        <v>8.6438012098464467E-2</v>
      </c>
      <c r="E13" s="6">
        <f>(1+E12/E16)^E16-1</f>
        <v>8.6438012098464467E-2</v>
      </c>
      <c r="F13" s="6">
        <f>(1+F12/F16)^F16-1</f>
        <v>8.6438012098464467E-2</v>
      </c>
      <c r="G13" s="6">
        <f t="shared" ref="G13:AT13" si="46">(1+G12/G16)^G16-1</f>
        <v>8.6438012098464467E-2</v>
      </c>
      <c r="H13" s="6">
        <f t="shared" si="46"/>
        <v>8.6438012098464467E-2</v>
      </c>
      <c r="I13" s="6">
        <f t="shared" si="46"/>
        <v>8.6438012098464467E-2</v>
      </c>
      <c r="J13" s="6">
        <f t="shared" si="46"/>
        <v>8.6438012098464467E-2</v>
      </c>
      <c r="K13" s="6">
        <f t="shared" si="46"/>
        <v>8.6438012098464467E-2</v>
      </c>
      <c r="L13" s="6">
        <f t="shared" si="46"/>
        <v>8.6438012098464467E-2</v>
      </c>
      <c r="M13" s="6">
        <f t="shared" si="46"/>
        <v>8.6438012098464467E-2</v>
      </c>
      <c r="N13" s="6">
        <f t="shared" si="46"/>
        <v>8.6438012098464467E-2</v>
      </c>
      <c r="O13" s="6">
        <f t="shared" si="46"/>
        <v>8.6438012098464467E-2</v>
      </c>
      <c r="P13" s="6">
        <f t="shared" si="46"/>
        <v>8.6438012098464467E-2</v>
      </c>
      <c r="Q13" s="6">
        <f t="shared" si="46"/>
        <v>8.6438012098464467E-2</v>
      </c>
      <c r="R13" s="6">
        <f t="shared" si="46"/>
        <v>8.6438012098464467E-2</v>
      </c>
      <c r="S13" s="6">
        <f t="shared" si="46"/>
        <v>8.6438012098464467E-2</v>
      </c>
      <c r="T13" s="6">
        <f t="shared" si="46"/>
        <v>8.6438012098464467E-2</v>
      </c>
      <c r="U13" s="6">
        <f t="shared" si="46"/>
        <v>8.6438012098464467E-2</v>
      </c>
      <c r="V13" s="6">
        <f t="shared" si="46"/>
        <v>8.6438012098464467E-2</v>
      </c>
      <c r="W13" s="6">
        <f t="shared" si="46"/>
        <v>8.6438012098464467E-2</v>
      </c>
      <c r="X13" s="6">
        <f t="shared" si="46"/>
        <v>8.6438012098464467E-2</v>
      </c>
      <c r="Y13" s="6">
        <f t="shared" si="46"/>
        <v>8.6438012098464467E-2</v>
      </c>
      <c r="Z13" s="6">
        <f t="shared" si="46"/>
        <v>8.6438012098464467E-2</v>
      </c>
      <c r="AA13" s="6">
        <f t="shared" si="46"/>
        <v>8.6438012098464467E-2</v>
      </c>
      <c r="AB13" s="6">
        <f t="shared" si="46"/>
        <v>8.6438012098464467E-2</v>
      </c>
      <c r="AC13" s="6">
        <f t="shared" si="46"/>
        <v>8.6438012098464467E-2</v>
      </c>
      <c r="AD13" s="6">
        <f t="shared" si="46"/>
        <v>8.6438012098464467E-2</v>
      </c>
      <c r="AE13" s="6">
        <f t="shared" si="46"/>
        <v>8.6438012098464467E-2</v>
      </c>
      <c r="AF13" s="6">
        <f t="shared" si="46"/>
        <v>8.6438012098464467E-2</v>
      </c>
      <c r="AG13" s="6">
        <f t="shared" si="46"/>
        <v>8.6438012098464467E-2</v>
      </c>
      <c r="AH13" s="6">
        <f t="shared" si="46"/>
        <v>8.6438012098464467E-2</v>
      </c>
      <c r="AI13" s="6">
        <f t="shared" si="46"/>
        <v>8.6438012098464467E-2</v>
      </c>
      <c r="AJ13" s="6">
        <f t="shared" si="46"/>
        <v>8.6438012098464467E-2</v>
      </c>
      <c r="AK13" s="6">
        <f t="shared" si="46"/>
        <v>8.6438012098464467E-2</v>
      </c>
      <c r="AL13" s="6">
        <f t="shared" si="46"/>
        <v>8.6438012098464467E-2</v>
      </c>
      <c r="AM13" s="6">
        <f t="shared" si="46"/>
        <v>8.6438012098464467E-2</v>
      </c>
      <c r="AN13" s="6">
        <f t="shared" si="46"/>
        <v>8.6438012098464467E-2</v>
      </c>
      <c r="AO13" s="6">
        <f t="shared" si="46"/>
        <v>8.6438012098464467E-2</v>
      </c>
      <c r="AP13" s="6">
        <f t="shared" si="46"/>
        <v>8.6438012098464467E-2</v>
      </c>
      <c r="AQ13" s="6">
        <f t="shared" si="46"/>
        <v>8.6438012098464467E-2</v>
      </c>
      <c r="AR13" s="6">
        <f t="shared" si="46"/>
        <v>8.6438012098464467E-2</v>
      </c>
      <c r="AS13" s="6">
        <f t="shared" si="46"/>
        <v>8.6438012098464467E-2</v>
      </c>
      <c r="AT13" s="6">
        <f t="shared" si="46"/>
        <v>8.6438012098464467E-2</v>
      </c>
    </row>
    <row r="14" spans="2:46">
      <c r="B14" t="s">
        <v>27</v>
      </c>
      <c r="C14" s="7">
        <v>3</v>
      </c>
      <c r="D14" s="7">
        <v>3</v>
      </c>
      <c r="E14" s="7">
        <v>3</v>
      </c>
      <c r="F14" s="7">
        <v>3</v>
      </c>
      <c r="G14" s="7">
        <v>3</v>
      </c>
      <c r="H14" s="7">
        <v>3</v>
      </c>
      <c r="I14" s="7">
        <v>3</v>
      </c>
      <c r="J14" s="7">
        <v>3</v>
      </c>
      <c r="K14" s="7">
        <f>G14</f>
        <v>3</v>
      </c>
      <c r="L14" s="7">
        <f>H14</f>
        <v>3</v>
      </c>
      <c r="M14" s="7">
        <f>J14</f>
        <v>3</v>
      </c>
      <c r="N14" s="7">
        <f t="shared" ref="N14:AP14" si="47">J14</f>
        <v>3</v>
      </c>
      <c r="O14" s="7">
        <f t="shared" si="47"/>
        <v>3</v>
      </c>
      <c r="P14" s="7">
        <f t="shared" si="47"/>
        <v>3</v>
      </c>
      <c r="Q14" s="7">
        <f t="shared" si="47"/>
        <v>3</v>
      </c>
      <c r="R14" s="7">
        <f t="shared" si="47"/>
        <v>3</v>
      </c>
      <c r="S14" s="7">
        <f t="shared" si="47"/>
        <v>3</v>
      </c>
      <c r="T14" s="7">
        <f t="shared" si="47"/>
        <v>3</v>
      </c>
      <c r="U14" s="7">
        <f t="shared" si="47"/>
        <v>3</v>
      </c>
      <c r="V14" s="7">
        <f t="shared" si="47"/>
        <v>3</v>
      </c>
      <c r="W14" s="7">
        <f t="shared" si="47"/>
        <v>3</v>
      </c>
      <c r="X14" s="7">
        <f t="shared" si="47"/>
        <v>3</v>
      </c>
      <c r="Y14" s="7">
        <f t="shared" si="47"/>
        <v>3</v>
      </c>
      <c r="Z14" s="7">
        <f t="shared" si="47"/>
        <v>3</v>
      </c>
      <c r="AA14" s="7">
        <f t="shared" si="47"/>
        <v>3</v>
      </c>
      <c r="AB14" s="7">
        <f t="shared" si="47"/>
        <v>3</v>
      </c>
      <c r="AC14" s="7">
        <f t="shared" si="47"/>
        <v>3</v>
      </c>
      <c r="AD14" s="7">
        <f t="shared" si="47"/>
        <v>3</v>
      </c>
      <c r="AE14" s="7">
        <f t="shared" si="47"/>
        <v>3</v>
      </c>
      <c r="AF14" s="7">
        <f t="shared" si="47"/>
        <v>3</v>
      </c>
      <c r="AG14" s="7">
        <f t="shared" si="47"/>
        <v>3</v>
      </c>
      <c r="AH14" s="7">
        <f t="shared" si="47"/>
        <v>3</v>
      </c>
      <c r="AI14" s="7">
        <f t="shared" si="47"/>
        <v>3</v>
      </c>
      <c r="AJ14" s="7">
        <f t="shared" si="47"/>
        <v>3</v>
      </c>
      <c r="AK14" s="7">
        <f t="shared" si="47"/>
        <v>3</v>
      </c>
      <c r="AL14" s="7">
        <f t="shared" si="47"/>
        <v>3</v>
      </c>
      <c r="AM14" s="7">
        <f t="shared" si="47"/>
        <v>3</v>
      </c>
      <c r="AN14" s="7">
        <f t="shared" si="47"/>
        <v>3</v>
      </c>
      <c r="AO14" s="7">
        <f t="shared" si="47"/>
        <v>3</v>
      </c>
      <c r="AP14" s="7">
        <f t="shared" si="47"/>
        <v>3</v>
      </c>
      <c r="AQ14" s="7">
        <f t="shared" ref="AQ14:AT14" si="48">AM14</f>
        <v>3</v>
      </c>
      <c r="AR14" s="7">
        <f t="shared" si="48"/>
        <v>3</v>
      </c>
      <c r="AS14" s="7">
        <f t="shared" si="48"/>
        <v>3</v>
      </c>
      <c r="AT14" s="7">
        <f t="shared" si="48"/>
        <v>3</v>
      </c>
    </row>
    <row r="15" spans="2:46">
      <c r="B15" t="s">
        <v>28</v>
      </c>
      <c r="C15" s="11">
        <f>C12/12</f>
        <v>6.9166666666666673E-3</v>
      </c>
      <c r="D15" s="11">
        <f>D12/12</f>
        <v>6.9166666666666673E-3</v>
      </c>
      <c r="E15" s="11">
        <f>E12/12</f>
        <v>6.9166666666666673E-3</v>
      </c>
      <c r="F15" s="11">
        <f>F12/12</f>
        <v>6.9166666666666673E-3</v>
      </c>
      <c r="G15" s="11">
        <f>G12/12</f>
        <v>6.9166666666666673E-3</v>
      </c>
      <c r="H15" s="11">
        <f t="shared" ref="H15:I15" si="49">H12/12</f>
        <v>6.9166666666666673E-3</v>
      </c>
      <c r="I15" s="11">
        <f t="shared" si="49"/>
        <v>6.9166666666666673E-3</v>
      </c>
      <c r="J15" s="11">
        <f t="shared" ref="J15" si="50">J12/12</f>
        <v>6.9166666666666673E-3</v>
      </c>
      <c r="K15" s="11">
        <f t="shared" ref="K15:AQ15" si="51">K12/12</f>
        <v>6.9166666666666673E-3</v>
      </c>
      <c r="L15" s="11">
        <f t="shared" ref="L15:N15" si="52">L12/12</f>
        <v>6.9166666666666673E-3</v>
      </c>
      <c r="M15" s="11">
        <f t="shared" si="52"/>
        <v>6.9166666666666673E-3</v>
      </c>
      <c r="N15" s="11">
        <f t="shared" si="52"/>
        <v>6.9166666666666673E-3</v>
      </c>
      <c r="O15" s="11">
        <f t="shared" si="51"/>
        <v>6.9166666666666673E-3</v>
      </c>
      <c r="P15" s="11">
        <f t="shared" ref="P15:Q15" si="53">P12/12</f>
        <v>6.9166666666666673E-3</v>
      </c>
      <c r="Q15" s="11">
        <f t="shared" si="53"/>
        <v>6.9166666666666673E-3</v>
      </c>
      <c r="R15" s="11">
        <f t="shared" ref="R15" si="54">R12/12</f>
        <v>6.9166666666666673E-3</v>
      </c>
      <c r="S15" s="11">
        <f t="shared" si="51"/>
        <v>6.9166666666666673E-3</v>
      </c>
      <c r="T15" s="11">
        <f t="shared" ref="T15:V15" si="55">T12/12</f>
        <v>6.9166666666666673E-3</v>
      </c>
      <c r="U15" s="11">
        <f t="shared" si="55"/>
        <v>6.9166666666666673E-3</v>
      </c>
      <c r="V15" s="11">
        <f t="shared" si="55"/>
        <v>6.9166666666666673E-3</v>
      </c>
      <c r="W15" s="11">
        <f t="shared" si="51"/>
        <v>6.9166666666666673E-3</v>
      </c>
      <c r="X15" s="11">
        <f t="shared" ref="X15:Z15" si="56">X12/12</f>
        <v>6.9166666666666673E-3</v>
      </c>
      <c r="Y15" s="11">
        <f t="shared" si="56"/>
        <v>6.9166666666666673E-3</v>
      </c>
      <c r="Z15" s="11">
        <f t="shared" si="56"/>
        <v>6.9166666666666673E-3</v>
      </c>
      <c r="AA15" s="11">
        <f t="shared" si="51"/>
        <v>6.9166666666666673E-3</v>
      </c>
      <c r="AB15" s="11">
        <f t="shared" ref="AB15:AD15" si="57">AB12/12</f>
        <v>6.9166666666666673E-3</v>
      </c>
      <c r="AC15" s="11">
        <f t="shared" si="57"/>
        <v>6.9166666666666673E-3</v>
      </c>
      <c r="AD15" s="11">
        <f t="shared" si="57"/>
        <v>6.9166666666666673E-3</v>
      </c>
      <c r="AE15" s="11">
        <f t="shared" si="51"/>
        <v>6.9166666666666673E-3</v>
      </c>
      <c r="AF15" s="11">
        <f t="shared" ref="AF15:AH15" si="58">AF12/12</f>
        <v>6.9166666666666673E-3</v>
      </c>
      <c r="AG15" s="11">
        <f t="shared" si="58"/>
        <v>6.9166666666666673E-3</v>
      </c>
      <c r="AH15" s="11">
        <f t="shared" si="58"/>
        <v>6.9166666666666673E-3</v>
      </c>
      <c r="AI15" s="11">
        <f t="shared" si="51"/>
        <v>6.9166666666666673E-3</v>
      </c>
      <c r="AJ15" s="11">
        <f t="shared" ref="AJ15:AL15" si="59">AJ12/12</f>
        <v>6.9166666666666673E-3</v>
      </c>
      <c r="AK15" s="11">
        <f t="shared" si="59"/>
        <v>6.9166666666666673E-3</v>
      </c>
      <c r="AL15" s="11">
        <f t="shared" si="59"/>
        <v>6.9166666666666673E-3</v>
      </c>
      <c r="AM15" s="11">
        <f t="shared" si="51"/>
        <v>6.9166666666666673E-3</v>
      </c>
      <c r="AN15" s="11">
        <f t="shared" ref="AN15:AP15" si="60">AN12/12</f>
        <v>6.9166666666666673E-3</v>
      </c>
      <c r="AO15" s="11">
        <f t="shared" si="60"/>
        <v>6.9166666666666673E-3</v>
      </c>
      <c r="AP15" s="11">
        <f t="shared" si="60"/>
        <v>6.9166666666666673E-3</v>
      </c>
      <c r="AQ15" s="11">
        <f t="shared" si="51"/>
        <v>6.9166666666666673E-3</v>
      </c>
      <c r="AR15" s="11">
        <f t="shared" ref="AR15:AS15" si="61">AR12/12</f>
        <v>6.9166666666666673E-3</v>
      </c>
      <c r="AS15" s="11">
        <f t="shared" si="61"/>
        <v>6.9166666666666673E-3</v>
      </c>
      <c r="AT15" s="11">
        <f t="shared" ref="AT15" si="62">AT12/12</f>
        <v>6.9166666666666673E-3</v>
      </c>
    </row>
    <row r="16" spans="2:46">
      <c r="B16" t="s">
        <v>29</v>
      </c>
      <c r="C16" s="7">
        <f>C14*12</f>
        <v>36</v>
      </c>
      <c r="D16" s="7">
        <f>D14*12</f>
        <v>36</v>
      </c>
      <c r="E16" s="7">
        <f>E14*12</f>
        <v>36</v>
      </c>
      <c r="F16" s="7">
        <f>F14*12</f>
        <v>36</v>
      </c>
      <c r="G16" s="7">
        <f>G14*12</f>
        <v>36</v>
      </c>
      <c r="H16" s="7">
        <f t="shared" ref="H16:I16" si="63">H14*12</f>
        <v>36</v>
      </c>
      <c r="I16" s="7">
        <f t="shared" si="63"/>
        <v>36</v>
      </c>
      <c r="J16" s="7">
        <f t="shared" ref="J16" si="64">J14*12</f>
        <v>36</v>
      </c>
      <c r="K16" s="7">
        <f t="shared" ref="K16:AQ16" si="65">K14*12</f>
        <v>36</v>
      </c>
      <c r="L16" s="7">
        <f t="shared" ref="L16:N16" si="66">L14*12</f>
        <v>36</v>
      </c>
      <c r="M16" s="7">
        <f t="shared" si="66"/>
        <v>36</v>
      </c>
      <c r="N16" s="7">
        <f t="shared" si="66"/>
        <v>36</v>
      </c>
      <c r="O16" s="7">
        <f t="shared" si="65"/>
        <v>36</v>
      </c>
      <c r="P16" s="7">
        <f t="shared" ref="P16:Q16" si="67">P14*12</f>
        <v>36</v>
      </c>
      <c r="Q16" s="7">
        <f t="shared" si="67"/>
        <v>36</v>
      </c>
      <c r="R16" s="7">
        <f t="shared" ref="R16" si="68">R14*12</f>
        <v>36</v>
      </c>
      <c r="S16" s="7">
        <f t="shared" si="65"/>
        <v>36</v>
      </c>
      <c r="T16" s="7">
        <f t="shared" ref="T16:V16" si="69">T14*12</f>
        <v>36</v>
      </c>
      <c r="U16" s="7">
        <f t="shared" si="69"/>
        <v>36</v>
      </c>
      <c r="V16" s="7">
        <f t="shared" si="69"/>
        <v>36</v>
      </c>
      <c r="W16" s="7">
        <f t="shared" si="65"/>
        <v>36</v>
      </c>
      <c r="X16" s="7">
        <f t="shared" ref="X16:Z16" si="70">X14*12</f>
        <v>36</v>
      </c>
      <c r="Y16" s="7">
        <f t="shared" si="70"/>
        <v>36</v>
      </c>
      <c r="Z16" s="7">
        <f t="shared" si="70"/>
        <v>36</v>
      </c>
      <c r="AA16" s="7">
        <f t="shared" si="65"/>
        <v>36</v>
      </c>
      <c r="AB16" s="7">
        <f t="shared" ref="AB16:AD16" si="71">AB14*12</f>
        <v>36</v>
      </c>
      <c r="AC16" s="7">
        <f t="shared" si="71"/>
        <v>36</v>
      </c>
      <c r="AD16" s="7">
        <f t="shared" si="71"/>
        <v>36</v>
      </c>
      <c r="AE16" s="7">
        <f t="shared" si="65"/>
        <v>36</v>
      </c>
      <c r="AF16" s="7">
        <f t="shared" ref="AF16:AH16" si="72">AF14*12</f>
        <v>36</v>
      </c>
      <c r="AG16" s="7">
        <f t="shared" si="72"/>
        <v>36</v>
      </c>
      <c r="AH16" s="7">
        <f t="shared" si="72"/>
        <v>36</v>
      </c>
      <c r="AI16" s="7">
        <f t="shared" si="65"/>
        <v>36</v>
      </c>
      <c r="AJ16" s="7">
        <f t="shared" ref="AJ16:AL16" si="73">AJ14*12</f>
        <v>36</v>
      </c>
      <c r="AK16" s="7">
        <f t="shared" si="73"/>
        <v>36</v>
      </c>
      <c r="AL16" s="7">
        <f t="shared" si="73"/>
        <v>36</v>
      </c>
      <c r="AM16" s="7">
        <f t="shared" si="65"/>
        <v>36</v>
      </c>
      <c r="AN16" s="7">
        <f t="shared" ref="AN16:AP16" si="74">AN14*12</f>
        <v>36</v>
      </c>
      <c r="AO16" s="7">
        <f t="shared" si="74"/>
        <v>36</v>
      </c>
      <c r="AP16" s="7">
        <f t="shared" si="74"/>
        <v>36</v>
      </c>
      <c r="AQ16" s="7">
        <f t="shared" si="65"/>
        <v>36</v>
      </c>
      <c r="AR16" s="7">
        <f t="shared" ref="AR16:AS16" si="75">AR14*12</f>
        <v>36</v>
      </c>
      <c r="AS16" s="7">
        <f t="shared" si="75"/>
        <v>36</v>
      </c>
      <c r="AT16" s="7">
        <f t="shared" ref="AT16" si="76">AT14*12</f>
        <v>36</v>
      </c>
    </row>
    <row r="17" spans="2:46">
      <c r="C17" s="2"/>
      <c r="D17" s="2"/>
      <c r="E17" s="2"/>
      <c r="F17" s="2"/>
      <c r="G17" s="2"/>
      <c r="H17" s="2"/>
      <c r="I17" s="2"/>
      <c r="J17" s="2"/>
      <c r="K17" s="2"/>
      <c r="L17" s="2"/>
      <c r="AA17" s="2"/>
      <c r="AB17" s="2"/>
      <c r="AC17" s="2"/>
      <c r="AD17" s="2"/>
      <c r="AE17" s="2"/>
      <c r="AF17" s="2"/>
      <c r="AG17" s="2"/>
      <c r="AH17" s="2"/>
      <c r="AI17" s="2"/>
      <c r="AJ17" s="2"/>
      <c r="AK17" s="2"/>
      <c r="AL17" s="2"/>
      <c r="AM17" s="2"/>
      <c r="AN17" s="2"/>
      <c r="AO17" s="2"/>
      <c r="AP17" s="2"/>
      <c r="AQ17" s="2"/>
      <c r="AR17" s="2"/>
      <c r="AS17" s="2"/>
      <c r="AT17" s="2"/>
    </row>
    <row r="18" spans="2:46">
      <c r="B18" t="s">
        <v>14</v>
      </c>
      <c r="C18" s="8">
        <f>(1+C15)^C16</f>
        <v>1.2816429701105512</v>
      </c>
      <c r="D18" s="8">
        <f>(1+D15)^D16</f>
        <v>1.2816429701105512</v>
      </c>
      <c r="E18" s="8">
        <f>(1+E15)^E16</f>
        <v>1.2816429701105512</v>
      </c>
      <c r="F18" s="8">
        <f>(1+F15)^F16</f>
        <v>1.2816429701105512</v>
      </c>
      <c r="G18" s="8">
        <f>(1+G15)^G16</f>
        <v>1.2816429701105512</v>
      </c>
      <c r="H18" s="8">
        <f t="shared" ref="H18:I18" si="77">(1+H15)^H16</f>
        <v>1.2816429701105512</v>
      </c>
      <c r="I18" s="8">
        <f t="shared" si="77"/>
        <v>1.2816429701105512</v>
      </c>
      <c r="J18" s="8">
        <f t="shared" ref="J18" si="78">(1+J15)^J16</f>
        <v>1.2816429701105512</v>
      </c>
      <c r="K18" s="8">
        <f t="shared" ref="K18:AQ18" si="79">(1+K15)^K16</f>
        <v>1.2816429701105512</v>
      </c>
      <c r="L18" s="8">
        <f t="shared" ref="L18:N18" si="80">(1+L15)^L16</f>
        <v>1.2816429701105512</v>
      </c>
      <c r="M18" s="8">
        <f t="shared" si="80"/>
        <v>1.2816429701105512</v>
      </c>
      <c r="N18" s="8">
        <f t="shared" si="80"/>
        <v>1.2816429701105512</v>
      </c>
      <c r="O18" s="8">
        <f t="shared" si="79"/>
        <v>1.2816429701105512</v>
      </c>
      <c r="P18" s="8">
        <f t="shared" ref="P18:Q18" si="81">(1+P15)^P16</f>
        <v>1.2816429701105512</v>
      </c>
      <c r="Q18" s="8">
        <f t="shared" si="81"/>
        <v>1.2816429701105512</v>
      </c>
      <c r="R18" s="8">
        <f t="shared" ref="R18" si="82">(1+R15)^R16</f>
        <v>1.2816429701105512</v>
      </c>
      <c r="S18" s="8">
        <f t="shared" si="79"/>
        <v>1.2816429701105512</v>
      </c>
      <c r="T18" s="8">
        <f t="shared" ref="T18:V18" si="83">(1+T15)^T16</f>
        <v>1.2816429701105512</v>
      </c>
      <c r="U18" s="8">
        <f t="shared" si="83"/>
        <v>1.2816429701105512</v>
      </c>
      <c r="V18" s="8">
        <f t="shared" si="83"/>
        <v>1.2816429701105512</v>
      </c>
      <c r="W18" s="8">
        <f t="shared" si="79"/>
        <v>1.2816429701105512</v>
      </c>
      <c r="X18" s="8">
        <f t="shared" ref="X18:Z18" si="84">(1+X15)^X16</f>
        <v>1.2816429701105512</v>
      </c>
      <c r="Y18" s="8">
        <f t="shared" si="84"/>
        <v>1.2816429701105512</v>
      </c>
      <c r="Z18" s="8">
        <f t="shared" si="84"/>
        <v>1.2816429701105512</v>
      </c>
      <c r="AA18" s="8">
        <f t="shared" si="79"/>
        <v>1.2816429701105512</v>
      </c>
      <c r="AB18" s="8">
        <f t="shared" ref="AB18:AD18" si="85">(1+AB15)^AB16</f>
        <v>1.2816429701105512</v>
      </c>
      <c r="AC18" s="8">
        <f t="shared" si="85"/>
        <v>1.2816429701105512</v>
      </c>
      <c r="AD18" s="8">
        <f t="shared" si="85"/>
        <v>1.2816429701105512</v>
      </c>
      <c r="AE18" s="8">
        <f t="shared" si="79"/>
        <v>1.2816429701105512</v>
      </c>
      <c r="AF18" s="8">
        <f t="shared" ref="AF18:AH18" si="86">(1+AF15)^AF16</f>
        <v>1.2816429701105512</v>
      </c>
      <c r="AG18" s="8">
        <f t="shared" si="86"/>
        <v>1.2816429701105512</v>
      </c>
      <c r="AH18" s="8">
        <f t="shared" si="86"/>
        <v>1.2816429701105512</v>
      </c>
      <c r="AI18" s="8">
        <f t="shared" si="79"/>
        <v>1.2816429701105512</v>
      </c>
      <c r="AJ18" s="8">
        <f t="shared" ref="AJ18:AL18" si="87">(1+AJ15)^AJ16</f>
        <v>1.2816429701105512</v>
      </c>
      <c r="AK18" s="8">
        <f t="shared" si="87"/>
        <v>1.2816429701105512</v>
      </c>
      <c r="AL18" s="8">
        <f t="shared" si="87"/>
        <v>1.2816429701105512</v>
      </c>
      <c r="AM18" s="8">
        <f t="shared" si="79"/>
        <v>1.2816429701105512</v>
      </c>
      <c r="AN18" s="8">
        <f t="shared" ref="AN18:AP18" si="88">(1+AN15)^AN16</f>
        <v>1.2816429701105512</v>
      </c>
      <c r="AO18" s="8">
        <f t="shared" si="88"/>
        <v>1.2816429701105512</v>
      </c>
      <c r="AP18" s="8">
        <f t="shared" si="88"/>
        <v>1.2816429701105512</v>
      </c>
      <c r="AQ18" s="8">
        <f t="shared" si="79"/>
        <v>1.2816429701105512</v>
      </c>
      <c r="AR18" s="8">
        <f t="shared" ref="AR18:AS18" si="89">(1+AR15)^AR16</f>
        <v>1.2816429701105512</v>
      </c>
      <c r="AS18" s="8">
        <f t="shared" si="89"/>
        <v>1.2816429701105512</v>
      </c>
      <c r="AT18" s="8">
        <f t="shared" ref="AT18" si="90">(1+AT15)^AT16</f>
        <v>1.2816429701105512</v>
      </c>
    </row>
    <row r="19" spans="2:46">
      <c r="C19" s="9">
        <f>C18*C15</f>
        <v>8.8646972099313132E-3</v>
      </c>
      <c r="D19" s="9">
        <f>D18*D15</f>
        <v>8.8646972099313132E-3</v>
      </c>
      <c r="E19" s="9">
        <f>E18*E15</f>
        <v>8.8646972099313132E-3</v>
      </c>
      <c r="F19" s="9">
        <f>F18*F15</f>
        <v>8.8646972099313132E-3</v>
      </c>
      <c r="G19" s="9">
        <f>G18*G15</f>
        <v>8.8646972099313132E-3</v>
      </c>
      <c r="H19" s="9">
        <f t="shared" ref="H19:I19" si="91">H18*H15</f>
        <v>8.8646972099313132E-3</v>
      </c>
      <c r="I19" s="9">
        <f t="shared" si="91"/>
        <v>8.8646972099313132E-3</v>
      </c>
      <c r="J19" s="9">
        <f t="shared" ref="J19" si="92">J18*J15</f>
        <v>8.8646972099313132E-3</v>
      </c>
      <c r="K19" s="9">
        <f t="shared" ref="K19:AQ19" si="93">K18*K15</f>
        <v>8.8646972099313132E-3</v>
      </c>
      <c r="L19" s="9">
        <f t="shared" ref="L19:N19" si="94">L18*L15</f>
        <v>8.8646972099313132E-3</v>
      </c>
      <c r="M19" s="9">
        <f t="shared" si="94"/>
        <v>8.8646972099313132E-3</v>
      </c>
      <c r="N19" s="9">
        <f t="shared" si="94"/>
        <v>8.8646972099313132E-3</v>
      </c>
      <c r="O19" s="9">
        <f t="shared" si="93"/>
        <v>8.8646972099313132E-3</v>
      </c>
      <c r="P19" s="9">
        <f t="shared" ref="P19:Q19" si="95">P18*P15</f>
        <v>8.8646972099313132E-3</v>
      </c>
      <c r="Q19" s="9">
        <f t="shared" si="95"/>
        <v>8.8646972099313132E-3</v>
      </c>
      <c r="R19" s="9">
        <f t="shared" ref="R19" si="96">R18*R15</f>
        <v>8.8646972099313132E-3</v>
      </c>
      <c r="S19" s="9">
        <f t="shared" si="93"/>
        <v>8.8646972099313132E-3</v>
      </c>
      <c r="T19" s="9">
        <f t="shared" ref="T19:V19" si="97">T18*T15</f>
        <v>8.8646972099313132E-3</v>
      </c>
      <c r="U19" s="9">
        <f t="shared" si="97"/>
        <v>8.8646972099313132E-3</v>
      </c>
      <c r="V19" s="9">
        <f t="shared" si="97"/>
        <v>8.8646972099313132E-3</v>
      </c>
      <c r="W19" s="9">
        <f t="shared" si="93"/>
        <v>8.8646972099313132E-3</v>
      </c>
      <c r="X19" s="9">
        <f t="shared" ref="X19:Z19" si="98">X18*X15</f>
        <v>8.8646972099313132E-3</v>
      </c>
      <c r="Y19" s="9">
        <f t="shared" si="98"/>
        <v>8.8646972099313132E-3</v>
      </c>
      <c r="Z19" s="9">
        <f t="shared" si="98"/>
        <v>8.8646972099313132E-3</v>
      </c>
      <c r="AA19" s="9">
        <f t="shared" si="93"/>
        <v>8.8646972099313132E-3</v>
      </c>
      <c r="AB19" s="9">
        <f t="shared" ref="AB19:AD19" si="99">AB18*AB15</f>
        <v>8.8646972099313132E-3</v>
      </c>
      <c r="AC19" s="9">
        <f t="shared" si="99"/>
        <v>8.8646972099313132E-3</v>
      </c>
      <c r="AD19" s="9">
        <f t="shared" si="99"/>
        <v>8.8646972099313132E-3</v>
      </c>
      <c r="AE19" s="9">
        <f t="shared" si="93"/>
        <v>8.8646972099313132E-3</v>
      </c>
      <c r="AF19" s="9">
        <f t="shared" ref="AF19:AH19" si="100">AF18*AF15</f>
        <v>8.8646972099313132E-3</v>
      </c>
      <c r="AG19" s="9">
        <f t="shared" si="100"/>
        <v>8.8646972099313132E-3</v>
      </c>
      <c r="AH19" s="9">
        <f t="shared" si="100"/>
        <v>8.8646972099313132E-3</v>
      </c>
      <c r="AI19" s="9">
        <f t="shared" si="93"/>
        <v>8.8646972099313132E-3</v>
      </c>
      <c r="AJ19" s="9">
        <f t="shared" ref="AJ19:AL19" si="101">AJ18*AJ15</f>
        <v>8.8646972099313132E-3</v>
      </c>
      <c r="AK19" s="9">
        <f t="shared" si="101"/>
        <v>8.8646972099313132E-3</v>
      </c>
      <c r="AL19" s="9">
        <f t="shared" si="101"/>
        <v>8.8646972099313132E-3</v>
      </c>
      <c r="AM19" s="9">
        <f t="shared" si="93"/>
        <v>8.8646972099313132E-3</v>
      </c>
      <c r="AN19" s="9">
        <f t="shared" ref="AN19:AP19" si="102">AN18*AN15</f>
        <v>8.8646972099313132E-3</v>
      </c>
      <c r="AO19" s="9">
        <f t="shared" si="102"/>
        <v>8.8646972099313132E-3</v>
      </c>
      <c r="AP19" s="9">
        <f t="shared" si="102"/>
        <v>8.8646972099313132E-3</v>
      </c>
      <c r="AQ19" s="9">
        <f t="shared" si="93"/>
        <v>8.8646972099313132E-3</v>
      </c>
      <c r="AR19" s="9">
        <f t="shared" ref="AR19:AS19" si="103">AR18*AR15</f>
        <v>8.8646972099313132E-3</v>
      </c>
      <c r="AS19" s="9">
        <f t="shared" si="103"/>
        <v>8.8646972099313132E-3</v>
      </c>
      <c r="AT19" s="9">
        <f t="shared" ref="AT19" si="104">AT18*AT15</f>
        <v>8.8646972099313132E-3</v>
      </c>
    </row>
    <row r="20" spans="2:46">
      <c r="C20" s="10">
        <f>C18-1</f>
        <v>0.28164297011055117</v>
      </c>
      <c r="D20" s="10">
        <f>D18-1</f>
        <v>0.28164297011055117</v>
      </c>
      <c r="E20" s="10">
        <f>E18-1</f>
        <v>0.28164297011055117</v>
      </c>
      <c r="F20" s="10">
        <f>F18-1</f>
        <v>0.28164297011055117</v>
      </c>
      <c r="G20" s="10">
        <f>G18-1</f>
        <v>0.28164297011055117</v>
      </c>
      <c r="H20" s="10">
        <f t="shared" ref="H20:I20" si="105">H18-1</f>
        <v>0.28164297011055117</v>
      </c>
      <c r="I20" s="10">
        <f t="shared" si="105"/>
        <v>0.28164297011055117</v>
      </c>
      <c r="J20" s="10">
        <f t="shared" ref="J20" si="106">J18-1</f>
        <v>0.28164297011055117</v>
      </c>
      <c r="K20" s="10">
        <f t="shared" ref="K20:AQ20" si="107">K18-1</f>
        <v>0.28164297011055117</v>
      </c>
      <c r="L20" s="10">
        <f t="shared" ref="L20:N20" si="108">L18-1</f>
        <v>0.28164297011055117</v>
      </c>
      <c r="M20" s="10">
        <f t="shared" si="108"/>
        <v>0.28164297011055117</v>
      </c>
      <c r="N20" s="10">
        <f t="shared" si="108"/>
        <v>0.28164297011055117</v>
      </c>
      <c r="O20" s="10">
        <f t="shared" si="107"/>
        <v>0.28164297011055117</v>
      </c>
      <c r="P20" s="10">
        <f t="shared" ref="P20:Q20" si="109">P18-1</f>
        <v>0.28164297011055117</v>
      </c>
      <c r="Q20" s="10">
        <f t="shared" si="109"/>
        <v>0.28164297011055117</v>
      </c>
      <c r="R20" s="10">
        <f t="shared" ref="R20" si="110">R18-1</f>
        <v>0.28164297011055117</v>
      </c>
      <c r="S20" s="10">
        <f t="shared" si="107"/>
        <v>0.28164297011055117</v>
      </c>
      <c r="T20" s="10">
        <f t="shared" ref="T20:V20" si="111">T18-1</f>
        <v>0.28164297011055117</v>
      </c>
      <c r="U20" s="10">
        <f t="shared" si="111"/>
        <v>0.28164297011055117</v>
      </c>
      <c r="V20" s="10">
        <f t="shared" si="111"/>
        <v>0.28164297011055117</v>
      </c>
      <c r="W20" s="10">
        <f t="shared" si="107"/>
        <v>0.28164297011055117</v>
      </c>
      <c r="X20" s="10">
        <f t="shared" ref="X20:Z20" si="112">X18-1</f>
        <v>0.28164297011055117</v>
      </c>
      <c r="Y20" s="10">
        <f t="shared" si="112"/>
        <v>0.28164297011055117</v>
      </c>
      <c r="Z20" s="10">
        <f t="shared" si="112"/>
        <v>0.28164297011055117</v>
      </c>
      <c r="AA20" s="10">
        <f t="shared" si="107"/>
        <v>0.28164297011055117</v>
      </c>
      <c r="AB20" s="10">
        <f t="shared" ref="AB20:AD20" si="113">AB18-1</f>
        <v>0.28164297011055117</v>
      </c>
      <c r="AC20" s="10">
        <f t="shared" si="113"/>
        <v>0.28164297011055117</v>
      </c>
      <c r="AD20" s="10">
        <f t="shared" si="113"/>
        <v>0.28164297011055117</v>
      </c>
      <c r="AE20" s="10">
        <f t="shared" si="107"/>
        <v>0.28164297011055117</v>
      </c>
      <c r="AF20" s="10">
        <f t="shared" ref="AF20:AH20" si="114">AF18-1</f>
        <v>0.28164297011055117</v>
      </c>
      <c r="AG20" s="10">
        <f t="shared" si="114"/>
        <v>0.28164297011055117</v>
      </c>
      <c r="AH20" s="10">
        <f t="shared" si="114"/>
        <v>0.28164297011055117</v>
      </c>
      <c r="AI20" s="10">
        <f t="shared" si="107"/>
        <v>0.28164297011055117</v>
      </c>
      <c r="AJ20" s="10">
        <f t="shared" ref="AJ20:AL20" si="115">AJ18-1</f>
        <v>0.28164297011055117</v>
      </c>
      <c r="AK20" s="10">
        <f t="shared" si="115"/>
        <v>0.28164297011055117</v>
      </c>
      <c r="AL20" s="10">
        <f t="shared" si="115"/>
        <v>0.28164297011055117</v>
      </c>
      <c r="AM20" s="10">
        <f t="shared" si="107"/>
        <v>0.28164297011055117</v>
      </c>
      <c r="AN20" s="10">
        <f t="shared" ref="AN20:AP20" si="116">AN18-1</f>
        <v>0.28164297011055117</v>
      </c>
      <c r="AO20" s="10">
        <f t="shared" si="116"/>
        <v>0.28164297011055117</v>
      </c>
      <c r="AP20" s="10">
        <f t="shared" si="116"/>
        <v>0.28164297011055117</v>
      </c>
      <c r="AQ20" s="10">
        <f t="shared" si="107"/>
        <v>0.28164297011055117</v>
      </c>
      <c r="AR20" s="10">
        <f t="shared" ref="AR20:AS20" si="117">AR18-1</f>
        <v>0.28164297011055117</v>
      </c>
      <c r="AS20" s="10">
        <f t="shared" si="117"/>
        <v>0.28164297011055117</v>
      </c>
      <c r="AT20" s="10">
        <f t="shared" ref="AT20" si="118">AT18-1</f>
        <v>0.28164297011055117</v>
      </c>
    </row>
    <row r="21" spans="2:46">
      <c r="C21" s="10">
        <f>C19/C20</f>
        <v>3.1474945767159465E-2</v>
      </c>
      <c r="D21" s="10">
        <f>D19/D20</f>
        <v>3.1474945767159465E-2</v>
      </c>
      <c r="E21" s="10">
        <f>E19/E20</f>
        <v>3.1474945767159465E-2</v>
      </c>
      <c r="F21" s="10">
        <f>F19/F20</f>
        <v>3.1474945767159465E-2</v>
      </c>
      <c r="G21" s="10">
        <f>G19/G20</f>
        <v>3.1474945767159465E-2</v>
      </c>
      <c r="H21" s="10">
        <f t="shared" ref="H21:I21" si="119">H19/H20</f>
        <v>3.1474945767159465E-2</v>
      </c>
      <c r="I21" s="10">
        <f t="shared" si="119"/>
        <v>3.1474945767159465E-2</v>
      </c>
      <c r="J21" s="10">
        <f t="shared" ref="J21" si="120">J19/J20</f>
        <v>3.1474945767159465E-2</v>
      </c>
      <c r="K21" s="10">
        <f t="shared" ref="K21:AQ21" si="121">K19/K20</f>
        <v>3.1474945767159465E-2</v>
      </c>
      <c r="L21" s="10">
        <f t="shared" ref="L21:N21" si="122">L19/L20</f>
        <v>3.1474945767159465E-2</v>
      </c>
      <c r="M21" s="10">
        <f t="shared" si="122"/>
        <v>3.1474945767159465E-2</v>
      </c>
      <c r="N21" s="10">
        <f t="shared" si="122"/>
        <v>3.1474945767159465E-2</v>
      </c>
      <c r="O21" s="10">
        <f t="shared" si="121"/>
        <v>3.1474945767159465E-2</v>
      </c>
      <c r="P21" s="10">
        <f t="shared" ref="P21:Q21" si="123">P19/P20</f>
        <v>3.1474945767159465E-2</v>
      </c>
      <c r="Q21" s="10">
        <f t="shared" si="123"/>
        <v>3.1474945767159465E-2</v>
      </c>
      <c r="R21" s="10">
        <f t="shared" ref="R21" si="124">R19/R20</f>
        <v>3.1474945767159465E-2</v>
      </c>
      <c r="S21" s="10">
        <f t="shared" si="121"/>
        <v>3.1474945767159465E-2</v>
      </c>
      <c r="T21" s="10">
        <f t="shared" ref="T21:V21" si="125">T19/T20</f>
        <v>3.1474945767159465E-2</v>
      </c>
      <c r="U21" s="10">
        <f t="shared" si="125"/>
        <v>3.1474945767159465E-2</v>
      </c>
      <c r="V21" s="10">
        <f t="shared" si="125"/>
        <v>3.1474945767159465E-2</v>
      </c>
      <c r="W21" s="10">
        <f t="shared" si="121"/>
        <v>3.1474945767159465E-2</v>
      </c>
      <c r="X21" s="10">
        <f t="shared" ref="X21:Z21" si="126">X19/X20</f>
        <v>3.1474945767159465E-2</v>
      </c>
      <c r="Y21" s="10">
        <f t="shared" si="126"/>
        <v>3.1474945767159465E-2</v>
      </c>
      <c r="Z21" s="10">
        <f t="shared" si="126"/>
        <v>3.1474945767159465E-2</v>
      </c>
      <c r="AA21" s="10">
        <f t="shared" si="121"/>
        <v>3.1474945767159465E-2</v>
      </c>
      <c r="AB21" s="10">
        <f t="shared" ref="AB21:AD21" si="127">AB19/AB20</f>
        <v>3.1474945767159465E-2</v>
      </c>
      <c r="AC21" s="10">
        <f t="shared" si="127"/>
        <v>3.1474945767159465E-2</v>
      </c>
      <c r="AD21" s="10">
        <f t="shared" si="127"/>
        <v>3.1474945767159465E-2</v>
      </c>
      <c r="AE21" s="10">
        <f t="shared" si="121"/>
        <v>3.1474945767159465E-2</v>
      </c>
      <c r="AF21" s="10">
        <f t="shared" ref="AF21:AH21" si="128">AF19/AF20</f>
        <v>3.1474945767159465E-2</v>
      </c>
      <c r="AG21" s="10">
        <f t="shared" si="128"/>
        <v>3.1474945767159465E-2</v>
      </c>
      <c r="AH21" s="10">
        <f t="shared" si="128"/>
        <v>3.1474945767159465E-2</v>
      </c>
      <c r="AI21" s="10">
        <f t="shared" si="121"/>
        <v>3.1474945767159465E-2</v>
      </c>
      <c r="AJ21" s="10">
        <f t="shared" ref="AJ21:AL21" si="129">AJ19/AJ20</f>
        <v>3.1474945767159465E-2</v>
      </c>
      <c r="AK21" s="10">
        <f t="shared" si="129"/>
        <v>3.1474945767159465E-2</v>
      </c>
      <c r="AL21" s="10">
        <f t="shared" si="129"/>
        <v>3.1474945767159465E-2</v>
      </c>
      <c r="AM21" s="10">
        <f t="shared" si="121"/>
        <v>3.1474945767159465E-2</v>
      </c>
      <c r="AN21" s="10">
        <f t="shared" ref="AN21:AP21" si="130">AN19/AN20</f>
        <v>3.1474945767159465E-2</v>
      </c>
      <c r="AO21" s="10">
        <f t="shared" si="130"/>
        <v>3.1474945767159465E-2</v>
      </c>
      <c r="AP21" s="10">
        <f t="shared" si="130"/>
        <v>3.1474945767159465E-2</v>
      </c>
      <c r="AQ21" s="10">
        <f t="shared" si="121"/>
        <v>3.1474945767159465E-2</v>
      </c>
      <c r="AR21" s="10">
        <f t="shared" ref="AR21:AS21" si="131">AR19/AR20</f>
        <v>3.1474945767159465E-2</v>
      </c>
      <c r="AS21" s="10">
        <f t="shared" si="131"/>
        <v>3.1474945767159465E-2</v>
      </c>
      <c r="AT21" s="10">
        <f t="shared" ref="AT21" si="132">AT19/AT20</f>
        <v>3.1474945767159465E-2</v>
      </c>
    </row>
    <row r="22" spans="2:46" s="1" customFormat="1">
      <c r="B22" s="1" t="s">
        <v>14</v>
      </c>
      <c r="C22" s="4">
        <f>C21*C11</f>
        <v>1971.7742067051774</v>
      </c>
      <c r="D22" s="4">
        <f>D21*D11</f>
        <v>907.19973893469</v>
      </c>
      <c r="E22" s="4">
        <f>E21*E11</f>
        <v>1814.39947786938</v>
      </c>
      <c r="F22" s="4">
        <f>F21*F11</f>
        <v>2721.5992168040698</v>
      </c>
      <c r="G22" s="4">
        <f>G21*G11</f>
        <v>3628.79895573876</v>
      </c>
      <c r="H22" s="4">
        <f t="shared" ref="H22:I22" si="133">H21*H11</f>
        <v>4535.9986946734507</v>
      </c>
      <c r="I22" s="4">
        <f t="shared" si="133"/>
        <v>5443.1984336081396</v>
      </c>
      <c r="J22" s="4">
        <f t="shared" ref="J22" si="134">J21*J11</f>
        <v>6350.3981725428293</v>
      </c>
      <c r="K22" s="4">
        <f t="shared" ref="K22:AQ22" si="135">K21*K11</f>
        <v>7257.59791147752</v>
      </c>
      <c r="L22" s="4">
        <f t="shared" ref="L22:N22" si="136">L21*L11</f>
        <v>8164.7976504122098</v>
      </c>
      <c r="M22" s="4">
        <f t="shared" si="136"/>
        <v>9071.9973893469014</v>
      </c>
      <c r="N22" s="4">
        <f t="shared" si="136"/>
        <v>9979.1971282815903</v>
      </c>
      <c r="O22" s="4">
        <f t="shared" si="135"/>
        <v>10886.396867216279</v>
      </c>
      <c r="P22" s="4">
        <f t="shared" ref="P22:Q22" si="137">P21*P11</f>
        <v>11793.59660615097</v>
      </c>
      <c r="Q22" s="4">
        <f t="shared" si="137"/>
        <v>12700.796345085659</v>
      </c>
      <c r="R22" s="4">
        <f t="shared" ref="R22" si="138">R21*R11</f>
        <v>13607.996084020349</v>
      </c>
      <c r="S22" s="4">
        <f t="shared" si="135"/>
        <v>14515.19582295504</v>
      </c>
      <c r="T22" s="4">
        <f t="shared" ref="T22:V22" si="139">T21*T11</f>
        <v>15422.395561889729</v>
      </c>
      <c r="U22" s="4">
        <f t="shared" si="139"/>
        <v>16329.59530082442</v>
      </c>
      <c r="V22" s="4">
        <f t="shared" si="139"/>
        <v>17236.795039759108</v>
      </c>
      <c r="W22" s="4">
        <f t="shared" si="135"/>
        <v>18143.994778693803</v>
      </c>
      <c r="X22" s="4">
        <f t="shared" ref="X22:Z22" si="140">X21*X11</f>
        <v>19051.19451762849</v>
      </c>
      <c r="Y22" s="4">
        <f t="shared" si="140"/>
        <v>19958.394256563181</v>
      </c>
      <c r="Z22" s="4">
        <f t="shared" si="140"/>
        <v>20865.593995497871</v>
      </c>
      <c r="AA22" s="4">
        <f t="shared" si="135"/>
        <v>21772.793734432558</v>
      </c>
      <c r="AB22" s="4">
        <f t="shared" ref="AB22:AD22" si="141">AB21*AB11</f>
        <v>22679.993473367249</v>
      </c>
      <c r="AC22" s="4">
        <f t="shared" si="141"/>
        <v>23587.19321230194</v>
      </c>
      <c r="AD22" s="4">
        <f t="shared" si="141"/>
        <v>24494.39295123663</v>
      </c>
      <c r="AE22" s="4">
        <f t="shared" si="135"/>
        <v>25401.592690171317</v>
      </c>
      <c r="AF22" s="4">
        <f t="shared" ref="AF22:AH22" si="142">AF21*AF11</f>
        <v>26308.792429106012</v>
      </c>
      <c r="AG22" s="4">
        <f t="shared" si="142"/>
        <v>27215.992168040699</v>
      </c>
      <c r="AH22" s="4">
        <f t="shared" si="142"/>
        <v>28123.191906975389</v>
      </c>
      <c r="AI22" s="4">
        <f t="shared" si="135"/>
        <v>29030.39164591008</v>
      </c>
      <c r="AJ22" s="4">
        <f t="shared" ref="AJ22:AL22" si="143">AJ21*AJ11</f>
        <v>29937.591384844771</v>
      </c>
      <c r="AK22" s="4">
        <f t="shared" si="143"/>
        <v>30844.791123779458</v>
      </c>
      <c r="AL22" s="4">
        <f t="shared" si="143"/>
        <v>31751.990862714152</v>
      </c>
      <c r="AM22" s="4">
        <f t="shared" si="135"/>
        <v>32659.190601648839</v>
      </c>
      <c r="AN22" s="4">
        <f t="shared" ref="AN22:AP22" si="144">AN21*AN11</f>
        <v>33566.39034058353</v>
      </c>
      <c r="AO22" s="4">
        <f t="shared" si="144"/>
        <v>34473.590079518217</v>
      </c>
      <c r="AP22" s="4">
        <f t="shared" si="144"/>
        <v>35380.789818452911</v>
      </c>
      <c r="AQ22" s="4">
        <f t="shared" si="135"/>
        <v>36287.989557387606</v>
      </c>
      <c r="AR22" s="4">
        <f t="shared" ref="AR22:AS22" si="145">AR21*AR11</f>
        <v>37195.189296322285</v>
      </c>
      <c r="AS22" s="4">
        <f t="shared" si="145"/>
        <v>38102.38903525698</v>
      </c>
      <c r="AT22" s="4">
        <f t="shared" ref="AT22" si="146">AT21*AT11</f>
        <v>39009.588774191674</v>
      </c>
    </row>
    <row r="23" spans="2:46">
      <c r="C23" s="2"/>
      <c r="D23" s="2"/>
      <c r="E23" s="2"/>
      <c r="F23" s="2"/>
      <c r="G23" s="2"/>
      <c r="H23" s="2"/>
      <c r="I23" s="2"/>
      <c r="J23" s="2"/>
      <c r="K23" s="2"/>
      <c r="L23" s="2"/>
      <c r="AA23" s="2"/>
      <c r="AB23" s="2"/>
      <c r="AC23" s="2"/>
      <c r="AD23" s="2"/>
      <c r="AE23" s="2"/>
      <c r="AF23" s="2"/>
      <c r="AG23" s="2"/>
      <c r="AH23" s="2"/>
      <c r="AI23" s="2"/>
      <c r="AJ23" s="2"/>
      <c r="AK23" s="2"/>
      <c r="AL23" s="2"/>
      <c r="AM23" s="2"/>
      <c r="AN23" s="2"/>
      <c r="AO23" s="2"/>
      <c r="AP23" s="2"/>
      <c r="AQ23" s="2"/>
      <c r="AR23" s="2"/>
      <c r="AS23" s="2"/>
      <c r="AT23" s="2"/>
    </row>
    <row r="24" spans="2:46">
      <c r="B24" t="s">
        <v>30</v>
      </c>
      <c r="C24" s="2">
        <f>C4-C5</f>
        <v>20983.871441386393</v>
      </c>
      <c r="D24" s="2">
        <f>D4-D5</f>
        <v>7659.1906016488392</v>
      </c>
      <c r="E24" s="2">
        <f>E4-E5</f>
        <v>15318.381203297678</v>
      </c>
      <c r="F24" s="2">
        <f>F4-F5</f>
        <v>22977.571804946507</v>
      </c>
      <c r="G24" s="2">
        <f>G4-G5</f>
        <v>30636.762406595357</v>
      </c>
      <c r="H24" s="2">
        <f t="shared" ref="H24:I24" si="147">H4-H5</f>
        <v>38295.953008244222</v>
      </c>
      <c r="I24" s="2">
        <f t="shared" si="147"/>
        <v>45955.143609893013</v>
      </c>
      <c r="J24" s="2">
        <f t="shared" ref="J24" si="148">J4-J5</f>
        <v>53614.334211541864</v>
      </c>
      <c r="K24" s="2">
        <f t="shared" ref="K24:AQ24" si="149">K4-K5</f>
        <v>61273.524813190714</v>
      </c>
      <c r="L24" s="2">
        <f t="shared" ref="L24:N24" si="150">L4-L5</f>
        <v>68932.715414839564</v>
      </c>
      <c r="M24" s="2">
        <f t="shared" si="150"/>
        <v>76591.906016488443</v>
      </c>
      <c r="N24" s="2">
        <f t="shared" si="150"/>
        <v>84251.096618137264</v>
      </c>
      <c r="O24" s="2">
        <f t="shared" si="149"/>
        <v>91910.287219786027</v>
      </c>
      <c r="P24" s="2">
        <f t="shared" ref="P24:Q24" si="151">P4-P5</f>
        <v>99569.477821434906</v>
      </c>
      <c r="Q24" s="2">
        <f t="shared" si="151"/>
        <v>107228.66842308373</v>
      </c>
      <c r="R24" s="2">
        <f t="shared" ref="R24" si="152">R4-R5</f>
        <v>114887.85902473261</v>
      </c>
      <c r="S24" s="2">
        <f t="shared" si="149"/>
        <v>122547.04962638143</v>
      </c>
      <c r="T24" s="2">
        <f t="shared" ref="T24:V24" si="153">T4-T5</f>
        <v>130206.24022803025</v>
      </c>
      <c r="U24" s="2">
        <f t="shared" si="153"/>
        <v>137865.43082967913</v>
      </c>
      <c r="V24" s="2">
        <f t="shared" si="153"/>
        <v>145524.62143132789</v>
      </c>
      <c r="W24" s="2">
        <f t="shared" si="149"/>
        <v>153183.81203297689</v>
      </c>
      <c r="X24" s="2">
        <f t="shared" ref="X24:Z24" si="154">X4-X5</f>
        <v>160843.00263462565</v>
      </c>
      <c r="Y24" s="2">
        <f t="shared" si="154"/>
        <v>168502.19323627453</v>
      </c>
      <c r="Z24" s="2">
        <f t="shared" si="154"/>
        <v>176161.38383792341</v>
      </c>
      <c r="AA24" s="2">
        <f t="shared" si="149"/>
        <v>183820.57443957205</v>
      </c>
      <c r="AB24" s="2">
        <f t="shared" ref="AB24:AD24" si="155">AB4-AB5</f>
        <v>191479.76504122093</v>
      </c>
      <c r="AC24" s="2">
        <f t="shared" si="155"/>
        <v>199138.95564286981</v>
      </c>
      <c r="AD24" s="2">
        <f t="shared" si="155"/>
        <v>206798.14624451869</v>
      </c>
      <c r="AE24" s="2">
        <f t="shared" si="149"/>
        <v>214457.33684616745</v>
      </c>
      <c r="AF24" s="2">
        <f t="shared" ref="AF24:AH24" si="156">AF4-AF5</f>
        <v>222116.52744781645</v>
      </c>
      <c r="AG24" s="2">
        <f t="shared" si="156"/>
        <v>229775.71804946521</v>
      </c>
      <c r="AH24" s="2">
        <f t="shared" si="156"/>
        <v>237434.90865111398</v>
      </c>
      <c r="AI24" s="2">
        <f t="shared" si="149"/>
        <v>245094.09925276286</v>
      </c>
      <c r="AJ24" s="2">
        <f t="shared" ref="AJ24:AL24" si="157">AJ4-AJ5</f>
        <v>252753.28985441173</v>
      </c>
      <c r="AK24" s="2">
        <f t="shared" si="157"/>
        <v>260412.4804560605</v>
      </c>
      <c r="AL24" s="2">
        <f t="shared" si="157"/>
        <v>268071.67105770949</v>
      </c>
      <c r="AM24" s="2">
        <f t="shared" si="149"/>
        <v>275730.86165935826</v>
      </c>
      <c r="AN24" s="2">
        <f t="shared" ref="AN24:AP24" si="158">AN4-AN5</f>
        <v>283390.05226100702</v>
      </c>
      <c r="AO24" s="2">
        <f t="shared" si="158"/>
        <v>291049.24286265578</v>
      </c>
      <c r="AP24" s="2">
        <f t="shared" si="158"/>
        <v>298708.43346430478</v>
      </c>
      <c r="AQ24" s="2">
        <f t="shared" si="149"/>
        <v>306367.62406595377</v>
      </c>
      <c r="AR24" s="2">
        <f t="shared" ref="AR24:AS24" si="159">AR4-AR5</f>
        <v>314026.8146676023</v>
      </c>
      <c r="AS24" s="2">
        <f t="shared" si="159"/>
        <v>321686.0052692513</v>
      </c>
      <c r="AT24" s="2">
        <f t="shared" ref="AT24" si="160">AT4-AT5</f>
        <v>329345.19587090029</v>
      </c>
    </row>
    <row r="25" spans="2:46">
      <c r="B25" t="s">
        <v>31</v>
      </c>
      <c r="C25" s="11">
        <f>C24/C4</f>
        <v>0.29561463773800267</v>
      </c>
      <c r="D25" s="11">
        <f>D24/D4</f>
        <v>0.23451869016197099</v>
      </c>
      <c r="E25" s="11">
        <f>E24/E4</f>
        <v>0.23451869016197099</v>
      </c>
      <c r="F25" s="11">
        <f>F24/F4</f>
        <v>0.23451869016197091</v>
      </c>
      <c r="G25" s="11">
        <f>G24/G4</f>
        <v>0.23451869016197099</v>
      </c>
      <c r="H25" s="11">
        <f t="shared" ref="H25:I25" si="161">H24/H4</f>
        <v>0.23451869016197111</v>
      </c>
      <c r="I25" s="11">
        <f t="shared" si="161"/>
        <v>0.23451869016197091</v>
      </c>
      <c r="J25" s="11">
        <f t="shared" ref="J25" si="162">J24/J4</f>
        <v>0.23451869016197097</v>
      </c>
      <c r="K25" s="11">
        <f t="shared" ref="K25:AQ25" si="163">K24/K4</f>
        <v>0.23451869016197099</v>
      </c>
      <c r="L25" s="11">
        <f t="shared" ref="L25:N25" si="164">L24/L4</f>
        <v>0.23451869016197102</v>
      </c>
      <c r="M25" s="11">
        <f t="shared" si="164"/>
        <v>0.23451869016197111</v>
      </c>
      <c r="N25" s="11">
        <f t="shared" si="164"/>
        <v>0.23451869016197108</v>
      </c>
      <c r="O25" s="11">
        <f t="shared" si="163"/>
        <v>0.23451869016197091</v>
      </c>
      <c r="P25" s="11">
        <f t="shared" ref="P25:Q25" si="165">P24/P4</f>
        <v>0.23451869016197099</v>
      </c>
      <c r="Q25" s="11">
        <f t="shared" si="165"/>
        <v>0.23451869016197097</v>
      </c>
      <c r="R25" s="11">
        <f t="shared" ref="R25" si="166">R24/R4</f>
        <v>0.23451869016197102</v>
      </c>
      <c r="S25" s="11">
        <f t="shared" si="163"/>
        <v>0.23451869016197099</v>
      </c>
      <c r="T25" s="11">
        <f t="shared" ref="T25:V25" si="167">T24/T4</f>
        <v>0.23451869016197097</v>
      </c>
      <c r="U25" s="11">
        <f t="shared" si="167"/>
        <v>0.23451869016197102</v>
      </c>
      <c r="V25" s="11">
        <f t="shared" si="167"/>
        <v>0.23451869016197094</v>
      </c>
      <c r="W25" s="11">
        <f t="shared" si="163"/>
        <v>0.23451869016197111</v>
      </c>
      <c r="X25" s="11">
        <f t="shared" ref="X25:Z25" si="168">X24/X4</f>
        <v>0.23451869016197102</v>
      </c>
      <c r="Y25" s="11">
        <f t="shared" si="168"/>
        <v>0.23451869016197108</v>
      </c>
      <c r="Z25" s="11">
        <f t="shared" si="168"/>
        <v>0.23451869016197111</v>
      </c>
      <c r="AA25" s="11">
        <f t="shared" si="163"/>
        <v>0.23451869016197091</v>
      </c>
      <c r="AB25" s="11">
        <f t="shared" ref="AB25:AD25" si="169">AB24/AB4</f>
        <v>0.23451869016197094</v>
      </c>
      <c r="AC25" s="11">
        <f t="shared" si="169"/>
        <v>0.23451869016197099</v>
      </c>
      <c r="AD25" s="11">
        <f t="shared" si="169"/>
        <v>0.23451869016197102</v>
      </c>
      <c r="AE25" s="11">
        <f t="shared" si="163"/>
        <v>0.23451869016197097</v>
      </c>
      <c r="AF25" s="11">
        <f t="shared" ref="AF25:AH25" si="170">AF24/AF4</f>
        <v>0.23451869016197108</v>
      </c>
      <c r="AG25" s="11">
        <f t="shared" si="170"/>
        <v>0.23451869016197102</v>
      </c>
      <c r="AH25" s="11">
        <f t="shared" si="170"/>
        <v>0.23451869016197097</v>
      </c>
      <c r="AI25" s="11">
        <f t="shared" si="163"/>
        <v>0.23451869016197099</v>
      </c>
      <c r="AJ25" s="11">
        <f t="shared" ref="AJ25:AL25" si="171">AJ24/AJ4</f>
        <v>0.23451869016197102</v>
      </c>
      <c r="AK25" s="11">
        <f t="shared" si="171"/>
        <v>0.23451869016197097</v>
      </c>
      <c r="AL25" s="11">
        <f t="shared" si="171"/>
        <v>0.23451869016197108</v>
      </c>
      <c r="AM25" s="11">
        <f t="shared" si="163"/>
        <v>0.23451869016197102</v>
      </c>
      <c r="AN25" s="11">
        <f t="shared" ref="AN25:AP25" si="172">AN24/AN4</f>
        <v>0.23451869016197097</v>
      </c>
      <c r="AO25" s="11">
        <f t="shared" si="172"/>
        <v>0.23451869016197094</v>
      </c>
      <c r="AP25" s="11">
        <f t="shared" si="172"/>
        <v>0.23451869016197102</v>
      </c>
      <c r="AQ25" s="11">
        <f t="shared" si="163"/>
        <v>0.23451869016197111</v>
      </c>
      <c r="AR25" s="11">
        <f t="shared" ref="AR25:AS25" si="173">AR24/AR4</f>
        <v>0.23451869016197094</v>
      </c>
      <c r="AS25" s="11">
        <f t="shared" si="173"/>
        <v>0.23451869016197102</v>
      </c>
      <c r="AT25" s="11">
        <f t="shared" ref="AT25" si="174">AT24/AT4</f>
        <v>0.23451869016197111</v>
      </c>
    </row>
    <row r="29" spans="2:46" ht="21">
      <c r="B29" s="3" t="s">
        <v>1</v>
      </c>
    </row>
    <row r="30" spans="2:46">
      <c r="B30" t="s">
        <v>21</v>
      </c>
      <c r="C30" s="2">
        <f>C48*C42</f>
        <v>66388.013164264121</v>
      </c>
      <c r="D30" s="2">
        <f>D48*D42</f>
        <v>30303.025659675914</v>
      </c>
      <c r="E30" s="2">
        <f>E48*E42</f>
        <v>60606.051319351827</v>
      </c>
      <c r="F30" s="2">
        <f>F48*F42</f>
        <v>90909.076979027755</v>
      </c>
      <c r="G30" s="2">
        <f>G48*G42</f>
        <v>121212.10263870365</v>
      </c>
      <c r="H30" s="2">
        <f t="shared" ref="H30:I30" si="175">H48*H42</f>
        <v>151515.1282983796</v>
      </c>
      <c r="I30" s="2">
        <f t="shared" si="175"/>
        <v>181818.15395805551</v>
      </c>
      <c r="J30" s="2">
        <f t="shared" ref="J30" si="176">J48*J42</f>
        <v>212121.17961773142</v>
      </c>
      <c r="K30" s="2">
        <f t="shared" ref="K30:AQ30" si="177">K48*K42</f>
        <v>242424.20527740731</v>
      </c>
      <c r="L30" s="2">
        <f t="shared" ref="L30:N30" si="178">L48*L42</f>
        <v>272727.23093708325</v>
      </c>
      <c r="M30" s="2">
        <f t="shared" si="178"/>
        <v>303030.25659675919</v>
      </c>
      <c r="N30" s="2">
        <f t="shared" si="178"/>
        <v>333333.28225643514</v>
      </c>
      <c r="O30" s="2">
        <f t="shared" si="177"/>
        <v>363636.30791611102</v>
      </c>
      <c r="P30" s="2">
        <f t="shared" ref="P30:Q30" si="179">P48*P42</f>
        <v>393939.33357578691</v>
      </c>
      <c r="Q30" s="2">
        <f t="shared" si="179"/>
        <v>424242.35923546285</v>
      </c>
      <c r="R30" s="2">
        <f t="shared" ref="R30" si="180">R48*R42</f>
        <v>454545.38489513879</v>
      </c>
      <c r="S30" s="2">
        <f t="shared" si="177"/>
        <v>484848.41055481462</v>
      </c>
      <c r="T30" s="2">
        <f t="shared" ref="T30:V30" si="181">T48*T42</f>
        <v>515151.43621449056</v>
      </c>
      <c r="U30" s="2">
        <f t="shared" si="181"/>
        <v>545454.4618741665</v>
      </c>
      <c r="V30" s="2">
        <f t="shared" si="181"/>
        <v>575757.48753384245</v>
      </c>
      <c r="W30" s="2">
        <f t="shared" si="177"/>
        <v>606060.51319351839</v>
      </c>
      <c r="X30" s="2">
        <f t="shared" ref="X30:Z30" si="182">X48*X42</f>
        <v>636363.53885319433</v>
      </c>
      <c r="Y30" s="2">
        <f t="shared" si="182"/>
        <v>666666.56451287027</v>
      </c>
      <c r="Z30" s="2">
        <f t="shared" si="182"/>
        <v>696969.5901725461</v>
      </c>
      <c r="AA30" s="2">
        <f t="shared" si="177"/>
        <v>727272.61583222204</v>
      </c>
      <c r="AB30" s="2">
        <f t="shared" ref="AB30:AD30" si="183">AB48*AB42</f>
        <v>757575.64149189799</v>
      </c>
      <c r="AC30" s="2">
        <f t="shared" si="183"/>
        <v>787878.66715157381</v>
      </c>
      <c r="AD30" s="2">
        <f t="shared" si="183"/>
        <v>818181.69281124976</v>
      </c>
      <c r="AE30" s="2">
        <f t="shared" si="177"/>
        <v>848484.7184709257</v>
      </c>
      <c r="AF30" s="2">
        <f t="shared" ref="AF30:AH30" si="184">AF48*AF42</f>
        <v>878787.74413060141</v>
      </c>
      <c r="AG30" s="2">
        <f t="shared" si="184"/>
        <v>909090.76979027758</v>
      </c>
      <c r="AH30" s="2">
        <f t="shared" si="184"/>
        <v>939393.79544995353</v>
      </c>
      <c r="AI30" s="2">
        <f t="shared" si="177"/>
        <v>969696.82110962924</v>
      </c>
      <c r="AJ30" s="2">
        <f t="shared" ref="AJ30:AL30" si="185">AJ48*AJ42</f>
        <v>999999.84676930518</v>
      </c>
      <c r="AK30" s="2">
        <f t="shared" si="185"/>
        <v>1030302.8724289811</v>
      </c>
      <c r="AL30" s="2">
        <f t="shared" si="185"/>
        <v>1060605.8980886571</v>
      </c>
      <c r="AM30" s="2">
        <f t="shared" si="177"/>
        <v>1090908.923748333</v>
      </c>
      <c r="AN30" s="2">
        <f t="shared" ref="AN30:AP30" si="186">AN48*AN42</f>
        <v>1121211.9494080089</v>
      </c>
      <c r="AO30" s="2">
        <f t="shared" si="186"/>
        <v>1151514.9750676849</v>
      </c>
      <c r="AP30" s="2">
        <f t="shared" si="186"/>
        <v>1181818.0007273606</v>
      </c>
      <c r="AQ30" s="2">
        <f t="shared" si="177"/>
        <v>1212121.0263870368</v>
      </c>
      <c r="AR30" s="2">
        <f t="shared" ref="AR30:AS30" si="187">AR48*AR42</f>
        <v>1242424.0520467125</v>
      </c>
      <c r="AS30" s="2">
        <f t="shared" si="187"/>
        <v>1272727.0777063887</v>
      </c>
      <c r="AT30" s="2">
        <f t="shared" ref="AT30" si="188">AT48*AT42</f>
        <v>1303030.1033660644</v>
      </c>
    </row>
    <row r="31" spans="2:46" s="1" customFormat="1">
      <c r="B31" s="1" t="s">
        <v>22</v>
      </c>
      <c r="C31" s="4">
        <f>'Data Entry'!D4</f>
        <v>50000</v>
      </c>
      <c r="D31" s="4">
        <v>25000</v>
      </c>
      <c r="E31" s="4">
        <v>50000</v>
      </c>
      <c r="F31" s="4">
        <v>75000</v>
      </c>
      <c r="G31" s="4">
        <v>100000</v>
      </c>
      <c r="H31" s="4">
        <v>125000</v>
      </c>
      <c r="I31" s="4">
        <v>150000</v>
      </c>
      <c r="J31" s="4">
        <v>175000</v>
      </c>
      <c r="K31" s="4">
        <v>200000</v>
      </c>
      <c r="L31" s="4">
        <v>225000</v>
      </c>
      <c r="M31" s="4">
        <v>250000</v>
      </c>
      <c r="N31" s="4">
        <v>275000</v>
      </c>
      <c r="O31" s="4">
        <v>300000</v>
      </c>
      <c r="P31" s="4">
        <v>325000</v>
      </c>
      <c r="Q31" s="4">
        <v>350000</v>
      </c>
      <c r="R31" s="4">
        <v>375000</v>
      </c>
      <c r="S31" s="4">
        <v>400000</v>
      </c>
      <c r="T31" s="4">
        <v>425000</v>
      </c>
      <c r="U31" s="4">
        <v>450000</v>
      </c>
      <c r="V31" s="4">
        <v>475000</v>
      </c>
      <c r="W31" s="4">
        <v>500000</v>
      </c>
      <c r="X31" s="4">
        <v>525000</v>
      </c>
      <c r="Y31" s="4">
        <v>550000</v>
      </c>
      <c r="Z31" s="4">
        <v>575000</v>
      </c>
      <c r="AA31" s="4">
        <v>600000</v>
      </c>
      <c r="AB31" s="4">
        <v>625000</v>
      </c>
      <c r="AC31" s="4">
        <v>650000</v>
      </c>
      <c r="AD31" s="4">
        <v>675000</v>
      </c>
      <c r="AE31" s="4">
        <v>700000</v>
      </c>
      <c r="AF31" s="4">
        <v>725000</v>
      </c>
      <c r="AG31" s="4">
        <v>750000</v>
      </c>
      <c r="AH31" s="4">
        <v>775000</v>
      </c>
      <c r="AI31" s="4">
        <v>800000</v>
      </c>
      <c r="AJ31" s="4">
        <v>825000</v>
      </c>
      <c r="AK31" s="4">
        <v>850000</v>
      </c>
      <c r="AL31" s="4">
        <v>875000</v>
      </c>
      <c r="AM31" s="4">
        <v>900000</v>
      </c>
      <c r="AN31" s="4">
        <v>925000</v>
      </c>
      <c r="AO31" s="4">
        <v>950000</v>
      </c>
      <c r="AP31" s="4">
        <v>975000</v>
      </c>
      <c r="AQ31" s="4">
        <v>1000000</v>
      </c>
      <c r="AR31" s="4">
        <v>1025000</v>
      </c>
      <c r="AS31" s="4">
        <v>1050000</v>
      </c>
      <c r="AT31" s="4">
        <v>1075000</v>
      </c>
    </row>
    <row r="32" spans="2:46">
      <c r="B32" t="s">
        <v>23</v>
      </c>
      <c r="C32" s="2">
        <f>C31*0.08</f>
        <v>4000</v>
      </c>
      <c r="D32" s="2">
        <f>D31*0.08</f>
        <v>2000</v>
      </c>
      <c r="E32" s="2">
        <f t="shared" ref="E32:AT32" si="189">E31*0.08</f>
        <v>4000</v>
      </c>
      <c r="F32" s="2">
        <f t="shared" si="189"/>
        <v>6000</v>
      </c>
      <c r="G32" s="2">
        <f t="shared" si="189"/>
        <v>8000</v>
      </c>
      <c r="H32" s="2">
        <f t="shared" si="189"/>
        <v>10000</v>
      </c>
      <c r="I32" s="2">
        <f t="shared" si="189"/>
        <v>12000</v>
      </c>
      <c r="J32" s="2">
        <f t="shared" si="189"/>
        <v>14000</v>
      </c>
      <c r="K32" s="2">
        <f t="shared" si="189"/>
        <v>16000</v>
      </c>
      <c r="L32" s="2">
        <f t="shared" si="189"/>
        <v>18000</v>
      </c>
      <c r="M32" s="2">
        <f t="shared" si="189"/>
        <v>20000</v>
      </c>
      <c r="N32" s="2">
        <f t="shared" si="189"/>
        <v>22000</v>
      </c>
      <c r="O32" s="2">
        <f t="shared" si="189"/>
        <v>24000</v>
      </c>
      <c r="P32" s="2">
        <f t="shared" si="189"/>
        <v>26000</v>
      </c>
      <c r="Q32" s="2">
        <f t="shared" si="189"/>
        <v>28000</v>
      </c>
      <c r="R32" s="2">
        <f t="shared" si="189"/>
        <v>30000</v>
      </c>
      <c r="S32" s="2">
        <f t="shared" si="189"/>
        <v>32000</v>
      </c>
      <c r="T32" s="2">
        <f t="shared" si="189"/>
        <v>34000</v>
      </c>
      <c r="U32" s="2">
        <f t="shared" si="189"/>
        <v>36000</v>
      </c>
      <c r="V32" s="2">
        <f t="shared" si="189"/>
        <v>38000</v>
      </c>
      <c r="W32" s="2">
        <f t="shared" si="189"/>
        <v>40000</v>
      </c>
      <c r="X32" s="2">
        <f t="shared" si="189"/>
        <v>42000</v>
      </c>
      <c r="Y32" s="2">
        <f t="shared" si="189"/>
        <v>44000</v>
      </c>
      <c r="Z32" s="2">
        <f t="shared" si="189"/>
        <v>46000</v>
      </c>
      <c r="AA32" s="2">
        <f t="shared" si="189"/>
        <v>48000</v>
      </c>
      <c r="AB32" s="2">
        <f t="shared" si="189"/>
        <v>50000</v>
      </c>
      <c r="AC32" s="2">
        <f t="shared" si="189"/>
        <v>52000</v>
      </c>
      <c r="AD32" s="2">
        <f t="shared" si="189"/>
        <v>54000</v>
      </c>
      <c r="AE32" s="2">
        <f t="shared" si="189"/>
        <v>56000</v>
      </c>
      <c r="AF32" s="2">
        <f t="shared" si="189"/>
        <v>58000</v>
      </c>
      <c r="AG32" s="2">
        <f t="shared" si="189"/>
        <v>60000</v>
      </c>
      <c r="AH32" s="2">
        <f t="shared" si="189"/>
        <v>62000</v>
      </c>
      <c r="AI32" s="2">
        <f t="shared" si="189"/>
        <v>64000</v>
      </c>
      <c r="AJ32" s="2">
        <f t="shared" si="189"/>
        <v>66000</v>
      </c>
      <c r="AK32" s="2">
        <f t="shared" si="189"/>
        <v>68000</v>
      </c>
      <c r="AL32" s="2">
        <f t="shared" si="189"/>
        <v>70000</v>
      </c>
      <c r="AM32" s="2">
        <f t="shared" si="189"/>
        <v>72000</v>
      </c>
      <c r="AN32" s="2">
        <f t="shared" si="189"/>
        <v>74000</v>
      </c>
      <c r="AO32" s="2">
        <f t="shared" si="189"/>
        <v>76000</v>
      </c>
      <c r="AP32" s="2">
        <f t="shared" si="189"/>
        <v>78000</v>
      </c>
      <c r="AQ32" s="2">
        <f t="shared" si="189"/>
        <v>80000</v>
      </c>
      <c r="AR32" s="2">
        <f t="shared" si="189"/>
        <v>82000</v>
      </c>
      <c r="AS32" s="2">
        <f t="shared" si="189"/>
        <v>84000</v>
      </c>
      <c r="AT32" s="2">
        <f t="shared" si="189"/>
        <v>86000</v>
      </c>
    </row>
    <row r="33" spans="2:46">
      <c r="B33" t="s">
        <v>7</v>
      </c>
      <c r="C33" s="2">
        <f>(C31/1000)*C42</f>
        <v>1200</v>
      </c>
      <c r="D33" s="2">
        <f>(D31/1000)*D42</f>
        <v>600</v>
      </c>
      <c r="E33" s="2">
        <f>(E31/1000)*E42</f>
        <v>1200</v>
      </c>
      <c r="F33" s="2">
        <f>(F31/1000)*F42</f>
        <v>1800</v>
      </c>
      <c r="G33" s="2">
        <f>(G31/1000)*G42</f>
        <v>2400</v>
      </c>
      <c r="H33" s="2">
        <f t="shared" ref="H33:I33" si="190">(H31/1000)*H42</f>
        <v>3000</v>
      </c>
      <c r="I33" s="2">
        <f t="shared" si="190"/>
        <v>3600</v>
      </c>
      <c r="J33" s="2">
        <f t="shared" ref="J33" si="191">(J31/1000)*J42</f>
        <v>4200</v>
      </c>
      <c r="K33" s="2">
        <f t="shared" ref="K33:AQ33" si="192">(K31/1000)*K42</f>
        <v>4800</v>
      </c>
      <c r="L33" s="2">
        <f t="shared" ref="L33:N33" si="193">(L31/1000)*L42</f>
        <v>5400</v>
      </c>
      <c r="M33" s="2">
        <f t="shared" si="193"/>
        <v>6000</v>
      </c>
      <c r="N33" s="2">
        <f t="shared" si="193"/>
        <v>6600</v>
      </c>
      <c r="O33" s="2">
        <f t="shared" si="192"/>
        <v>7200</v>
      </c>
      <c r="P33" s="2">
        <f t="shared" ref="P33:Q33" si="194">(P31/1000)*P42</f>
        <v>7800</v>
      </c>
      <c r="Q33" s="2">
        <f t="shared" si="194"/>
        <v>8400</v>
      </c>
      <c r="R33" s="2">
        <f t="shared" ref="R33" si="195">(R31/1000)*R42</f>
        <v>9000</v>
      </c>
      <c r="S33" s="2">
        <f t="shared" si="192"/>
        <v>9600</v>
      </c>
      <c r="T33" s="2">
        <f t="shared" ref="T33:V33" si="196">(T31/1000)*T42</f>
        <v>10200</v>
      </c>
      <c r="U33" s="2">
        <f t="shared" si="196"/>
        <v>10800</v>
      </c>
      <c r="V33" s="2">
        <f t="shared" si="196"/>
        <v>11400</v>
      </c>
      <c r="W33" s="2">
        <f t="shared" si="192"/>
        <v>12000</v>
      </c>
      <c r="X33" s="2">
        <f t="shared" ref="X33:Z33" si="197">(X31/1000)*X42</f>
        <v>12600</v>
      </c>
      <c r="Y33" s="2">
        <f t="shared" si="197"/>
        <v>13200</v>
      </c>
      <c r="Z33" s="2">
        <f t="shared" si="197"/>
        <v>13800</v>
      </c>
      <c r="AA33" s="2">
        <f t="shared" si="192"/>
        <v>14400</v>
      </c>
      <c r="AB33" s="2">
        <f t="shared" ref="AB33:AD33" si="198">(AB31/1000)*AB42</f>
        <v>15000</v>
      </c>
      <c r="AC33" s="2">
        <f t="shared" si="198"/>
        <v>15600</v>
      </c>
      <c r="AD33" s="2">
        <f t="shared" si="198"/>
        <v>16200</v>
      </c>
      <c r="AE33" s="2">
        <f t="shared" si="192"/>
        <v>16800</v>
      </c>
      <c r="AF33" s="2">
        <f t="shared" ref="AF33:AH33" si="199">(AF31/1000)*AF42</f>
        <v>17400</v>
      </c>
      <c r="AG33" s="2">
        <f t="shared" si="199"/>
        <v>18000</v>
      </c>
      <c r="AH33" s="2">
        <f t="shared" si="199"/>
        <v>18600</v>
      </c>
      <c r="AI33" s="2">
        <f t="shared" si="192"/>
        <v>19200</v>
      </c>
      <c r="AJ33" s="2">
        <f t="shared" ref="AJ33:AL33" si="200">(AJ31/1000)*AJ42</f>
        <v>19800</v>
      </c>
      <c r="AK33" s="2">
        <f t="shared" si="200"/>
        <v>20400</v>
      </c>
      <c r="AL33" s="2">
        <f t="shared" si="200"/>
        <v>21000</v>
      </c>
      <c r="AM33" s="2">
        <f t="shared" si="192"/>
        <v>21600</v>
      </c>
      <c r="AN33" s="2">
        <f t="shared" ref="AN33:AP33" si="201">(AN31/1000)*AN42</f>
        <v>22200</v>
      </c>
      <c r="AO33" s="2">
        <f t="shared" si="201"/>
        <v>22800</v>
      </c>
      <c r="AP33" s="2">
        <f t="shared" si="201"/>
        <v>23400</v>
      </c>
      <c r="AQ33" s="2">
        <f t="shared" si="192"/>
        <v>24000</v>
      </c>
      <c r="AR33" s="2">
        <f t="shared" ref="AR33:AS33" si="202">(AR31/1000)*AR42</f>
        <v>24600</v>
      </c>
      <c r="AS33" s="2">
        <f t="shared" si="202"/>
        <v>25200</v>
      </c>
      <c r="AT33" s="2">
        <f t="shared" ref="AT33" si="203">(AT31/1000)*AT42</f>
        <v>25800</v>
      </c>
    </row>
    <row r="34" spans="2:46">
      <c r="B34" t="s">
        <v>8</v>
      </c>
      <c r="C34" s="2">
        <f>'Data Entry'!D8</f>
        <v>5000</v>
      </c>
      <c r="D34" s="2"/>
      <c r="E34" s="2"/>
      <c r="F34" s="2"/>
      <c r="G34" s="2"/>
      <c r="H34" s="2"/>
      <c r="I34" s="2"/>
      <c r="J34" s="2"/>
      <c r="K34" s="2"/>
      <c r="L34" s="2"/>
      <c r="AA34" s="2"/>
      <c r="AB34" s="2"/>
      <c r="AC34" s="2"/>
      <c r="AD34" s="2"/>
      <c r="AE34" s="2"/>
      <c r="AF34" s="2"/>
      <c r="AG34" s="2"/>
      <c r="AH34" s="2"/>
      <c r="AI34" s="2"/>
      <c r="AJ34" s="2"/>
      <c r="AK34" s="2"/>
      <c r="AL34" s="2"/>
      <c r="AM34" s="2"/>
      <c r="AN34" s="2"/>
      <c r="AO34" s="2"/>
      <c r="AP34" s="2"/>
      <c r="AQ34" s="2"/>
      <c r="AR34" s="2"/>
      <c r="AS34" s="2"/>
      <c r="AT34" s="2"/>
    </row>
    <row r="35" spans="2:46">
      <c r="B35" t="s">
        <v>9</v>
      </c>
      <c r="C35" s="2">
        <f>'Data Entry'!D9</f>
        <v>300</v>
      </c>
      <c r="D35" s="2"/>
      <c r="E35" s="2"/>
      <c r="F35" s="2"/>
      <c r="G35" s="2"/>
      <c r="H35" s="2"/>
      <c r="I35" s="2"/>
      <c r="J35" s="2"/>
      <c r="K35" s="2"/>
      <c r="L35" s="2"/>
      <c r="AA35" s="2"/>
      <c r="AB35" s="2"/>
      <c r="AC35" s="2"/>
      <c r="AD35" s="2"/>
      <c r="AE35" s="2"/>
      <c r="AF35" s="2"/>
      <c r="AG35" s="2"/>
      <c r="AH35" s="2"/>
      <c r="AI35" s="2"/>
      <c r="AJ35" s="2"/>
      <c r="AK35" s="2"/>
      <c r="AL35" s="2"/>
      <c r="AM35" s="2"/>
      <c r="AN35" s="2"/>
      <c r="AO35" s="2"/>
      <c r="AP35" s="2"/>
      <c r="AQ35" s="2"/>
      <c r="AR35" s="2"/>
      <c r="AS35" s="2"/>
      <c r="AT35" s="2"/>
    </row>
    <row r="36" spans="2:46">
      <c r="B36" t="s">
        <v>10</v>
      </c>
      <c r="C36" s="2">
        <f t="shared" ref="C36:AT36" si="204">C41*C31*1</f>
        <v>354.16666666666669</v>
      </c>
      <c r="D36" s="2">
        <f t="shared" ref="D36" si="205">D41*D31*1</f>
        <v>177.08333333333334</v>
      </c>
      <c r="E36" s="2">
        <f t="shared" si="204"/>
        <v>354.16666666666669</v>
      </c>
      <c r="F36" s="2">
        <f t="shared" si="204"/>
        <v>531.25</v>
      </c>
      <c r="G36" s="2">
        <f t="shared" si="204"/>
        <v>708.33333333333337</v>
      </c>
      <c r="H36" s="2">
        <f t="shared" si="204"/>
        <v>885.41666666666674</v>
      </c>
      <c r="I36" s="2">
        <f t="shared" si="204"/>
        <v>1062.5</v>
      </c>
      <c r="J36" s="2">
        <f t="shared" si="204"/>
        <v>1239.5833333333335</v>
      </c>
      <c r="K36" s="2">
        <f t="shared" si="204"/>
        <v>1416.6666666666667</v>
      </c>
      <c r="L36" s="2">
        <f t="shared" si="204"/>
        <v>1593.7500000000002</v>
      </c>
      <c r="M36" s="2">
        <f t="shared" si="204"/>
        <v>1770.8333333333335</v>
      </c>
      <c r="N36" s="2">
        <f t="shared" si="204"/>
        <v>1947.9166666666667</v>
      </c>
      <c r="O36" s="2">
        <f t="shared" si="204"/>
        <v>2125</v>
      </c>
      <c r="P36" s="2">
        <f t="shared" si="204"/>
        <v>2302.0833333333335</v>
      </c>
      <c r="Q36" s="2">
        <f t="shared" si="204"/>
        <v>2479.166666666667</v>
      </c>
      <c r="R36" s="2">
        <f t="shared" si="204"/>
        <v>2656.25</v>
      </c>
      <c r="S36" s="2">
        <f t="shared" si="204"/>
        <v>2833.3333333333335</v>
      </c>
      <c r="T36" s="2">
        <f t="shared" si="204"/>
        <v>3010.416666666667</v>
      </c>
      <c r="U36" s="2">
        <f t="shared" si="204"/>
        <v>3187.5000000000005</v>
      </c>
      <c r="V36" s="2">
        <f t="shared" si="204"/>
        <v>3364.5833333333335</v>
      </c>
      <c r="W36" s="2">
        <f t="shared" si="204"/>
        <v>3541.666666666667</v>
      </c>
      <c r="X36" s="2">
        <f t="shared" si="204"/>
        <v>3718.7500000000005</v>
      </c>
      <c r="Y36" s="2">
        <f t="shared" si="204"/>
        <v>3895.8333333333335</v>
      </c>
      <c r="Z36" s="2">
        <f t="shared" si="204"/>
        <v>4072.916666666667</v>
      </c>
      <c r="AA36" s="2">
        <f t="shared" si="204"/>
        <v>4250</v>
      </c>
      <c r="AB36" s="2">
        <f t="shared" si="204"/>
        <v>4427.0833333333339</v>
      </c>
      <c r="AC36" s="2">
        <f t="shared" si="204"/>
        <v>4604.166666666667</v>
      </c>
      <c r="AD36" s="2">
        <f t="shared" si="204"/>
        <v>4781.25</v>
      </c>
      <c r="AE36" s="2">
        <f t="shared" si="204"/>
        <v>4958.3333333333339</v>
      </c>
      <c r="AF36" s="2">
        <f t="shared" si="204"/>
        <v>5135.416666666667</v>
      </c>
      <c r="AG36" s="2">
        <f t="shared" si="204"/>
        <v>5312.5</v>
      </c>
      <c r="AH36" s="2">
        <f t="shared" si="204"/>
        <v>5489.5833333333339</v>
      </c>
      <c r="AI36" s="2">
        <f t="shared" si="204"/>
        <v>5666.666666666667</v>
      </c>
      <c r="AJ36" s="2">
        <f t="shared" si="204"/>
        <v>5843.75</v>
      </c>
      <c r="AK36" s="2">
        <f t="shared" si="204"/>
        <v>6020.8333333333339</v>
      </c>
      <c r="AL36" s="2">
        <f t="shared" si="204"/>
        <v>6197.916666666667</v>
      </c>
      <c r="AM36" s="2">
        <f t="shared" si="204"/>
        <v>6375.0000000000009</v>
      </c>
      <c r="AN36" s="2">
        <f t="shared" si="204"/>
        <v>6552.0833333333339</v>
      </c>
      <c r="AO36" s="2">
        <f t="shared" si="204"/>
        <v>6729.166666666667</v>
      </c>
      <c r="AP36" s="2">
        <f t="shared" si="204"/>
        <v>6906.2500000000009</v>
      </c>
      <c r="AQ36" s="2">
        <f t="shared" si="204"/>
        <v>7083.3333333333339</v>
      </c>
      <c r="AR36" s="2">
        <f t="shared" si="204"/>
        <v>7260.416666666667</v>
      </c>
      <c r="AS36" s="2">
        <f t="shared" si="204"/>
        <v>7437.5000000000009</v>
      </c>
      <c r="AT36" s="2">
        <f t="shared" si="204"/>
        <v>7614.5833333333339</v>
      </c>
    </row>
    <row r="37" spans="2:46">
      <c r="B37" t="s">
        <v>24</v>
      </c>
      <c r="C37" s="2">
        <f>SUM(C31:C36)</f>
        <v>60854.166666666664</v>
      </c>
      <c r="D37" s="2">
        <f>SUM(D31:D36)</f>
        <v>27777.083333333332</v>
      </c>
      <c r="E37" s="2">
        <f>SUM(E31:E36)</f>
        <v>55554.166666666664</v>
      </c>
      <c r="F37" s="2">
        <f>SUM(F31:F36)</f>
        <v>83331.25</v>
      </c>
      <c r="G37" s="2">
        <f>SUM(G31:G36)</f>
        <v>111108.33333333333</v>
      </c>
      <c r="H37" s="2">
        <f t="shared" ref="H37:I37" si="206">SUM(H31:H36)</f>
        <v>138885.41666666666</v>
      </c>
      <c r="I37" s="2">
        <f t="shared" si="206"/>
        <v>166662.5</v>
      </c>
      <c r="J37" s="2">
        <f t="shared" ref="J37" si="207">SUM(J31:J36)</f>
        <v>194439.58333333334</v>
      </c>
      <c r="K37" s="2">
        <f t="shared" ref="K37:AQ37" si="208">SUM(K31:K36)</f>
        <v>222216.66666666666</v>
      </c>
      <c r="L37" s="2">
        <f t="shared" ref="L37:N37" si="209">SUM(L31:L36)</f>
        <v>249993.75</v>
      </c>
      <c r="M37" s="2">
        <f t="shared" si="209"/>
        <v>277770.83333333331</v>
      </c>
      <c r="N37" s="2">
        <f t="shared" si="209"/>
        <v>305547.91666666669</v>
      </c>
      <c r="O37" s="2">
        <f t="shared" si="208"/>
        <v>333325</v>
      </c>
      <c r="P37" s="2">
        <f t="shared" ref="P37:Q37" si="210">SUM(P31:P36)</f>
        <v>361102.08333333331</v>
      </c>
      <c r="Q37" s="2">
        <f t="shared" si="210"/>
        <v>388879.16666666669</v>
      </c>
      <c r="R37" s="2">
        <f t="shared" ref="R37" si="211">SUM(R31:R36)</f>
        <v>416656.25</v>
      </c>
      <c r="S37" s="2">
        <f t="shared" si="208"/>
        <v>444433.33333333331</v>
      </c>
      <c r="T37" s="2">
        <f t="shared" ref="T37:V37" si="212">SUM(T31:T36)</f>
        <v>472210.41666666669</v>
      </c>
      <c r="U37" s="2">
        <f t="shared" si="212"/>
        <v>499987.5</v>
      </c>
      <c r="V37" s="2">
        <f t="shared" si="212"/>
        <v>527764.58333333337</v>
      </c>
      <c r="W37" s="2">
        <f t="shared" si="208"/>
        <v>555541.66666666663</v>
      </c>
      <c r="X37" s="2">
        <f t="shared" ref="X37:Z37" si="213">SUM(X31:X36)</f>
        <v>583318.75</v>
      </c>
      <c r="Y37" s="2">
        <f t="shared" si="213"/>
        <v>611095.83333333337</v>
      </c>
      <c r="Z37" s="2">
        <f t="shared" si="213"/>
        <v>638872.91666666663</v>
      </c>
      <c r="AA37" s="2">
        <f t="shared" si="208"/>
        <v>666650</v>
      </c>
      <c r="AB37" s="2">
        <f t="shared" ref="AB37:AD37" si="214">SUM(AB31:AB36)</f>
        <v>694427.08333333337</v>
      </c>
      <c r="AC37" s="2">
        <f t="shared" si="214"/>
        <v>722204.16666666663</v>
      </c>
      <c r="AD37" s="2">
        <f t="shared" si="214"/>
        <v>749981.25</v>
      </c>
      <c r="AE37" s="2">
        <f t="shared" si="208"/>
        <v>777758.33333333337</v>
      </c>
      <c r="AF37" s="2">
        <f t="shared" ref="AF37:AH37" si="215">SUM(AF31:AF36)</f>
        <v>805535.41666666663</v>
      </c>
      <c r="AG37" s="2">
        <f t="shared" si="215"/>
        <v>833312.5</v>
      </c>
      <c r="AH37" s="2">
        <f t="shared" si="215"/>
        <v>861089.58333333337</v>
      </c>
      <c r="AI37" s="2">
        <f t="shared" si="208"/>
        <v>888866.66666666663</v>
      </c>
      <c r="AJ37" s="2">
        <f t="shared" ref="AJ37:AL37" si="216">SUM(AJ31:AJ36)</f>
        <v>916643.75</v>
      </c>
      <c r="AK37" s="2">
        <f t="shared" si="216"/>
        <v>944420.83333333337</v>
      </c>
      <c r="AL37" s="2">
        <f t="shared" si="216"/>
        <v>972197.91666666663</v>
      </c>
      <c r="AM37" s="2">
        <f t="shared" si="208"/>
        <v>999975</v>
      </c>
      <c r="AN37" s="2">
        <f t="shared" ref="AN37:AP37" si="217">SUM(AN31:AN36)</f>
        <v>1027752.0833333334</v>
      </c>
      <c r="AO37" s="2">
        <f t="shared" si="217"/>
        <v>1055529.1666666667</v>
      </c>
      <c r="AP37" s="2">
        <f t="shared" si="217"/>
        <v>1083306.25</v>
      </c>
      <c r="AQ37" s="2">
        <f t="shared" si="208"/>
        <v>1111083.3333333333</v>
      </c>
      <c r="AR37" s="2">
        <f t="shared" ref="AR37:AS37" si="218">SUM(AR31:AR36)</f>
        <v>1138860.4166666667</v>
      </c>
      <c r="AS37" s="2">
        <f t="shared" si="218"/>
        <v>1166637.5</v>
      </c>
      <c r="AT37" s="2">
        <f t="shared" ref="AT37" si="219">SUM(AT31:AT36)</f>
        <v>1194414.5833333333</v>
      </c>
    </row>
    <row r="38" spans="2:46">
      <c r="B38" s="12" t="s">
        <v>25</v>
      </c>
      <c r="C38" s="13">
        <v>8.5000000000000006E-2</v>
      </c>
      <c r="D38" s="13">
        <v>8.5000000000000006E-2</v>
      </c>
      <c r="E38" s="13">
        <f>C38</f>
        <v>8.5000000000000006E-2</v>
      </c>
      <c r="F38" s="13">
        <f t="shared" ref="F38:AT38" si="220">E38</f>
        <v>8.5000000000000006E-2</v>
      </c>
      <c r="G38" s="13">
        <f t="shared" si="220"/>
        <v>8.5000000000000006E-2</v>
      </c>
      <c r="H38" s="13">
        <f t="shared" si="220"/>
        <v>8.5000000000000006E-2</v>
      </c>
      <c r="I38" s="13">
        <f t="shared" si="220"/>
        <v>8.5000000000000006E-2</v>
      </c>
      <c r="J38" s="13">
        <f t="shared" si="220"/>
        <v>8.5000000000000006E-2</v>
      </c>
      <c r="K38" s="13">
        <f t="shared" si="220"/>
        <v>8.5000000000000006E-2</v>
      </c>
      <c r="L38" s="13">
        <f t="shared" si="220"/>
        <v>8.5000000000000006E-2</v>
      </c>
      <c r="M38" s="13">
        <f t="shared" si="220"/>
        <v>8.5000000000000006E-2</v>
      </c>
      <c r="N38" s="13">
        <f t="shared" si="220"/>
        <v>8.5000000000000006E-2</v>
      </c>
      <c r="O38" s="13">
        <f t="shared" si="220"/>
        <v>8.5000000000000006E-2</v>
      </c>
      <c r="P38" s="13">
        <f t="shared" si="220"/>
        <v>8.5000000000000006E-2</v>
      </c>
      <c r="Q38" s="13">
        <f t="shared" si="220"/>
        <v>8.5000000000000006E-2</v>
      </c>
      <c r="R38" s="13">
        <f t="shared" si="220"/>
        <v>8.5000000000000006E-2</v>
      </c>
      <c r="S38" s="13">
        <f t="shared" si="220"/>
        <v>8.5000000000000006E-2</v>
      </c>
      <c r="T38" s="13">
        <f t="shared" si="220"/>
        <v>8.5000000000000006E-2</v>
      </c>
      <c r="U38" s="13">
        <f t="shared" si="220"/>
        <v>8.5000000000000006E-2</v>
      </c>
      <c r="V38" s="13">
        <f t="shared" si="220"/>
        <v>8.5000000000000006E-2</v>
      </c>
      <c r="W38" s="13">
        <f t="shared" si="220"/>
        <v>8.5000000000000006E-2</v>
      </c>
      <c r="X38" s="13">
        <f t="shared" si="220"/>
        <v>8.5000000000000006E-2</v>
      </c>
      <c r="Y38" s="13">
        <f t="shared" si="220"/>
        <v>8.5000000000000006E-2</v>
      </c>
      <c r="Z38" s="13">
        <f t="shared" si="220"/>
        <v>8.5000000000000006E-2</v>
      </c>
      <c r="AA38" s="13">
        <f t="shared" si="220"/>
        <v>8.5000000000000006E-2</v>
      </c>
      <c r="AB38" s="13">
        <f t="shared" si="220"/>
        <v>8.5000000000000006E-2</v>
      </c>
      <c r="AC38" s="13">
        <f t="shared" si="220"/>
        <v>8.5000000000000006E-2</v>
      </c>
      <c r="AD38" s="13">
        <f t="shared" si="220"/>
        <v>8.5000000000000006E-2</v>
      </c>
      <c r="AE38" s="13">
        <f t="shared" si="220"/>
        <v>8.5000000000000006E-2</v>
      </c>
      <c r="AF38" s="13">
        <f t="shared" si="220"/>
        <v>8.5000000000000006E-2</v>
      </c>
      <c r="AG38" s="13">
        <f t="shared" si="220"/>
        <v>8.5000000000000006E-2</v>
      </c>
      <c r="AH38" s="13">
        <f t="shared" si="220"/>
        <v>8.5000000000000006E-2</v>
      </c>
      <c r="AI38" s="13">
        <f t="shared" si="220"/>
        <v>8.5000000000000006E-2</v>
      </c>
      <c r="AJ38" s="13">
        <f t="shared" si="220"/>
        <v>8.5000000000000006E-2</v>
      </c>
      <c r="AK38" s="13">
        <f t="shared" si="220"/>
        <v>8.5000000000000006E-2</v>
      </c>
      <c r="AL38" s="13">
        <f t="shared" si="220"/>
        <v>8.5000000000000006E-2</v>
      </c>
      <c r="AM38" s="13">
        <f t="shared" si="220"/>
        <v>8.5000000000000006E-2</v>
      </c>
      <c r="AN38" s="13">
        <f t="shared" si="220"/>
        <v>8.5000000000000006E-2</v>
      </c>
      <c r="AO38" s="13">
        <f t="shared" si="220"/>
        <v>8.5000000000000006E-2</v>
      </c>
      <c r="AP38" s="13">
        <f t="shared" si="220"/>
        <v>8.5000000000000006E-2</v>
      </c>
      <c r="AQ38" s="13">
        <f t="shared" si="220"/>
        <v>8.5000000000000006E-2</v>
      </c>
      <c r="AR38" s="13">
        <f t="shared" si="220"/>
        <v>8.5000000000000006E-2</v>
      </c>
      <c r="AS38" s="13">
        <f t="shared" si="220"/>
        <v>8.5000000000000006E-2</v>
      </c>
      <c r="AT38" s="13">
        <f t="shared" si="220"/>
        <v>8.5000000000000006E-2</v>
      </c>
    </row>
    <row r="39" spans="2:46">
      <c r="B39" s="6" t="s">
        <v>26</v>
      </c>
      <c r="C39" s="6">
        <f>(1+C38/C42)^C42-1</f>
        <v>8.855359027416676E-2</v>
      </c>
      <c r="D39" s="6">
        <f>(1+D38/D42)^D42-1</f>
        <v>8.855359027416676E-2</v>
      </c>
      <c r="E39" s="6">
        <f>(1+E38/E42)^E42-1</f>
        <v>8.855359027416676E-2</v>
      </c>
      <c r="F39" s="6">
        <f>(1+F38/F42)^F42-1</f>
        <v>8.855359027416676E-2</v>
      </c>
      <c r="G39" s="6">
        <f t="shared" ref="G39:AT39" si="221">(1+G38/G42)^G42-1</f>
        <v>8.855359027416676E-2</v>
      </c>
      <c r="H39" s="6">
        <f t="shared" si="221"/>
        <v>8.855359027416676E-2</v>
      </c>
      <c r="I39" s="6">
        <f t="shared" si="221"/>
        <v>8.855359027416676E-2</v>
      </c>
      <c r="J39" s="6">
        <f t="shared" si="221"/>
        <v>8.855359027416676E-2</v>
      </c>
      <c r="K39" s="6">
        <f t="shared" si="221"/>
        <v>8.855359027416676E-2</v>
      </c>
      <c r="L39" s="6">
        <f t="shared" si="221"/>
        <v>8.855359027416676E-2</v>
      </c>
      <c r="M39" s="6">
        <f t="shared" si="221"/>
        <v>8.855359027416676E-2</v>
      </c>
      <c r="N39" s="6">
        <f t="shared" si="221"/>
        <v>8.855359027416676E-2</v>
      </c>
      <c r="O39" s="6">
        <f t="shared" si="221"/>
        <v>8.855359027416676E-2</v>
      </c>
      <c r="P39" s="6">
        <f t="shared" si="221"/>
        <v>8.855359027416676E-2</v>
      </c>
      <c r="Q39" s="6">
        <f t="shared" si="221"/>
        <v>8.855359027416676E-2</v>
      </c>
      <c r="R39" s="6">
        <f t="shared" si="221"/>
        <v>8.855359027416676E-2</v>
      </c>
      <c r="S39" s="6">
        <f t="shared" si="221"/>
        <v>8.855359027416676E-2</v>
      </c>
      <c r="T39" s="6">
        <f t="shared" si="221"/>
        <v>8.855359027416676E-2</v>
      </c>
      <c r="U39" s="6">
        <f t="shared" si="221"/>
        <v>8.855359027416676E-2</v>
      </c>
      <c r="V39" s="6">
        <f t="shared" si="221"/>
        <v>8.855359027416676E-2</v>
      </c>
      <c r="W39" s="6">
        <f t="shared" si="221"/>
        <v>8.855359027416676E-2</v>
      </c>
      <c r="X39" s="6">
        <f t="shared" si="221"/>
        <v>8.855359027416676E-2</v>
      </c>
      <c r="Y39" s="6">
        <f t="shared" si="221"/>
        <v>8.855359027416676E-2</v>
      </c>
      <c r="Z39" s="6">
        <f t="shared" si="221"/>
        <v>8.855359027416676E-2</v>
      </c>
      <c r="AA39" s="6">
        <f t="shared" si="221"/>
        <v>8.855359027416676E-2</v>
      </c>
      <c r="AB39" s="6">
        <f t="shared" si="221"/>
        <v>8.855359027416676E-2</v>
      </c>
      <c r="AC39" s="6">
        <f t="shared" si="221"/>
        <v>8.855359027416676E-2</v>
      </c>
      <c r="AD39" s="6">
        <f t="shared" si="221"/>
        <v>8.855359027416676E-2</v>
      </c>
      <c r="AE39" s="6">
        <f t="shared" si="221"/>
        <v>8.855359027416676E-2</v>
      </c>
      <c r="AF39" s="6">
        <f t="shared" si="221"/>
        <v>8.855359027416676E-2</v>
      </c>
      <c r="AG39" s="6">
        <f t="shared" si="221"/>
        <v>8.855359027416676E-2</v>
      </c>
      <c r="AH39" s="6">
        <f t="shared" si="221"/>
        <v>8.855359027416676E-2</v>
      </c>
      <c r="AI39" s="6">
        <f t="shared" si="221"/>
        <v>8.855359027416676E-2</v>
      </c>
      <c r="AJ39" s="6">
        <f t="shared" si="221"/>
        <v>8.855359027416676E-2</v>
      </c>
      <c r="AK39" s="6">
        <f t="shared" si="221"/>
        <v>8.855359027416676E-2</v>
      </c>
      <c r="AL39" s="6">
        <f t="shared" si="221"/>
        <v>8.855359027416676E-2</v>
      </c>
      <c r="AM39" s="6">
        <f t="shared" si="221"/>
        <v>8.855359027416676E-2</v>
      </c>
      <c r="AN39" s="6">
        <f t="shared" si="221"/>
        <v>8.855359027416676E-2</v>
      </c>
      <c r="AO39" s="6">
        <f t="shared" si="221"/>
        <v>8.855359027416676E-2</v>
      </c>
      <c r="AP39" s="6">
        <f t="shared" si="221"/>
        <v>8.855359027416676E-2</v>
      </c>
      <c r="AQ39" s="6">
        <f t="shared" si="221"/>
        <v>8.855359027416676E-2</v>
      </c>
      <c r="AR39" s="6">
        <f t="shared" si="221"/>
        <v>8.855359027416676E-2</v>
      </c>
      <c r="AS39" s="6">
        <f t="shared" si="221"/>
        <v>8.855359027416676E-2</v>
      </c>
      <c r="AT39" s="6">
        <f t="shared" si="221"/>
        <v>8.855359027416676E-2</v>
      </c>
    </row>
    <row r="40" spans="2:46">
      <c r="B40" t="s">
        <v>27</v>
      </c>
      <c r="C40" s="7">
        <v>2</v>
      </c>
      <c r="D40" s="7">
        <v>2</v>
      </c>
      <c r="E40" s="7">
        <v>2</v>
      </c>
      <c r="F40" s="7">
        <v>2</v>
      </c>
      <c r="G40" s="7">
        <v>2</v>
      </c>
      <c r="H40" s="7">
        <v>2</v>
      </c>
      <c r="I40" s="7">
        <v>2</v>
      </c>
      <c r="J40" s="7">
        <v>2</v>
      </c>
      <c r="K40" s="7">
        <f>G40</f>
        <v>2</v>
      </c>
      <c r="L40" s="7">
        <f>H40</f>
        <v>2</v>
      </c>
      <c r="M40" s="7">
        <f>J40</f>
        <v>2</v>
      </c>
      <c r="N40" s="7">
        <f t="shared" ref="N40:AP40" si="222">J40</f>
        <v>2</v>
      </c>
      <c r="O40" s="7">
        <f t="shared" si="222"/>
        <v>2</v>
      </c>
      <c r="P40" s="7">
        <f t="shared" si="222"/>
        <v>2</v>
      </c>
      <c r="Q40" s="7">
        <f t="shared" si="222"/>
        <v>2</v>
      </c>
      <c r="R40" s="7">
        <f t="shared" si="222"/>
        <v>2</v>
      </c>
      <c r="S40" s="7">
        <f t="shared" si="222"/>
        <v>2</v>
      </c>
      <c r="T40" s="7">
        <f t="shared" si="222"/>
        <v>2</v>
      </c>
      <c r="U40" s="7">
        <f t="shared" si="222"/>
        <v>2</v>
      </c>
      <c r="V40" s="7">
        <f t="shared" si="222"/>
        <v>2</v>
      </c>
      <c r="W40" s="7">
        <f t="shared" si="222"/>
        <v>2</v>
      </c>
      <c r="X40" s="7">
        <f t="shared" si="222"/>
        <v>2</v>
      </c>
      <c r="Y40" s="7">
        <f t="shared" si="222"/>
        <v>2</v>
      </c>
      <c r="Z40" s="7">
        <f t="shared" si="222"/>
        <v>2</v>
      </c>
      <c r="AA40" s="7">
        <f t="shared" si="222"/>
        <v>2</v>
      </c>
      <c r="AB40" s="7">
        <f t="shared" si="222"/>
        <v>2</v>
      </c>
      <c r="AC40" s="7">
        <f t="shared" si="222"/>
        <v>2</v>
      </c>
      <c r="AD40" s="7">
        <f t="shared" si="222"/>
        <v>2</v>
      </c>
      <c r="AE40" s="7">
        <f t="shared" si="222"/>
        <v>2</v>
      </c>
      <c r="AF40" s="7">
        <f t="shared" si="222"/>
        <v>2</v>
      </c>
      <c r="AG40" s="7">
        <f t="shared" si="222"/>
        <v>2</v>
      </c>
      <c r="AH40" s="7">
        <f t="shared" si="222"/>
        <v>2</v>
      </c>
      <c r="AI40" s="7">
        <f t="shared" si="222"/>
        <v>2</v>
      </c>
      <c r="AJ40" s="7">
        <f t="shared" si="222"/>
        <v>2</v>
      </c>
      <c r="AK40" s="7">
        <f t="shared" si="222"/>
        <v>2</v>
      </c>
      <c r="AL40" s="7">
        <f t="shared" si="222"/>
        <v>2</v>
      </c>
      <c r="AM40" s="7">
        <f t="shared" si="222"/>
        <v>2</v>
      </c>
      <c r="AN40" s="7">
        <f t="shared" si="222"/>
        <v>2</v>
      </c>
      <c r="AO40" s="7">
        <f t="shared" si="222"/>
        <v>2</v>
      </c>
      <c r="AP40" s="7">
        <f t="shared" si="222"/>
        <v>2</v>
      </c>
      <c r="AQ40" s="7">
        <f t="shared" ref="AQ40:AT40" si="223">AM40</f>
        <v>2</v>
      </c>
      <c r="AR40" s="7">
        <f t="shared" si="223"/>
        <v>2</v>
      </c>
      <c r="AS40" s="7">
        <f t="shared" si="223"/>
        <v>2</v>
      </c>
      <c r="AT40" s="7">
        <f t="shared" si="223"/>
        <v>2</v>
      </c>
    </row>
    <row r="41" spans="2:46">
      <c r="B41" t="s">
        <v>28</v>
      </c>
      <c r="C41" s="11">
        <f>C38/12</f>
        <v>7.0833333333333338E-3</v>
      </c>
      <c r="D41" s="11">
        <f>D38/12</f>
        <v>7.0833333333333338E-3</v>
      </c>
      <c r="E41" s="11">
        <f>E38/12</f>
        <v>7.0833333333333338E-3</v>
      </c>
      <c r="F41" s="11">
        <f>F38/12</f>
        <v>7.0833333333333338E-3</v>
      </c>
      <c r="G41" s="11">
        <f>G38/12</f>
        <v>7.0833333333333338E-3</v>
      </c>
      <c r="H41" s="11">
        <f t="shared" ref="H41:I41" si="224">H38/12</f>
        <v>7.0833333333333338E-3</v>
      </c>
      <c r="I41" s="11">
        <f t="shared" si="224"/>
        <v>7.0833333333333338E-3</v>
      </c>
      <c r="J41" s="11">
        <f t="shared" ref="J41" si="225">J38/12</f>
        <v>7.0833333333333338E-3</v>
      </c>
      <c r="K41" s="11">
        <f t="shared" ref="K41:AQ41" si="226">K38/12</f>
        <v>7.0833333333333338E-3</v>
      </c>
      <c r="L41" s="11">
        <f t="shared" ref="L41:N41" si="227">L38/12</f>
        <v>7.0833333333333338E-3</v>
      </c>
      <c r="M41" s="11">
        <f t="shared" si="227"/>
        <v>7.0833333333333338E-3</v>
      </c>
      <c r="N41" s="11">
        <f t="shared" si="227"/>
        <v>7.0833333333333338E-3</v>
      </c>
      <c r="O41" s="11">
        <f t="shared" si="226"/>
        <v>7.0833333333333338E-3</v>
      </c>
      <c r="P41" s="11">
        <f t="shared" ref="P41:Q41" si="228">P38/12</f>
        <v>7.0833333333333338E-3</v>
      </c>
      <c r="Q41" s="11">
        <f t="shared" si="228"/>
        <v>7.0833333333333338E-3</v>
      </c>
      <c r="R41" s="11">
        <f t="shared" ref="R41" si="229">R38/12</f>
        <v>7.0833333333333338E-3</v>
      </c>
      <c r="S41" s="11">
        <f t="shared" si="226"/>
        <v>7.0833333333333338E-3</v>
      </c>
      <c r="T41" s="11">
        <f t="shared" ref="T41:V41" si="230">T38/12</f>
        <v>7.0833333333333338E-3</v>
      </c>
      <c r="U41" s="11">
        <f t="shared" si="230"/>
        <v>7.0833333333333338E-3</v>
      </c>
      <c r="V41" s="11">
        <f t="shared" si="230"/>
        <v>7.0833333333333338E-3</v>
      </c>
      <c r="W41" s="11">
        <f t="shared" si="226"/>
        <v>7.0833333333333338E-3</v>
      </c>
      <c r="X41" s="11">
        <f t="shared" ref="X41:Z41" si="231">X38/12</f>
        <v>7.0833333333333338E-3</v>
      </c>
      <c r="Y41" s="11">
        <f t="shared" si="231"/>
        <v>7.0833333333333338E-3</v>
      </c>
      <c r="Z41" s="11">
        <f t="shared" si="231"/>
        <v>7.0833333333333338E-3</v>
      </c>
      <c r="AA41" s="11">
        <f t="shared" si="226"/>
        <v>7.0833333333333338E-3</v>
      </c>
      <c r="AB41" s="11">
        <f t="shared" ref="AB41:AD41" si="232">AB38/12</f>
        <v>7.0833333333333338E-3</v>
      </c>
      <c r="AC41" s="11">
        <f t="shared" si="232"/>
        <v>7.0833333333333338E-3</v>
      </c>
      <c r="AD41" s="11">
        <f t="shared" si="232"/>
        <v>7.0833333333333338E-3</v>
      </c>
      <c r="AE41" s="11">
        <f t="shared" si="226"/>
        <v>7.0833333333333338E-3</v>
      </c>
      <c r="AF41" s="11">
        <f t="shared" ref="AF41:AH41" si="233">AF38/12</f>
        <v>7.0833333333333338E-3</v>
      </c>
      <c r="AG41" s="11">
        <f t="shared" si="233"/>
        <v>7.0833333333333338E-3</v>
      </c>
      <c r="AH41" s="11">
        <f t="shared" si="233"/>
        <v>7.0833333333333338E-3</v>
      </c>
      <c r="AI41" s="11">
        <f t="shared" si="226"/>
        <v>7.0833333333333338E-3</v>
      </c>
      <c r="AJ41" s="11">
        <f t="shared" ref="AJ41:AL41" si="234">AJ38/12</f>
        <v>7.0833333333333338E-3</v>
      </c>
      <c r="AK41" s="11">
        <f t="shared" si="234"/>
        <v>7.0833333333333338E-3</v>
      </c>
      <c r="AL41" s="11">
        <f t="shared" si="234"/>
        <v>7.0833333333333338E-3</v>
      </c>
      <c r="AM41" s="11">
        <f t="shared" si="226"/>
        <v>7.0833333333333338E-3</v>
      </c>
      <c r="AN41" s="11">
        <f t="shared" ref="AN41:AP41" si="235">AN38/12</f>
        <v>7.0833333333333338E-3</v>
      </c>
      <c r="AO41" s="11">
        <f t="shared" si="235"/>
        <v>7.0833333333333338E-3</v>
      </c>
      <c r="AP41" s="11">
        <f t="shared" si="235"/>
        <v>7.0833333333333338E-3</v>
      </c>
      <c r="AQ41" s="11">
        <f t="shared" si="226"/>
        <v>7.0833333333333338E-3</v>
      </c>
      <c r="AR41" s="11">
        <f t="shared" ref="AR41:AS41" si="236">AR38/12</f>
        <v>7.0833333333333338E-3</v>
      </c>
      <c r="AS41" s="11">
        <f t="shared" si="236"/>
        <v>7.0833333333333338E-3</v>
      </c>
      <c r="AT41" s="11">
        <f t="shared" ref="AT41" si="237">AT38/12</f>
        <v>7.0833333333333338E-3</v>
      </c>
    </row>
    <row r="42" spans="2:46">
      <c r="B42" t="s">
        <v>29</v>
      </c>
      <c r="C42" s="7">
        <f>C40*12</f>
        <v>24</v>
      </c>
      <c r="D42" s="7">
        <f>D40*12</f>
        <v>24</v>
      </c>
      <c r="E42" s="7">
        <f>E40*12</f>
        <v>24</v>
      </c>
      <c r="F42" s="7">
        <f>F40*12</f>
        <v>24</v>
      </c>
      <c r="G42" s="7">
        <f>G40*12</f>
        <v>24</v>
      </c>
      <c r="H42" s="7">
        <f t="shared" ref="H42:I42" si="238">H40*12</f>
        <v>24</v>
      </c>
      <c r="I42" s="7">
        <f t="shared" si="238"/>
        <v>24</v>
      </c>
      <c r="J42" s="7">
        <f t="shared" ref="J42" si="239">J40*12</f>
        <v>24</v>
      </c>
      <c r="K42" s="7">
        <f t="shared" ref="K42:AQ42" si="240">K40*12</f>
        <v>24</v>
      </c>
      <c r="L42" s="7">
        <f t="shared" ref="L42:N42" si="241">L40*12</f>
        <v>24</v>
      </c>
      <c r="M42" s="7">
        <f t="shared" si="241"/>
        <v>24</v>
      </c>
      <c r="N42" s="7">
        <f t="shared" si="241"/>
        <v>24</v>
      </c>
      <c r="O42" s="7">
        <f t="shared" si="240"/>
        <v>24</v>
      </c>
      <c r="P42" s="7">
        <f t="shared" ref="P42:Q42" si="242">P40*12</f>
        <v>24</v>
      </c>
      <c r="Q42" s="7">
        <f t="shared" si="242"/>
        <v>24</v>
      </c>
      <c r="R42" s="7">
        <f t="shared" ref="R42" si="243">R40*12</f>
        <v>24</v>
      </c>
      <c r="S42" s="7">
        <f t="shared" si="240"/>
        <v>24</v>
      </c>
      <c r="T42" s="7">
        <f t="shared" ref="T42:V42" si="244">T40*12</f>
        <v>24</v>
      </c>
      <c r="U42" s="7">
        <f t="shared" si="244"/>
        <v>24</v>
      </c>
      <c r="V42" s="7">
        <f t="shared" si="244"/>
        <v>24</v>
      </c>
      <c r="W42" s="7">
        <f t="shared" si="240"/>
        <v>24</v>
      </c>
      <c r="X42" s="7">
        <f t="shared" ref="X42:Z42" si="245">X40*12</f>
        <v>24</v>
      </c>
      <c r="Y42" s="7">
        <f t="shared" si="245"/>
        <v>24</v>
      </c>
      <c r="Z42" s="7">
        <f t="shared" si="245"/>
        <v>24</v>
      </c>
      <c r="AA42" s="7">
        <f t="shared" si="240"/>
        <v>24</v>
      </c>
      <c r="AB42" s="7">
        <f t="shared" ref="AB42:AD42" si="246">AB40*12</f>
        <v>24</v>
      </c>
      <c r="AC42" s="7">
        <f t="shared" si="246"/>
        <v>24</v>
      </c>
      <c r="AD42" s="7">
        <f t="shared" si="246"/>
        <v>24</v>
      </c>
      <c r="AE42" s="7">
        <f t="shared" si="240"/>
        <v>24</v>
      </c>
      <c r="AF42" s="7">
        <f t="shared" ref="AF42:AH42" si="247">AF40*12</f>
        <v>24</v>
      </c>
      <c r="AG42" s="7">
        <f t="shared" si="247"/>
        <v>24</v>
      </c>
      <c r="AH42" s="7">
        <f t="shared" si="247"/>
        <v>24</v>
      </c>
      <c r="AI42" s="7">
        <f t="shared" si="240"/>
        <v>24</v>
      </c>
      <c r="AJ42" s="7">
        <f t="shared" ref="AJ42:AL42" si="248">AJ40*12</f>
        <v>24</v>
      </c>
      <c r="AK42" s="7">
        <f t="shared" si="248"/>
        <v>24</v>
      </c>
      <c r="AL42" s="7">
        <f t="shared" si="248"/>
        <v>24</v>
      </c>
      <c r="AM42" s="7">
        <f t="shared" si="240"/>
        <v>24</v>
      </c>
      <c r="AN42" s="7">
        <f t="shared" ref="AN42:AP42" si="249">AN40*12</f>
        <v>24</v>
      </c>
      <c r="AO42" s="7">
        <f t="shared" si="249"/>
        <v>24</v>
      </c>
      <c r="AP42" s="7">
        <f t="shared" si="249"/>
        <v>24</v>
      </c>
      <c r="AQ42" s="7">
        <f t="shared" si="240"/>
        <v>24</v>
      </c>
      <c r="AR42" s="7">
        <f t="shared" ref="AR42:AS42" si="250">AR40*12</f>
        <v>24</v>
      </c>
      <c r="AS42" s="7">
        <f t="shared" si="250"/>
        <v>24</v>
      </c>
      <c r="AT42" s="7">
        <f t="shared" ref="AT42" si="251">AT40*12</f>
        <v>24</v>
      </c>
    </row>
    <row r="43" spans="2:46">
      <c r="C43" s="2"/>
      <c r="D43" s="2"/>
      <c r="E43" s="2"/>
      <c r="F43" s="2"/>
      <c r="G43" s="2"/>
      <c r="H43" s="2"/>
      <c r="I43" s="2"/>
      <c r="J43" s="2"/>
      <c r="K43" s="2"/>
      <c r="L43" s="2"/>
      <c r="AA43" s="2"/>
      <c r="AB43" s="2"/>
      <c r="AC43" s="2"/>
      <c r="AD43" s="2"/>
      <c r="AE43" s="2"/>
      <c r="AF43" s="2"/>
      <c r="AG43" s="2"/>
      <c r="AH43" s="2"/>
      <c r="AI43" s="2"/>
      <c r="AJ43" s="2"/>
      <c r="AK43" s="2"/>
      <c r="AL43" s="2"/>
      <c r="AM43" s="2"/>
      <c r="AN43" s="2"/>
      <c r="AO43" s="2"/>
      <c r="AP43" s="2"/>
      <c r="AQ43" s="2"/>
      <c r="AR43" s="2"/>
      <c r="AS43" s="2"/>
      <c r="AT43" s="2"/>
    </row>
    <row r="44" spans="2:46">
      <c r="B44" t="s">
        <v>14</v>
      </c>
      <c r="C44" s="8">
        <f>(1+C41)^C42</f>
        <v>1.1845947640297916</v>
      </c>
      <c r="D44" s="8">
        <f>(1+D41)^D42</f>
        <v>1.1845947640297916</v>
      </c>
      <c r="E44" s="8">
        <f>(1+E41)^E42</f>
        <v>1.1845947640297916</v>
      </c>
      <c r="F44" s="8">
        <f>(1+F41)^F42</f>
        <v>1.1845947640297916</v>
      </c>
      <c r="G44" s="8">
        <f>(1+G41)^G42</f>
        <v>1.1845947640297916</v>
      </c>
      <c r="H44" s="8">
        <f t="shared" ref="H44:I44" si="252">(1+H41)^H42</f>
        <v>1.1845947640297916</v>
      </c>
      <c r="I44" s="8">
        <f t="shared" si="252"/>
        <v>1.1845947640297916</v>
      </c>
      <c r="J44" s="8">
        <f t="shared" ref="J44" si="253">(1+J41)^J42</f>
        <v>1.1845947640297916</v>
      </c>
      <c r="K44" s="8">
        <f t="shared" ref="K44:AQ44" si="254">(1+K41)^K42</f>
        <v>1.1845947640297916</v>
      </c>
      <c r="L44" s="8">
        <f t="shared" ref="L44:N44" si="255">(1+L41)^L42</f>
        <v>1.1845947640297916</v>
      </c>
      <c r="M44" s="8">
        <f t="shared" si="255"/>
        <v>1.1845947640297916</v>
      </c>
      <c r="N44" s="8">
        <f t="shared" si="255"/>
        <v>1.1845947640297916</v>
      </c>
      <c r="O44" s="8">
        <f t="shared" si="254"/>
        <v>1.1845947640297916</v>
      </c>
      <c r="P44" s="8">
        <f t="shared" ref="P44:Q44" si="256">(1+P41)^P42</f>
        <v>1.1845947640297916</v>
      </c>
      <c r="Q44" s="8">
        <f t="shared" si="256"/>
        <v>1.1845947640297916</v>
      </c>
      <c r="R44" s="8">
        <f t="shared" ref="R44" si="257">(1+R41)^R42</f>
        <v>1.1845947640297916</v>
      </c>
      <c r="S44" s="8">
        <f t="shared" si="254"/>
        <v>1.1845947640297916</v>
      </c>
      <c r="T44" s="8">
        <f t="shared" ref="T44:V44" si="258">(1+T41)^T42</f>
        <v>1.1845947640297916</v>
      </c>
      <c r="U44" s="8">
        <f t="shared" si="258"/>
        <v>1.1845947640297916</v>
      </c>
      <c r="V44" s="8">
        <f t="shared" si="258"/>
        <v>1.1845947640297916</v>
      </c>
      <c r="W44" s="8">
        <f t="shared" si="254"/>
        <v>1.1845947640297916</v>
      </c>
      <c r="X44" s="8">
        <f t="shared" ref="X44:Z44" si="259">(1+X41)^X42</f>
        <v>1.1845947640297916</v>
      </c>
      <c r="Y44" s="8">
        <f t="shared" si="259"/>
        <v>1.1845947640297916</v>
      </c>
      <c r="Z44" s="8">
        <f t="shared" si="259"/>
        <v>1.1845947640297916</v>
      </c>
      <c r="AA44" s="8">
        <f t="shared" si="254"/>
        <v>1.1845947640297916</v>
      </c>
      <c r="AB44" s="8">
        <f t="shared" ref="AB44:AD44" si="260">(1+AB41)^AB42</f>
        <v>1.1845947640297916</v>
      </c>
      <c r="AC44" s="8">
        <f t="shared" si="260"/>
        <v>1.1845947640297916</v>
      </c>
      <c r="AD44" s="8">
        <f t="shared" si="260"/>
        <v>1.1845947640297916</v>
      </c>
      <c r="AE44" s="8">
        <f t="shared" si="254"/>
        <v>1.1845947640297916</v>
      </c>
      <c r="AF44" s="8">
        <f t="shared" ref="AF44:AH44" si="261">(1+AF41)^AF42</f>
        <v>1.1845947640297916</v>
      </c>
      <c r="AG44" s="8">
        <f t="shared" si="261"/>
        <v>1.1845947640297916</v>
      </c>
      <c r="AH44" s="8">
        <f t="shared" si="261"/>
        <v>1.1845947640297916</v>
      </c>
      <c r="AI44" s="8">
        <f t="shared" si="254"/>
        <v>1.1845947640297916</v>
      </c>
      <c r="AJ44" s="8">
        <f t="shared" ref="AJ44:AL44" si="262">(1+AJ41)^AJ42</f>
        <v>1.1845947640297916</v>
      </c>
      <c r="AK44" s="8">
        <f t="shared" si="262"/>
        <v>1.1845947640297916</v>
      </c>
      <c r="AL44" s="8">
        <f t="shared" si="262"/>
        <v>1.1845947640297916</v>
      </c>
      <c r="AM44" s="8">
        <f t="shared" si="254"/>
        <v>1.1845947640297916</v>
      </c>
      <c r="AN44" s="8">
        <f t="shared" ref="AN44:AP44" si="263">(1+AN41)^AN42</f>
        <v>1.1845947640297916</v>
      </c>
      <c r="AO44" s="8">
        <f t="shared" si="263"/>
        <v>1.1845947640297916</v>
      </c>
      <c r="AP44" s="8">
        <f t="shared" si="263"/>
        <v>1.1845947640297916</v>
      </c>
      <c r="AQ44" s="8">
        <f t="shared" si="254"/>
        <v>1.1845947640297916</v>
      </c>
      <c r="AR44" s="8">
        <f t="shared" ref="AR44:AS44" si="264">(1+AR41)^AR42</f>
        <v>1.1845947640297916</v>
      </c>
      <c r="AS44" s="8">
        <f t="shared" si="264"/>
        <v>1.1845947640297916</v>
      </c>
      <c r="AT44" s="8">
        <f t="shared" ref="AT44" si="265">(1+AT41)^AT42</f>
        <v>1.1845947640297916</v>
      </c>
    </row>
    <row r="45" spans="2:46">
      <c r="C45" s="9">
        <f>C44*C41</f>
        <v>8.3908795785443569E-3</v>
      </c>
      <c r="D45" s="9">
        <f>D44*D41</f>
        <v>8.3908795785443569E-3</v>
      </c>
      <c r="E45" s="9">
        <f>E44*E41</f>
        <v>8.3908795785443569E-3</v>
      </c>
      <c r="F45" s="9">
        <f>F44*F41</f>
        <v>8.3908795785443569E-3</v>
      </c>
      <c r="G45" s="9">
        <f>G44*G41</f>
        <v>8.3908795785443569E-3</v>
      </c>
      <c r="H45" s="9">
        <f t="shared" ref="H45:I45" si="266">H44*H41</f>
        <v>8.3908795785443569E-3</v>
      </c>
      <c r="I45" s="9">
        <f t="shared" si="266"/>
        <v>8.3908795785443569E-3</v>
      </c>
      <c r="J45" s="9">
        <f t="shared" ref="J45" si="267">J44*J41</f>
        <v>8.3908795785443569E-3</v>
      </c>
      <c r="K45" s="9">
        <f t="shared" ref="K45:AQ45" si="268">K44*K41</f>
        <v>8.3908795785443569E-3</v>
      </c>
      <c r="L45" s="9">
        <f t="shared" ref="L45:N45" si="269">L44*L41</f>
        <v>8.3908795785443569E-3</v>
      </c>
      <c r="M45" s="9">
        <f t="shared" si="269"/>
        <v>8.3908795785443569E-3</v>
      </c>
      <c r="N45" s="9">
        <f t="shared" si="269"/>
        <v>8.3908795785443569E-3</v>
      </c>
      <c r="O45" s="9">
        <f t="shared" si="268"/>
        <v>8.3908795785443569E-3</v>
      </c>
      <c r="P45" s="9">
        <f t="shared" ref="P45:Q45" si="270">P44*P41</f>
        <v>8.3908795785443569E-3</v>
      </c>
      <c r="Q45" s="9">
        <f t="shared" si="270"/>
        <v>8.3908795785443569E-3</v>
      </c>
      <c r="R45" s="9">
        <f t="shared" ref="R45" si="271">R44*R41</f>
        <v>8.3908795785443569E-3</v>
      </c>
      <c r="S45" s="9">
        <f t="shared" si="268"/>
        <v>8.3908795785443569E-3</v>
      </c>
      <c r="T45" s="9">
        <f t="shared" ref="T45:V45" si="272">T44*T41</f>
        <v>8.3908795785443569E-3</v>
      </c>
      <c r="U45" s="9">
        <f t="shared" si="272"/>
        <v>8.3908795785443569E-3</v>
      </c>
      <c r="V45" s="9">
        <f t="shared" si="272"/>
        <v>8.3908795785443569E-3</v>
      </c>
      <c r="W45" s="9">
        <f t="shared" si="268"/>
        <v>8.3908795785443569E-3</v>
      </c>
      <c r="X45" s="9">
        <f t="shared" ref="X45:Z45" si="273">X44*X41</f>
        <v>8.3908795785443569E-3</v>
      </c>
      <c r="Y45" s="9">
        <f t="shared" si="273"/>
        <v>8.3908795785443569E-3</v>
      </c>
      <c r="Z45" s="9">
        <f t="shared" si="273"/>
        <v>8.3908795785443569E-3</v>
      </c>
      <c r="AA45" s="9">
        <f t="shared" si="268"/>
        <v>8.3908795785443569E-3</v>
      </c>
      <c r="AB45" s="9">
        <f t="shared" ref="AB45:AD45" si="274">AB44*AB41</f>
        <v>8.3908795785443569E-3</v>
      </c>
      <c r="AC45" s="9">
        <f t="shared" si="274"/>
        <v>8.3908795785443569E-3</v>
      </c>
      <c r="AD45" s="9">
        <f t="shared" si="274"/>
        <v>8.3908795785443569E-3</v>
      </c>
      <c r="AE45" s="9">
        <f t="shared" si="268"/>
        <v>8.3908795785443569E-3</v>
      </c>
      <c r="AF45" s="9">
        <f t="shared" ref="AF45:AH45" si="275">AF44*AF41</f>
        <v>8.3908795785443569E-3</v>
      </c>
      <c r="AG45" s="9">
        <f t="shared" si="275"/>
        <v>8.3908795785443569E-3</v>
      </c>
      <c r="AH45" s="9">
        <f t="shared" si="275"/>
        <v>8.3908795785443569E-3</v>
      </c>
      <c r="AI45" s="9">
        <f t="shared" si="268"/>
        <v>8.3908795785443569E-3</v>
      </c>
      <c r="AJ45" s="9">
        <f t="shared" ref="AJ45:AL45" si="276">AJ44*AJ41</f>
        <v>8.3908795785443569E-3</v>
      </c>
      <c r="AK45" s="9">
        <f t="shared" si="276"/>
        <v>8.3908795785443569E-3</v>
      </c>
      <c r="AL45" s="9">
        <f t="shared" si="276"/>
        <v>8.3908795785443569E-3</v>
      </c>
      <c r="AM45" s="9">
        <f t="shared" si="268"/>
        <v>8.3908795785443569E-3</v>
      </c>
      <c r="AN45" s="9">
        <f t="shared" ref="AN45:AP45" si="277">AN44*AN41</f>
        <v>8.3908795785443569E-3</v>
      </c>
      <c r="AO45" s="9">
        <f t="shared" si="277"/>
        <v>8.3908795785443569E-3</v>
      </c>
      <c r="AP45" s="9">
        <f t="shared" si="277"/>
        <v>8.3908795785443569E-3</v>
      </c>
      <c r="AQ45" s="9">
        <f t="shared" si="268"/>
        <v>8.3908795785443569E-3</v>
      </c>
      <c r="AR45" s="9">
        <f t="shared" ref="AR45:AS45" si="278">AR44*AR41</f>
        <v>8.3908795785443569E-3</v>
      </c>
      <c r="AS45" s="9">
        <f t="shared" si="278"/>
        <v>8.3908795785443569E-3</v>
      </c>
      <c r="AT45" s="9">
        <f t="shared" ref="AT45" si="279">AT44*AT41</f>
        <v>8.3908795785443569E-3</v>
      </c>
    </row>
    <row r="46" spans="2:46">
      <c r="C46" s="10">
        <f>C44-1</f>
        <v>0.18459476402979158</v>
      </c>
      <c r="D46" s="10">
        <f>D44-1</f>
        <v>0.18459476402979158</v>
      </c>
      <c r="E46" s="10">
        <f>E44-1</f>
        <v>0.18459476402979158</v>
      </c>
      <c r="F46" s="10">
        <f>F44-1</f>
        <v>0.18459476402979158</v>
      </c>
      <c r="G46" s="10">
        <f>G44-1</f>
        <v>0.18459476402979158</v>
      </c>
      <c r="H46" s="10">
        <f t="shared" ref="H46:I46" si="280">H44-1</f>
        <v>0.18459476402979158</v>
      </c>
      <c r="I46" s="10">
        <f t="shared" si="280"/>
        <v>0.18459476402979158</v>
      </c>
      <c r="J46" s="10">
        <f t="shared" ref="J46" si="281">J44-1</f>
        <v>0.18459476402979158</v>
      </c>
      <c r="K46" s="10">
        <f t="shared" ref="K46:AQ46" si="282">K44-1</f>
        <v>0.18459476402979158</v>
      </c>
      <c r="L46" s="10">
        <f t="shared" ref="L46:N46" si="283">L44-1</f>
        <v>0.18459476402979158</v>
      </c>
      <c r="M46" s="10">
        <f t="shared" si="283"/>
        <v>0.18459476402979158</v>
      </c>
      <c r="N46" s="10">
        <f t="shared" si="283"/>
        <v>0.18459476402979158</v>
      </c>
      <c r="O46" s="10">
        <f t="shared" si="282"/>
        <v>0.18459476402979158</v>
      </c>
      <c r="P46" s="10">
        <f t="shared" ref="P46:Q46" si="284">P44-1</f>
        <v>0.18459476402979158</v>
      </c>
      <c r="Q46" s="10">
        <f t="shared" si="284"/>
        <v>0.18459476402979158</v>
      </c>
      <c r="R46" s="10">
        <f t="shared" ref="R46" si="285">R44-1</f>
        <v>0.18459476402979158</v>
      </c>
      <c r="S46" s="10">
        <f t="shared" si="282"/>
        <v>0.18459476402979158</v>
      </c>
      <c r="T46" s="10">
        <f t="shared" ref="T46:V46" si="286">T44-1</f>
        <v>0.18459476402979158</v>
      </c>
      <c r="U46" s="10">
        <f t="shared" si="286"/>
        <v>0.18459476402979158</v>
      </c>
      <c r="V46" s="10">
        <f t="shared" si="286"/>
        <v>0.18459476402979158</v>
      </c>
      <c r="W46" s="10">
        <f t="shared" si="282"/>
        <v>0.18459476402979158</v>
      </c>
      <c r="X46" s="10">
        <f t="shared" ref="X46:Z46" si="287">X44-1</f>
        <v>0.18459476402979158</v>
      </c>
      <c r="Y46" s="10">
        <f t="shared" si="287"/>
        <v>0.18459476402979158</v>
      </c>
      <c r="Z46" s="10">
        <f t="shared" si="287"/>
        <v>0.18459476402979158</v>
      </c>
      <c r="AA46" s="10">
        <f t="shared" si="282"/>
        <v>0.18459476402979158</v>
      </c>
      <c r="AB46" s="10">
        <f t="shared" ref="AB46:AD46" si="288">AB44-1</f>
        <v>0.18459476402979158</v>
      </c>
      <c r="AC46" s="10">
        <f t="shared" si="288"/>
        <v>0.18459476402979158</v>
      </c>
      <c r="AD46" s="10">
        <f t="shared" si="288"/>
        <v>0.18459476402979158</v>
      </c>
      <c r="AE46" s="10">
        <f t="shared" si="282"/>
        <v>0.18459476402979158</v>
      </c>
      <c r="AF46" s="10">
        <f t="shared" ref="AF46:AH46" si="289">AF44-1</f>
        <v>0.18459476402979158</v>
      </c>
      <c r="AG46" s="10">
        <f t="shared" si="289"/>
        <v>0.18459476402979158</v>
      </c>
      <c r="AH46" s="10">
        <f t="shared" si="289"/>
        <v>0.18459476402979158</v>
      </c>
      <c r="AI46" s="10">
        <f t="shared" si="282"/>
        <v>0.18459476402979158</v>
      </c>
      <c r="AJ46" s="10">
        <f t="shared" ref="AJ46:AL46" si="290">AJ44-1</f>
        <v>0.18459476402979158</v>
      </c>
      <c r="AK46" s="10">
        <f t="shared" si="290"/>
        <v>0.18459476402979158</v>
      </c>
      <c r="AL46" s="10">
        <f t="shared" si="290"/>
        <v>0.18459476402979158</v>
      </c>
      <c r="AM46" s="10">
        <f t="shared" si="282"/>
        <v>0.18459476402979158</v>
      </c>
      <c r="AN46" s="10">
        <f t="shared" ref="AN46:AP46" si="291">AN44-1</f>
        <v>0.18459476402979158</v>
      </c>
      <c r="AO46" s="10">
        <f t="shared" si="291"/>
        <v>0.18459476402979158</v>
      </c>
      <c r="AP46" s="10">
        <f t="shared" si="291"/>
        <v>0.18459476402979158</v>
      </c>
      <c r="AQ46" s="10">
        <f t="shared" si="282"/>
        <v>0.18459476402979158</v>
      </c>
      <c r="AR46" s="10">
        <f t="shared" ref="AR46:AS46" si="292">AR44-1</f>
        <v>0.18459476402979158</v>
      </c>
      <c r="AS46" s="10">
        <f t="shared" si="292"/>
        <v>0.18459476402979158</v>
      </c>
      <c r="AT46" s="10">
        <f t="shared" ref="AT46" si="293">AT44-1</f>
        <v>0.18459476402979158</v>
      </c>
    </row>
    <row r="47" spans="2:46">
      <c r="C47" s="10">
        <f>C45/C46</f>
        <v>4.545567488138591E-2</v>
      </c>
      <c r="D47" s="10">
        <f>D45/D46</f>
        <v>4.545567488138591E-2</v>
      </c>
      <c r="E47" s="10">
        <f>E45/E46</f>
        <v>4.545567488138591E-2</v>
      </c>
      <c r="F47" s="10">
        <f>F45/F46</f>
        <v>4.545567488138591E-2</v>
      </c>
      <c r="G47" s="10">
        <f>G45/G46</f>
        <v>4.545567488138591E-2</v>
      </c>
      <c r="H47" s="10">
        <f t="shared" ref="H47:I47" si="294">H45/H46</f>
        <v>4.545567488138591E-2</v>
      </c>
      <c r="I47" s="10">
        <f t="shared" si="294"/>
        <v>4.545567488138591E-2</v>
      </c>
      <c r="J47" s="10">
        <f t="shared" ref="J47" si="295">J45/J46</f>
        <v>4.545567488138591E-2</v>
      </c>
      <c r="K47" s="10">
        <f t="shared" ref="K47:AQ47" si="296">K45/K46</f>
        <v>4.545567488138591E-2</v>
      </c>
      <c r="L47" s="10">
        <f t="shared" ref="L47:N47" si="297">L45/L46</f>
        <v>4.545567488138591E-2</v>
      </c>
      <c r="M47" s="10">
        <f t="shared" si="297"/>
        <v>4.545567488138591E-2</v>
      </c>
      <c r="N47" s="10">
        <f t="shared" si="297"/>
        <v>4.545567488138591E-2</v>
      </c>
      <c r="O47" s="10">
        <f t="shared" si="296"/>
        <v>4.545567488138591E-2</v>
      </c>
      <c r="P47" s="10">
        <f t="shared" ref="P47:Q47" si="298">P45/P46</f>
        <v>4.545567488138591E-2</v>
      </c>
      <c r="Q47" s="10">
        <f t="shared" si="298"/>
        <v>4.545567488138591E-2</v>
      </c>
      <c r="R47" s="10">
        <f t="shared" ref="R47" si="299">R45/R46</f>
        <v>4.545567488138591E-2</v>
      </c>
      <c r="S47" s="10">
        <f t="shared" si="296"/>
        <v>4.545567488138591E-2</v>
      </c>
      <c r="T47" s="10">
        <f t="shared" ref="T47:V47" si="300">T45/T46</f>
        <v>4.545567488138591E-2</v>
      </c>
      <c r="U47" s="10">
        <f t="shared" si="300"/>
        <v>4.545567488138591E-2</v>
      </c>
      <c r="V47" s="10">
        <f t="shared" si="300"/>
        <v>4.545567488138591E-2</v>
      </c>
      <c r="W47" s="10">
        <f t="shared" si="296"/>
        <v>4.545567488138591E-2</v>
      </c>
      <c r="X47" s="10">
        <f t="shared" ref="X47:Z47" si="301">X45/X46</f>
        <v>4.545567488138591E-2</v>
      </c>
      <c r="Y47" s="10">
        <f t="shared" si="301"/>
        <v>4.545567488138591E-2</v>
      </c>
      <c r="Z47" s="10">
        <f t="shared" si="301"/>
        <v>4.545567488138591E-2</v>
      </c>
      <c r="AA47" s="10">
        <f t="shared" si="296"/>
        <v>4.545567488138591E-2</v>
      </c>
      <c r="AB47" s="10">
        <f t="shared" ref="AB47:AD47" si="302">AB45/AB46</f>
        <v>4.545567488138591E-2</v>
      </c>
      <c r="AC47" s="10">
        <f t="shared" si="302"/>
        <v>4.545567488138591E-2</v>
      </c>
      <c r="AD47" s="10">
        <f t="shared" si="302"/>
        <v>4.545567488138591E-2</v>
      </c>
      <c r="AE47" s="10">
        <f t="shared" si="296"/>
        <v>4.545567488138591E-2</v>
      </c>
      <c r="AF47" s="10">
        <f t="shared" ref="AF47:AH47" si="303">AF45/AF46</f>
        <v>4.545567488138591E-2</v>
      </c>
      <c r="AG47" s="10">
        <f t="shared" si="303"/>
        <v>4.545567488138591E-2</v>
      </c>
      <c r="AH47" s="10">
        <f t="shared" si="303"/>
        <v>4.545567488138591E-2</v>
      </c>
      <c r="AI47" s="10">
        <f t="shared" si="296"/>
        <v>4.545567488138591E-2</v>
      </c>
      <c r="AJ47" s="10">
        <f t="shared" ref="AJ47:AL47" si="304">AJ45/AJ46</f>
        <v>4.545567488138591E-2</v>
      </c>
      <c r="AK47" s="10">
        <f t="shared" si="304"/>
        <v>4.545567488138591E-2</v>
      </c>
      <c r="AL47" s="10">
        <f t="shared" si="304"/>
        <v>4.545567488138591E-2</v>
      </c>
      <c r="AM47" s="10">
        <f t="shared" si="296"/>
        <v>4.545567488138591E-2</v>
      </c>
      <c r="AN47" s="10">
        <f t="shared" ref="AN47:AP47" si="305">AN45/AN46</f>
        <v>4.545567488138591E-2</v>
      </c>
      <c r="AO47" s="10">
        <f t="shared" si="305"/>
        <v>4.545567488138591E-2</v>
      </c>
      <c r="AP47" s="10">
        <f t="shared" si="305"/>
        <v>4.545567488138591E-2</v>
      </c>
      <c r="AQ47" s="10">
        <f t="shared" si="296"/>
        <v>4.545567488138591E-2</v>
      </c>
      <c r="AR47" s="10">
        <f t="shared" ref="AR47:AS47" si="306">AR45/AR46</f>
        <v>4.545567488138591E-2</v>
      </c>
      <c r="AS47" s="10">
        <f t="shared" si="306"/>
        <v>4.545567488138591E-2</v>
      </c>
      <c r="AT47" s="10">
        <f t="shared" ref="AT47" si="307">AT45/AT46</f>
        <v>4.545567488138591E-2</v>
      </c>
    </row>
    <row r="48" spans="2:46" s="1" customFormat="1">
      <c r="B48" s="1" t="s">
        <v>14</v>
      </c>
      <c r="C48" s="4">
        <f>C47*C37</f>
        <v>2766.1672151776716</v>
      </c>
      <c r="D48" s="4">
        <f>D47*D37</f>
        <v>1262.6260691531631</v>
      </c>
      <c r="E48" s="4">
        <f>E47*E37</f>
        <v>2525.2521383063263</v>
      </c>
      <c r="F48" s="4">
        <f>F47*F37</f>
        <v>3787.8782074594897</v>
      </c>
      <c r="G48" s="4">
        <f>G47*G37</f>
        <v>5050.5042766126526</v>
      </c>
      <c r="H48" s="4">
        <f t="shared" ref="H48:I48" si="308">H47*H37</f>
        <v>6313.1303457658159</v>
      </c>
      <c r="I48" s="4">
        <f t="shared" si="308"/>
        <v>7575.7564149189793</v>
      </c>
      <c r="J48" s="4">
        <f t="shared" ref="J48" si="309">J47*J37</f>
        <v>8838.3824840721427</v>
      </c>
      <c r="K48" s="4">
        <f t="shared" ref="K48:AQ48" si="310">K47*K37</f>
        <v>10101.008553225305</v>
      </c>
      <c r="L48" s="4">
        <f t="shared" ref="L48:N48" si="311">L47*L37</f>
        <v>11363.634622378469</v>
      </c>
      <c r="M48" s="4">
        <f t="shared" si="311"/>
        <v>12626.260691531632</v>
      </c>
      <c r="N48" s="4">
        <f t="shared" si="311"/>
        <v>13888.886760684796</v>
      </c>
      <c r="O48" s="4">
        <f t="shared" si="310"/>
        <v>15151.512829837959</v>
      </c>
      <c r="P48" s="4">
        <f t="shared" ref="P48:Q48" si="312">P47*P37</f>
        <v>16414.138898991121</v>
      </c>
      <c r="Q48" s="4">
        <f t="shared" si="312"/>
        <v>17676.764968144285</v>
      </c>
      <c r="R48" s="4">
        <f t="shared" ref="R48" si="313">R47*R37</f>
        <v>18939.39103729745</v>
      </c>
      <c r="S48" s="4">
        <f t="shared" si="310"/>
        <v>20202.01710645061</v>
      </c>
      <c r="T48" s="4">
        <f t="shared" ref="T48:V48" si="314">T47*T37</f>
        <v>21464.643175603775</v>
      </c>
      <c r="U48" s="4">
        <f t="shared" si="314"/>
        <v>22727.269244756939</v>
      </c>
      <c r="V48" s="4">
        <f t="shared" si="314"/>
        <v>23989.895313910103</v>
      </c>
      <c r="W48" s="4">
        <f t="shared" si="310"/>
        <v>25252.521383063264</v>
      </c>
      <c r="X48" s="4">
        <f t="shared" ref="X48:Z48" si="315">X47*X37</f>
        <v>26515.147452216428</v>
      </c>
      <c r="Y48" s="4">
        <f t="shared" si="315"/>
        <v>27777.773521369592</v>
      </c>
      <c r="Z48" s="4">
        <f t="shared" si="315"/>
        <v>29040.399590522753</v>
      </c>
      <c r="AA48" s="4">
        <f t="shared" si="310"/>
        <v>30303.025659675917</v>
      </c>
      <c r="AB48" s="4">
        <f t="shared" ref="AB48:AD48" si="316">AB47*AB37</f>
        <v>31565.651728829082</v>
      </c>
      <c r="AC48" s="4">
        <f t="shared" si="316"/>
        <v>32828.277797982242</v>
      </c>
      <c r="AD48" s="4">
        <f t="shared" si="316"/>
        <v>34090.903867135406</v>
      </c>
      <c r="AE48" s="4">
        <f t="shared" si="310"/>
        <v>35353.529936288571</v>
      </c>
      <c r="AF48" s="4">
        <f t="shared" ref="AF48:AH48" si="317">AF47*AF37</f>
        <v>36616.156005441728</v>
      </c>
      <c r="AG48" s="4">
        <f t="shared" si="317"/>
        <v>37878.782074594899</v>
      </c>
      <c r="AH48" s="4">
        <f t="shared" si="317"/>
        <v>39141.408143748064</v>
      </c>
      <c r="AI48" s="4">
        <f t="shared" si="310"/>
        <v>40404.034212901221</v>
      </c>
      <c r="AJ48" s="4">
        <f t="shared" ref="AJ48:AL48" si="318">AJ47*AJ37</f>
        <v>41666.660282054385</v>
      </c>
      <c r="AK48" s="4">
        <f t="shared" si="318"/>
        <v>42929.286351207549</v>
      </c>
      <c r="AL48" s="4">
        <f t="shared" si="318"/>
        <v>44191.912420360713</v>
      </c>
      <c r="AM48" s="4">
        <f t="shared" si="310"/>
        <v>45454.538489513878</v>
      </c>
      <c r="AN48" s="4">
        <f t="shared" ref="AN48:AP48" si="319">AN47*AN37</f>
        <v>46717.164558667042</v>
      </c>
      <c r="AO48" s="4">
        <f t="shared" si="319"/>
        <v>47979.790627820206</v>
      </c>
      <c r="AP48" s="4">
        <f t="shared" si="319"/>
        <v>49242.416696973363</v>
      </c>
      <c r="AQ48" s="4">
        <f t="shared" si="310"/>
        <v>50505.042766126528</v>
      </c>
      <c r="AR48" s="4">
        <f t="shared" ref="AR48:AS48" si="320">AR47*AR37</f>
        <v>51767.668835279692</v>
      </c>
      <c r="AS48" s="4">
        <f t="shared" si="320"/>
        <v>53030.294904432856</v>
      </c>
      <c r="AT48" s="4">
        <f t="shared" ref="AT48" si="321">AT47*AT37</f>
        <v>54292.920973586013</v>
      </c>
    </row>
    <row r="49" spans="2:46">
      <c r="C49" s="2"/>
      <c r="D49" s="2"/>
      <c r="E49" s="2"/>
      <c r="F49" s="2"/>
      <c r="G49" s="2"/>
      <c r="H49" s="2"/>
      <c r="I49" s="2"/>
      <c r="J49" s="2"/>
      <c r="K49" s="2"/>
      <c r="L49" s="2"/>
      <c r="AA49" s="2"/>
      <c r="AB49" s="2"/>
      <c r="AC49" s="2"/>
      <c r="AD49" s="2"/>
      <c r="AE49" s="2"/>
      <c r="AF49" s="2"/>
      <c r="AG49" s="2"/>
      <c r="AH49" s="2"/>
      <c r="AI49" s="2"/>
      <c r="AJ49" s="2"/>
      <c r="AK49" s="2"/>
      <c r="AL49" s="2"/>
      <c r="AM49" s="2"/>
      <c r="AN49" s="2"/>
      <c r="AO49" s="2"/>
      <c r="AP49" s="2"/>
      <c r="AQ49" s="2"/>
      <c r="AR49" s="2"/>
      <c r="AS49" s="2"/>
      <c r="AT49" s="2"/>
    </row>
    <row r="50" spans="2:46">
      <c r="B50" t="s">
        <v>30</v>
      </c>
      <c r="C50" s="2">
        <f>C30-C31</f>
        <v>16388.013164264121</v>
      </c>
      <c r="D50" s="2">
        <f>D30-D31</f>
        <v>5303.0256596759136</v>
      </c>
      <c r="E50" s="2">
        <f>E30-E31</f>
        <v>10606.051319351827</v>
      </c>
      <c r="F50" s="2">
        <f>F30-F31</f>
        <v>15909.076979027755</v>
      </c>
      <c r="G50" s="2">
        <f>G30-G31</f>
        <v>21212.102638703655</v>
      </c>
      <c r="H50" s="2">
        <f t="shared" ref="H50:I50" si="322">H30-H31</f>
        <v>26515.128298379597</v>
      </c>
      <c r="I50" s="2">
        <f t="shared" si="322"/>
        <v>31818.153958055511</v>
      </c>
      <c r="J50" s="2">
        <f t="shared" ref="J50" si="323">J30-J31</f>
        <v>37121.179617731425</v>
      </c>
      <c r="K50" s="2">
        <f t="shared" ref="K50:AQ50" si="324">K30-K31</f>
        <v>42424.205277407309</v>
      </c>
      <c r="L50" s="2">
        <f t="shared" ref="L50:N50" si="325">L30-L31</f>
        <v>47727.230937083252</v>
      </c>
      <c r="M50" s="2">
        <f t="shared" si="325"/>
        <v>53030.256596759195</v>
      </c>
      <c r="N50" s="2">
        <f t="shared" si="325"/>
        <v>58333.282256435137</v>
      </c>
      <c r="O50" s="2">
        <f t="shared" si="324"/>
        <v>63636.307916111022</v>
      </c>
      <c r="P50" s="2">
        <f t="shared" ref="P50:Q50" si="326">P30-P31</f>
        <v>68939.333575786906</v>
      </c>
      <c r="Q50" s="2">
        <f t="shared" si="326"/>
        <v>74242.359235462849</v>
      </c>
      <c r="R50" s="2">
        <f t="shared" ref="R50" si="327">R30-R31</f>
        <v>79545.384895138792</v>
      </c>
      <c r="S50" s="2">
        <f t="shared" si="324"/>
        <v>84848.410554814618</v>
      </c>
      <c r="T50" s="2">
        <f t="shared" ref="T50:V50" si="328">T30-T31</f>
        <v>90151.436214490561</v>
      </c>
      <c r="U50" s="2">
        <f t="shared" si="328"/>
        <v>95454.461874166504</v>
      </c>
      <c r="V50" s="2">
        <f t="shared" si="328"/>
        <v>100757.48753384245</v>
      </c>
      <c r="W50" s="2">
        <f t="shared" si="324"/>
        <v>106060.51319351839</v>
      </c>
      <c r="X50" s="2">
        <f t="shared" ref="X50:Z50" si="329">X30-X31</f>
        <v>111363.53885319433</v>
      </c>
      <c r="Y50" s="2">
        <f t="shared" si="329"/>
        <v>116666.56451287027</v>
      </c>
      <c r="Z50" s="2">
        <f t="shared" si="329"/>
        <v>121969.5901725461</v>
      </c>
      <c r="AA50" s="2">
        <f t="shared" si="324"/>
        <v>127272.61583222204</v>
      </c>
      <c r="AB50" s="2">
        <f t="shared" ref="AB50:AD50" si="330">AB30-AB31</f>
        <v>132575.64149189799</v>
      </c>
      <c r="AC50" s="2">
        <f t="shared" si="330"/>
        <v>137878.66715157381</v>
      </c>
      <c r="AD50" s="2">
        <f t="shared" si="330"/>
        <v>143181.69281124976</v>
      </c>
      <c r="AE50" s="2">
        <f t="shared" si="324"/>
        <v>148484.7184709257</v>
      </c>
      <c r="AF50" s="2">
        <f t="shared" ref="AF50:AH50" si="331">AF30-AF31</f>
        <v>153787.74413060141</v>
      </c>
      <c r="AG50" s="2">
        <f t="shared" si="331"/>
        <v>159090.76979027758</v>
      </c>
      <c r="AH50" s="2">
        <f t="shared" si="331"/>
        <v>164393.79544995353</v>
      </c>
      <c r="AI50" s="2">
        <f t="shared" si="324"/>
        <v>169696.82110962924</v>
      </c>
      <c r="AJ50" s="2">
        <f t="shared" ref="AJ50:AL50" si="332">AJ30-AJ31</f>
        <v>174999.84676930518</v>
      </c>
      <c r="AK50" s="2">
        <f t="shared" si="332"/>
        <v>180302.87242898112</v>
      </c>
      <c r="AL50" s="2">
        <f t="shared" si="332"/>
        <v>185605.89808865706</v>
      </c>
      <c r="AM50" s="2">
        <f t="shared" si="324"/>
        <v>190908.92374833301</v>
      </c>
      <c r="AN50" s="2">
        <f t="shared" ref="AN50:AP50" si="333">AN30-AN31</f>
        <v>196211.94940800895</v>
      </c>
      <c r="AO50" s="2">
        <f t="shared" si="333"/>
        <v>201514.97506768489</v>
      </c>
      <c r="AP50" s="2">
        <f t="shared" si="333"/>
        <v>206818.0007273606</v>
      </c>
      <c r="AQ50" s="2">
        <f t="shared" si="324"/>
        <v>212121.02638703678</v>
      </c>
      <c r="AR50" s="2">
        <f t="shared" ref="AR50:AS50" si="334">AR30-AR31</f>
        <v>217424.05204671249</v>
      </c>
      <c r="AS50" s="2">
        <f t="shared" si="334"/>
        <v>222727.07770638866</v>
      </c>
      <c r="AT50" s="2">
        <f t="shared" ref="AT50" si="335">AT30-AT31</f>
        <v>228030.10336606437</v>
      </c>
    </row>
    <row r="51" spans="2:46">
      <c r="B51" t="s">
        <v>31</v>
      </c>
      <c r="C51" s="11">
        <f>C50/C30</f>
        <v>0.2468519900379485</v>
      </c>
      <c r="D51" s="11">
        <f>D50/D30</f>
        <v>0.17499987358465738</v>
      </c>
      <c r="E51" s="11">
        <f>E50/E30</f>
        <v>0.17499987358465738</v>
      </c>
      <c r="F51" s="11">
        <f>F50/F30</f>
        <v>0.17499987358465752</v>
      </c>
      <c r="G51" s="11">
        <f>G50/G30</f>
        <v>0.17499987358465738</v>
      </c>
      <c r="H51" s="11">
        <f t="shared" ref="H51:I51" si="336">H50/H30</f>
        <v>0.17499987358465754</v>
      </c>
      <c r="I51" s="11">
        <f t="shared" si="336"/>
        <v>0.17499987358465752</v>
      </c>
      <c r="J51" s="11">
        <f t="shared" ref="J51" si="337">J50/J30</f>
        <v>0.17499987358465749</v>
      </c>
      <c r="K51" s="11">
        <f t="shared" ref="K51:AQ51" si="338">K50/K30</f>
        <v>0.17499987358465738</v>
      </c>
      <c r="L51" s="11">
        <f t="shared" ref="L51:N51" si="339">L50/L30</f>
        <v>0.17499987358465746</v>
      </c>
      <c r="M51" s="11">
        <f t="shared" si="339"/>
        <v>0.17499987358465754</v>
      </c>
      <c r="N51" s="11">
        <f t="shared" si="339"/>
        <v>0.1749998735846576</v>
      </c>
      <c r="O51" s="11">
        <f t="shared" si="338"/>
        <v>0.17499987358465752</v>
      </c>
      <c r="P51" s="11">
        <f t="shared" ref="P51:Q51" si="340">P50/P30</f>
        <v>0.17499987358465743</v>
      </c>
      <c r="Q51" s="11">
        <f t="shared" si="340"/>
        <v>0.17499987358465749</v>
      </c>
      <c r="R51" s="11">
        <f t="shared" ref="R51" si="341">R50/R30</f>
        <v>0.17499987358465754</v>
      </c>
      <c r="S51" s="11">
        <f t="shared" si="338"/>
        <v>0.17499987358465738</v>
      </c>
      <c r="T51" s="11">
        <f t="shared" ref="T51:V51" si="342">T50/T30</f>
        <v>0.17499987358465743</v>
      </c>
      <c r="U51" s="11">
        <f t="shared" si="342"/>
        <v>0.17499987358465746</v>
      </c>
      <c r="V51" s="11">
        <f t="shared" si="342"/>
        <v>0.17499987358465749</v>
      </c>
      <c r="W51" s="11">
        <f t="shared" si="338"/>
        <v>0.17499987358465754</v>
      </c>
      <c r="X51" s="11">
        <f t="shared" ref="X51:Z51" si="343">X50/X30</f>
        <v>0.17499987358465757</v>
      </c>
      <c r="Y51" s="11">
        <f t="shared" si="343"/>
        <v>0.1749998735846576</v>
      </c>
      <c r="Z51" s="11">
        <f t="shared" si="343"/>
        <v>0.17499987358465749</v>
      </c>
      <c r="AA51" s="11">
        <f t="shared" si="338"/>
        <v>0.17499987358465752</v>
      </c>
      <c r="AB51" s="11">
        <f t="shared" ref="AB51:AD51" si="344">AB50/AB30</f>
        <v>0.17499987358465754</v>
      </c>
      <c r="AC51" s="11">
        <f t="shared" si="344"/>
        <v>0.17499987358465743</v>
      </c>
      <c r="AD51" s="11">
        <f t="shared" si="344"/>
        <v>0.17499987358465746</v>
      </c>
      <c r="AE51" s="11">
        <f t="shared" si="338"/>
        <v>0.17499987358465749</v>
      </c>
      <c r="AF51" s="11">
        <f t="shared" ref="AF51:AH51" si="345">AF50/AF30</f>
        <v>0.1749998735846573</v>
      </c>
      <c r="AG51" s="11">
        <f t="shared" si="345"/>
        <v>0.17499987358465754</v>
      </c>
      <c r="AH51" s="11">
        <f t="shared" si="345"/>
        <v>0.17499987358465754</v>
      </c>
      <c r="AI51" s="11">
        <f t="shared" si="338"/>
        <v>0.17499987358465738</v>
      </c>
      <c r="AJ51" s="11">
        <f t="shared" ref="AJ51:AL51" si="346">AJ50/AJ30</f>
        <v>0.17499987358465741</v>
      </c>
      <c r="AK51" s="11">
        <f t="shared" si="346"/>
        <v>0.17499987358465743</v>
      </c>
      <c r="AL51" s="11">
        <f t="shared" si="346"/>
        <v>0.17499987358465743</v>
      </c>
      <c r="AM51" s="11">
        <f t="shared" si="338"/>
        <v>0.17499987358465746</v>
      </c>
      <c r="AN51" s="11">
        <f t="shared" ref="AN51:AP51" si="347">AN50/AN30</f>
        <v>0.17499987358465749</v>
      </c>
      <c r="AO51" s="11">
        <f t="shared" si="347"/>
        <v>0.17499987358465749</v>
      </c>
      <c r="AP51" s="11">
        <f t="shared" si="347"/>
        <v>0.17499987358465735</v>
      </c>
      <c r="AQ51" s="11">
        <f t="shared" si="338"/>
        <v>0.17499987358465754</v>
      </c>
      <c r="AR51" s="11">
        <f t="shared" ref="AR51:AS51" si="348">AR50/AR30</f>
        <v>0.17499987358465741</v>
      </c>
      <c r="AS51" s="11">
        <f t="shared" si="348"/>
        <v>0.17499987358465757</v>
      </c>
      <c r="AT51" s="11">
        <f t="shared" ref="AT51" si="349">AT50/AT30</f>
        <v>0.17499987358465743</v>
      </c>
    </row>
    <row r="55" spans="2:46" ht="21">
      <c r="B55" s="3" t="s">
        <v>0</v>
      </c>
    </row>
    <row r="56" spans="2:46">
      <c r="B56" t="s">
        <v>21</v>
      </c>
      <c r="C56" s="2">
        <f>C74*C68</f>
        <v>33568.249358133944</v>
      </c>
      <c r="D56" s="2">
        <f>D74*D68</f>
        <v>28321.160751938725</v>
      </c>
      <c r="E56" s="2">
        <f>E74*E68</f>
        <v>56642.321503877451</v>
      </c>
      <c r="F56" s="2">
        <f>F74*F68</f>
        <v>84963.482255816169</v>
      </c>
      <c r="G56" s="2">
        <f>G74*G68</f>
        <v>113284.6430077549</v>
      </c>
      <c r="H56" s="2">
        <f t="shared" ref="H56:I56" si="350">H74*H68</f>
        <v>141605.8037596936</v>
      </c>
      <c r="I56" s="2">
        <f t="shared" si="350"/>
        <v>169926.96451163234</v>
      </c>
      <c r="J56" s="2">
        <f t="shared" ref="J56" si="351">J74*J68</f>
        <v>198248.12526357107</v>
      </c>
      <c r="K56" s="2">
        <f t="shared" ref="K56:AQ56" si="352">K74*K68</f>
        <v>226569.2860155098</v>
      </c>
      <c r="L56" s="2">
        <f t="shared" ref="L56:N56" si="353">L74*L68</f>
        <v>254890.44676744851</v>
      </c>
      <c r="M56" s="2">
        <f t="shared" si="353"/>
        <v>283211.60751938721</v>
      </c>
      <c r="N56" s="2">
        <f t="shared" si="353"/>
        <v>311532.76827132597</v>
      </c>
      <c r="O56" s="2">
        <f t="shared" si="352"/>
        <v>339853.92902326467</v>
      </c>
      <c r="P56" s="2">
        <f t="shared" ref="P56:Q56" si="354">P74*P68</f>
        <v>368175.08977520344</v>
      </c>
      <c r="Q56" s="2">
        <f t="shared" si="354"/>
        <v>396496.25052714214</v>
      </c>
      <c r="R56" s="2">
        <f t="shared" ref="R56" si="355">R74*R68</f>
        <v>424817.41127908078</v>
      </c>
      <c r="S56" s="2">
        <f t="shared" si="352"/>
        <v>453138.5720310196</v>
      </c>
      <c r="T56" s="2">
        <f t="shared" ref="T56:V56" si="356">T74*T68</f>
        <v>481459.73278295831</v>
      </c>
      <c r="U56" s="2">
        <f t="shared" si="356"/>
        <v>509780.89353489701</v>
      </c>
      <c r="V56" s="2">
        <f t="shared" si="356"/>
        <v>538102.05428683572</v>
      </c>
      <c r="W56" s="2">
        <f t="shared" si="352"/>
        <v>566423.21503877442</v>
      </c>
      <c r="X56" s="2">
        <f t="shared" ref="X56:Z56" si="357">X74*X68</f>
        <v>594744.37579071324</v>
      </c>
      <c r="Y56" s="2">
        <f t="shared" si="357"/>
        <v>623065.53654265194</v>
      </c>
      <c r="Z56" s="2">
        <f t="shared" si="357"/>
        <v>651386.69729459065</v>
      </c>
      <c r="AA56" s="2">
        <f t="shared" si="352"/>
        <v>679707.85804652935</v>
      </c>
      <c r="AB56" s="2">
        <f t="shared" ref="AB56:AD56" si="358">AB74*AB68</f>
        <v>708029.01879846805</v>
      </c>
      <c r="AC56" s="2">
        <f t="shared" si="358"/>
        <v>736350.17955040687</v>
      </c>
      <c r="AD56" s="2">
        <f t="shared" si="358"/>
        <v>764671.34030234558</v>
      </c>
      <c r="AE56" s="2">
        <f t="shared" si="352"/>
        <v>792992.50105428428</v>
      </c>
      <c r="AF56" s="2">
        <f t="shared" ref="AF56:AH56" si="359">AF74*AF68</f>
        <v>821313.66180622298</v>
      </c>
      <c r="AG56" s="2">
        <f t="shared" si="359"/>
        <v>849634.82255816157</v>
      </c>
      <c r="AH56" s="2">
        <f t="shared" si="359"/>
        <v>877955.98331010039</v>
      </c>
      <c r="AI56" s="2">
        <f t="shared" si="352"/>
        <v>906277.14406203921</v>
      </c>
      <c r="AJ56" s="2">
        <f t="shared" ref="AJ56:AL56" si="360">AJ74*AJ68</f>
        <v>934598.30481397791</v>
      </c>
      <c r="AK56" s="2">
        <f t="shared" si="360"/>
        <v>962919.46556591662</v>
      </c>
      <c r="AL56" s="2">
        <f t="shared" si="360"/>
        <v>991240.6263178552</v>
      </c>
      <c r="AM56" s="2">
        <f t="shared" si="352"/>
        <v>1019561.787069794</v>
      </c>
      <c r="AN56" s="2">
        <f t="shared" ref="AN56:AP56" si="361">AN74*AN68</f>
        <v>1047882.9478217328</v>
      </c>
      <c r="AO56" s="2">
        <f t="shared" si="361"/>
        <v>1076204.1085736714</v>
      </c>
      <c r="AP56" s="2">
        <f t="shared" si="361"/>
        <v>1104525.2693256103</v>
      </c>
      <c r="AQ56" s="2">
        <f t="shared" si="352"/>
        <v>1132846.4300775488</v>
      </c>
      <c r="AR56" s="2">
        <f t="shared" ref="AR56:AS56" si="362">AR74*AR68</f>
        <v>1161167.5908294877</v>
      </c>
      <c r="AS56" s="2">
        <f t="shared" si="362"/>
        <v>1189488.7515814265</v>
      </c>
      <c r="AT56" s="2">
        <f t="shared" ref="AT56" si="363">AT74*AT68</f>
        <v>1217809.9123333651</v>
      </c>
    </row>
    <row r="57" spans="2:46" s="1" customFormat="1">
      <c r="B57" s="1" t="s">
        <v>22</v>
      </c>
      <c r="C57" s="4">
        <f>'Data Entry'!C4</f>
        <v>25000</v>
      </c>
      <c r="D57" s="4">
        <v>25000</v>
      </c>
      <c r="E57" s="4">
        <v>50000</v>
      </c>
      <c r="F57" s="4">
        <v>75000</v>
      </c>
      <c r="G57" s="4">
        <v>100000</v>
      </c>
      <c r="H57" s="4">
        <v>125000</v>
      </c>
      <c r="I57" s="4">
        <v>150000</v>
      </c>
      <c r="J57" s="4">
        <v>175000</v>
      </c>
      <c r="K57" s="4">
        <v>200000</v>
      </c>
      <c r="L57" s="4">
        <v>225000</v>
      </c>
      <c r="M57" s="4">
        <v>250000</v>
      </c>
      <c r="N57" s="4">
        <v>275000</v>
      </c>
      <c r="O57" s="4">
        <v>300000</v>
      </c>
      <c r="P57" s="4">
        <v>325000</v>
      </c>
      <c r="Q57" s="4">
        <v>350000</v>
      </c>
      <c r="R57" s="4">
        <v>375000</v>
      </c>
      <c r="S57" s="4">
        <v>400000</v>
      </c>
      <c r="T57" s="4">
        <v>425000</v>
      </c>
      <c r="U57" s="4">
        <v>450000</v>
      </c>
      <c r="V57" s="4">
        <v>475000</v>
      </c>
      <c r="W57" s="4">
        <v>500000</v>
      </c>
      <c r="X57" s="4">
        <v>525000</v>
      </c>
      <c r="Y57" s="4">
        <v>550000</v>
      </c>
      <c r="Z57" s="4">
        <v>575000</v>
      </c>
      <c r="AA57" s="4">
        <v>600000</v>
      </c>
      <c r="AB57" s="4">
        <v>625000</v>
      </c>
      <c r="AC57" s="4">
        <v>650000</v>
      </c>
      <c r="AD57" s="4">
        <v>675000</v>
      </c>
      <c r="AE57" s="4">
        <v>700000</v>
      </c>
      <c r="AF57" s="4">
        <v>725000</v>
      </c>
      <c r="AG57" s="4">
        <v>750000</v>
      </c>
      <c r="AH57" s="4">
        <v>775000</v>
      </c>
      <c r="AI57" s="4">
        <v>800000</v>
      </c>
      <c r="AJ57" s="4">
        <v>825000</v>
      </c>
      <c r="AK57" s="4">
        <v>850000</v>
      </c>
      <c r="AL57" s="4">
        <v>875000</v>
      </c>
      <c r="AM57" s="4">
        <v>900000</v>
      </c>
      <c r="AN57" s="4">
        <v>925000</v>
      </c>
      <c r="AO57" s="4">
        <v>950000</v>
      </c>
      <c r="AP57" s="4">
        <v>975000</v>
      </c>
      <c r="AQ57" s="4">
        <v>1000000</v>
      </c>
      <c r="AR57" s="4">
        <v>1025000</v>
      </c>
      <c r="AS57" s="4">
        <v>1050000</v>
      </c>
      <c r="AT57" s="4">
        <v>1075000</v>
      </c>
    </row>
    <row r="58" spans="2:46">
      <c r="B58" t="s">
        <v>23</v>
      </c>
      <c r="C58" s="2">
        <f>C57*0.06</f>
        <v>1500</v>
      </c>
      <c r="D58" s="2">
        <f>D57*0.06</f>
        <v>1500</v>
      </c>
      <c r="E58" s="2">
        <f t="shared" ref="E58:AT58" si="364">E57*0.06</f>
        <v>3000</v>
      </c>
      <c r="F58" s="2">
        <f t="shared" si="364"/>
        <v>4500</v>
      </c>
      <c r="G58" s="2">
        <f t="shared" si="364"/>
        <v>6000</v>
      </c>
      <c r="H58" s="2">
        <f t="shared" si="364"/>
        <v>7500</v>
      </c>
      <c r="I58" s="2">
        <f t="shared" si="364"/>
        <v>9000</v>
      </c>
      <c r="J58" s="2">
        <f t="shared" si="364"/>
        <v>10500</v>
      </c>
      <c r="K58" s="2">
        <f t="shared" si="364"/>
        <v>12000</v>
      </c>
      <c r="L58" s="2">
        <f t="shared" si="364"/>
        <v>13500</v>
      </c>
      <c r="M58" s="2">
        <f t="shared" si="364"/>
        <v>15000</v>
      </c>
      <c r="N58" s="2">
        <f t="shared" si="364"/>
        <v>16500</v>
      </c>
      <c r="O58" s="2">
        <f t="shared" si="364"/>
        <v>18000</v>
      </c>
      <c r="P58" s="2">
        <f t="shared" si="364"/>
        <v>19500</v>
      </c>
      <c r="Q58" s="2">
        <f t="shared" si="364"/>
        <v>21000</v>
      </c>
      <c r="R58" s="2">
        <f t="shared" si="364"/>
        <v>22500</v>
      </c>
      <c r="S58" s="2">
        <f t="shared" si="364"/>
        <v>24000</v>
      </c>
      <c r="T58" s="2">
        <f t="shared" si="364"/>
        <v>25500</v>
      </c>
      <c r="U58" s="2">
        <f t="shared" si="364"/>
        <v>27000</v>
      </c>
      <c r="V58" s="2">
        <f t="shared" si="364"/>
        <v>28500</v>
      </c>
      <c r="W58" s="2">
        <f t="shared" si="364"/>
        <v>30000</v>
      </c>
      <c r="X58" s="2">
        <f t="shared" si="364"/>
        <v>31500</v>
      </c>
      <c r="Y58" s="2">
        <f t="shared" si="364"/>
        <v>33000</v>
      </c>
      <c r="Z58" s="2">
        <f t="shared" si="364"/>
        <v>34500</v>
      </c>
      <c r="AA58" s="2">
        <f t="shared" si="364"/>
        <v>36000</v>
      </c>
      <c r="AB58" s="2">
        <f t="shared" si="364"/>
        <v>37500</v>
      </c>
      <c r="AC58" s="2">
        <f t="shared" si="364"/>
        <v>39000</v>
      </c>
      <c r="AD58" s="2">
        <f t="shared" si="364"/>
        <v>40500</v>
      </c>
      <c r="AE58" s="2">
        <f t="shared" si="364"/>
        <v>42000</v>
      </c>
      <c r="AF58" s="2">
        <f t="shared" si="364"/>
        <v>43500</v>
      </c>
      <c r="AG58" s="2">
        <f t="shared" si="364"/>
        <v>45000</v>
      </c>
      <c r="AH58" s="2">
        <f t="shared" si="364"/>
        <v>46500</v>
      </c>
      <c r="AI58" s="2">
        <f t="shared" si="364"/>
        <v>48000</v>
      </c>
      <c r="AJ58" s="2">
        <f t="shared" si="364"/>
        <v>49500</v>
      </c>
      <c r="AK58" s="2">
        <f t="shared" si="364"/>
        <v>51000</v>
      </c>
      <c r="AL58" s="2">
        <f t="shared" si="364"/>
        <v>52500</v>
      </c>
      <c r="AM58" s="2">
        <f t="shared" si="364"/>
        <v>54000</v>
      </c>
      <c r="AN58" s="2">
        <f t="shared" si="364"/>
        <v>55500</v>
      </c>
      <c r="AO58" s="2">
        <f t="shared" si="364"/>
        <v>57000</v>
      </c>
      <c r="AP58" s="2">
        <f t="shared" si="364"/>
        <v>58500</v>
      </c>
      <c r="AQ58" s="2">
        <f t="shared" si="364"/>
        <v>60000</v>
      </c>
      <c r="AR58" s="2">
        <f t="shared" si="364"/>
        <v>61500</v>
      </c>
      <c r="AS58" s="2">
        <f t="shared" si="364"/>
        <v>63000</v>
      </c>
      <c r="AT58" s="2">
        <f t="shared" si="364"/>
        <v>64500</v>
      </c>
    </row>
    <row r="59" spans="2:46">
      <c r="B59" t="s">
        <v>7</v>
      </c>
      <c r="C59" s="2">
        <f>(C57/1000)*C68</f>
        <v>300</v>
      </c>
      <c r="D59" s="2">
        <f>(D57/1000)*D68</f>
        <v>300</v>
      </c>
      <c r="E59" s="2">
        <f>(E57/1000)*E68</f>
        <v>600</v>
      </c>
      <c r="F59" s="2">
        <f>(F57/1000)*F68</f>
        <v>900</v>
      </c>
      <c r="G59" s="2">
        <f>(G57/1000)*G68</f>
        <v>1200</v>
      </c>
      <c r="H59" s="2">
        <f t="shared" ref="H59:I59" si="365">(H57/1000)*H68</f>
        <v>1500</v>
      </c>
      <c r="I59" s="2">
        <f t="shared" si="365"/>
        <v>1800</v>
      </c>
      <c r="J59" s="2">
        <f t="shared" ref="J59" si="366">(J57/1000)*J68</f>
        <v>2100</v>
      </c>
      <c r="K59" s="2">
        <f t="shared" ref="K59:AQ59" si="367">(K57/1000)*K68</f>
        <v>2400</v>
      </c>
      <c r="L59" s="2">
        <f t="shared" ref="L59:N59" si="368">(L57/1000)*L68</f>
        <v>2700</v>
      </c>
      <c r="M59" s="2">
        <f t="shared" si="368"/>
        <v>3000</v>
      </c>
      <c r="N59" s="2">
        <f t="shared" si="368"/>
        <v>3300</v>
      </c>
      <c r="O59" s="2">
        <f t="shared" si="367"/>
        <v>3600</v>
      </c>
      <c r="P59" s="2">
        <f t="shared" ref="P59:Q59" si="369">(P57/1000)*P68</f>
        <v>3900</v>
      </c>
      <c r="Q59" s="2">
        <f t="shared" si="369"/>
        <v>4200</v>
      </c>
      <c r="R59" s="2">
        <f t="shared" ref="R59" si="370">(R57/1000)*R68</f>
        <v>4500</v>
      </c>
      <c r="S59" s="2">
        <f t="shared" si="367"/>
        <v>4800</v>
      </c>
      <c r="T59" s="2">
        <f t="shared" ref="T59:V59" si="371">(T57/1000)*T68</f>
        <v>5100</v>
      </c>
      <c r="U59" s="2">
        <f t="shared" si="371"/>
        <v>5400</v>
      </c>
      <c r="V59" s="2">
        <f t="shared" si="371"/>
        <v>5700</v>
      </c>
      <c r="W59" s="2">
        <f t="shared" si="367"/>
        <v>6000</v>
      </c>
      <c r="X59" s="2">
        <f t="shared" ref="X59:Z59" si="372">(X57/1000)*X68</f>
        <v>6300</v>
      </c>
      <c r="Y59" s="2">
        <f t="shared" si="372"/>
        <v>6600</v>
      </c>
      <c r="Z59" s="2">
        <f t="shared" si="372"/>
        <v>6900</v>
      </c>
      <c r="AA59" s="2">
        <f t="shared" si="367"/>
        <v>7200</v>
      </c>
      <c r="AB59" s="2">
        <f t="shared" ref="AB59:AD59" si="373">(AB57/1000)*AB68</f>
        <v>7500</v>
      </c>
      <c r="AC59" s="2">
        <f t="shared" si="373"/>
        <v>7800</v>
      </c>
      <c r="AD59" s="2">
        <f t="shared" si="373"/>
        <v>8100</v>
      </c>
      <c r="AE59" s="2">
        <f t="shared" si="367"/>
        <v>8400</v>
      </c>
      <c r="AF59" s="2">
        <f t="shared" ref="AF59:AH59" si="374">(AF57/1000)*AF68</f>
        <v>8700</v>
      </c>
      <c r="AG59" s="2">
        <f t="shared" si="374"/>
        <v>9000</v>
      </c>
      <c r="AH59" s="2">
        <f t="shared" si="374"/>
        <v>9300</v>
      </c>
      <c r="AI59" s="2">
        <f t="shared" si="367"/>
        <v>9600</v>
      </c>
      <c r="AJ59" s="2">
        <f t="shared" ref="AJ59:AL59" si="375">(AJ57/1000)*AJ68</f>
        <v>9900</v>
      </c>
      <c r="AK59" s="2">
        <f t="shared" si="375"/>
        <v>10200</v>
      </c>
      <c r="AL59" s="2">
        <f t="shared" si="375"/>
        <v>10500</v>
      </c>
      <c r="AM59" s="2">
        <f t="shared" si="367"/>
        <v>10800</v>
      </c>
      <c r="AN59" s="2">
        <f t="shared" ref="AN59:AP59" si="376">(AN57/1000)*AN68</f>
        <v>11100</v>
      </c>
      <c r="AO59" s="2">
        <f t="shared" si="376"/>
        <v>11400</v>
      </c>
      <c r="AP59" s="2">
        <f t="shared" si="376"/>
        <v>11700</v>
      </c>
      <c r="AQ59" s="2">
        <f t="shared" si="367"/>
        <v>12000</v>
      </c>
      <c r="AR59" s="2">
        <f t="shared" ref="AR59:AS59" si="377">(AR57/1000)*AR68</f>
        <v>12300</v>
      </c>
      <c r="AS59" s="2">
        <f t="shared" si="377"/>
        <v>12600</v>
      </c>
      <c r="AT59" s="2">
        <f t="shared" ref="AT59" si="378">(AT57/1000)*AT68</f>
        <v>12900</v>
      </c>
    </row>
    <row r="60" spans="2:46">
      <c r="B60" t="s">
        <v>8</v>
      </c>
      <c r="C60" s="2">
        <f>'Data Entry'!C8</f>
        <v>5000</v>
      </c>
      <c r="D60" s="2"/>
      <c r="E60" s="2"/>
      <c r="F60" s="2"/>
      <c r="G60" s="2"/>
      <c r="H60" s="2"/>
      <c r="I60" s="2"/>
      <c r="J60" s="2"/>
      <c r="K60" s="2"/>
      <c r="L60" s="2"/>
      <c r="AA60" s="2"/>
      <c r="AB60" s="2"/>
      <c r="AC60" s="2"/>
      <c r="AD60" s="2"/>
      <c r="AE60" s="2"/>
      <c r="AF60" s="2"/>
      <c r="AG60" s="2"/>
      <c r="AH60" s="2"/>
      <c r="AI60" s="2"/>
      <c r="AJ60" s="2"/>
      <c r="AK60" s="2"/>
      <c r="AL60" s="2"/>
      <c r="AM60" s="2"/>
      <c r="AN60" s="2"/>
      <c r="AO60" s="2"/>
      <c r="AP60" s="2"/>
      <c r="AQ60" s="2"/>
      <c r="AR60" s="2"/>
      <c r="AS60" s="2"/>
      <c r="AT60" s="2"/>
    </row>
    <row r="61" spans="2:46">
      <c r="B61" t="s">
        <v>9</v>
      </c>
      <c r="C61" s="2">
        <f>'Data Entry'!C9</f>
        <v>0</v>
      </c>
      <c r="D61" s="2"/>
      <c r="E61" s="2"/>
      <c r="F61" s="2"/>
      <c r="G61" s="2"/>
      <c r="H61" s="2"/>
      <c r="I61" s="2"/>
      <c r="J61" s="2"/>
      <c r="K61" s="2"/>
      <c r="L61" s="2"/>
      <c r="AA61" s="2"/>
      <c r="AB61" s="2"/>
      <c r="AC61" s="2"/>
      <c r="AD61" s="2"/>
      <c r="AE61" s="2"/>
      <c r="AF61" s="2"/>
      <c r="AG61" s="2"/>
      <c r="AH61" s="2"/>
      <c r="AI61" s="2"/>
      <c r="AJ61" s="2"/>
      <c r="AK61" s="2"/>
      <c r="AL61" s="2"/>
      <c r="AM61" s="2"/>
      <c r="AN61" s="2"/>
      <c r="AO61" s="2"/>
      <c r="AP61" s="2"/>
      <c r="AQ61" s="2"/>
      <c r="AR61" s="2"/>
      <c r="AS61" s="2"/>
      <c r="AT61" s="2"/>
    </row>
    <row r="62" spans="2:46">
      <c r="B62" t="s">
        <v>10</v>
      </c>
      <c r="C62" s="2">
        <f t="shared" ref="C62:AT62" si="379">C67*C57*1</f>
        <v>187.5</v>
      </c>
      <c r="D62" s="2">
        <f t="shared" ref="D62" si="380">D67*D57*1</f>
        <v>187.5</v>
      </c>
      <c r="E62" s="2">
        <f t="shared" si="379"/>
        <v>375</v>
      </c>
      <c r="F62" s="2">
        <f t="shared" si="379"/>
        <v>562.5</v>
      </c>
      <c r="G62" s="2">
        <f t="shared" si="379"/>
        <v>750</v>
      </c>
      <c r="H62" s="2">
        <f t="shared" si="379"/>
        <v>937.5</v>
      </c>
      <c r="I62" s="2">
        <f t="shared" si="379"/>
        <v>1125</v>
      </c>
      <c r="J62" s="2">
        <f t="shared" si="379"/>
        <v>1312.5</v>
      </c>
      <c r="K62" s="2">
        <f t="shared" si="379"/>
        <v>1500</v>
      </c>
      <c r="L62" s="2">
        <f t="shared" si="379"/>
        <v>1687.5</v>
      </c>
      <c r="M62" s="2">
        <f t="shared" si="379"/>
        <v>1875</v>
      </c>
      <c r="N62" s="2">
        <f t="shared" si="379"/>
        <v>2062.5</v>
      </c>
      <c r="O62" s="2">
        <f t="shared" si="379"/>
        <v>2250</v>
      </c>
      <c r="P62" s="2">
        <f t="shared" si="379"/>
        <v>2437.5</v>
      </c>
      <c r="Q62" s="2">
        <f t="shared" si="379"/>
        <v>2625</v>
      </c>
      <c r="R62" s="2">
        <f t="shared" si="379"/>
        <v>2812.5</v>
      </c>
      <c r="S62" s="2">
        <f t="shared" si="379"/>
        <v>3000</v>
      </c>
      <c r="T62" s="2">
        <f t="shared" si="379"/>
        <v>3187.5</v>
      </c>
      <c r="U62" s="2">
        <f t="shared" si="379"/>
        <v>3375</v>
      </c>
      <c r="V62" s="2">
        <f t="shared" si="379"/>
        <v>3562.5</v>
      </c>
      <c r="W62" s="2">
        <f t="shared" si="379"/>
        <v>3750</v>
      </c>
      <c r="X62" s="2">
        <f t="shared" si="379"/>
        <v>3937.5</v>
      </c>
      <c r="Y62" s="2">
        <f t="shared" si="379"/>
        <v>4125</v>
      </c>
      <c r="Z62" s="2">
        <f t="shared" si="379"/>
        <v>4312.5</v>
      </c>
      <c r="AA62" s="2">
        <f t="shared" si="379"/>
        <v>4500</v>
      </c>
      <c r="AB62" s="2">
        <f t="shared" si="379"/>
        <v>4687.5</v>
      </c>
      <c r="AC62" s="2">
        <f t="shared" si="379"/>
        <v>4875</v>
      </c>
      <c r="AD62" s="2">
        <f t="shared" si="379"/>
        <v>5062.5</v>
      </c>
      <c r="AE62" s="2">
        <f t="shared" si="379"/>
        <v>5250</v>
      </c>
      <c r="AF62" s="2">
        <f t="shared" si="379"/>
        <v>5437.5</v>
      </c>
      <c r="AG62" s="2">
        <f t="shared" si="379"/>
        <v>5625</v>
      </c>
      <c r="AH62" s="2">
        <f t="shared" si="379"/>
        <v>5812.5</v>
      </c>
      <c r="AI62" s="2">
        <f t="shared" si="379"/>
        <v>6000</v>
      </c>
      <c r="AJ62" s="2">
        <f t="shared" si="379"/>
        <v>6187.5</v>
      </c>
      <c r="AK62" s="2">
        <f t="shared" si="379"/>
        <v>6375</v>
      </c>
      <c r="AL62" s="2">
        <f t="shared" si="379"/>
        <v>6562.5</v>
      </c>
      <c r="AM62" s="2">
        <f t="shared" si="379"/>
        <v>6750</v>
      </c>
      <c r="AN62" s="2">
        <f t="shared" si="379"/>
        <v>6937.5</v>
      </c>
      <c r="AO62" s="2">
        <f t="shared" si="379"/>
        <v>7125</v>
      </c>
      <c r="AP62" s="2">
        <f t="shared" si="379"/>
        <v>7312.5</v>
      </c>
      <c r="AQ62" s="2">
        <f t="shared" si="379"/>
        <v>7500</v>
      </c>
      <c r="AR62" s="2">
        <f t="shared" si="379"/>
        <v>7687.5</v>
      </c>
      <c r="AS62" s="2">
        <f t="shared" si="379"/>
        <v>7875</v>
      </c>
      <c r="AT62" s="2">
        <f t="shared" si="379"/>
        <v>8062.5</v>
      </c>
    </row>
    <row r="63" spans="2:46">
      <c r="B63" t="s">
        <v>24</v>
      </c>
      <c r="C63" s="2">
        <f>SUM(C57:C62)</f>
        <v>31987.5</v>
      </c>
      <c r="D63" s="2">
        <f>SUM(D57:D62)</f>
        <v>26987.5</v>
      </c>
      <c r="E63" s="2">
        <f>SUM(E57:E62)</f>
        <v>53975</v>
      </c>
      <c r="F63" s="2">
        <f>SUM(F57:F62)</f>
        <v>80962.5</v>
      </c>
      <c r="G63" s="2">
        <f>SUM(G57:G62)</f>
        <v>107950</v>
      </c>
      <c r="H63" s="2">
        <f t="shared" ref="H63:I63" si="381">SUM(H57:H62)</f>
        <v>134937.5</v>
      </c>
      <c r="I63" s="2">
        <f t="shared" si="381"/>
        <v>161925</v>
      </c>
      <c r="J63" s="2">
        <f t="shared" ref="J63" si="382">SUM(J57:J62)</f>
        <v>188912.5</v>
      </c>
      <c r="K63" s="2">
        <f t="shared" ref="K63:AQ63" si="383">SUM(K57:K62)</f>
        <v>215900</v>
      </c>
      <c r="L63" s="2">
        <f t="shared" ref="L63:N63" si="384">SUM(L57:L62)</f>
        <v>242887.5</v>
      </c>
      <c r="M63" s="2">
        <f t="shared" si="384"/>
        <v>269875</v>
      </c>
      <c r="N63" s="2">
        <f t="shared" si="384"/>
        <v>296862.5</v>
      </c>
      <c r="O63" s="2">
        <f t="shared" si="383"/>
        <v>323850</v>
      </c>
      <c r="P63" s="2">
        <f t="shared" ref="P63:Q63" si="385">SUM(P57:P62)</f>
        <v>350837.5</v>
      </c>
      <c r="Q63" s="2">
        <f t="shared" si="385"/>
        <v>377825</v>
      </c>
      <c r="R63" s="2">
        <f t="shared" ref="R63" si="386">SUM(R57:R62)</f>
        <v>404812.5</v>
      </c>
      <c r="S63" s="2">
        <f t="shared" si="383"/>
        <v>431800</v>
      </c>
      <c r="T63" s="2">
        <f t="shared" ref="T63:V63" si="387">SUM(T57:T62)</f>
        <v>458787.5</v>
      </c>
      <c r="U63" s="2">
        <f t="shared" si="387"/>
        <v>485775</v>
      </c>
      <c r="V63" s="2">
        <f t="shared" si="387"/>
        <v>512762.5</v>
      </c>
      <c r="W63" s="2">
        <f t="shared" si="383"/>
        <v>539750</v>
      </c>
      <c r="X63" s="2">
        <f t="shared" ref="X63:Z63" si="388">SUM(X57:X62)</f>
        <v>566737.5</v>
      </c>
      <c r="Y63" s="2">
        <f t="shared" si="388"/>
        <v>593725</v>
      </c>
      <c r="Z63" s="2">
        <f t="shared" si="388"/>
        <v>620712.5</v>
      </c>
      <c r="AA63" s="2">
        <f t="shared" si="383"/>
        <v>647700</v>
      </c>
      <c r="AB63" s="2">
        <f t="shared" ref="AB63:AD63" si="389">SUM(AB57:AB62)</f>
        <v>674687.5</v>
      </c>
      <c r="AC63" s="2">
        <f t="shared" si="389"/>
        <v>701675</v>
      </c>
      <c r="AD63" s="2">
        <f t="shared" si="389"/>
        <v>728662.5</v>
      </c>
      <c r="AE63" s="2">
        <f t="shared" si="383"/>
        <v>755650</v>
      </c>
      <c r="AF63" s="2">
        <f t="shared" ref="AF63:AH63" si="390">SUM(AF57:AF62)</f>
        <v>782637.5</v>
      </c>
      <c r="AG63" s="2">
        <f t="shared" si="390"/>
        <v>809625</v>
      </c>
      <c r="AH63" s="2">
        <f t="shared" si="390"/>
        <v>836612.5</v>
      </c>
      <c r="AI63" s="2">
        <f t="shared" si="383"/>
        <v>863600</v>
      </c>
      <c r="AJ63" s="2">
        <f t="shared" ref="AJ63:AL63" si="391">SUM(AJ57:AJ62)</f>
        <v>890587.5</v>
      </c>
      <c r="AK63" s="2">
        <f t="shared" si="391"/>
        <v>917575</v>
      </c>
      <c r="AL63" s="2">
        <f t="shared" si="391"/>
        <v>944562.5</v>
      </c>
      <c r="AM63" s="2">
        <f t="shared" si="383"/>
        <v>971550</v>
      </c>
      <c r="AN63" s="2">
        <f t="shared" ref="AN63:AP63" si="392">SUM(AN57:AN62)</f>
        <v>998537.5</v>
      </c>
      <c r="AO63" s="2">
        <f t="shared" si="392"/>
        <v>1025525</v>
      </c>
      <c r="AP63" s="2">
        <f t="shared" si="392"/>
        <v>1052512.5</v>
      </c>
      <c r="AQ63" s="2">
        <f t="shared" si="383"/>
        <v>1079500</v>
      </c>
      <c r="AR63" s="2">
        <f t="shared" ref="AR63:AS63" si="393">SUM(AR57:AR62)</f>
        <v>1106487.5</v>
      </c>
      <c r="AS63" s="2">
        <f t="shared" si="393"/>
        <v>1133475</v>
      </c>
      <c r="AT63" s="2">
        <f t="shared" ref="AT63" si="394">SUM(AT57:AT62)</f>
        <v>1160462.5</v>
      </c>
    </row>
    <row r="64" spans="2:46">
      <c r="B64" s="12" t="s">
        <v>25</v>
      </c>
      <c r="C64" s="13">
        <v>0.09</v>
      </c>
      <c r="D64" s="13">
        <v>0.09</v>
      </c>
      <c r="E64" s="13">
        <f>C64</f>
        <v>0.09</v>
      </c>
      <c r="F64" s="13">
        <f>E64</f>
        <v>0.09</v>
      </c>
      <c r="G64" s="13">
        <f t="shared" ref="G64:AT64" si="395">F64</f>
        <v>0.09</v>
      </c>
      <c r="H64" s="13">
        <f t="shared" si="395"/>
        <v>0.09</v>
      </c>
      <c r="I64" s="13">
        <f t="shared" si="395"/>
        <v>0.09</v>
      </c>
      <c r="J64" s="13">
        <f t="shared" si="395"/>
        <v>0.09</v>
      </c>
      <c r="K64" s="13">
        <f t="shared" si="395"/>
        <v>0.09</v>
      </c>
      <c r="L64" s="13">
        <f t="shared" si="395"/>
        <v>0.09</v>
      </c>
      <c r="M64" s="13">
        <f t="shared" si="395"/>
        <v>0.09</v>
      </c>
      <c r="N64" s="13">
        <f t="shared" si="395"/>
        <v>0.09</v>
      </c>
      <c r="O64" s="13">
        <f t="shared" si="395"/>
        <v>0.09</v>
      </c>
      <c r="P64" s="13">
        <f t="shared" si="395"/>
        <v>0.09</v>
      </c>
      <c r="Q64" s="13">
        <f t="shared" si="395"/>
        <v>0.09</v>
      </c>
      <c r="R64" s="13">
        <f t="shared" si="395"/>
        <v>0.09</v>
      </c>
      <c r="S64" s="13">
        <f t="shared" si="395"/>
        <v>0.09</v>
      </c>
      <c r="T64" s="13">
        <f t="shared" si="395"/>
        <v>0.09</v>
      </c>
      <c r="U64" s="13">
        <f t="shared" si="395"/>
        <v>0.09</v>
      </c>
      <c r="V64" s="13">
        <f t="shared" si="395"/>
        <v>0.09</v>
      </c>
      <c r="W64" s="13">
        <f t="shared" si="395"/>
        <v>0.09</v>
      </c>
      <c r="X64" s="13">
        <f t="shared" si="395"/>
        <v>0.09</v>
      </c>
      <c r="Y64" s="13">
        <f t="shared" si="395"/>
        <v>0.09</v>
      </c>
      <c r="Z64" s="13">
        <f t="shared" si="395"/>
        <v>0.09</v>
      </c>
      <c r="AA64" s="13">
        <f t="shared" si="395"/>
        <v>0.09</v>
      </c>
      <c r="AB64" s="13">
        <f t="shared" si="395"/>
        <v>0.09</v>
      </c>
      <c r="AC64" s="13">
        <f t="shared" si="395"/>
        <v>0.09</v>
      </c>
      <c r="AD64" s="13">
        <f t="shared" si="395"/>
        <v>0.09</v>
      </c>
      <c r="AE64" s="13">
        <f t="shared" si="395"/>
        <v>0.09</v>
      </c>
      <c r="AF64" s="13">
        <f t="shared" si="395"/>
        <v>0.09</v>
      </c>
      <c r="AG64" s="13">
        <f t="shared" si="395"/>
        <v>0.09</v>
      </c>
      <c r="AH64" s="13">
        <f t="shared" si="395"/>
        <v>0.09</v>
      </c>
      <c r="AI64" s="13">
        <f t="shared" si="395"/>
        <v>0.09</v>
      </c>
      <c r="AJ64" s="13">
        <f t="shared" si="395"/>
        <v>0.09</v>
      </c>
      <c r="AK64" s="13">
        <f t="shared" si="395"/>
        <v>0.09</v>
      </c>
      <c r="AL64" s="13">
        <f t="shared" si="395"/>
        <v>0.09</v>
      </c>
      <c r="AM64" s="13">
        <f t="shared" si="395"/>
        <v>0.09</v>
      </c>
      <c r="AN64" s="13">
        <f t="shared" si="395"/>
        <v>0.09</v>
      </c>
      <c r="AO64" s="13">
        <f t="shared" si="395"/>
        <v>0.09</v>
      </c>
      <c r="AP64" s="13">
        <f t="shared" si="395"/>
        <v>0.09</v>
      </c>
      <c r="AQ64" s="13">
        <f t="shared" si="395"/>
        <v>0.09</v>
      </c>
      <c r="AR64" s="13">
        <f t="shared" si="395"/>
        <v>0.09</v>
      </c>
      <c r="AS64" s="13">
        <f t="shared" si="395"/>
        <v>0.09</v>
      </c>
      <c r="AT64" s="13">
        <f t="shared" si="395"/>
        <v>0.09</v>
      </c>
    </row>
    <row r="65" spans="2:46">
      <c r="B65" s="6" t="s">
        <v>26</v>
      </c>
      <c r="C65" s="6">
        <f>(1+C64/C68)^C68-1</f>
        <v>9.3806897670984268E-2</v>
      </c>
      <c r="D65" s="6">
        <f>(1+D64/D68)^D68-1</f>
        <v>9.3806897670984268E-2</v>
      </c>
      <c r="E65" s="6">
        <f>(1+E64/E68)^E68-1</f>
        <v>9.3806897670984268E-2</v>
      </c>
      <c r="F65" s="6">
        <f>(1+F64/F68)^F68-1</f>
        <v>9.3806897670984268E-2</v>
      </c>
      <c r="G65" s="6">
        <f t="shared" ref="G65:AT65" si="396">(1+G64/G68)^G68-1</f>
        <v>9.3806897670984268E-2</v>
      </c>
      <c r="H65" s="6">
        <f t="shared" si="396"/>
        <v>9.3806897670984268E-2</v>
      </c>
      <c r="I65" s="6">
        <f t="shared" si="396"/>
        <v>9.3806897670984268E-2</v>
      </c>
      <c r="J65" s="6">
        <f t="shared" si="396"/>
        <v>9.3806897670984268E-2</v>
      </c>
      <c r="K65" s="6">
        <f t="shared" si="396"/>
        <v>9.3806897670984268E-2</v>
      </c>
      <c r="L65" s="6">
        <f t="shared" si="396"/>
        <v>9.3806897670984268E-2</v>
      </c>
      <c r="M65" s="6">
        <f t="shared" si="396"/>
        <v>9.3806897670984268E-2</v>
      </c>
      <c r="N65" s="6">
        <f t="shared" si="396"/>
        <v>9.3806897670984268E-2</v>
      </c>
      <c r="O65" s="6">
        <f t="shared" si="396"/>
        <v>9.3806897670984268E-2</v>
      </c>
      <c r="P65" s="6">
        <f t="shared" si="396"/>
        <v>9.3806897670984268E-2</v>
      </c>
      <c r="Q65" s="6">
        <f t="shared" si="396"/>
        <v>9.3806897670984268E-2</v>
      </c>
      <c r="R65" s="6">
        <f t="shared" si="396"/>
        <v>9.3806897670984268E-2</v>
      </c>
      <c r="S65" s="6">
        <f t="shared" si="396"/>
        <v>9.3806897670984268E-2</v>
      </c>
      <c r="T65" s="6">
        <f t="shared" si="396"/>
        <v>9.3806897670984268E-2</v>
      </c>
      <c r="U65" s="6">
        <f t="shared" si="396"/>
        <v>9.3806897670984268E-2</v>
      </c>
      <c r="V65" s="6">
        <f t="shared" si="396"/>
        <v>9.3806897670984268E-2</v>
      </c>
      <c r="W65" s="6">
        <f t="shared" si="396"/>
        <v>9.3806897670984268E-2</v>
      </c>
      <c r="X65" s="6">
        <f t="shared" si="396"/>
        <v>9.3806897670984268E-2</v>
      </c>
      <c r="Y65" s="6">
        <f t="shared" si="396"/>
        <v>9.3806897670984268E-2</v>
      </c>
      <c r="Z65" s="6">
        <f t="shared" si="396"/>
        <v>9.3806897670984268E-2</v>
      </c>
      <c r="AA65" s="6">
        <f t="shared" si="396"/>
        <v>9.3806897670984268E-2</v>
      </c>
      <c r="AB65" s="6">
        <f t="shared" si="396"/>
        <v>9.3806897670984268E-2</v>
      </c>
      <c r="AC65" s="6">
        <f t="shared" si="396"/>
        <v>9.3806897670984268E-2</v>
      </c>
      <c r="AD65" s="6">
        <f t="shared" si="396"/>
        <v>9.3806897670984268E-2</v>
      </c>
      <c r="AE65" s="6">
        <f t="shared" si="396"/>
        <v>9.3806897670984268E-2</v>
      </c>
      <c r="AF65" s="6">
        <f t="shared" si="396"/>
        <v>9.3806897670984268E-2</v>
      </c>
      <c r="AG65" s="6">
        <f t="shared" si="396"/>
        <v>9.3806897670984268E-2</v>
      </c>
      <c r="AH65" s="6">
        <f t="shared" si="396"/>
        <v>9.3806897670984268E-2</v>
      </c>
      <c r="AI65" s="6">
        <f t="shared" si="396"/>
        <v>9.3806897670984268E-2</v>
      </c>
      <c r="AJ65" s="6">
        <f t="shared" si="396"/>
        <v>9.3806897670984268E-2</v>
      </c>
      <c r="AK65" s="6">
        <f t="shared" si="396"/>
        <v>9.3806897670984268E-2</v>
      </c>
      <c r="AL65" s="6">
        <f t="shared" si="396"/>
        <v>9.3806897670984268E-2</v>
      </c>
      <c r="AM65" s="6">
        <f t="shared" si="396"/>
        <v>9.3806897670984268E-2</v>
      </c>
      <c r="AN65" s="6">
        <f t="shared" si="396"/>
        <v>9.3806897670984268E-2</v>
      </c>
      <c r="AO65" s="6">
        <f t="shared" si="396"/>
        <v>9.3806897670984268E-2</v>
      </c>
      <c r="AP65" s="6">
        <f t="shared" si="396"/>
        <v>9.3806897670984268E-2</v>
      </c>
      <c r="AQ65" s="6">
        <f t="shared" si="396"/>
        <v>9.3806897670984268E-2</v>
      </c>
      <c r="AR65" s="6">
        <f t="shared" si="396"/>
        <v>9.3806897670984268E-2</v>
      </c>
      <c r="AS65" s="6">
        <f t="shared" si="396"/>
        <v>9.3806897670984268E-2</v>
      </c>
      <c r="AT65" s="6">
        <f t="shared" si="396"/>
        <v>9.3806897670984268E-2</v>
      </c>
    </row>
    <row r="66" spans="2:46">
      <c r="B66" t="s">
        <v>27</v>
      </c>
      <c r="C66" s="7">
        <v>1</v>
      </c>
      <c r="D66" s="7">
        <v>1</v>
      </c>
      <c r="E66" s="7">
        <v>1</v>
      </c>
      <c r="F66" s="7">
        <v>1</v>
      </c>
      <c r="G66" s="7">
        <v>1</v>
      </c>
      <c r="H66" s="7">
        <v>1</v>
      </c>
      <c r="I66" s="7">
        <v>1</v>
      </c>
      <c r="J66" s="7">
        <v>1</v>
      </c>
      <c r="K66" s="7">
        <f>G66</f>
        <v>1</v>
      </c>
      <c r="L66" s="7">
        <f>H66</f>
        <v>1</v>
      </c>
      <c r="M66" s="7">
        <f>J66</f>
        <v>1</v>
      </c>
      <c r="N66" s="7">
        <f t="shared" ref="N66:AP66" si="397">J66</f>
        <v>1</v>
      </c>
      <c r="O66" s="7">
        <f t="shared" si="397"/>
        <v>1</v>
      </c>
      <c r="P66" s="7">
        <f t="shared" si="397"/>
        <v>1</v>
      </c>
      <c r="Q66" s="7">
        <f t="shared" si="397"/>
        <v>1</v>
      </c>
      <c r="R66" s="7">
        <f t="shared" si="397"/>
        <v>1</v>
      </c>
      <c r="S66" s="7">
        <f t="shared" si="397"/>
        <v>1</v>
      </c>
      <c r="T66" s="7">
        <f t="shared" si="397"/>
        <v>1</v>
      </c>
      <c r="U66" s="7">
        <f t="shared" si="397"/>
        <v>1</v>
      </c>
      <c r="V66" s="7">
        <f t="shared" si="397"/>
        <v>1</v>
      </c>
      <c r="W66" s="7">
        <f t="shared" si="397"/>
        <v>1</v>
      </c>
      <c r="X66" s="7">
        <f t="shared" si="397"/>
        <v>1</v>
      </c>
      <c r="Y66" s="7">
        <f t="shared" si="397"/>
        <v>1</v>
      </c>
      <c r="Z66" s="7">
        <f t="shared" si="397"/>
        <v>1</v>
      </c>
      <c r="AA66" s="7">
        <f t="shared" si="397"/>
        <v>1</v>
      </c>
      <c r="AB66" s="7">
        <f t="shared" si="397"/>
        <v>1</v>
      </c>
      <c r="AC66" s="7">
        <f t="shared" si="397"/>
        <v>1</v>
      </c>
      <c r="AD66" s="7">
        <f t="shared" si="397"/>
        <v>1</v>
      </c>
      <c r="AE66" s="7">
        <f t="shared" si="397"/>
        <v>1</v>
      </c>
      <c r="AF66" s="7">
        <f t="shared" si="397"/>
        <v>1</v>
      </c>
      <c r="AG66" s="7">
        <f t="shared" si="397"/>
        <v>1</v>
      </c>
      <c r="AH66" s="7">
        <f t="shared" si="397"/>
        <v>1</v>
      </c>
      <c r="AI66" s="7">
        <f t="shared" si="397"/>
        <v>1</v>
      </c>
      <c r="AJ66" s="7">
        <f t="shared" si="397"/>
        <v>1</v>
      </c>
      <c r="AK66" s="7">
        <f t="shared" si="397"/>
        <v>1</v>
      </c>
      <c r="AL66" s="7">
        <f t="shared" si="397"/>
        <v>1</v>
      </c>
      <c r="AM66" s="7">
        <f t="shared" si="397"/>
        <v>1</v>
      </c>
      <c r="AN66" s="7">
        <f t="shared" si="397"/>
        <v>1</v>
      </c>
      <c r="AO66" s="7">
        <f t="shared" si="397"/>
        <v>1</v>
      </c>
      <c r="AP66" s="7">
        <f t="shared" si="397"/>
        <v>1</v>
      </c>
      <c r="AQ66" s="7">
        <f t="shared" ref="AQ66:AT66" si="398">AM66</f>
        <v>1</v>
      </c>
      <c r="AR66" s="7">
        <f t="shared" si="398"/>
        <v>1</v>
      </c>
      <c r="AS66" s="7">
        <f t="shared" si="398"/>
        <v>1</v>
      </c>
      <c r="AT66" s="7">
        <f t="shared" si="398"/>
        <v>1</v>
      </c>
    </row>
    <row r="67" spans="2:46">
      <c r="B67" t="s">
        <v>28</v>
      </c>
      <c r="C67" s="11">
        <f>C64/12</f>
        <v>7.4999999999999997E-3</v>
      </c>
      <c r="D67" s="11">
        <f>D64/12</f>
        <v>7.4999999999999997E-3</v>
      </c>
      <c r="E67" s="11">
        <f>E64/12</f>
        <v>7.4999999999999997E-3</v>
      </c>
      <c r="F67" s="11">
        <f>F64/12</f>
        <v>7.4999999999999997E-3</v>
      </c>
      <c r="G67" s="11">
        <f>G64/12</f>
        <v>7.4999999999999997E-3</v>
      </c>
      <c r="H67" s="11">
        <f t="shared" ref="H67:I67" si="399">H64/12</f>
        <v>7.4999999999999997E-3</v>
      </c>
      <c r="I67" s="11">
        <f t="shared" si="399"/>
        <v>7.4999999999999997E-3</v>
      </c>
      <c r="J67" s="11">
        <f t="shared" ref="J67" si="400">J64/12</f>
        <v>7.4999999999999997E-3</v>
      </c>
      <c r="K67" s="11">
        <f t="shared" ref="K67:AQ67" si="401">K64/12</f>
        <v>7.4999999999999997E-3</v>
      </c>
      <c r="L67" s="11">
        <f t="shared" ref="L67:N67" si="402">L64/12</f>
        <v>7.4999999999999997E-3</v>
      </c>
      <c r="M67" s="11">
        <f t="shared" si="402"/>
        <v>7.4999999999999997E-3</v>
      </c>
      <c r="N67" s="11">
        <f t="shared" si="402"/>
        <v>7.4999999999999997E-3</v>
      </c>
      <c r="O67" s="11">
        <f t="shared" si="401"/>
        <v>7.4999999999999997E-3</v>
      </c>
      <c r="P67" s="11">
        <f t="shared" ref="P67:Q67" si="403">P64/12</f>
        <v>7.4999999999999997E-3</v>
      </c>
      <c r="Q67" s="11">
        <f t="shared" si="403"/>
        <v>7.4999999999999997E-3</v>
      </c>
      <c r="R67" s="11">
        <f t="shared" ref="R67" si="404">R64/12</f>
        <v>7.4999999999999997E-3</v>
      </c>
      <c r="S67" s="11">
        <f t="shared" si="401"/>
        <v>7.4999999999999997E-3</v>
      </c>
      <c r="T67" s="11">
        <f t="shared" ref="T67:V67" si="405">T64/12</f>
        <v>7.4999999999999997E-3</v>
      </c>
      <c r="U67" s="11">
        <f t="shared" si="405"/>
        <v>7.4999999999999997E-3</v>
      </c>
      <c r="V67" s="11">
        <f t="shared" si="405"/>
        <v>7.4999999999999997E-3</v>
      </c>
      <c r="W67" s="11">
        <f t="shared" si="401"/>
        <v>7.4999999999999997E-3</v>
      </c>
      <c r="X67" s="11">
        <f t="shared" ref="X67:Z67" si="406">X64/12</f>
        <v>7.4999999999999997E-3</v>
      </c>
      <c r="Y67" s="11">
        <f t="shared" si="406"/>
        <v>7.4999999999999997E-3</v>
      </c>
      <c r="Z67" s="11">
        <f t="shared" si="406"/>
        <v>7.4999999999999997E-3</v>
      </c>
      <c r="AA67" s="11">
        <f t="shared" si="401"/>
        <v>7.4999999999999997E-3</v>
      </c>
      <c r="AB67" s="11">
        <f t="shared" ref="AB67:AD67" si="407">AB64/12</f>
        <v>7.4999999999999997E-3</v>
      </c>
      <c r="AC67" s="11">
        <f t="shared" si="407"/>
        <v>7.4999999999999997E-3</v>
      </c>
      <c r="AD67" s="11">
        <f t="shared" si="407"/>
        <v>7.4999999999999997E-3</v>
      </c>
      <c r="AE67" s="11">
        <f t="shared" si="401"/>
        <v>7.4999999999999997E-3</v>
      </c>
      <c r="AF67" s="11">
        <f t="shared" ref="AF67:AH67" si="408">AF64/12</f>
        <v>7.4999999999999997E-3</v>
      </c>
      <c r="AG67" s="11">
        <f t="shared" si="408"/>
        <v>7.4999999999999997E-3</v>
      </c>
      <c r="AH67" s="11">
        <f t="shared" si="408"/>
        <v>7.4999999999999997E-3</v>
      </c>
      <c r="AI67" s="11">
        <f t="shared" si="401"/>
        <v>7.4999999999999997E-3</v>
      </c>
      <c r="AJ67" s="11">
        <f t="shared" ref="AJ67:AL67" si="409">AJ64/12</f>
        <v>7.4999999999999997E-3</v>
      </c>
      <c r="AK67" s="11">
        <f t="shared" si="409"/>
        <v>7.4999999999999997E-3</v>
      </c>
      <c r="AL67" s="11">
        <f t="shared" si="409"/>
        <v>7.4999999999999997E-3</v>
      </c>
      <c r="AM67" s="11">
        <f t="shared" si="401"/>
        <v>7.4999999999999997E-3</v>
      </c>
      <c r="AN67" s="11">
        <f t="shared" ref="AN67:AP67" si="410">AN64/12</f>
        <v>7.4999999999999997E-3</v>
      </c>
      <c r="AO67" s="11">
        <f t="shared" si="410"/>
        <v>7.4999999999999997E-3</v>
      </c>
      <c r="AP67" s="11">
        <f t="shared" si="410"/>
        <v>7.4999999999999997E-3</v>
      </c>
      <c r="AQ67" s="11">
        <f t="shared" si="401"/>
        <v>7.4999999999999997E-3</v>
      </c>
      <c r="AR67" s="11">
        <f t="shared" ref="AR67:AS67" si="411">AR64/12</f>
        <v>7.4999999999999997E-3</v>
      </c>
      <c r="AS67" s="11">
        <f t="shared" si="411"/>
        <v>7.4999999999999997E-3</v>
      </c>
      <c r="AT67" s="11">
        <f t="shared" ref="AT67" si="412">AT64/12</f>
        <v>7.4999999999999997E-3</v>
      </c>
    </row>
    <row r="68" spans="2:46">
      <c r="B68" t="s">
        <v>29</v>
      </c>
      <c r="C68" s="7">
        <f>C66*12</f>
        <v>12</v>
      </c>
      <c r="D68" s="7">
        <f>D66*12</f>
        <v>12</v>
      </c>
      <c r="E68" s="7">
        <f>E66*12</f>
        <v>12</v>
      </c>
      <c r="F68" s="7">
        <f>F66*12</f>
        <v>12</v>
      </c>
      <c r="G68" s="7">
        <f>G66*12</f>
        <v>12</v>
      </c>
      <c r="H68" s="7">
        <f t="shared" ref="H68:I68" si="413">H66*12</f>
        <v>12</v>
      </c>
      <c r="I68" s="7">
        <f t="shared" si="413"/>
        <v>12</v>
      </c>
      <c r="J68" s="7">
        <f t="shared" ref="J68" si="414">J66*12</f>
        <v>12</v>
      </c>
      <c r="K68" s="7">
        <f t="shared" ref="K68:AQ68" si="415">K66*12</f>
        <v>12</v>
      </c>
      <c r="L68" s="7">
        <f t="shared" ref="L68:N68" si="416">L66*12</f>
        <v>12</v>
      </c>
      <c r="M68" s="7">
        <f t="shared" si="416"/>
        <v>12</v>
      </c>
      <c r="N68" s="7">
        <f t="shared" si="416"/>
        <v>12</v>
      </c>
      <c r="O68" s="7">
        <f t="shared" si="415"/>
        <v>12</v>
      </c>
      <c r="P68" s="7">
        <f t="shared" ref="P68:Q68" si="417">P66*12</f>
        <v>12</v>
      </c>
      <c r="Q68" s="7">
        <f t="shared" si="417"/>
        <v>12</v>
      </c>
      <c r="R68" s="7">
        <f t="shared" ref="R68" si="418">R66*12</f>
        <v>12</v>
      </c>
      <c r="S68" s="7">
        <f t="shared" si="415"/>
        <v>12</v>
      </c>
      <c r="T68" s="7">
        <f t="shared" ref="T68:V68" si="419">T66*12</f>
        <v>12</v>
      </c>
      <c r="U68" s="7">
        <f t="shared" si="419"/>
        <v>12</v>
      </c>
      <c r="V68" s="7">
        <f t="shared" si="419"/>
        <v>12</v>
      </c>
      <c r="W68" s="7">
        <f t="shared" si="415"/>
        <v>12</v>
      </c>
      <c r="X68" s="7">
        <f t="shared" ref="X68:Z68" si="420">X66*12</f>
        <v>12</v>
      </c>
      <c r="Y68" s="7">
        <f t="shared" si="420"/>
        <v>12</v>
      </c>
      <c r="Z68" s="7">
        <f t="shared" si="420"/>
        <v>12</v>
      </c>
      <c r="AA68" s="7">
        <f t="shared" si="415"/>
        <v>12</v>
      </c>
      <c r="AB68" s="7">
        <f t="shared" ref="AB68:AD68" si="421">AB66*12</f>
        <v>12</v>
      </c>
      <c r="AC68" s="7">
        <f t="shared" si="421"/>
        <v>12</v>
      </c>
      <c r="AD68" s="7">
        <f t="shared" si="421"/>
        <v>12</v>
      </c>
      <c r="AE68" s="7">
        <f t="shared" si="415"/>
        <v>12</v>
      </c>
      <c r="AF68" s="7">
        <f t="shared" ref="AF68:AH68" si="422">AF66*12</f>
        <v>12</v>
      </c>
      <c r="AG68" s="7">
        <f t="shared" si="422"/>
        <v>12</v>
      </c>
      <c r="AH68" s="7">
        <f t="shared" si="422"/>
        <v>12</v>
      </c>
      <c r="AI68" s="7">
        <f t="shared" si="415"/>
        <v>12</v>
      </c>
      <c r="AJ68" s="7">
        <f t="shared" ref="AJ68:AL68" si="423">AJ66*12</f>
        <v>12</v>
      </c>
      <c r="AK68" s="7">
        <f t="shared" si="423"/>
        <v>12</v>
      </c>
      <c r="AL68" s="7">
        <f t="shared" si="423"/>
        <v>12</v>
      </c>
      <c r="AM68" s="7">
        <f t="shared" si="415"/>
        <v>12</v>
      </c>
      <c r="AN68" s="7">
        <f t="shared" ref="AN68:AP68" si="424">AN66*12</f>
        <v>12</v>
      </c>
      <c r="AO68" s="7">
        <f t="shared" si="424"/>
        <v>12</v>
      </c>
      <c r="AP68" s="7">
        <f t="shared" si="424"/>
        <v>12</v>
      </c>
      <c r="AQ68" s="7">
        <f t="shared" si="415"/>
        <v>12</v>
      </c>
      <c r="AR68" s="7">
        <f t="shared" ref="AR68:AS68" si="425">AR66*12</f>
        <v>12</v>
      </c>
      <c r="AS68" s="7">
        <f t="shared" si="425"/>
        <v>12</v>
      </c>
      <c r="AT68" s="7">
        <f t="shared" ref="AT68" si="426">AT66*12</f>
        <v>12</v>
      </c>
    </row>
    <row r="69" spans="2:46">
      <c r="C69" s="2"/>
      <c r="D69" s="2"/>
      <c r="E69" s="2"/>
      <c r="F69" s="2"/>
      <c r="G69" s="2"/>
      <c r="H69" s="2"/>
      <c r="I69" s="2"/>
      <c r="J69" s="2"/>
      <c r="K69" s="2"/>
      <c r="L69" s="2"/>
      <c r="AA69" s="2"/>
      <c r="AB69" s="2"/>
      <c r="AC69" s="2"/>
      <c r="AD69" s="2"/>
      <c r="AE69" s="2"/>
      <c r="AF69" s="2"/>
      <c r="AG69" s="2"/>
      <c r="AH69" s="2"/>
      <c r="AI69" s="2"/>
      <c r="AJ69" s="2"/>
      <c r="AK69" s="2"/>
      <c r="AL69" s="2"/>
      <c r="AM69" s="2"/>
      <c r="AN69" s="2"/>
      <c r="AO69" s="2"/>
      <c r="AP69" s="2"/>
      <c r="AQ69" s="2"/>
      <c r="AR69" s="2"/>
      <c r="AS69" s="2"/>
      <c r="AT69" s="2"/>
    </row>
    <row r="70" spans="2:46">
      <c r="B70" t="s">
        <v>14</v>
      </c>
      <c r="C70" s="8">
        <f>(1+C67)^C68</f>
        <v>1.0938068976709843</v>
      </c>
      <c r="D70" s="8">
        <f>(1+D67)^D68</f>
        <v>1.0938068976709843</v>
      </c>
      <c r="E70" s="8">
        <f>(1+E67)^E68</f>
        <v>1.0938068976709843</v>
      </c>
      <c r="F70" s="8">
        <f>(1+F67)^F68</f>
        <v>1.0938068976709843</v>
      </c>
      <c r="G70" s="8">
        <f>(1+G67)^G68</f>
        <v>1.0938068976709843</v>
      </c>
      <c r="H70" s="8">
        <f t="shared" ref="H70:I70" si="427">(1+H67)^H68</f>
        <v>1.0938068976709843</v>
      </c>
      <c r="I70" s="8">
        <f t="shared" si="427"/>
        <v>1.0938068976709843</v>
      </c>
      <c r="J70" s="8">
        <f t="shared" ref="J70" si="428">(1+J67)^J68</f>
        <v>1.0938068976709843</v>
      </c>
      <c r="K70" s="8">
        <f t="shared" ref="K70:AQ70" si="429">(1+K67)^K68</f>
        <v>1.0938068976709843</v>
      </c>
      <c r="L70" s="8">
        <f t="shared" ref="L70:N70" si="430">(1+L67)^L68</f>
        <v>1.0938068976709843</v>
      </c>
      <c r="M70" s="8">
        <f t="shared" si="430"/>
        <v>1.0938068976709843</v>
      </c>
      <c r="N70" s="8">
        <f t="shared" si="430"/>
        <v>1.0938068976709843</v>
      </c>
      <c r="O70" s="8">
        <f t="shared" si="429"/>
        <v>1.0938068976709843</v>
      </c>
      <c r="P70" s="8">
        <f t="shared" ref="P70:Q70" si="431">(1+P67)^P68</f>
        <v>1.0938068976709843</v>
      </c>
      <c r="Q70" s="8">
        <f t="shared" si="431"/>
        <v>1.0938068976709843</v>
      </c>
      <c r="R70" s="8">
        <f t="shared" ref="R70" si="432">(1+R67)^R68</f>
        <v>1.0938068976709843</v>
      </c>
      <c r="S70" s="8">
        <f t="shared" si="429"/>
        <v>1.0938068976709843</v>
      </c>
      <c r="T70" s="8">
        <f t="shared" ref="T70:V70" si="433">(1+T67)^T68</f>
        <v>1.0938068976709843</v>
      </c>
      <c r="U70" s="8">
        <f t="shared" si="433"/>
        <v>1.0938068976709843</v>
      </c>
      <c r="V70" s="8">
        <f t="shared" si="433"/>
        <v>1.0938068976709843</v>
      </c>
      <c r="W70" s="8">
        <f t="shared" si="429"/>
        <v>1.0938068976709843</v>
      </c>
      <c r="X70" s="8">
        <f t="shared" ref="X70:Z70" si="434">(1+X67)^X68</f>
        <v>1.0938068976709843</v>
      </c>
      <c r="Y70" s="8">
        <f t="shared" si="434"/>
        <v>1.0938068976709843</v>
      </c>
      <c r="Z70" s="8">
        <f t="shared" si="434"/>
        <v>1.0938068976709843</v>
      </c>
      <c r="AA70" s="8">
        <f t="shared" si="429"/>
        <v>1.0938068976709843</v>
      </c>
      <c r="AB70" s="8">
        <f t="shared" ref="AB70:AD70" si="435">(1+AB67)^AB68</f>
        <v>1.0938068976709843</v>
      </c>
      <c r="AC70" s="8">
        <f t="shared" si="435"/>
        <v>1.0938068976709843</v>
      </c>
      <c r="AD70" s="8">
        <f t="shared" si="435"/>
        <v>1.0938068976709843</v>
      </c>
      <c r="AE70" s="8">
        <f t="shared" si="429"/>
        <v>1.0938068976709843</v>
      </c>
      <c r="AF70" s="8">
        <f t="shared" ref="AF70:AH70" si="436">(1+AF67)^AF68</f>
        <v>1.0938068976709843</v>
      </c>
      <c r="AG70" s="8">
        <f t="shared" si="436"/>
        <v>1.0938068976709843</v>
      </c>
      <c r="AH70" s="8">
        <f t="shared" si="436"/>
        <v>1.0938068976709843</v>
      </c>
      <c r="AI70" s="8">
        <f t="shared" si="429"/>
        <v>1.0938068976709843</v>
      </c>
      <c r="AJ70" s="8">
        <f t="shared" ref="AJ70:AL70" si="437">(1+AJ67)^AJ68</f>
        <v>1.0938068976709843</v>
      </c>
      <c r="AK70" s="8">
        <f t="shared" si="437"/>
        <v>1.0938068976709843</v>
      </c>
      <c r="AL70" s="8">
        <f t="shared" si="437"/>
        <v>1.0938068976709843</v>
      </c>
      <c r="AM70" s="8">
        <f t="shared" si="429"/>
        <v>1.0938068976709843</v>
      </c>
      <c r="AN70" s="8">
        <f t="shared" ref="AN70:AP70" si="438">(1+AN67)^AN68</f>
        <v>1.0938068976709843</v>
      </c>
      <c r="AO70" s="8">
        <f t="shared" si="438"/>
        <v>1.0938068976709843</v>
      </c>
      <c r="AP70" s="8">
        <f t="shared" si="438"/>
        <v>1.0938068976709843</v>
      </c>
      <c r="AQ70" s="8">
        <f t="shared" si="429"/>
        <v>1.0938068976709843</v>
      </c>
      <c r="AR70" s="8">
        <f t="shared" ref="AR70:AS70" si="439">(1+AR67)^AR68</f>
        <v>1.0938068976709843</v>
      </c>
      <c r="AS70" s="8">
        <f t="shared" si="439"/>
        <v>1.0938068976709843</v>
      </c>
      <c r="AT70" s="8">
        <f t="shared" ref="AT70" si="440">(1+AT67)^AT68</f>
        <v>1.0938068976709843</v>
      </c>
    </row>
    <row r="71" spans="2:46">
      <c r="C71" s="9">
        <f>C70*C67</f>
        <v>8.2035517325323819E-3</v>
      </c>
      <c r="D71" s="9">
        <f>D70*D67</f>
        <v>8.2035517325323819E-3</v>
      </c>
      <c r="E71" s="9">
        <f>E70*E67</f>
        <v>8.2035517325323819E-3</v>
      </c>
      <c r="F71" s="9">
        <f>F70*F67</f>
        <v>8.2035517325323819E-3</v>
      </c>
      <c r="G71" s="9">
        <f>G70*G67</f>
        <v>8.2035517325323819E-3</v>
      </c>
      <c r="H71" s="9">
        <f t="shared" ref="H71:I71" si="441">H70*H67</f>
        <v>8.2035517325323819E-3</v>
      </c>
      <c r="I71" s="9">
        <f t="shared" si="441"/>
        <v>8.2035517325323819E-3</v>
      </c>
      <c r="J71" s="9">
        <f t="shared" ref="J71" si="442">J70*J67</f>
        <v>8.2035517325323819E-3</v>
      </c>
      <c r="K71" s="9">
        <f t="shared" ref="K71:AQ71" si="443">K70*K67</f>
        <v>8.2035517325323819E-3</v>
      </c>
      <c r="L71" s="9">
        <f t="shared" ref="L71:N71" si="444">L70*L67</f>
        <v>8.2035517325323819E-3</v>
      </c>
      <c r="M71" s="9">
        <f t="shared" si="444"/>
        <v>8.2035517325323819E-3</v>
      </c>
      <c r="N71" s="9">
        <f t="shared" si="444"/>
        <v>8.2035517325323819E-3</v>
      </c>
      <c r="O71" s="9">
        <f t="shared" si="443"/>
        <v>8.2035517325323819E-3</v>
      </c>
      <c r="P71" s="9">
        <f t="shared" ref="P71:Q71" si="445">P70*P67</f>
        <v>8.2035517325323819E-3</v>
      </c>
      <c r="Q71" s="9">
        <f t="shared" si="445"/>
        <v>8.2035517325323819E-3</v>
      </c>
      <c r="R71" s="9">
        <f t="shared" ref="R71" si="446">R70*R67</f>
        <v>8.2035517325323819E-3</v>
      </c>
      <c r="S71" s="9">
        <f t="shared" si="443"/>
        <v>8.2035517325323819E-3</v>
      </c>
      <c r="T71" s="9">
        <f t="shared" ref="T71:V71" si="447">T70*T67</f>
        <v>8.2035517325323819E-3</v>
      </c>
      <c r="U71" s="9">
        <f t="shared" si="447"/>
        <v>8.2035517325323819E-3</v>
      </c>
      <c r="V71" s="9">
        <f t="shared" si="447"/>
        <v>8.2035517325323819E-3</v>
      </c>
      <c r="W71" s="9">
        <f t="shared" si="443"/>
        <v>8.2035517325323819E-3</v>
      </c>
      <c r="X71" s="9">
        <f t="shared" ref="X71:Z71" si="448">X70*X67</f>
        <v>8.2035517325323819E-3</v>
      </c>
      <c r="Y71" s="9">
        <f t="shared" si="448"/>
        <v>8.2035517325323819E-3</v>
      </c>
      <c r="Z71" s="9">
        <f t="shared" si="448"/>
        <v>8.2035517325323819E-3</v>
      </c>
      <c r="AA71" s="9">
        <f t="shared" si="443"/>
        <v>8.2035517325323819E-3</v>
      </c>
      <c r="AB71" s="9">
        <f t="shared" ref="AB71:AD71" si="449">AB70*AB67</f>
        <v>8.2035517325323819E-3</v>
      </c>
      <c r="AC71" s="9">
        <f t="shared" si="449"/>
        <v>8.2035517325323819E-3</v>
      </c>
      <c r="AD71" s="9">
        <f t="shared" si="449"/>
        <v>8.2035517325323819E-3</v>
      </c>
      <c r="AE71" s="9">
        <f t="shared" si="443"/>
        <v>8.2035517325323819E-3</v>
      </c>
      <c r="AF71" s="9">
        <f t="shared" ref="AF71:AH71" si="450">AF70*AF67</f>
        <v>8.2035517325323819E-3</v>
      </c>
      <c r="AG71" s="9">
        <f t="shared" si="450"/>
        <v>8.2035517325323819E-3</v>
      </c>
      <c r="AH71" s="9">
        <f t="shared" si="450"/>
        <v>8.2035517325323819E-3</v>
      </c>
      <c r="AI71" s="9">
        <f t="shared" si="443"/>
        <v>8.2035517325323819E-3</v>
      </c>
      <c r="AJ71" s="9">
        <f t="shared" ref="AJ71:AL71" si="451">AJ70*AJ67</f>
        <v>8.2035517325323819E-3</v>
      </c>
      <c r="AK71" s="9">
        <f t="shared" si="451"/>
        <v>8.2035517325323819E-3</v>
      </c>
      <c r="AL71" s="9">
        <f t="shared" si="451"/>
        <v>8.2035517325323819E-3</v>
      </c>
      <c r="AM71" s="9">
        <f t="shared" si="443"/>
        <v>8.2035517325323819E-3</v>
      </c>
      <c r="AN71" s="9">
        <f t="shared" ref="AN71:AP71" si="452">AN70*AN67</f>
        <v>8.2035517325323819E-3</v>
      </c>
      <c r="AO71" s="9">
        <f t="shared" si="452"/>
        <v>8.2035517325323819E-3</v>
      </c>
      <c r="AP71" s="9">
        <f t="shared" si="452"/>
        <v>8.2035517325323819E-3</v>
      </c>
      <c r="AQ71" s="9">
        <f t="shared" si="443"/>
        <v>8.2035517325323819E-3</v>
      </c>
      <c r="AR71" s="9">
        <f t="shared" ref="AR71:AS71" si="453">AR70*AR67</f>
        <v>8.2035517325323819E-3</v>
      </c>
      <c r="AS71" s="9">
        <f t="shared" si="453"/>
        <v>8.2035517325323819E-3</v>
      </c>
      <c r="AT71" s="9">
        <f t="shared" ref="AT71" si="454">AT70*AT67</f>
        <v>8.2035517325323819E-3</v>
      </c>
    </row>
    <row r="72" spans="2:46">
      <c r="C72" s="10">
        <f>C70-1</f>
        <v>9.3806897670984268E-2</v>
      </c>
      <c r="D72" s="10">
        <f>D70-1</f>
        <v>9.3806897670984268E-2</v>
      </c>
      <c r="E72" s="10">
        <f>E70-1</f>
        <v>9.3806897670984268E-2</v>
      </c>
      <c r="F72" s="10">
        <f>F70-1</f>
        <v>9.3806897670984268E-2</v>
      </c>
      <c r="G72" s="10">
        <f>G70-1</f>
        <v>9.3806897670984268E-2</v>
      </c>
      <c r="H72" s="10">
        <f t="shared" ref="H72:I72" si="455">H70-1</f>
        <v>9.3806897670984268E-2</v>
      </c>
      <c r="I72" s="10">
        <f t="shared" si="455"/>
        <v>9.3806897670984268E-2</v>
      </c>
      <c r="J72" s="10">
        <f t="shared" ref="J72" si="456">J70-1</f>
        <v>9.3806897670984268E-2</v>
      </c>
      <c r="K72" s="10">
        <f t="shared" ref="K72:AQ72" si="457">K70-1</f>
        <v>9.3806897670984268E-2</v>
      </c>
      <c r="L72" s="10">
        <f t="shared" ref="L72:N72" si="458">L70-1</f>
        <v>9.3806897670984268E-2</v>
      </c>
      <c r="M72" s="10">
        <f t="shared" si="458"/>
        <v>9.3806897670984268E-2</v>
      </c>
      <c r="N72" s="10">
        <f t="shared" si="458"/>
        <v>9.3806897670984268E-2</v>
      </c>
      <c r="O72" s="10">
        <f t="shared" si="457"/>
        <v>9.3806897670984268E-2</v>
      </c>
      <c r="P72" s="10">
        <f t="shared" ref="P72:Q72" si="459">P70-1</f>
        <v>9.3806897670984268E-2</v>
      </c>
      <c r="Q72" s="10">
        <f t="shared" si="459"/>
        <v>9.3806897670984268E-2</v>
      </c>
      <c r="R72" s="10">
        <f t="shared" ref="R72" si="460">R70-1</f>
        <v>9.3806897670984268E-2</v>
      </c>
      <c r="S72" s="10">
        <f t="shared" si="457"/>
        <v>9.3806897670984268E-2</v>
      </c>
      <c r="T72" s="10">
        <f t="shared" ref="T72:V72" si="461">T70-1</f>
        <v>9.3806897670984268E-2</v>
      </c>
      <c r="U72" s="10">
        <f t="shared" si="461"/>
        <v>9.3806897670984268E-2</v>
      </c>
      <c r="V72" s="10">
        <f t="shared" si="461"/>
        <v>9.3806897670984268E-2</v>
      </c>
      <c r="W72" s="10">
        <f t="shared" si="457"/>
        <v>9.3806897670984268E-2</v>
      </c>
      <c r="X72" s="10">
        <f t="shared" ref="X72:Z72" si="462">X70-1</f>
        <v>9.3806897670984268E-2</v>
      </c>
      <c r="Y72" s="10">
        <f t="shared" si="462"/>
        <v>9.3806897670984268E-2</v>
      </c>
      <c r="Z72" s="10">
        <f t="shared" si="462"/>
        <v>9.3806897670984268E-2</v>
      </c>
      <c r="AA72" s="10">
        <f t="shared" si="457"/>
        <v>9.3806897670984268E-2</v>
      </c>
      <c r="AB72" s="10">
        <f t="shared" ref="AB72:AD72" si="463">AB70-1</f>
        <v>9.3806897670984268E-2</v>
      </c>
      <c r="AC72" s="10">
        <f t="shared" si="463"/>
        <v>9.3806897670984268E-2</v>
      </c>
      <c r="AD72" s="10">
        <f t="shared" si="463"/>
        <v>9.3806897670984268E-2</v>
      </c>
      <c r="AE72" s="10">
        <f t="shared" si="457"/>
        <v>9.3806897670984268E-2</v>
      </c>
      <c r="AF72" s="10">
        <f t="shared" ref="AF72:AH72" si="464">AF70-1</f>
        <v>9.3806897670984268E-2</v>
      </c>
      <c r="AG72" s="10">
        <f t="shared" si="464"/>
        <v>9.3806897670984268E-2</v>
      </c>
      <c r="AH72" s="10">
        <f t="shared" si="464"/>
        <v>9.3806897670984268E-2</v>
      </c>
      <c r="AI72" s="10">
        <f t="shared" si="457"/>
        <v>9.3806897670984268E-2</v>
      </c>
      <c r="AJ72" s="10">
        <f t="shared" ref="AJ72:AL72" si="465">AJ70-1</f>
        <v>9.3806897670984268E-2</v>
      </c>
      <c r="AK72" s="10">
        <f t="shared" si="465"/>
        <v>9.3806897670984268E-2</v>
      </c>
      <c r="AL72" s="10">
        <f t="shared" si="465"/>
        <v>9.3806897670984268E-2</v>
      </c>
      <c r="AM72" s="10">
        <f t="shared" si="457"/>
        <v>9.3806897670984268E-2</v>
      </c>
      <c r="AN72" s="10">
        <f t="shared" ref="AN72:AP72" si="466">AN70-1</f>
        <v>9.3806897670984268E-2</v>
      </c>
      <c r="AO72" s="10">
        <f t="shared" si="466"/>
        <v>9.3806897670984268E-2</v>
      </c>
      <c r="AP72" s="10">
        <f t="shared" si="466"/>
        <v>9.3806897670984268E-2</v>
      </c>
      <c r="AQ72" s="10">
        <f t="shared" si="457"/>
        <v>9.3806897670984268E-2</v>
      </c>
      <c r="AR72" s="10">
        <f t="shared" ref="AR72:AS72" si="467">AR70-1</f>
        <v>9.3806897670984268E-2</v>
      </c>
      <c r="AS72" s="10">
        <f t="shared" si="467"/>
        <v>9.3806897670984268E-2</v>
      </c>
      <c r="AT72" s="10">
        <f t="shared" ref="AT72" si="468">AT70-1</f>
        <v>9.3806897670984268E-2</v>
      </c>
    </row>
    <row r="73" spans="2:46">
      <c r="C73" s="10">
        <f>C71/C72</f>
        <v>8.7451476769920405E-2</v>
      </c>
      <c r="D73" s="10">
        <f>D71/D72</f>
        <v>8.7451476769920405E-2</v>
      </c>
      <c r="E73" s="10">
        <f>E71/E72</f>
        <v>8.7451476769920405E-2</v>
      </c>
      <c r="F73" s="10">
        <f>F71/F72</f>
        <v>8.7451476769920405E-2</v>
      </c>
      <c r="G73" s="10">
        <f>G71/G72</f>
        <v>8.7451476769920405E-2</v>
      </c>
      <c r="H73" s="10">
        <f t="shared" ref="H73:I73" si="469">H71/H72</f>
        <v>8.7451476769920405E-2</v>
      </c>
      <c r="I73" s="10">
        <f t="shared" si="469"/>
        <v>8.7451476769920405E-2</v>
      </c>
      <c r="J73" s="10">
        <f t="shared" ref="J73" si="470">J71/J72</f>
        <v>8.7451476769920405E-2</v>
      </c>
      <c r="K73" s="10">
        <f t="shared" ref="K73:AQ73" si="471">K71/K72</f>
        <v>8.7451476769920405E-2</v>
      </c>
      <c r="L73" s="10">
        <f t="shared" ref="L73:N73" si="472">L71/L72</f>
        <v>8.7451476769920405E-2</v>
      </c>
      <c r="M73" s="10">
        <f t="shared" si="472"/>
        <v>8.7451476769920405E-2</v>
      </c>
      <c r="N73" s="10">
        <f t="shared" si="472"/>
        <v>8.7451476769920405E-2</v>
      </c>
      <c r="O73" s="10">
        <f t="shared" si="471"/>
        <v>8.7451476769920405E-2</v>
      </c>
      <c r="P73" s="10">
        <f t="shared" ref="P73:Q73" si="473">P71/P72</f>
        <v>8.7451476769920405E-2</v>
      </c>
      <c r="Q73" s="10">
        <f t="shared" si="473"/>
        <v>8.7451476769920405E-2</v>
      </c>
      <c r="R73" s="10">
        <f t="shared" ref="R73" si="474">R71/R72</f>
        <v>8.7451476769920405E-2</v>
      </c>
      <c r="S73" s="10">
        <f t="shared" si="471"/>
        <v>8.7451476769920405E-2</v>
      </c>
      <c r="T73" s="10">
        <f t="shared" ref="T73:V73" si="475">T71/T72</f>
        <v>8.7451476769920405E-2</v>
      </c>
      <c r="U73" s="10">
        <f t="shared" si="475"/>
        <v>8.7451476769920405E-2</v>
      </c>
      <c r="V73" s="10">
        <f t="shared" si="475"/>
        <v>8.7451476769920405E-2</v>
      </c>
      <c r="W73" s="10">
        <f t="shared" si="471"/>
        <v>8.7451476769920405E-2</v>
      </c>
      <c r="X73" s="10">
        <f t="shared" ref="X73:Z73" si="476">X71/X72</f>
        <v>8.7451476769920405E-2</v>
      </c>
      <c r="Y73" s="10">
        <f t="shared" si="476"/>
        <v>8.7451476769920405E-2</v>
      </c>
      <c r="Z73" s="10">
        <f t="shared" si="476"/>
        <v>8.7451476769920405E-2</v>
      </c>
      <c r="AA73" s="10">
        <f t="shared" si="471"/>
        <v>8.7451476769920405E-2</v>
      </c>
      <c r="AB73" s="10">
        <f t="shared" ref="AB73:AD73" si="477">AB71/AB72</f>
        <v>8.7451476769920405E-2</v>
      </c>
      <c r="AC73" s="10">
        <f t="shared" si="477"/>
        <v>8.7451476769920405E-2</v>
      </c>
      <c r="AD73" s="10">
        <f t="shared" si="477"/>
        <v>8.7451476769920405E-2</v>
      </c>
      <c r="AE73" s="10">
        <f t="shared" si="471"/>
        <v>8.7451476769920405E-2</v>
      </c>
      <c r="AF73" s="10">
        <f t="shared" ref="AF73:AH73" si="478">AF71/AF72</f>
        <v>8.7451476769920405E-2</v>
      </c>
      <c r="AG73" s="10">
        <f t="shared" si="478"/>
        <v>8.7451476769920405E-2</v>
      </c>
      <c r="AH73" s="10">
        <f t="shared" si="478"/>
        <v>8.7451476769920405E-2</v>
      </c>
      <c r="AI73" s="10">
        <f t="shared" si="471"/>
        <v>8.7451476769920405E-2</v>
      </c>
      <c r="AJ73" s="10">
        <f t="shared" ref="AJ73:AL73" si="479">AJ71/AJ72</f>
        <v>8.7451476769920405E-2</v>
      </c>
      <c r="AK73" s="10">
        <f t="shared" si="479"/>
        <v>8.7451476769920405E-2</v>
      </c>
      <c r="AL73" s="10">
        <f t="shared" si="479"/>
        <v>8.7451476769920405E-2</v>
      </c>
      <c r="AM73" s="10">
        <f t="shared" si="471"/>
        <v>8.7451476769920405E-2</v>
      </c>
      <c r="AN73" s="10">
        <f t="shared" ref="AN73:AP73" si="480">AN71/AN72</f>
        <v>8.7451476769920405E-2</v>
      </c>
      <c r="AO73" s="10">
        <f t="shared" si="480"/>
        <v>8.7451476769920405E-2</v>
      </c>
      <c r="AP73" s="10">
        <f t="shared" si="480"/>
        <v>8.7451476769920405E-2</v>
      </c>
      <c r="AQ73" s="10">
        <f t="shared" si="471"/>
        <v>8.7451476769920405E-2</v>
      </c>
      <c r="AR73" s="10">
        <f t="shared" ref="AR73:AS73" si="481">AR71/AR72</f>
        <v>8.7451476769920405E-2</v>
      </c>
      <c r="AS73" s="10">
        <f t="shared" si="481"/>
        <v>8.7451476769920405E-2</v>
      </c>
      <c r="AT73" s="10">
        <f t="shared" ref="AT73" si="482">AT71/AT72</f>
        <v>8.7451476769920405E-2</v>
      </c>
    </row>
    <row r="74" spans="2:46" s="1" customFormat="1">
      <c r="B74" s="1" t="s">
        <v>14</v>
      </c>
      <c r="C74" s="4">
        <f t="shared" ref="C74:J74" si="483">C73*C63</f>
        <v>2797.3541131778288</v>
      </c>
      <c r="D74" s="4">
        <f t="shared" ref="D74" si="484">D73*D63</f>
        <v>2360.096729328227</v>
      </c>
      <c r="E74" s="4">
        <f t="shared" si="483"/>
        <v>4720.1934586564539</v>
      </c>
      <c r="F74" s="4">
        <f t="shared" si="483"/>
        <v>7080.2901879846804</v>
      </c>
      <c r="G74" s="4">
        <f t="shared" si="483"/>
        <v>9440.3869173129078</v>
      </c>
      <c r="H74" s="4">
        <f t="shared" si="483"/>
        <v>11800.483646641134</v>
      </c>
      <c r="I74" s="4">
        <f t="shared" si="483"/>
        <v>14160.580375969361</v>
      </c>
      <c r="J74" s="4">
        <f t="shared" si="483"/>
        <v>16520.677105297589</v>
      </c>
      <c r="K74" s="4">
        <f t="shared" ref="K74:AQ74" si="485">K73*K63</f>
        <v>18880.773834625816</v>
      </c>
      <c r="L74" s="4">
        <f t="shared" ref="L74:N74" si="486">L73*L63</f>
        <v>21240.870563954042</v>
      </c>
      <c r="M74" s="4">
        <f t="shared" si="486"/>
        <v>23600.967293282269</v>
      </c>
      <c r="N74" s="4">
        <f t="shared" si="486"/>
        <v>25961.064022610495</v>
      </c>
      <c r="O74" s="4">
        <f t="shared" si="485"/>
        <v>28321.160751938722</v>
      </c>
      <c r="P74" s="4">
        <f t="shared" ref="P74:Q74" si="487">P73*P63</f>
        <v>30681.257481266952</v>
      </c>
      <c r="Q74" s="4">
        <f t="shared" si="487"/>
        <v>33041.354210595178</v>
      </c>
      <c r="R74" s="4">
        <f t="shared" ref="R74" si="488">R73*R63</f>
        <v>35401.450939923401</v>
      </c>
      <c r="S74" s="4">
        <f t="shared" si="485"/>
        <v>37761.547669251631</v>
      </c>
      <c r="T74" s="4">
        <f t="shared" ref="T74:V74" si="489">T73*T63</f>
        <v>40121.644398579861</v>
      </c>
      <c r="U74" s="4">
        <f t="shared" si="489"/>
        <v>42481.741127908084</v>
      </c>
      <c r="V74" s="4">
        <f t="shared" si="489"/>
        <v>44841.837857236314</v>
      </c>
      <c r="W74" s="4">
        <f t="shared" si="485"/>
        <v>47201.934586564537</v>
      </c>
      <c r="X74" s="4">
        <f t="shared" ref="X74:Z74" si="490">X73*X63</f>
        <v>49562.031315892767</v>
      </c>
      <c r="Y74" s="4">
        <f t="shared" si="490"/>
        <v>51922.12804522099</v>
      </c>
      <c r="Z74" s="4">
        <f t="shared" si="490"/>
        <v>54282.22477454922</v>
      </c>
      <c r="AA74" s="4">
        <f t="shared" si="485"/>
        <v>56642.321503877443</v>
      </c>
      <c r="AB74" s="4">
        <f t="shared" ref="AB74:AD74" si="491">AB73*AB63</f>
        <v>59002.418233205673</v>
      </c>
      <c r="AC74" s="4">
        <f t="shared" si="491"/>
        <v>61362.514962533904</v>
      </c>
      <c r="AD74" s="4">
        <f t="shared" si="491"/>
        <v>63722.611691862126</v>
      </c>
      <c r="AE74" s="4">
        <f t="shared" si="485"/>
        <v>66082.708421190357</v>
      </c>
      <c r="AF74" s="4">
        <f t="shared" ref="AF74:AH74" si="492">AF73*AF63</f>
        <v>68442.805150518587</v>
      </c>
      <c r="AG74" s="4">
        <f t="shared" si="492"/>
        <v>70802.901879846802</v>
      </c>
      <c r="AH74" s="4">
        <f t="shared" si="492"/>
        <v>73162.998609175032</v>
      </c>
      <c r="AI74" s="4">
        <f t="shared" si="485"/>
        <v>75523.095338503263</v>
      </c>
      <c r="AJ74" s="4">
        <f t="shared" ref="AJ74:AL74" si="493">AJ73*AJ63</f>
        <v>77883.192067831493</v>
      </c>
      <c r="AK74" s="4">
        <f t="shared" si="493"/>
        <v>80243.288797159723</v>
      </c>
      <c r="AL74" s="4">
        <f t="shared" si="493"/>
        <v>82603.385526487938</v>
      </c>
      <c r="AM74" s="4">
        <f t="shared" si="485"/>
        <v>84963.482255816169</v>
      </c>
      <c r="AN74" s="4">
        <f t="shared" ref="AN74:AP74" si="494">AN73*AN63</f>
        <v>87323.578985144399</v>
      </c>
      <c r="AO74" s="4">
        <f t="shared" si="494"/>
        <v>89683.675714472629</v>
      </c>
      <c r="AP74" s="4">
        <f t="shared" si="494"/>
        <v>92043.772443800844</v>
      </c>
      <c r="AQ74" s="4">
        <f t="shared" si="485"/>
        <v>94403.869173129075</v>
      </c>
      <c r="AR74" s="4">
        <f t="shared" ref="AR74:AS74" si="495">AR73*AR63</f>
        <v>96763.965902457305</v>
      </c>
      <c r="AS74" s="4">
        <f t="shared" si="495"/>
        <v>99124.062631785535</v>
      </c>
      <c r="AT74" s="4">
        <f t="shared" ref="AT74" si="496">AT73*AT63</f>
        <v>101484.15936111377</v>
      </c>
    </row>
    <row r="75" spans="2:46">
      <c r="C75" s="2"/>
      <c r="D75" s="2"/>
      <c r="E75" s="2"/>
      <c r="F75" s="2"/>
      <c r="G75" s="2"/>
      <c r="H75" s="2"/>
      <c r="I75" s="2"/>
      <c r="J75" s="2"/>
      <c r="K75" s="2"/>
      <c r="L75" s="2"/>
      <c r="AA75" s="2"/>
      <c r="AB75" s="2"/>
      <c r="AC75" s="2"/>
      <c r="AD75" s="2"/>
      <c r="AE75" s="2"/>
      <c r="AF75" s="2"/>
      <c r="AG75" s="2"/>
      <c r="AH75" s="2"/>
      <c r="AI75" s="2"/>
      <c r="AJ75" s="2"/>
      <c r="AK75" s="2"/>
      <c r="AL75" s="2"/>
      <c r="AM75" s="2"/>
      <c r="AN75" s="2"/>
      <c r="AO75" s="2"/>
      <c r="AP75" s="2"/>
      <c r="AQ75" s="2"/>
      <c r="AR75" s="2"/>
      <c r="AS75" s="2"/>
      <c r="AT75" s="2"/>
    </row>
    <row r="76" spans="2:46">
      <c r="B76" t="s">
        <v>30</v>
      </c>
      <c r="C76" s="2">
        <f>C56-C57</f>
        <v>8568.249358133944</v>
      </c>
      <c r="D76" s="2">
        <f>D56-D57</f>
        <v>3321.1607519387253</v>
      </c>
      <c r="E76" s="2">
        <f>E56-E57</f>
        <v>6642.3215038774506</v>
      </c>
      <c r="F76" s="2">
        <f>F56-F57</f>
        <v>9963.4822558161686</v>
      </c>
      <c r="G76" s="2">
        <f>G56-G57</f>
        <v>13284.643007754901</v>
      </c>
      <c r="H76" s="2">
        <f t="shared" ref="H76:I76" si="497">H56-H57</f>
        <v>16605.803759693605</v>
      </c>
      <c r="I76" s="2">
        <f t="shared" si="497"/>
        <v>19926.964511632337</v>
      </c>
      <c r="J76" s="2">
        <f t="shared" ref="J76" si="498">J56-J57</f>
        <v>23248.12526357107</v>
      </c>
      <c r="K76" s="2">
        <f t="shared" ref="K76:AQ76" si="499">K56-K57</f>
        <v>26569.286015509802</v>
      </c>
      <c r="L76" s="2">
        <f t="shared" ref="L76:N76" si="500">L56-L57</f>
        <v>29890.446767448506</v>
      </c>
      <c r="M76" s="2">
        <f t="shared" si="500"/>
        <v>33211.607519387209</v>
      </c>
      <c r="N76" s="2">
        <f t="shared" si="500"/>
        <v>36532.768271325971</v>
      </c>
      <c r="O76" s="2">
        <f t="shared" si="499"/>
        <v>39853.929023264674</v>
      </c>
      <c r="P76" s="2">
        <f t="shared" ref="P76:Q76" si="501">P56-P57</f>
        <v>43175.089775203436</v>
      </c>
      <c r="Q76" s="2">
        <f t="shared" si="501"/>
        <v>46496.25052714214</v>
      </c>
      <c r="R76" s="2">
        <f t="shared" ref="R76" si="502">R56-R57</f>
        <v>49817.411279080785</v>
      </c>
      <c r="S76" s="2">
        <f t="shared" si="499"/>
        <v>53138.572031019605</v>
      </c>
      <c r="T76" s="2">
        <f t="shared" ref="T76:V76" si="503">T56-T57</f>
        <v>56459.732782958308</v>
      </c>
      <c r="U76" s="2">
        <f t="shared" si="503"/>
        <v>59780.893534897012</v>
      </c>
      <c r="V76" s="2">
        <f t="shared" si="503"/>
        <v>63102.054286835715</v>
      </c>
      <c r="W76" s="2">
        <f t="shared" si="499"/>
        <v>66423.215038774419</v>
      </c>
      <c r="X76" s="2">
        <f t="shared" ref="X76:Z76" si="504">X56-X57</f>
        <v>69744.375790713239</v>
      </c>
      <c r="Y76" s="2">
        <f t="shared" si="504"/>
        <v>73065.536542651942</v>
      </c>
      <c r="Z76" s="2">
        <f t="shared" si="504"/>
        <v>76386.697294590645</v>
      </c>
      <c r="AA76" s="2">
        <f t="shared" si="499"/>
        <v>79707.858046529349</v>
      </c>
      <c r="AB76" s="2">
        <f t="shared" ref="AB76:AD76" si="505">AB56-AB57</f>
        <v>83029.018798468052</v>
      </c>
      <c r="AC76" s="2">
        <f t="shared" si="505"/>
        <v>86350.179550406872</v>
      </c>
      <c r="AD76" s="2">
        <f t="shared" si="505"/>
        <v>89671.340302345576</v>
      </c>
      <c r="AE76" s="2">
        <f t="shared" si="499"/>
        <v>92992.501054284279</v>
      </c>
      <c r="AF76" s="2">
        <f t="shared" ref="AF76:AH76" si="506">AF56-AF57</f>
        <v>96313.661806222983</v>
      </c>
      <c r="AG76" s="2">
        <f t="shared" si="506"/>
        <v>99634.82255816157</v>
      </c>
      <c r="AH76" s="2">
        <f t="shared" si="506"/>
        <v>102955.98331010039</v>
      </c>
      <c r="AI76" s="2">
        <f t="shared" si="499"/>
        <v>106277.14406203921</v>
      </c>
      <c r="AJ76" s="2">
        <f t="shared" ref="AJ76:AL76" si="507">AJ56-AJ57</f>
        <v>109598.30481397791</v>
      </c>
      <c r="AK76" s="2">
        <f t="shared" si="507"/>
        <v>112919.46556591662</v>
      </c>
      <c r="AL76" s="2">
        <f t="shared" si="507"/>
        <v>116240.6263178552</v>
      </c>
      <c r="AM76" s="2">
        <f t="shared" si="499"/>
        <v>119561.78706979402</v>
      </c>
      <c r="AN76" s="2">
        <f t="shared" ref="AN76:AP76" si="508">AN56-AN57</f>
        <v>122882.94782173284</v>
      </c>
      <c r="AO76" s="2">
        <f t="shared" si="508"/>
        <v>126204.10857367143</v>
      </c>
      <c r="AP76" s="2">
        <f t="shared" si="508"/>
        <v>129525.26932561025</v>
      </c>
      <c r="AQ76" s="2">
        <f t="shared" si="499"/>
        <v>132846.43007754884</v>
      </c>
      <c r="AR76" s="2">
        <f t="shared" ref="AR76:AS76" si="509">AR56-AR57</f>
        <v>136167.59082948766</v>
      </c>
      <c r="AS76" s="2">
        <f t="shared" si="509"/>
        <v>139488.75158142648</v>
      </c>
      <c r="AT76" s="2">
        <f t="shared" ref="AT76" si="510">AT56-AT57</f>
        <v>142809.91233336506</v>
      </c>
    </row>
    <row r="77" spans="2:46">
      <c r="B77" t="s">
        <v>31</v>
      </c>
      <c r="C77" s="11">
        <f>C76/C56</f>
        <v>0.25524862100256551</v>
      </c>
      <c r="D77" s="11">
        <f>D76/D56</f>
        <v>0.11726781896506043</v>
      </c>
      <c r="E77" s="11">
        <f>E76/E56</f>
        <v>0.11726781896506043</v>
      </c>
      <c r="F77" s="11">
        <f>F76/F56</f>
        <v>0.11726781896506036</v>
      </c>
      <c r="G77" s="11">
        <f>G76/G56</f>
        <v>0.11726781896506043</v>
      </c>
      <c r="H77" s="11">
        <f t="shared" ref="H77:I77" si="511">H76/H56</f>
        <v>0.11726781896506031</v>
      </c>
      <c r="I77" s="11">
        <f t="shared" si="511"/>
        <v>0.11726781896506036</v>
      </c>
      <c r="J77" s="11">
        <f t="shared" ref="J77" si="512">J76/J56</f>
        <v>0.1172678189650604</v>
      </c>
      <c r="K77" s="11">
        <f t="shared" ref="K77:AQ77" si="513">K76/K56</f>
        <v>0.11726781896506043</v>
      </c>
      <c r="L77" s="11">
        <f t="shared" ref="L77:N77" si="514">L76/L56</f>
        <v>0.11726781896506036</v>
      </c>
      <c r="M77" s="11">
        <f t="shared" si="514"/>
        <v>0.11726781896506031</v>
      </c>
      <c r="N77" s="11">
        <f t="shared" si="514"/>
        <v>0.11726781896506042</v>
      </c>
      <c r="O77" s="11">
        <f t="shared" si="513"/>
        <v>0.11726781896506036</v>
      </c>
      <c r="P77" s="11">
        <f t="shared" ref="P77:Q77" si="515">P76/P56</f>
        <v>0.11726781896506046</v>
      </c>
      <c r="Q77" s="11">
        <f t="shared" si="515"/>
        <v>0.1172678189650604</v>
      </c>
      <c r="R77" s="11">
        <f t="shared" ref="R77" si="516">R76/R56</f>
        <v>0.11726781896506024</v>
      </c>
      <c r="S77" s="11">
        <f t="shared" si="513"/>
        <v>0.11726781896506043</v>
      </c>
      <c r="T77" s="11">
        <f t="shared" ref="T77:V77" si="517">T76/T56</f>
        <v>0.11726781896506039</v>
      </c>
      <c r="U77" s="11">
        <f t="shared" si="517"/>
        <v>0.11726781896506036</v>
      </c>
      <c r="V77" s="11">
        <f t="shared" si="517"/>
        <v>0.11726781896506033</v>
      </c>
      <c r="W77" s="11">
        <f t="shared" si="513"/>
        <v>0.11726781896506031</v>
      </c>
      <c r="X77" s="11">
        <f t="shared" ref="X77:Z77" si="518">X76/X56</f>
        <v>0.11726781896506044</v>
      </c>
      <c r="Y77" s="11">
        <f t="shared" si="518"/>
        <v>0.11726781896506042</v>
      </c>
      <c r="Z77" s="11">
        <f t="shared" si="518"/>
        <v>0.11726781896506039</v>
      </c>
      <c r="AA77" s="11">
        <f t="shared" si="513"/>
        <v>0.11726781896506036</v>
      </c>
      <c r="AB77" s="11">
        <f t="shared" ref="AB77:AD77" si="519">AB76/AB56</f>
        <v>0.11726781896506033</v>
      </c>
      <c r="AC77" s="11">
        <f t="shared" si="519"/>
        <v>0.11726781896506046</v>
      </c>
      <c r="AD77" s="11">
        <f t="shared" si="519"/>
        <v>0.11726781896506043</v>
      </c>
      <c r="AE77" s="11">
        <f t="shared" si="513"/>
        <v>0.1172678189650604</v>
      </c>
      <c r="AF77" s="11">
        <f t="shared" ref="AF77:AH77" si="520">AF76/AF56</f>
        <v>0.11726781896506037</v>
      </c>
      <c r="AG77" s="11">
        <f t="shared" si="520"/>
        <v>0.11726781896506024</v>
      </c>
      <c r="AH77" s="11">
        <f t="shared" si="520"/>
        <v>0.11726781896506033</v>
      </c>
      <c r="AI77" s="11">
        <f t="shared" si="513"/>
        <v>0.11726781896506043</v>
      </c>
      <c r="AJ77" s="11">
        <f t="shared" ref="AJ77:AL77" si="521">AJ76/AJ56</f>
        <v>0.11726781896506042</v>
      </c>
      <c r="AK77" s="11">
        <f t="shared" si="521"/>
        <v>0.11726781896506039</v>
      </c>
      <c r="AL77" s="11">
        <f t="shared" si="521"/>
        <v>0.11726781896506028</v>
      </c>
      <c r="AM77" s="11">
        <f t="shared" si="513"/>
        <v>0.11726781896506036</v>
      </c>
      <c r="AN77" s="11">
        <f t="shared" ref="AN77:AP77" si="522">AN76/AN56</f>
        <v>0.11726781896506044</v>
      </c>
      <c r="AO77" s="11">
        <f t="shared" si="522"/>
        <v>0.11726781896506033</v>
      </c>
      <c r="AP77" s="11">
        <f t="shared" si="522"/>
        <v>0.1172678189650604</v>
      </c>
      <c r="AQ77" s="11">
        <f t="shared" si="513"/>
        <v>0.11726781896506031</v>
      </c>
      <c r="AR77" s="11">
        <f t="shared" ref="AR77:AS77" si="523">AR76/AR56</f>
        <v>0.11726781896506037</v>
      </c>
      <c r="AS77" s="11">
        <f t="shared" si="523"/>
        <v>0.11726781896506044</v>
      </c>
      <c r="AT77" s="11">
        <f t="shared" ref="AT77" si="524">AT76/AT56</f>
        <v>0.11726781896506035</v>
      </c>
    </row>
    <row r="81" spans="2:46" ht="21">
      <c r="B81" s="3"/>
      <c r="C81" s="3"/>
      <c r="D81" s="3"/>
      <c r="E81" s="3"/>
      <c r="F81" s="3"/>
      <c r="G81" s="14"/>
      <c r="H81" s="14"/>
      <c r="I81" s="14"/>
      <c r="J81" s="14"/>
      <c r="K81" s="14"/>
      <c r="L81" s="14"/>
      <c r="M81" s="21"/>
      <c r="N81" s="21"/>
      <c r="O81" s="21"/>
      <c r="P81" s="21"/>
      <c r="Q81" s="21"/>
      <c r="R81" s="21"/>
      <c r="S81" s="21"/>
      <c r="T81" s="21"/>
      <c r="U81" s="21"/>
      <c r="V81" s="21"/>
      <c r="W81" s="21"/>
      <c r="X81" s="21"/>
      <c r="Y81" s="21"/>
      <c r="Z81" s="21"/>
      <c r="AA81" s="14"/>
      <c r="AB81" s="14"/>
      <c r="AC81" s="14"/>
      <c r="AD81" s="14"/>
      <c r="AE81" s="14"/>
      <c r="AF81" s="14"/>
      <c r="AG81" s="14"/>
      <c r="AH81" s="14"/>
      <c r="AI81" s="14"/>
      <c r="AJ81" s="14"/>
      <c r="AK81" s="14"/>
      <c r="AL81" s="14"/>
      <c r="AM81" s="14"/>
      <c r="AN81" s="14"/>
      <c r="AO81" s="14"/>
      <c r="AP81" s="14"/>
      <c r="AQ81" s="14"/>
      <c r="AR81" s="14"/>
      <c r="AS81" s="14"/>
      <c r="AT81" s="14"/>
    </row>
    <row r="82" spans="2:46">
      <c r="G82" s="5"/>
      <c r="H82" s="5"/>
      <c r="I82" s="5"/>
      <c r="J82" s="5"/>
      <c r="K82" s="5"/>
      <c r="L82" s="5"/>
      <c r="M82" s="5"/>
      <c r="N82" s="5"/>
      <c r="O82" s="5"/>
      <c r="P82" s="5"/>
      <c r="Q82" s="5"/>
      <c r="R82" s="5"/>
      <c r="S82" s="5"/>
      <c r="T82" s="5"/>
      <c r="U82" s="5"/>
      <c r="V82" s="5"/>
      <c r="W82" s="5"/>
      <c r="X82" s="5"/>
      <c r="Y82" s="5"/>
      <c r="Z82" s="5"/>
      <c r="AA82" s="5"/>
      <c r="AB82" s="5"/>
      <c r="AC82" s="5"/>
      <c r="AD82" s="5"/>
      <c r="AE82" s="5"/>
      <c r="AF82" s="5"/>
      <c r="AG82" s="5"/>
      <c r="AH82" s="5"/>
      <c r="AI82" s="5"/>
      <c r="AJ82" s="5"/>
      <c r="AK82" s="5"/>
      <c r="AL82" s="5"/>
      <c r="AM82" s="5"/>
      <c r="AN82" s="5"/>
      <c r="AO82" s="5"/>
      <c r="AP82" s="5"/>
      <c r="AQ82" s="5"/>
      <c r="AR82" s="5"/>
      <c r="AS82" s="5"/>
      <c r="AT82" s="5"/>
    </row>
    <row r="83" spans="2:46">
      <c r="G83" s="5"/>
      <c r="H83" s="5"/>
      <c r="I83" s="5"/>
      <c r="J83" s="5"/>
      <c r="K83" s="5"/>
      <c r="L83" s="5"/>
      <c r="M83" s="5"/>
      <c r="N83" s="5"/>
      <c r="O83" s="5"/>
      <c r="P83" s="5"/>
      <c r="Q83" s="5"/>
      <c r="R83" s="5"/>
      <c r="S83" s="5"/>
      <c r="T83" s="5"/>
      <c r="U83" s="5"/>
      <c r="V83" s="5"/>
      <c r="W83" s="5"/>
      <c r="X83" s="5"/>
      <c r="Y83" s="5"/>
      <c r="Z83" s="5"/>
      <c r="AA83" s="5"/>
      <c r="AB83" s="5"/>
      <c r="AC83" s="5"/>
      <c r="AD83" s="5"/>
      <c r="AE83" s="5"/>
      <c r="AF83" s="5"/>
      <c r="AG83" s="5"/>
      <c r="AH83" s="5"/>
      <c r="AI83" s="5"/>
      <c r="AJ83" s="5"/>
      <c r="AK83" s="5"/>
      <c r="AL83" s="5"/>
      <c r="AM83" s="5"/>
      <c r="AN83" s="5"/>
      <c r="AO83" s="5"/>
      <c r="AP83" s="5"/>
      <c r="AQ83" s="5"/>
      <c r="AR83" s="5"/>
      <c r="AS83" s="5"/>
      <c r="AT83" s="5"/>
    </row>
    <row r="84" spans="2:46">
      <c r="G84" s="5"/>
      <c r="H84" s="5"/>
      <c r="I84" s="5"/>
      <c r="J84" s="5"/>
      <c r="K84" s="5"/>
      <c r="L84" s="5"/>
      <c r="M84" s="5"/>
      <c r="N84" s="5"/>
      <c r="O84" s="5"/>
      <c r="P84" s="5"/>
      <c r="Q84" s="5"/>
      <c r="R84" s="5"/>
      <c r="S84" s="5"/>
      <c r="T84" s="5"/>
      <c r="U84" s="5"/>
      <c r="V84" s="5"/>
      <c r="W84" s="5"/>
      <c r="X84" s="5"/>
      <c r="Y84" s="5"/>
      <c r="Z84" s="5"/>
      <c r="AA84" s="5"/>
      <c r="AB84" s="5"/>
      <c r="AC84" s="5"/>
      <c r="AD84" s="5"/>
      <c r="AE84" s="5"/>
      <c r="AF84" s="5"/>
      <c r="AG84" s="5"/>
      <c r="AH84" s="5"/>
      <c r="AI84" s="5"/>
      <c r="AJ84" s="5"/>
      <c r="AK84" s="5"/>
      <c r="AL84" s="5"/>
      <c r="AM84" s="5"/>
      <c r="AN84" s="5"/>
      <c r="AO84" s="5"/>
      <c r="AP84" s="5"/>
      <c r="AQ84" s="5"/>
      <c r="AR84" s="5"/>
      <c r="AS84" s="5"/>
      <c r="AT84" s="5"/>
    </row>
    <row r="85" spans="2:46">
      <c r="G85" s="5"/>
      <c r="H85" s="5"/>
      <c r="I85" s="5"/>
      <c r="J85" s="5"/>
      <c r="K85" s="5"/>
      <c r="L85" s="5"/>
      <c r="M85" s="5"/>
      <c r="N85" s="5"/>
      <c r="O85" s="5"/>
      <c r="P85" s="5"/>
      <c r="Q85" s="5"/>
      <c r="R85" s="5"/>
      <c r="S85" s="5"/>
      <c r="T85" s="5"/>
      <c r="U85" s="5"/>
      <c r="V85" s="5"/>
      <c r="W85" s="5"/>
      <c r="X85" s="5"/>
      <c r="Y85" s="5"/>
      <c r="Z85" s="5"/>
      <c r="AA85" s="5"/>
      <c r="AB85" s="5"/>
      <c r="AC85" s="5"/>
      <c r="AD85" s="5"/>
      <c r="AE85" s="5"/>
      <c r="AF85" s="5"/>
      <c r="AG85" s="5"/>
      <c r="AH85" s="5"/>
      <c r="AI85" s="5"/>
      <c r="AJ85" s="5"/>
      <c r="AK85" s="5"/>
      <c r="AL85" s="5"/>
      <c r="AM85" s="5"/>
      <c r="AN85" s="5"/>
      <c r="AO85" s="5"/>
      <c r="AP85" s="5"/>
      <c r="AQ85" s="5"/>
      <c r="AR85" s="5"/>
      <c r="AS85" s="5"/>
      <c r="AT85" s="5"/>
    </row>
    <row r="86" spans="2:46">
      <c r="G86" s="5"/>
      <c r="H86" s="5"/>
      <c r="I86" s="5"/>
      <c r="J86" s="5"/>
      <c r="K86" s="5"/>
      <c r="L86" s="5"/>
      <c r="M86" s="5"/>
      <c r="N86" s="5"/>
      <c r="O86" s="5"/>
      <c r="P86" s="5"/>
      <c r="Q86" s="5"/>
      <c r="R86" s="5"/>
      <c r="S86" s="5"/>
      <c r="T86" s="5"/>
      <c r="U86" s="5"/>
      <c r="V86" s="5"/>
      <c r="W86" s="5"/>
      <c r="X86" s="5"/>
      <c r="Y86" s="5"/>
      <c r="Z86" s="5"/>
      <c r="AA86" s="5"/>
      <c r="AB86" s="5"/>
      <c r="AC86" s="5"/>
      <c r="AD86" s="5"/>
      <c r="AE86" s="5"/>
      <c r="AF86" s="5"/>
      <c r="AG86" s="5"/>
      <c r="AH86" s="5"/>
      <c r="AI86" s="5"/>
      <c r="AJ86" s="5"/>
      <c r="AK86" s="5"/>
      <c r="AL86" s="5"/>
      <c r="AM86" s="5"/>
      <c r="AN86" s="5"/>
      <c r="AO86" s="5"/>
      <c r="AP86" s="5"/>
      <c r="AQ86" s="5"/>
      <c r="AR86" s="5"/>
      <c r="AS86" s="5"/>
      <c r="AT86" s="5"/>
    </row>
    <row r="87" spans="2:46">
      <c r="G87" s="5"/>
      <c r="H87" s="5"/>
      <c r="I87" s="5"/>
      <c r="J87" s="5"/>
      <c r="K87" s="5"/>
      <c r="L87" s="5"/>
      <c r="M87" s="5"/>
      <c r="N87" s="5"/>
      <c r="O87" s="5"/>
      <c r="P87" s="5"/>
      <c r="Q87" s="5"/>
      <c r="R87" s="5"/>
      <c r="S87" s="5"/>
      <c r="T87" s="5"/>
      <c r="U87" s="5"/>
      <c r="V87" s="5"/>
      <c r="W87" s="5"/>
      <c r="X87" s="5"/>
      <c r="Y87" s="5"/>
      <c r="Z87" s="5"/>
      <c r="AA87" s="5"/>
      <c r="AB87" s="5"/>
      <c r="AC87" s="5"/>
      <c r="AD87" s="5"/>
      <c r="AE87" s="5"/>
      <c r="AF87" s="5"/>
      <c r="AG87" s="5"/>
      <c r="AH87" s="5"/>
      <c r="AI87" s="5"/>
      <c r="AJ87" s="5"/>
      <c r="AK87" s="5"/>
      <c r="AL87" s="5"/>
      <c r="AM87" s="5"/>
      <c r="AN87" s="5"/>
      <c r="AO87" s="5"/>
      <c r="AP87" s="5"/>
      <c r="AQ87" s="5"/>
      <c r="AR87" s="5"/>
      <c r="AS87" s="5"/>
      <c r="AT87" s="5"/>
    </row>
    <row r="88" spans="2:46">
      <c r="G88" s="5"/>
      <c r="H88" s="5"/>
      <c r="I88" s="5"/>
      <c r="J88" s="5"/>
      <c r="K88" s="5"/>
      <c r="L88" s="5"/>
      <c r="M88" s="5"/>
      <c r="N88" s="5"/>
      <c r="O88" s="5"/>
      <c r="P88" s="5"/>
      <c r="Q88" s="5"/>
      <c r="R88" s="5"/>
      <c r="S88" s="5"/>
      <c r="T88" s="5"/>
      <c r="U88" s="5"/>
      <c r="V88" s="5"/>
      <c r="W88" s="5"/>
      <c r="X88" s="5"/>
      <c r="Y88" s="5"/>
      <c r="Z88" s="5"/>
      <c r="AA88" s="5"/>
      <c r="AB88" s="5"/>
      <c r="AC88" s="5"/>
      <c r="AD88" s="5"/>
      <c r="AE88" s="5"/>
      <c r="AF88" s="5"/>
      <c r="AG88" s="5"/>
      <c r="AH88" s="5"/>
      <c r="AI88" s="5"/>
      <c r="AJ88" s="5"/>
      <c r="AK88" s="5"/>
      <c r="AL88" s="5"/>
      <c r="AM88" s="5"/>
      <c r="AN88" s="5"/>
      <c r="AO88" s="5"/>
      <c r="AP88" s="5"/>
      <c r="AQ88" s="5"/>
      <c r="AR88" s="5"/>
      <c r="AS88" s="5"/>
      <c r="AT88" s="5"/>
    </row>
    <row r="89" spans="2:46">
      <c r="G89" s="15"/>
      <c r="H89" s="15"/>
      <c r="I89" s="15"/>
      <c r="J89" s="15"/>
      <c r="K89" s="15"/>
      <c r="L89" s="15"/>
      <c r="M89" s="15"/>
      <c r="N89" s="15"/>
      <c r="O89" s="15"/>
      <c r="P89" s="15"/>
      <c r="Q89" s="15"/>
      <c r="R89" s="15"/>
      <c r="S89" s="15"/>
      <c r="T89" s="15"/>
      <c r="U89" s="15"/>
      <c r="V89" s="15"/>
      <c r="W89" s="15"/>
      <c r="X89" s="15"/>
      <c r="Y89" s="15"/>
      <c r="Z89" s="15"/>
      <c r="AA89" s="15"/>
      <c r="AB89" s="15"/>
      <c r="AC89" s="15"/>
      <c r="AD89" s="15"/>
      <c r="AE89" s="15"/>
      <c r="AF89" s="15"/>
      <c r="AG89" s="15"/>
      <c r="AH89" s="15"/>
      <c r="AI89" s="15"/>
      <c r="AJ89" s="15"/>
      <c r="AK89" s="15"/>
      <c r="AL89" s="15"/>
      <c r="AM89" s="15"/>
      <c r="AN89" s="15"/>
      <c r="AO89" s="15"/>
      <c r="AP89" s="15"/>
      <c r="AQ89" s="15"/>
      <c r="AR89" s="15"/>
      <c r="AS89" s="15"/>
      <c r="AT89" s="15"/>
    </row>
    <row r="90" spans="2:4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row>
    <row r="91" spans="2:46">
      <c r="G91" s="17"/>
      <c r="H91" s="17"/>
      <c r="I91" s="17"/>
      <c r="J91" s="17"/>
      <c r="K91" s="17"/>
      <c r="L91" s="17"/>
      <c r="M91" s="17"/>
      <c r="N91" s="17"/>
      <c r="O91" s="17"/>
      <c r="P91" s="17"/>
      <c r="Q91" s="17"/>
      <c r="R91" s="17"/>
      <c r="S91" s="17"/>
      <c r="T91" s="17"/>
      <c r="U91" s="17"/>
      <c r="V91" s="17"/>
      <c r="W91" s="17"/>
      <c r="X91" s="17"/>
      <c r="Y91" s="17"/>
      <c r="Z91" s="17"/>
      <c r="AA91" s="17"/>
      <c r="AB91" s="17"/>
      <c r="AC91" s="17"/>
      <c r="AD91" s="17"/>
      <c r="AE91" s="17"/>
      <c r="AF91" s="17"/>
      <c r="AG91" s="17"/>
      <c r="AH91" s="17"/>
      <c r="AI91" s="17"/>
      <c r="AJ91" s="17"/>
      <c r="AK91" s="17"/>
      <c r="AL91" s="17"/>
      <c r="AM91" s="17"/>
      <c r="AN91" s="17"/>
      <c r="AO91" s="17"/>
      <c r="AP91" s="17"/>
      <c r="AQ91" s="17"/>
      <c r="AR91" s="17"/>
      <c r="AS91" s="17"/>
      <c r="AT91" s="17"/>
    </row>
    <row r="92" spans="2:46">
      <c r="G92" s="16"/>
      <c r="H92" s="16"/>
      <c r="I92" s="16"/>
      <c r="J92" s="16"/>
      <c r="K92" s="16"/>
      <c r="L92" s="16"/>
      <c r="M92" s="16"/>
      <c r="N92" s="16"/>
      <c r="O92" s="16"/>
      <c r="P92" s="16"/>
      <c r="Q92" s="16"/>
      <c r="R92" s="16"/>
      <c r="S92" s="16"/>
      <c r="T92" s="16"/>
      <c r="U92" s="16"/>
      <c r="V92" s="16"/>
      <c r="W92" s="16"/>
      <c r="X92" s="16"/>
      <c r="Y92" s="16"/>
      <c r="Z92" s="16"/>
      <c r="AA92" s="16"/>
      <c r="AB92" s="16"/>
      <c r="AC92" s="16"/>
      <c r="AD92" s="16"/>
      <c r="AE92" s="16"/>
      <c r="AF92" s="16"/>
      <c r="AG92" s="16"/>
      <c r="AH92" s="16"/>
      <c r="AI92" s="16"/>
      <c r="AJ92" s="16"/>
      <c r="AK92" s="16"/>
      <c r="AL92" s="16"/>
      <c r="AM92" s="16"/>
      <c r="AN92" s="16"/>
      <c r="AO92" s="16"/>
      <c r="AP92" s="16"/>
      <c r="AQ92" s="16"/>
      <c r="AR92" s="16"/>
      <c r="AS92" s="16"/>
      <c r="AT92" s="16"/>
    </row>
    <row r="93" spans="2:46">
      <c r="G93" s="5"/>
      <c r="H93" s="5"/>
      <c r="I93" s="5"/>
      <c r="J93" s="5"/>
      <c r="K93" s="5"/>
      <c r="L93" s="5"/>
      <c r="M93" s="5"/>
      <c r="N93" s="5"/>
      <c r="O93" s="5"/>
      <c r="P93" s="5"/>
      <c r="Q93" s="5"/>
      <c r="R93" s="5"/>
      <c r="S93" s="5"/>
      <c r="T93" s="5"/>
      <c r="U93" s="5"/>
      <c r="V93" s="5"/>
      <c r="W93" s="5"/>
      <c r="X93" s="5"/>
      <c r="Y93" s="5"/>
      <c r="Z93" s="5"/>
      <c r="AA93" s="5"/>
      <c r="AB93" s="5"/>
      <c r="AC93" s="5"/>
      <c r="AD93" s="5"/>
      <c r="AE93" s="5"/>
      <c r="AF93" s="5"/>
      <c r="AG93" s="5"/>
      <c r="AH93" s="5"/>
      <c r="AI93" s="5"/>
      <c r="AJ93" s="5"/>
      <c r="AK93" s="5"/>
      <c r="AL93" s="5"/>
      <c r="AM93" s="5"/>
      <c r="AN93" s="5"/>
      <c r="AO93" s="5"/>
      <c r="AP93" s="5"/>
      <c r="AQ93" s="5"/>
      <c r="AR93" s="5"/>
      <c r="AS93" s="5"/>
      <c r="AT93" s="5"/>
    </row>
    <row r="94" spans="2:46">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row>
    <row r="95" spans="2:46">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row>
    <row r="96" spans="2:46">
      <c r="G96" s="20"/>
      <c r="H96" s="20"/>
      <c r="I96" s="20"/>
      <c r="J96" s="20"/>
      <c r="K96" s="20"/>
      <c r="L96" s="20"/>
      <c r="M96" s="20"/>
      <c r="N96" s="20"/>
      <c r="O96" s="20"/>
      <c r="P96" s="20"/>
      <c r="Q96" s="20"/>
      <c r="R96" s="20"/>
      <c r="S96" s="20"/>
      <c r="T96" s="20"/>
      <c r="U96" s="20"/>
      <c r="V96" s="20"/>
      <c r="W96" s="20"/>
      <c r="X96" s="20"/>
      <c r="Y96" s="20"/>
      <c r="Z96" s="20"/>
      <c r="AA96" s="20"/>
      <c r="AB96" s="20"/>
      <c r="AC96" s="20"/>
      <c r="AD96" s="20"/>
      <c r="AE96" s="20"/>
      <c r="AF96" s="20"/>
      <c r="AG96" s="20"/>
      <c r="AH96" s="20"/>
      <c r="AI96" s="20"/>
      <c r="AJ96" s="20"/>
      <c r="AK96" s="20"/>
      <c r="AL96" s="20"/>
      <c r="AM96" s="20"/>
      <c r="AN96" s="20"/>
      <c r="AO96" s="20"/>
      <c r="AP96" s="20"/>
      <c r="AQ96" s="20"/>
      <c r="AR96" s="20"/>
      <c r="AS96" s="20"/>
      <c r="AT96" s="20"/>
    </row>
    <row r="97" spans="7:46">
      <c r="G97" s="20"/>
      <c r="H97" s="20"/>
      <c r="I97" s="20"/>
      <c r="J97" s="20"/>
      <c r="K97" s="20"/>
      <c r="L97" s="20"/>
      <c r="M97" s="20"/>
      <c r="N97" s="20"/>
      <c r="O97" s="20"/>
      <c r="P97" s="20"/>
      <c r="Q97" s="20"/>
      <c r="R97" s="20"/>
      <c r="S97" s="20"/>
      <c r="T97" s="20"/>
      <c r="U97" s="20"/>
      <c r="V97" s="20"/>
      <c r="W97" s="20"/>
      <c r="X97" s="20"/>
      <c r="Y97" s="20"/>
      <c r="Z97" s="20"/>
      <c r="AA97" s="20"/>
      <c r="AB97" s="20"/>
      <c r="AC97" s="20"/>
      <c r="AD97" s="20"/>
      <c r="AE97" s="20"/>
      <c r="AF97" s="20"/>
      <c r="AG97" s="20"/>
      <c r="AH97" s="20"/>
      <c r="AI97" s="20"/>
      <c r="AJ97" s="20"/>
      <c r="AK97" s="20"/>
      <c r="AL97" s="20"/>
      <c r="AM97" s="20"/>
      <c r="AN97" s="20"/>
      <c r="AO97" s="20"/>
      <c r="AP97" s="20"/>
      <c r="AQ97" s="20"/>
      <c r="AR97" s="20"/>
      <c r="AS97" s="20"/>
      <c r="AT97" s="20"/>
    </row>
    <row r="98" spans="7:46">
      <c r="G98" s="5"/>
      <c r="H98" s="5"/>
      <c r="I98" s="5"/>
      <c r="J98" s="5"/>
      <c r="K98" s="5"/>
      <c r="L98" s="5"/>
      <c r="M98" s="5"/>
      <c r="N98" s="5"/>
      <c r="O98" s="5"/>
      <c r="P98" s="5"/>
      <c r="Q98" s="5"/>
      <c r="R98" s="5"/>
      <c r="S98" s="5"/>
      <c r="T98" s="5"/>
      <c r="U98" s="5"/>
      <c r="V98" s="5"/>
      <c r="W98" s="5"/>
      <c r="X98" s="5"/>
      <c r="Y98" s="5"/>
      <c r="Z98" s="5"/>
      <c r="AA98" s="5"/>
      <c r="AB98" s="5"/>
      <c r="AC98" s="5"/>
      <c r="AD98" s="5"/>
      <c r="AE98" s="5"/>
      <c r="AF98" s="5"/>
      <c r="AG98" s="5"/>
      <c r="AH98" s="5"/>
      <c r="AI98" s="5"/>
      <c r="AJ98" s="5"/>
      <c r="AK98" s="5"/>
      <c r="AL98" s="5"/>
      <c r="AM98" s="5"/>
      <c r="AN98" s="5"/>
      <c r="AO98" s="5"/>
      <c r="AP98" s="5"/>
      <c r="AQ98" s="5"/>
      <c r="AR98" s="5"/>
      <c r="AS98" s="5"/>
      <c r="AT98" s="5"/>
    </row>
    <row r="99" spans="7:46">
      <c r="G99" s="5"/>
      <c r="H99" s="5"/>
      <c r="I99" s="5"/>
      <c r="J99" s="5"/>
      <c r="K99" s="5"/>
      <c r="L99" s="5"/>
      <c r="M99" s="5"/>
      <c r="N99" s="5"/>
      <c r="O99" s="5"/>
      <c r="P99" s="5"/>
      <c r="Q99" s="5"/>
      <c r="R99" s="5"/>
      <c r="S99" s="5"/>
      <c r="T99" s="5"/>
      <c r="U99" s="5"/>
      <c r="V99" s="5"/>
      <c r="W99" s="5"/>
      <c r="X99" s="5"/>
      <c r="Y99" s="5"/>
      <c r="Z99" s="5"/>
      <c r="AA99" s="5"/>
      <c r="AB99" s="5"/>
      <c r="AC99" s="5"/>
      <c r="AD99" s="5"/>
      <c r="AE99" s="5"/>
      <c r="AF99" s="5"/>
      <c r="AG99" s="5"/>
      <c r="AH99" s="5"/>
      <c r="AI99" s="5"/>
      <c r="AJ99" s="5"/>
      <c r="AK99" s="5"/>
      <c r="AL99" s="5"/>
      <c r="AM99" s="5"/>
      <c r="AN99" s="5"/>
      <c r="AO99" s="5"/>
      <c r="AP99" s="5"/>
      <c r="AQ99" s="5"/>
      <c r="AR99" s="5"/>
      <c r="AS99" s="5"/>
      <c r="AT99" s="5"/>
    </row>
    <row r="100" spans="7:46">
      <c r="G100" s="5"/>
      <c r="H100" s="5"/>
      <c r="I100" s="5"/>
      <c r="J100" s="5"/>
      <c r="K100" s="5"/>
      <c r="L100" s="5"/>
      <c r="M100" s="5"/>
      <c r="N100" s="5"/>
      <c r="O100" s="5"/>
      <c r="P100" s="5"/>
      <c r="Q100" s="5"/>
      <c r="R100" s="5"/>
      <c r="S100" s="5"/>
      <c r="T100" s="5"/>
      <c r="U100" s="5"/>
      <c r="V100" s="5"/>
      <c r="W100" s="5"/>
      <c r="X100" s="5"/>
      <c r="Y100" s="5"/>
      <c r="Z100" s="5"/>
      <c r="AA100" s="5"/>
      <c r="AB100" s="5"/>
      <c r="AC100" s="5"/>
      <c r="AD100" s="5"/>
      <c r="AE100" s="5"/>
      <c r="AF100" s="5"/>
      <c r="AG100" s="5"/>
      <c r="AH100" s="5"/>
      <c r="AI100" s="5"/>
      <c r="AJ100" s="5"/>
      <c r="AK100" s="5"/>
      <c r="AL100" s="5"/>
      <c r="AM100" s="5"/>
      <c r="AN100" s="5"/>
      <c r="AO100" s="5"/>
      <c r="AP100" s="5"/>
      <c r="AQ100" s="5"/>
      <c r="AR100" s="5"/>
      <c r="AS100" s="5"/>
      <c r="AT100" s="5"/>
    </row>
    <row r="101" spans="7:46">
      <c r="G101" s="17"/>
      <c r="H101" s="17"/>
      <c r="I101" s="17"/>
      <c r="J101" s="17"/>
      <c r="K101" s="17"/>
      <c r="L101" s="17"/>
      <c r="M101" s="17"/>
      <c r="N101" s="17"/>
      <c r="O101" s="17"/>
      <c r="P101" s="17"/>
      <c r="Q101" s="17"/>
      <c r="R101" s="17"/>
      <c r="S101" s="17"/>
      <c r="T101" s="17"/>
      <c r="U101" s="17"/>
      <c r="V101" s="17"/>
      <c r="W101" s="17"/>
      <c r="X101" s="17"/>
      <c r="Y101" s="17"/>
      <c r="Z101" s="17"/>
      <c r="AA101" s="17"/>
      <c r="AB101" s="17"/>
      <c r="AC101" s="17"/>
      <c r="AD101" s="17"/>
      <c r="AE101" s="17"/>
      <c r="AF101" s="17"/>
      <c r="AG101" s="17"/>
      <c r="AH101" s="17"/>
      <c r="AI101" s="17"/>
      <c r="AJ101" s="17"/>
      <c r="AK101" s="17"/>
      <c r="AL101" s="17"/>
      <c r="AM101" s="17"/>
      <c r="AN101" s="17"/>
      <c r="AO101" s="17"/>
      <c r="AP101" s="17"/>
      <c r="AQ101" s="17"/>
      <c r="AR101" s="17"/>
      <c r="AS101" s="17"/>
      <c r="AT101" s="17"/>
    </row>
  </sheetData>
  <sheetProtection algorithmName="SHA-512" hashValue="QkJFSfuWbubag67HxLFPhfYkXWxSla1tov4VS3eXRW8TIlCwhEQRThMU3E+PMrobPtivXU/lCpp+PMnIFMHnAw==" saltValue="jEmPAx1MjZgXs+ZAKYMOFg==" spinCount="100000" sheet="1" objects="1" scenarios="1"/>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G29"/>
  <sheetViews>
    <sheetView topLeftCell="A14" workbookViewId="0">
      <selection activeCell="AO93" sqref="AO93:BD93"/>
    </sheetView>
  </sheetViews>
  <sheetFormatPr defaultColWidth="9" defaultRowHeight="15"/>
  <cols>
    <col min="1" max="1" width="3.28515625" customWidth="1"/>
    <col min="2" max="2" width="13.5703125" customWidth="1"/>
    <col min="3" max="5" width="12.7109375" customWidth="1"/>
    <col min="6" max="6" width="6.28515625" customWidth="1"/>
    <col min="7" max="7" width="14.140625" customWidth="1"/>
  </cols>
  <sheetData>
    <row r="1" spans="2:7" ht="15" customHeight="1">
      <c r="B1" s="233" t="s">
        <v>15</v>
      </c>
      <c r="C1" s="233"/>
      <c r="D1" s="233"/>
      <c r="E1" s="233"/>
    </row>
    <row r="2" spans="2:7" ht="15" customHeight="1">
      <c r="B2" s="233"/>
      <c r="C2" s="233"/>
      <c r="D2" s="233"/>
      <c r="E2" s="233"/>
    </row>
    <row r="3" spans="2:7" ht="39" customHeight="1">
      <c r="B3" s="233"/>
      <c r="C3" s="233"/>
      <c r="D3" s="233"/>
      <c r="E3" s="233"/>
    </row>
    <row r="4" spans="2:7">
      <c r="B4" s="234" t="s">
        <v>231</v>
      </c>
      <c r="C4" s="234"/>
      <c r="D4" s="234"/>
      <c r="E4" s="234"/>
    </row>
    <row r="5" spans="2:7" ht="15" customHeight="1">
      <c r="B5" s="235" t="s">
        <v>16</v>
      </c>
      <c r="C5" s="237" t="s">
        <v>17</v>
      </c>
      <c r="D5" s="237" t="s">
        <v>18</v>
      </c>
      <c r="E5" s="237" t="s">
        <v>19</v>
      </c>
      <c r="F5" s="232"/>
      <c r="G5" s="232"/>
    </row>
    <row r="6" spans="2:7" ht="23.25" customHeight="1">
      <c r="B6" s="236"/>
      <c r="C6" s="238"/>
      <c r="D6" s="238"/>
      <c r="E6" s="238"/>
      <c r="F6" s="232"/>
      <c r="G6" s="232"/>
    </row>
    <row r="7" spans="2:7" ht="16.5">
      <c r="B7" s="23">
        <v>25000</v>
      </c>
      <c r="C7" s="24">
        <f>'Computation Table'!D74</f>
        <v>2360.096729328227</v>
      </c>
      <c r="D7" s="25">
        <f>'Computation Table'!D48</f>
        <v>1262.6260691531631</v>
      </c>
      <c r="E7" s="25">
        <f>'Computation Table'!D22</f>
        <v>907.19973893469</v>
      </c>
      <c r="F7" s="22"/>
      <c r="G7" s="22"/>
    </row>
    <row r="8" spans="2:7" ht="16.5">
      <c r="B8" s="23">
        <v>50000</v>
      </c>
      <c r="C8" s="24">
        <f>'Computation Table'!E74</f>
        <v>4720.1934586564539</v>
      </c>
      <c r="D8" s="25">
        <f>'Computation Table'!E48</f>
        <v>2525.2521383063263</v>
      </c>
      <c r="E8" s="25">
        <f>'Computation Table'!E22</f>
        <v>1814.39947786938</v>
      </c>
      <c r="F8" s="22"/>
      <c r="G8" s="22"/>
    </row>
    <row r="9" spans="2:7" ht="16.5">
      <c r="B9" s="23">
        <v>75000</v>
      </c>
      <c r="C9" s="24">
        <f>'Computation Table'!F74</f>
        <v>7080.2901879846804</v>
      </c>
      <c r="D9" s="25">
        <f>'Computation Table'!F48</f>
        <v>3787.8782074594897</v>
      </c>
      <c r="E9" s="25">
        <f>'Computation Table'!F22</f>
        <v>2721.5992168040698</v>
      </c>
      <c r="F9" s="22"/>
      <c r="G9" s="22"/>
    </row>
    <row r="10" spans="2:7" ht="16.5">
      <c r="B10" s="23">
        <v>100000</v>
      </c>
      <c r="C10" s="24">
        <f>'Computation Table'!G74</f>
        <v>9440.3869173129078</v>
      </c>
      <c r="D10" s="25">
        <f>'Computation Table'!G48</f>
        <v>5050.5042766126526</v>
      </c>
      <c r="E10" s="25">
        <f>'Computation Table'!G22</f>
        <v>3628.79895573876</v>
      </c>
      <c r="F10" s="26"/>
      <c r="G10" s="26"/>
    </row>
    <row r="11" spans="2:7" ht="16.5">
      <c r="B11" s="23">
        <v>150000</v>
      </c>
      <c r="C11" s="24">
        <f>'Computation Table'!I74</f>
        <v>14160.580375969361</v>
      </c>
      <c r="D11" s="25">
        <f>'Computation Table'!I48</f>
        <v>7575.7564149189793</v>
      </c>
      <c r="E11" s="25">
        <f>'Computation Table'!I22</f>
        <v>5443.1984336081396</v>
      </c>
      <c r="F11" s="26"/>
      <c r="G11" s="26"/>
    </row>
    <row r="12" spans="2:7" ht="16.5">
      <c r="B12" s="23">
        <v>200000</v>
      </c>
      <c r="C12" s="24">
        <f>'Computation Table'!K74</f>
        <v>18880.773834625816</v>
      </c>
      <c r="D12" s="25">
        <f>'Computation Table'!K48</f>
        <v>10101.008553225305</v>
      </c>
      <c r="E12" s="25">
        <f>'Computation Table'!K22</f>
        <v>7257.59791147752</v>
      </c>
      <c r="F12" s="26"/>
      <c r="G12" s="26"/>
    </row>
    <row r="13" spans="2:7" ht="16.5">
      <c r="B13" s="23">
        <v>250000</v>
      </c>
      <c r="C13" s="24">
        <f>'Computation Table'!M74</f>
        <v>23600.967293282269</v>
      </c>
      <c r="D13" s="25">
        <f>'Computation Table'!M48</f>
        <v>12626.260691531632</v>
      </c>
      <c r="E13" s="25">
        <f>'Computation Table'!M22</f>
        <v>9071.9973893469014</v>
      </c>
      <c r="F13" s="26"/>
      <c r="G13" s="26"/>
    </row>
    <row r="14" spans="2:7" ht="16.5">
      <c r="B14" s="23">
        <v>300000</v>
      </c>
      <c r="C14" s="24">
        <f>'Computation Table'!O74</f>
        <v>28321.160751938722</v>
      </c>
      <c r="D14" s="25">
        <f>'Computation Table'!O48</f>
        <v>15151.512829837959</v>
      </c>
      <c r="E14" s="25">
        <f>'Computation Table'!O22</f>
        <v>10886.396867216279</v>
      </c>
      <c r="F14" s="26"/>
      <c r="G14" s="26"/>
    </row>
    <row r="15" spans="2:7" ht="16.5">
      <c r="B15" s="23">
        <v>350000</v>
      </c>
      <c r="C15" s="24">
        <f>'Computation Table'!Q74</f>
        <v>33041.354210595178</v>
      </c>
      <c r="D15" s="25">
        <f>'Computation Table'!Q48</f>
        <v>17676.764968144285</v>
      </c>
      <c r="E15" s="25">
        <f>'Computation Table'!Q22</f>
        <v>12700.796345085659</v>
      </c>
      <c r="F15" s="26"/>
      <c r="G15" s="26"/>
    </row>
    <row r="16" spans="2:7" ht="16.5">
      <c r="B16" s="23">
        <v>400000</v>
      </c>
      <c r="C16" s="24">
        <f>'Computation Table'!S74</f>
        <v>37761.547669251631</v>
      </c>
      <c r="D16" s="25">
        <f>'Computation Table'!S48</f>
        <v>20202.01710645061</v>
      </c>
      <c r="E16" s="25">
        <f>'Computation Table'!S22</f>
        <v>14515.19582295504</v>
      </c>
      <c r="F16" s="26"/>
      <c r="G16" s="26"/>
    </row>
    <row r="17" spans="2:7" ht="16.5">
      <c r="B17" s="23">
        <v>450000</v>
      </c>
      <c r="C17" s="24">
        <f>'Computation Table'!U74</f>
        <v>42481.741127908084</v>
      </c>
      <c r="D17" s="25">
        <f>'Computation Table'!U48</f>
        <v>22727.269244756939</v>
      </c>
      <c r="E17" s="25">
        <f>'Computation Table'!U22</f>
        <v>16329.59530082442</v>
      </c>
      <c r="F17" s="26"/>
      <c r="G17" s="26"/>
    </row>
    <row r="18" spans="2:7" ht="16.5">
      <c r="B18" s="23">
        <v>500000</v>
      </c>
      <c r="C18" s="24">
        <f>'Computation Table'!W74</f>
        <v>47201.934586564537</v>
      </c>
      <c r="D18" s="25">
        <f>'Computation Table'!W48</f>
        <v>25252.521383063264</v>
      </c>
      <c r="E18" s="25">
        <f>'Computation Table'!W22</f>
        <v>18143.994778693803</v>
      </c>
      <c r="F18" s="26"/>
      <c r="G18" s="26"/>
    </row>
    <row r="19" spans="2:7" ht="16.5">
      <c r="B19" s="23">
        <v>550000</v>
      </c>
      <c r="C19" s="24">
        <f>'[1]Computation Table'!X126</f>
        <v>51417.378331262276</v>
      </c>
      <c r="D19" s="25">
        <f>'[1]Computation Table'!X100</f>
        <v>27716.936598859778</v>
      </c>
      <c r="E19" s="25">
        <f>'[1]Computation Table'!X74</f>
        <v>19566.155999774499</v>
      </c>
      <c r="F19" s="26"/>
      <c r="G19" s="26"/>
    </row>
    <row r="20" spans="2:7" ht="16.5">
      <c r="B20" s="23">
        <v>600000</v>
      </c>
      <c r="C20" s="24">
        <f>'[1]Computation Table'!Z126</f>
        <v>56049.895272965412</v>
      </c>
      <c r="D20" s="25">
        <f>'[1]Computation Table'!Z100</f>
        <v>30214.976485933068</v>
      </c>
      <c r="E20" s="25">
        <f>'[1]Computation Table'!Z74</f>
        <v>21329.887774518666</v>
      </c>
      <c r="F20" s="26"/>
      <c r="G20" s="26"/>
    </row>
    <row r="21" spans="2:7" ht="16.5">
      <c r="B21" s="23">
        <v>650000</v>
      </c>
      <c r="C21" s="24">
        <f>'[1]Computation Table'!AB126</f>
        <v>60682.412214668555</v>
      </c>
      <c r="D21" s="25">
        <f>'[1]Computation Table'!AB100</f>
        <v>32713.016373006354</v>
      </c>
      <c r="E21" s="25">
        <f>'[1]Computation Table'!AB74</f>
        <v>23093.619549262832</v>
      </c>
    </row>
    <row r="22" spans="2:7" ht="16.5">
      <c r="B22" s="23">
        <v>700000</v>
      </c>
      <c r="C22" s="24">
        <f>'[1]Computation Table'!AD126</f>
        <v>65314.929156371705</v>
      </c>
      <c r="D22" s="25">
        <f>'[1]Computation Table'!AD100</f>
        <v>35211.05626007964</v>
      </c>
      <c r="E22" s="25">
        <f>'[1]Computation Table'!AD74</f>
        <v>24857.351324007006</v>
      </c>
    </row>
    <row r="23" spans="2:7" ht="16.5">
      <c r="B23" s="23">
        <v>750000</v>
      </c>
      <c r="C23" s="24">
        <f>'[1]Computation Table'!AF126</f>
        <v>69947.446098074841</v>
      </c>
      <c r="D23" s="25">
        <f>'[1]Computation Table'!AF100</f>
        <v>37709.09614715293</v>
      </c>
      <c r="E23" s="25">
        <f>'[1]Computation Table'!AF74</f>
        <v>26621.083098751173</v>
      </c>
    </row>
    <row r="24" spans="2:7" ht="16.5">
      <c r="B24" s="23">
        <v>800000</v>
      </c>
      <c r="C24" s="24">
        <f>'[1]Computation Table'!AH126</f>
        <v>74579.963039777984</v>
      </c>
      <c r="D24" s="25">
        <f>'[1]Computation Table'!AH100</f>
        <v>40207.13603422622</v>
      </c>
      <c r="E24" s="25">
        <f>'[1]Computation Table'!AH74</f>
        <v>28384.814873495339</v>
      </c>
    </row>
    <row r="25" spans="2:7" ht="16.5">
      <c r="B25" s="23">
        <v>850000</v>
      </c>
      <c r="C25" s="24">
        <f>'[1]Computation Table'!AJ126</f>
        <v>79212.479981481127</v>
      </c>
      <c r="D25" s="25">
        <f>'[1]Computation Table'!AJ100</f>
        <v>42705.175921299509</v>
      </c>
      <c r="E25" s="25">
        <f>'[1]Computation Table'!AJ74</f>
        <v>30148.54664823951</v>
      </c>
    </row>
    <row r="26" spans="2:7" ht="16.5">
      <c r="B26" s="23">
        <v>900000</v>
      </c>
      <c r="C26" s="24">
        <f>'[1]Computation Table'!AL126</f>
        <v>83844.99692318427</v>
      </c>
      <c r="D26" s="25">
        <f>'[1]Computation Table'!AL100</f>
        <v>45203.215808372799</v>
      </c>
      <c r="E26" s="25">
        <f>'[1]Computation Table'!AL74</f>
        <v>31912.278422983676</v>
      </c>
    </row>
    <row r="27" spans="2:7" ht="16.5">
      <c r="B27" s="23">
        <v>950000</v>
      </c>
      <c r="C27" s="24">
        <f>'[1]Computation Table'!AN126</f>
        <v>88477.513864887413</v>
      </c>
      <c r="D27" s="25">
        <f>'[1]Computation Table'!AN100</f>
        <v>47701.255695446082</v>
      </c>
      <c r="E27" s="25">
        <f>'[1]Computation Table'!AN74</f>
        <v>33676.010197727846</v>
      </c>
    </row>
    <row r="28" spans="2:7" ht="17.25" thickBot="1">
      <c r="B28" s="170">
        <v>1000000</v>
      </c>
      <c r="C28" s="171">
        <f>'[1]Computation Table'!AP126</f>
        <v>93110.030806590541</v>
      </c>
      <c r="D28" s="172">
        <f>'[1]Computation Table'!AP100</f>
        <v>50199.295582519371</v>
      </c>
      <c r="E28" s="172">
        <f>'[1]Computation Table'!AP74</f>
        <v>35439.741972472009</v>
      </c>
    </row>
    <row r="29" spans="2:7">
      <c r="B29" s="231"/>
      <c r="C29" s="231"/>
      <c r="D29" s="231"/>
      <c r="E29" s="231"/>
    </row>
  </sheetData>
  <sheetProtection algorithmName="SHA-512" hashValue="bZPM8JyfefTYdAuZ0cRXQyU0XLl0CB1y2RE0+e+pTHMk19MfkHaVG3zLNdgn/VdhIr6C7lpNrBIBVaAU1Uk+fg==" saltValue="sIy6Nuq7bAWPpM6dGlGHbA==" spinCount="100000" sheet="1" objects="1" scenarios="1"/>
  <mergeCells count="9">
    <mergeCell ref="B29:E29"/>
    <mergeCell ref="F5:F6"/>
    <mergeCell ref="G5:G6"/>
    <mergeCell ref="B1:E3"/>
    <mergeCell ref="B4:E4"/>
    <mergeCell ref="B5:B6"/>
    <mergeCell ref="C5:C6"/>
    <mergeCell ref="D5:D6"/>
    <mergeCell ref="E5:E6"/>
  </mergeCells>
  <pageMargins left="0.7" right="0.7" top="0.75" bottom="0.75" header="0.3" footer="0.3"/>
  <pageSetup paperSize="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AE9222-BDE1-4EE8-9C81-A641D7529DBD}">
  <sheetPr>
    <pageSetUpPr fitToPage="1"/>
  </sheetPr>
  <dimension ref="B1:CT167"/>
  <sheetViews>
    <sheetView topLeftCell="A16" zoomScale="70" zoomScaleNormal="70" workbookViewId="0">
      <selection activeCell="D22" sqref="D22:F22"/>
    </sheetView>
  </sheetViews>
  <sheetFormatPr defaultColWidth="8.85546875" defaultRowHeight="15"/>
  <cols>
    <col min="1" max="1" width="2.85546875" customWidth="1"/>
    <col min="2" max="2" width="27.28515625" customWidth="1"/>
    <col min="3" max="3" width="13.42578125" customWidth="1"/>
    <col min="4" max="9" width="15.7109375" customWidth="1"/>
    <col min="10" max="10" width="4.7109375" customWidth="1"/>
    <col min="11" max="20" width="10.7109375" customWidth="1"/>
    <col min="21" max="21" width="4.7109375" customWidth="1"/>
    <col min="22" max="22" width="15.7109375" customWidth="1"/>
    <col min="23" max="57" width="4.85546875" customWidth="1"/>
    <col min="58" max="98" width="15.7109375" customWidth="1"/>
  </cols>
  <sheetData>
    <row r="1" spans="2:98">
      <c r="B1" t="s">
        <v>32</v>
      </c>
      <c r="C1" s="28">
        <f>'Data Entry'!C14</f>
        <v>2797.3541131778288</v>
      </c>
      <c r="T1" t="s">
        <v>33</v>
      </c>
    </row>
    <row r="2" spans="2:98">
      <c r="B2" s="32" t="s">
        <v>34</v>
      </c>
      <c r="C2" s="33">
        <v>0</v>
      </c>
      <c r="D2" s="33">
        <v>1</v>
      </c>
      <c r="E2" s="33">
        <v>2</v>
      </c>
      <c r="F2" s="33">
        <v>3</v>
      </c>
      <c r="G2" s="33">
        <v>4</v>
      </c>
      <c r="H2" s="33">
        <v>5</v>
      </c>
      <c r="I2" s="33">
        <v>6</v>
      </c>
      <c r="J2" s="33">
        <v>7</v>
      </c>
      <c r="K2" s="33">
        <v>8</v>
      </c>
      <c r="L2" s="33">
        <v>9</v>
      </c>
      <c r="M2" s="33">
        <v>10</v>
      </c>
      <c r="N2" s="33">
        <v>11</v>
      </c>
      <c r="O2" s="33">
        <v>12</v>
      </c>
      <c r="P2" s="27"/>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27"/>
      <c r="BV2" s="27"/>
      <c r="BW2" s="27"/>
      <c r="BX2" s="27"/>
      <c r="BY2" s="27"/>
      <c r="BZ2" s="27"/>
      <c r="CA2" s="27"/>
      <c r="CB2" s="27"/>
      <c r="CC2" s="27"/>
      <c r="CD2" s="27"/>
      <c r="CE2" s="27"/>
      <c r="CF2" s="27"/>
      <c r="CG2" s="27"/>
      <c r="CH2" s="27"/>
      <c r="CI2" s="27"/>
      <c r="CJ2" s="27"/>
      <c r="CK2" s="27"/>
      <c r="CL2" s="27"/>
      <c r="CM2" s="27"/>
      <c r="CN2" s="27"/>
      <c r="CO2" s="27"/>
      <c r="CP2" s="27"/>
      <c r="CQ2" s="27"/>
      <c r="CR2" s="27"/>
      <c r="CS2" s="27"/>
      <c r="CT2" s="27"/>
    </row>
    <row r="3" spans="2:98">
      <c r="B3" s="32" t="s">
        <v>3</v>
      </c>
      <c r="C3" s="2">
        <f>'Data Entry'!C3</f>
        <v>33568.249358133944</v>
      </c>
      <c r="D3" s="2"/>
      <c r="E3" s="2"/>
      <c r="F3" s="2"/>
      <c r="G3" s="2"/>
      <c r="H3" s="2"/>
      <c r="I3" s="2"/>
      <c r="J3" s="2"/>
      <c r="K3" s="2"/>
      <c r="L3" s="2"/>
      <c r="M3" s="2"/>
      <c r="N3" s="2"/>
      <c r="O3" s="2"/>
      <c r="P3" s="95"/>
      <c r="Q3" s="95"/>
      <c r="R3" s="95"/>
      <c r="S3" s="95"/>
      <c r="T3" s="95"/>
      <c r="U3" s="95"/>
      <c r="V3" s="95"/>
      <c r="W3" s="95"/>
      <c r="X3" s="95"/>
      <c r="Y3" s="95"/>
      <c r="Z3" s="95"/>
      <c r="AA3" s="95"/>
      <c r="AB3" s="95"/>
      <c r="AC3" s="95"/>
      <c r="AD3" s="95"/>
      <c r="AE3" s="95"/>
      <c r="AF3" s="95"/>
      <c r="AG3" s="95"/>
      <c r="AH3" s="95"/>
      <c r="AI3" s="95"/>
      <c r="AJ3" s="95"/>
      <c r="AK3" s="95"/>
      <c r="AL3" s="95"/>
      <c r="AM3" s="95"/>
      <c r="AN3" s="95"/>
      <c r="AO3" s="95"/>
      <c r="AP3" s="95"/>
      <c r="AQ3" s="95"/>
      <c r="AR3" s="95"/>
      <c r="AS3" s="95"/>
      <c r="AT3" s="95"/>
      <c r="AU3" s="95"/>
      <c r="AV3" s="95"/>
      <c r="AW3" s="95"/>
      <c r="AX3" s="95"/>
      <c r="AY3" s="95"/>
      <c r="AZ3" s="95"/>
      <c r="BA3" s="95"/>
      <c r="BB3" s="95"/>
      <c r="BC3" s="95"/>
      <c r="BD3" s="95"/>
      <c r="BE3" s="95"/>
      <c r="BF3" s="95"/>
      <c r="BG3" s="95"/>
      <c r="BH3" s="95"/>
      <c r="BI3" s="95"/>
      <c r="BJ3" s="95"/>
      <c r="BK3" s="95"/>
      <c r="BL3" s="95"/>
      <c r="BM3" s="95"/>
      <c r="BN3" s="95"/>
      <c r="BO3" s="95"/>
      <c r="BP3" s="95"/>
      <c r="BQ3" s="95"/>
      <c r="BR3" s="95"/>
      <c r="BS3" s="95"/>
      <c r="BT3" s="95"/>
      <c r="BU3" s="95"/>
      <c r="BV3" s="95"/>
      <c r="BW3" s="95"/>
      <c r="BX3" s="95"/>
      <c r="BY3" s="95"/>
      <c r="BZ3" s="95"/>
      <c r="CA3" s="95"/>
      <c r="CB3" s="95"/>
      <c r="CC3" s="95"/>
      <c r="CD3" s="95"/>
      <c r="CE3" s="95"/>
      <c r="CF3" s="95"/>
      <c r="CG3" s="95"/>
      <c r="CH3" s="95"/>
      <c r="CI3" s="95"/>
      <c r="CJ3" s="95"/>
      <c r="CK3" s="95"/>
      <c r="CL3" s="95"/>
      <c r="CM3" s="95"/>
      <c r="CN3" s="95"/>
      <c r="CO3" s="95"/>
      <c r="CP3" s="95"/>
      <c r="CQ3" s="95"/>
      <c r="CR3" s="95"/>
      <c r="CS3" s="95"/>
      <c r="CT3" s="95"/>
    </row>
    <row r="4" spans="2:98">
      <c r="B4" s="32" t="s">
        <v>11</v>
      </c>
      <c r="C4" s="2">
        <f>'Data Entry'!C11</f>
        <v>31987.5</v>
      </c>
      <c r="D4" s="2">
        <f t="shared" ref="D4:O4" si="0">D10</f>
        <v>-2797.3541131778288</v>
      </c>
      <c r="E4" s="2">
        <f t="shared" si="0"/>
        <v>-2797.3541131778288</v>
      </c>
      <c r="F4" s="2">
        <f t="shared" si="0"/>
        <v>-2797.3541131778288</v>
      </c>
      <c r="G4" s="2">
        <f t="shared" si="0"/>
        <v>-2797.3541131778288</v>
      </c>
      <c r="H4" s="2">
        <f t="shared" si="0"/>
        <v>-2797.3541131778288</v>
      </c>
      <c r="I4" s="2">
        <f t="shared" si="0"/>
        <v>-2797.3541131778288</v>
      </c>
      <c r="J4" s="2">
        <f t="shared" si="0"/>
        <v>-2797.3541131778288</v>
      </c>
      <c r="K4" s="2">
        <f t="shared" si="0"/>
        <v>-2797.3541131778288</v>
      </c>
      <c r="L4" s="2">
        <f t="shared" si="0"/>
        <v>-2797.3541131778288</v>
      </c>
      <c r="M4" s="2">
        <f t="shared" si="0"/>
        <v>-2797.3541131778288</v>
      </c>
      <c r="N4" s="2">
        <f t="shared" si="0"/>
        <v>-2797.3541131778288</v>
      </c>
      <c r="O4" s="2">
        <f t="shared" si="0"/>
        <v>-2797.3541131778288</v>
      </c>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5"/>
      <c r="AZ4" s="95"/>
      <c r="BA4" s="95"/>
      <c r="BB4" s="95"/>
      <c r="BC4" s="95"/>
      <c r="BD4" s="95"/>
      <c r="BE4" s="95"/>
      <c r="BF4" s="95"/>
      <c r="BG4" s="95"/>
      <c r="BH4" s="95"/>
      <c r="BI4" s="95"/>
      <c r="BJ4" s="95"/>
      <c r="BK4" s="95"/>
      <c r="BL4" s="95"/>
      <c r="BM4" s="95"/>
      <c r="BN4" s="95"/>
      <c r="BO4" s="95"/>
      <c r="BP4" s="95"/>
      <c r="BQ4" s="95"/>
      <c r="BR4" s="95"/>
      <c r="BS4" s="95"/>
      <c r="BT4" s="95"/>
      <c r="BU4" s="95"/>
      <c r="BV4" s="95"/>
      <c r="BW4" s="95"/>
      <c r="BX4" s="95"/>
      <c r="BY4" s="95"/>
      <c r="BZ4" s="95"/>
      <c r="CA4" s="95"/>
      <c r="CB4" s="95"/>
      <c r="CC4" s="95"/>
      <c r="CD4" s="95"/>
      <c r="CE4" s="95"/>
      <c r="CF4" s="95"/>
      <c r="CG4" s="95"/>
      <c r="CH4" s="95"/>
      <c r="CI4" s="95"/>
      <c r="CJ4" s="95"/>
      <c r="CK4" s="95"/>
      <c r="CL4" s="95"/>
      <c r="CM4" s="95"/>
      <c r="CN4" s="95"/>
      <c r="CO4" s="95"/>
      <c r="CP4" s="95"/>
      <c r="CQ4" s="95"/>
      <c r="CR4" s="95"/>
      <c r="CS4" s="95"/>
      <c r="CT4" s="95"/>
    </row>
    <row r="5" spans="2:98">
      <c r="B5" s="32" t="s">
        <v>6</v>
      </c>
      <c r="C5" s="2">
        <f>'Data Entry'!C6</f>
        <v>1500</v>
      </c>
      <c r="D5" s="2"/>
      <c r="E5" s="2"/>
      <c r="F5" s="2"/>
      <c r="G5" s="2"/>
      <c r="H5" s="2"/>
      <c r="I5" s="2"/>
      <c r="J5" s="2"/>
      <c r="K5" s="2"/>
      <c r="L5" s="2"/>
      <c r="M5" s="2"/>
      <c r="N5" s="2"/>
      <c r="O5" s="2"/>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c r="BP5" s="95"/>
      <c r="BQ5" s="95"/>
      <c r="BR5" s="95"/>
      <c r="BS5" s="95"/>
      <c r="BT5" s="95"/>
      <c r="BU5" s="95"/>
      <c r="BV5" s="95"/>
      <c r="BW5" s="95"/>
      <c r="BX5" s="95"/>
      <c r="BY5" s="95"/>
      <c r="BZ5" s="95"/>
      <c r="CA5" s="95"/>
      <c r="CB5" s="95"/>
      <c r="CC5" s="95"/>
      <c r="CD5" s="95"/>
      <c r="CE5" s="95"/>
      <c r="CF5" s="95"/>
      <c r="CG5" s="95"/>
      <c r="CH5" s="95"/>
      <c r="CI5" s="95"/>
      <c r="CJ5" s="95"/>
      <c r="CK5" s="95"/>
      <c r="CL5" s="95"/>
      <c r="CM5" s="95"/>
      <c r="CN5" s="95"/>
      <c r="CO5" s="95"/>
      <c r="CP5" s="95"/>
      <c r="CQ5" s="95"/>
      <c r="CR5" s="95"/>
      <c r="CS5" s="95"/>
      <c r="CT5" s="95"/>
    </row>
    <row r="6" spans="2:98">
      <c r="B6" s="32" t="s">
        <v>7</v>
      </c>
      <c r="C6" s="2">
        <f>'Data Entry'!C7</f>
        <v>300</v>
      </c>
      <c r="D6" s="2"/>
      <c r="E6" s="2"/>
      <c r="F6" s="2"/>
      <c r="G6" s="2"/>
      <c r="H6" s="2"/>
      <c r="I6" s="2"/>
      <c r="J6" s="2"/>
      <c r="K6" s="2"/>
      <c r="L6" s="2"/>
      <c r="M6" s="2"/>
      <c r="N6" s="2"/>
      <c r="O6" s="2"/>
      <c r="P6" s="95"/>
      <c r="Q6" s="95"/>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5"/>
      <c r="AT6" s="95"/>
      <c r="AU6" s="95"/>
      <c r="AV6" s="95"/>
      <c r="AW6" s="95"/>
      <c r="AX6" s="95"/>
      <c r="AY6" s="95"/>
      <c r="AZ6" s="95"/>
      <c r="BA6" s="95"/>
      <c r="BB6" s="95"/>
      <c r="BC6" s="95"/>
      <c r="BD6" s="95"/>
      <c r="BE6" s="95"/>
      <c r="BF6" s="95"/>
      <c r="BG6" s="95"/>
      <c r="BH6" s="95"/>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row>
    <row r="7" spans="2:98">
      <c r="B7" s="32" t="s">
        <v>8</v>
      </c>
      <c r="C7" s="2">
        <f>'Data Entry'!C8</f>
        <v>5000</v>
      </c>
      <c r="D7" s="2"/>
      <c r="E7" s="2"/>
      <c r="F7" s="2"/>
      <c r="G7" s="2"/>
      <c r="H7" s="2"/>
      <c r="I7" s="2"/>
      <c r="J7" s="2"/>
      <c r="K7" s="2"/>
      <c r="L7" s="2"/>
      <c r="M7" s="2"/>
      <c r="N7" s="2"/>
      <c r="O7" s="2"/>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95"/>
      <c r="AY7" s="95"/>
      <c r="AZ7" s="95"/>
      <c r="BA7" s="95"/>
      <c r="BB7" s="95"/>
      <c r="BC7" s="95"/>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row>
    <row r="8" spans="2:98">
      <c r="B8" s="32" t="s">
        <v>9</v>
      </c>
      <c r="C8" s="2">
        <f>'Data Entry'!C9</f>
        <v>0</v>
      </c>
      <c r="D8" s="2"/>
      <c r="E8" s="2"/>
      <c r="F8" s="2"/>
      <c r="G8" s="2"/>
      <c r="H8" s="2"/>
      <c r="I8" s="2"/>
      <c r="J8" s="2"/>
      <c r="K8" s="2"/>
      <c r="L8" s="2"/>
      <c r="M8" s="2"/>
      <c r="N8" s="2"/>
      <c r="O8" s="2"/>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5"/>
      <c r="BI8" s="95"/>
      <c r="BJ8" s="95"/>
      <c r="BK8" s="95"/>
      <c r="BL8" s="95"/>
      <c r="BM8" s="95"/>
      <c r="BN8" s="95"/>
      <c r="BO8" s="95"/>
      <c r="BP8" s="95"/>
      <c r="BQ8" s="95"/>
      <c r="BR8" s="95"/>
      <c r="BS8" s="95"/>
      <c r="BT8" s="95"/>
      <c r="BU8" s="95"/>
      <c r="BV8" s="95"/>
      <c r="BW8" s="95"/>
      <c r="BX8" s="95"/>
      <c r="BY8" s="95"/>
      <c r="BZ8" s="95"/>
      <c r="CA8" s="95"/>
      <c r="CB8" s="95"/>
      <c r="CC8" s="95"/>
      <c r="CD8" s="95"/>
      <c r="CE8" s="95"/>
      <c r="CF8" s="95"/>
      <c r="CG8" s="95"/>
      <c r="CH8" s="95"/>
      <c r="CI8" s="95"/>
      <c r="CJ8" s="95"/>
      <c r="CK8" s="95"/>
      <c r="CL8" s="95"/>
      <c r="CM8" s="95"/>
      <c r="CN8" s="95"/>
      <c r="CO8" s="95"/>
      <c r="CP8" s="95"/>
      <c r="CQ8" s="95"/>
      <c r="CR8" s="95"/>
      <c r="CS8" s="95"/>
      <c r="CT8" s="95"/>
    </row>
    <row r="9" spans="2:98">
      <c r="B9" s="32" t="s">
        <v>10</v>
      </c>
      <c r="C9" s="2">
        <f>'Data Entry'!C10</f>
        <v>187.5</v>
      </c>
      <c r="D9" s="2"/>
      <c r="E9" s="2"/>
      <c r="F9" s="2"/>
      <c r="G9" s="2"/>
      <c r="H9" s="2"/>
      <c r="I9" s="2"/>
      <c r="J9" s="2"/>
      <c r="K9" s="2"/>
      <c r="L9" s="2"/>
      <c r="M9" s="2"/>
      <c r="N9" s="2"/>
      <c r="O9" s="2"/>
      <c r="P9" s="95"/>
      <c r="Q9" s="95"/>
      <c r="R9" s="95"/>
      <c r="S9" s="95"/>
      <c r="T9" s="95"/>
      <c r="U9" s="95"/>
      <c r="V9" s="9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5"/>
      <c r="AY9" s="95"/>
      <c r="AZ9" s="95"/>
      <c r="BA9" s="95"/>
      <c r="BB9" s="95"/>
      <c r="BC9" s="95"/>
      <c r="BD9" s="95"/>
      <c r="BE9" s="95"/>
      <c r="BF9" s="95"/>
      <c r="BG9" s="95"/>
      <c r="BH9" s="95"/>
      <c r="BI9" s="95"/>
      <c r="BJ9" s="95"/>
      <c r="BK9" s="95"/>
      <c r="BL9" s="95"/>
      <c r="BM9" s="95"/>
      <c r="BN9" s="95"/>
      <c r="BO9" s="95"/>
      <c r="BP9" s="95"/>
      <c r="BQ9" s="95"/>
      <c r="BR9" s="95"/>
      <c r="BS9" s="95"/>
      <c r="BT9" s="95"/>
      <c r="BU9" s="95"/>
      <c r="BV9" s="95"/>
      <c r="BW9" s="95"/>
      <c r="BX9" s="95"/>
      <c r="BY9" s="95"/>
      <c r="BZ9" s="95"/>
      <c r="CA9" s="95"/>
      <c r="CB9" s="95"/>
      <c r="CC9" s="95"/>
      <c r="CD9" s="95"/>
      <c r="CE9" s="95"/>
      <c r="CF9" s="95"/>
      <c r="CG9" s="95"/>
      <c r="CH9" s="95"/>
      <c r="CI9" s="95"/>
      <c r="CJ9" s="95"/>
      <c r="CK9" s="95"/>
      <c r="CL9" s="95"/>
      <c r="CM9" s="95"/>
      <c r="CN9" s="95"/>
      <c r="CO9" s="95"/>
      <c r="CP9" s="95"/>
      <c r="CQ9" s="95"/>
      <c r="CR9" s="95"/>
      <c r="CS9" s="95"/>
      <c r="CT9" s="95"/>
    </row>
    <row r="10" spans="2:98">
      <c r="B10" s="34" t="s">
        <v>35</v>
      </c>
      <c r="C10" s="35">
        <f>C4-C5-C6-C7-C8-C9</f>
        <v>25000</v>
      </c>
      <c r="D10" s="35">
        <f t="shared" ref="D10:O10" si="1">-$C1</f>
        <v>-2797.3541131778288</v>
      </c>
      <c r="E10" s="35">
        <f t="shared" si="1"/>
        <v>-2797.3541131778288</v>
      </c>
      <c r="F10" s="35">
        <f t="shared" si="1"/>
        <v>-2797.3541131778288</v>
      </c>
      <c r="G10" s="35">
        <f t="shared" si="1"/>
        <v>-2797.3541131778288</v>
      </c>
      <c r="H10" s="35">
        <f t="shared" si="1"/>
        <v>-2797.3541131778288</v>
      </c>
      <c r="I10" s="35">
        <f t="shared" si="1"/>
        <v>-2797.3541131778288</v>
      </c>
      <c r="J10" s="35">
        <f t="shared" si="1"/>
        <v>-2797.3541131778288</v>
      </c>
      <c r="K10" s="35">
        <f t="shared" si="1"/>
        <v>-2797.3541131778288</v>
      </c>
      <c r="L10" s="35">
        <f t="shared" si="1"/>
        <v>-2797.3541131778288</v>
      </c>
      <c r="M10" s="35">
        <f t="shared" si="1"/>
        <v>-2797.3541131778288</v>
      </c>
      <c r="N10" s="35">
        <f t="shared" si="1"/>
        <v>-2797.3541131778288</v>
      </c>
      <c r="O10" s="35">
        <f t="shared" si="1"/>
        <v>-2797.3541131778288</v>
      </c>
      <c r="P10" s="95"/>
      <c r="Q10" s="95"/>
      <c r="R10" s="95"/>
      <c r="S10" s="95"/>
      <c r="T10" s="95"/>
      <c r="U10" s="95"/>
      <c r="V10" s="95"/>
      <c r="W10" s="95"/>
      <c r="X10" s="95"/>
      <c r="Y10" s="95"/>
      <c r="Z10" s="95"/>
      <c r="AA10" s="95"/>
      <c r="AB10" s="95"/>
      <c r="AC10" s="95"/>
      <c r="AD10" s="95"/>
      <c r="AE10" s="95"/>
      <c r="AF10" s="95"/>
      <c r="AG10" s="95"/>
      <c r="AH10" s="95"/>
      <c r="AI10" s="95"/>
      <c r="AJ10" s="95"/>
      <c r="AK10" s="95"/>
      <c r="AL10" s="95"/>
      <c r="AM10" s="95"/>
      <c r="AN10" s="95"/>
      <c r="AO10" s="95"/>
      <c r="AP10" s="95"/>
      <c r="AQ10" s="95"/>
      <c r="AR10" s="95"/>
      <c r="AS10" s="95"/>
      <c r="AT10" s="95"/>
      <c r="AU10" s="95"/>
      <c r="AV10" s="95"/>
      <c r="AW10" s="95"/>
      <c r="AX10" s="95"/>
      <c r="AY10" s="95"/>
      <c r="AZ10" s="95"/>
      <c r="BA10" s="95"/>
      <c r="BB10" s="95"/>
      <c r="BC10" s="95"/>
      <c r="BD10" s="95"/>
      <c r="BE10" s="95"/>
      <c r="BF10" s="95"/>
      <c r="BG10" s="95"/>
      <c r="BH10" s="95"/>
      <c r="BI10" s="95"/>
      <c r="BJ10" s="95"/>
      <c r="BK10" s="95"/>
      <c r="BL10" s="95"/>
      <c r="BM10" s="95"/>
      <c r="BN10" s="95"/>
      <c r="BO10" s="95"/>
      <c r="BP10" s="95"/>
      <c r="BQ10" s="95"/>
      <c r="BR10" s="95"/>
      <c r="BS10" s="95"/>
      <c r="BT10" s="95"/>
      <c r="BU10" s="95"/>
      <c r="BV10" s="95"/>
      <c r="BW10" s="95"/>
      <c r="BX10" s="95"/>
      <c r="BY10" s="95"/>
      <c r="BZ10" s="95"/>
      <c r="CA10" s="95"/>
      <c r="CB10" s="95"/>
      <c r="CC10" s="95"/>
      <c r="CD10" s="95"/>
      <c r="CE10" s="95"/>
      <c r="CF10" s="95"/>
      <c r="CG10" s="95"/>
      <c r="CH10" s="95"/>
      <c r="CI10" s="95"/>
      <c r="CJ10" s="95"/>
      <c r="CK10" s="95"/>
      <c r="CL10" s="95"/>
      <c r="CM10" s="95"/>
      <c r="CN10" s="95"/>
      <c r="CO10" s="95"/>
      <c r="CP10" s="95"/>
      <c r="CQ10" s="95"/>
      <c r="CR10" s="95"/>
      <c r="CS10" s="95"/>
      <c r="CT10" s="95"/>
    </row>
    <row r="12" spans="2:98">
      <c r="B12" t="s">
        <v>36</v>
      </c>
      <c r="C12" s="11">
        <f>IRR(C4:O4)</f>
        <v>7.4999999999980638E-3</v>
      </c>
      <c r="D12">
        <f>C12/5</f>
        <v>1.4999999999996128E-3</v>
      </c>
    </row>
    <row r="13" spans="2:98">
      <c r="C13" s="36"/>
    </row>
    <row r="14" spans="2:98">
      <c r="B14" t="s">
        <v>37</v>
      </c>
      <c r="C14" s="37"/>
    </row>
    <row r="15" spans="2:98">
      <c r="B15" t="s">
        <v>28</v>
      </c>
      <c r="C15" s="17">
        <f>'Data Entry'!C12</f>
        <v>0.09</v>
      </c>
    </row>
    <row r="16" spans="2:98">
      <c r="B16" t="s">
        <v>13</v>
      </c>
      <c r="C16" s="38">
        <f>'Data Entry'!C13</f>
        <v>9.3806897670984268E-2</v>
      </c>
    </row>
    <row r="18" spans="2:57">
      <c r="C18">
        <v>1</v>
      </c>
    </row>
    <row r="19" spans="2:57" ht="15.75" thickBot="1">
      <c r="H19" s="5"/>
    </row>
    <row r="20" spans="2:57" ht="15.75">
      <c r="B20" s="28"/>
      <c r="C20" s="383" t="s">
        <v>38</v>
      </c>
      <c r="D20" s="384"/>
      <c r="E20" s="384"/>
      <c r="F20" s="384"/>
      <c r="G20" s="384"/>
      <c r="H20" s="385"/>
      <c r="I20" s="39"/>
      <c r="J20" s="40"/>
      <c r="K20" s="41"/>
      <c r="L20" s="41"/>
      <c r="M20" s="41"/>
      <c r="N20" s="41"/>
      <c r="O20" s="42"/>
      <c r="P20" s="41"/>
      <c r="Q20" s="41"/>
      <c r="R20" s="41"/>
      <c r="S20" s="41"/>
      <c r="T20" s="41"/>
      <c r="U20" s="43"/>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00"/>
      <c r="BB20" s="100"/>
      <c r="BC20" s="100"/>
      <c r="BD20" s="100"/>
      <c r="BE20" s="100"/>
    </row>
    <row r="21" spans="2:57" ht="15.75">
      <c r="C21" s="386"/>
      <c r="D21" s="387"/>
      <c r="E21" s="387"/>
      <c r="F21" s="387"/>
      <c r="G21" s="387"/>
      <c r="H21" s="388"/>
      <c r="J21" s="44"/>
      <c r="K21" s="45"/>
      <c r="L21" s="45"/>
      <c r="M21" s="45"/>
      <c r="N21" s="45"/>
      <c r="O21" s="46"/>
      <c r="P21" s="45"/>
      <c r="Q21" s="45"/>
      <c r="R21" s="45"/>
      <c r="S21" s="45"/>
      <c r="T21" s="45"/>
      <c r="U21" s="47"/>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c r="BD21" s="100"/>
      <c r="BE21" s="100"/>
    </row>
    <row r="22" spans="2:57" ht="15.75">
      <c r="C22" s="48" t="s">
        <v>39</v>
      </c>
      <c r="D22" s="394" t="s">
        <v>311</v>
      </c>
      <c r="E22" s="394"/>
      <c r="F22" s="394"/>
      <c r="G22" s="32" t="s">
        <v>40</v>
      </c>
      <c r="H22" s="54" t="s">
        <v>323</v>
      </c>
      <c r="J22" s="44"/>
      <c r="K22" s="45"/>
      <c r="L22" s="45"/>
      <c r="M22" s="45"/>
      <c r="N22" s="45"/>
      <c r="O22" s="49"/>
      <c r="P22" s="45"/>
      <c r="Q22" s="45"/>
      <c r="R22" s="45"/>
      <c r="S22" s="45"/>
      <c r="T22" s="45"/>
      <c r="U22" s="47"/>
      <c r="W22" s="100"/>
      <c r="X22" s="100"/>
      <c r="Y22" s="100"/>
      <c r="Z22" s="100"/>
      <c r="AA22" s="100"/>
      <c r="AB22" s="100"/>
      <c r="AC22" s="100"/>
      <c r="AD22" s="100"/>
      <c r="AE22" s="100"/>
      <c r="AF22" s="100"/>
      <c r="AG22" s="100"/>
      <c r="AH22" s="100"/>
      <c r="AI22" s="100"/>
      <c r="AJ22" s="100"/>
      <c r="AK22" s="100"/>
      <c r="AL22" s="100"/>
      <c r="AM22" s="100"/>
      <c r="AN22" s="100"/>
      <c r="AO22" s="100"/>
      <c r="AP22" s="100"/>
      <c r="AQ22" s="100"/>
      <c r="AR22" s="100"/>
      <c r="AS22" s="100"/>
      <c r="AT22" s="100"/>
      <c r="AU22" s="100"/>
      <c r="AV22" s="100"/>
      <c r="AW22" s="100"/>
      <c r="AX22" s="100"/>
      <c r="AY22" s="100"/>
      <c r="AZ22" s="100"/>
      <c r="BA22" s="100"/>
      <c r="BB22" s="100"/>
      <c r="BC22" s="100"/>
      <c r="BD22" s="100"/>
      <c r="BE22" s="100"/>
    </row>
    <row r="23" spans="2:57" ht="15.75">
      <c r="C23" s="48" t="s">
        <v>41</v>
      </c>
      <c r="D23" s="226" t="s">
        <v>313</v>
      </c>
      <c r="E23" s="53" t="s">
        <v>42</v>
      </c>
      <c r="F23" s="53" t="s">
        <v>312</v>
      </c>
      <c r="G23" s="32" t="s">
        <v>43</v>
      </c>
      <c r="H23" s="227">
        <f>C10</f>
        <v>25000</v>
      </c>
      <c r="J23" s="179"/>
      <c r="K23" s="183"/>
      <c r="L23" s="183"/>
      <c r="M23" s="183"/>
      <c r="N23" s="183"/>
      <c r="O23" s="183"/>
      <c r="P23" s="183"/>
      <c r="Q23" s="183"/>
      <c r="R23" s="183"/>
      <c r="S23" s="183"/>
      <c r="T23" s="183"/>
      <c r="U23" s="180"/>
      <c r="W23" s="183"/>
      <c r="X23" s="183"/>
      <c r="Y23" s="183"/>
      <c r="Z23" s="183"/>
      <c r="AA23" s="183"/>
      <c r="AB23" s="183"/>
      <c r="AC23" s="183"/>
      <c r="AD23" s="183"/>
      <c r="AE23" s="183"/>
      <c r="AF23" s="183"/>
      <c r="AG23" s="183"/>
      <c r="AH23" s="183"/>
      <c r="AI23" s="100"/>
      <c r="AJ23" s="100"/>
      <c r="AK23" s="100"/>
      <c r="AL23" s="100"/>
      <c r="AM23" s="100"/>
      <c r="AN23" s="100"/>
      <c r="AO23" s="100"/>
      <c r="AP23" s="100"/>
      <c r="AQ23" s="100"/>
      <c r="AR23" s="100"/>
      <c r="AS23" s="100"/>
      <c r="AT23" s="100"/>
      <c r="AU23" s="100"/>
      <c r="AV23" s="100"/>
      <c r="AW23" s="100"/>
      <c r="AX23" s="100"/>
      <c r="AY23" s="100"/>
      <c r="AZ23" s="100"/>
      <c r="BA23" s="100"/>
      <c r="BB23" s="100"/>
      <c r="BC23" s="100"/>
      <c r="BD23" s="100"/>
      <c r="BE23" s="100"/>
    </row>
    <row r="24" spans="2:57" ht="21">
      <c r="C24" s="389" t="s">
        <v>44</v>
      </c>
      <c r="D24" s="32" t="s">
        <v>45</v>
      </c>
      <c r="E24" s="52">
        <v>45838</v>
      </c>
      <c r="F24" s="32" t="s">
        <v>46</v>
      </c>
      <c r="G24" s="53">
        <f>B39</f>
        <v>46203</v>
      </c>
      <c r="H24" s="54"/>
      <c r="J24" s="44"/>
      <c r="K24" s="390" t="s">
        <v>47</v>
      </c>
      <c r="L24" s="390"/>
      <c r="M24" s="390"/>
      <c r="N24" s="390"/>
      <c r="O24" s="390"/>
      <c r="P24" s="390"/>
      <c r="Q24" s="390"/>
      <c r="R24" s="390"/>
      <c r="S24" s="390"/>
      <c r="T24" s="390"/>
      <c r="U24" s="47"/>
      <c r="W24" s="100"/>
      <c r="X24" s="100"/>
      <c r="Y24" s="100"/>
      <c r="Z24" s="100"/>
      <c r="AA24" s="100"/>
      <c r="AB24" s="100"/>
      <c r="AC24" s="100"/>
      <c r="AD24" s="100"/>
      <c r="AE24" s="100"/>
      <c r="AF24" s="100"/>
      <c r="AG24" s="100"/>
      <c r="AH24" s="100"/>
      <c r="AI24" s="100"/>
      <c r="AJ24" s="100"/>
      <c r="AK24" s="100"/>
      <c r="AL24" s="100"/>
      <c r="AM24" s="100"/>
      <c r="AN24" s="100"/>
      <c r="AO24" s="100"/>
      <c r="AP24" s="100"/>
      <c r="AQ24" s="100"/>
      <c r="AR24" s="100"/>
      <c r="AS24" s="100"/>
      <c r="AT24" s="100"/>
      <c r="AU24" s="100"/>
      <c r="AV24" s="100"/>
      <c r="AW24" s="100"/>
      <c r="AX24" s="100"/>
      <c r="AY24" s="100"/>
      <c r="AZ24" s="100"/>
      <c r="BA24" s="100"/>
      <c r="BB24" s="100"/>
      <c r="BC24" s="100"/>
      <c r="BD24" s="100"/>
      <c r="BE24" s="100"/>
    </row>
    <row r="25" spans="2:57" ht="15.75">
      <c r="C25" s="389"/>
      <c r="D25" s="32" t="s">
        <v>48</v>
      </c>
      <c r="E25" s="32">
        <v>12</v>
      </c>
      <c r="F25" s="32" t="s">
        <v>49</v>
      </c>
      <c r="G25" s="32"/>
      <c r="H25" s="54"/>
      <c r="J25" s="44"/>
      <c r="K25" s="391" t="s">
        <v>50</v>
      </c>
      <c r="L25" s="391"/>
      <c r="M25" s="391"/>
      <c r="N25" s="391"/>
      <c r="O25" s="391"/>
      <c r="P25" s="391"/>
      <c r="Q25" s="391"/>
      <c r="R25" s="391"/>
      <c r="S25" s="391"/>
      <c r="T25" s="391"/>
      <c r="U25" s="47"/>
      <c r="W25" s="100"/>
      <c r="X25" s="293" t="s">
        <v>86</v>
      </c>
      <c r="Y25" s="293"/>
      <c r="Z25" s="293"/>
      <c r="AA25" s="293"/>
      <c r="AB25" s="293"/>
      <c r="AC25" s="293"/>
      <c r="AD25" s="293"/>
      <c r="AE25" s="293"/>
      <c r="AF25" s="293"/>
      <c r="AG25" s="293"/>
      <c r="AH25" s="293"/>
      <c r="AI25" s="293"/>
      <c r="AJ25" s="293"/>
      <c r="AK25" s="293"/>
      <c r="AL25" s="293"/>
      <c r="AM25" s="293"/>
      <c r="AN25" s="293"/>
      <c r="AO25" s="293"/>
      <c r="AP25" s="293"/>
      <c r="AQ25" s="293"/>
      <c r="AR25" s="293"/>
      <c r="AS25" s="293"/>
      <c r="AT25" s="293"/>
      <c r="AU25" s="293"/>
      <c r="AV25" s="293"/>
      <c r="AW25" s="293"/>
      <c r="AX25" s="293"/>
      <c r="AY25" s="293"/>
      <c r="AZ25" s="293"/>
      <c r="BA25" s="293"/>
      <c r="BB25" s="293"/>
      <c r="BC25" s="293"/>
      <c r="BD25" s="293"/>
      <c r="BE25" s="100"/>
    </row>
    <row r="26" spans="2:57" ht="15.75">
      <c r="C26" s="389"/>
      <c r="D26" s="32" t="s">
        <v>51</v>
      </c>
      <c r="E26" s="228" t="s">
        <v>52</v>
      </c>
      <c r="F26" s="228" t="s">
        <v>53</v>
      </c>
      <c r="G26" s="228" t="s">
        <v>54</v>
      </c>
      <c r="H26" s="229" t="s">
        <v>55</v>
      </c>
      <c r="J26" s="44"/>
      <c r="K26" s="45"/>
      <c r="L26" s="45"/>
      <c r="M26" s="45"/>
      <c r="N26" s="45"/>
      <c r="O26" s="49"/>
      <c r="P26" s="45"/>
      <c r="Q26" s="45"/>
      <c r="R26" s="45"/>
      <c r="S26" s="45"/>
      <c r="T26" s="45"/>
      <c r="U26" s="47"/>
      <c r="W26" s="100"/>
      <c r="X26" s="293" t="s">
        <v>87</v>
      </c>
      <c r="Y26" s="293"/>
      <c r="Z26" s="293"/>
      <c r="AA26" s="293"/>
      <c r="AB26" s="293"/>
      <c r="AC26" s="293"/>
      <c r="AD26" s="293"/>
      <c r="AE26" s="293"/>
      <c r="AF26" s="293"/>
      <c r="AG26" s="293"/>
      <c r="AH26" s="293"/>
      <c r="AI26" s="293"/>
      <c r="AJ26" s="293"/>
      <c r="AK26" s="293"/>
      <c r="AL26" s="293"/>
      <c r="AM26" s="293"/>
      <c r="AN26" s="293"/>
      <c r="AO26" s="293"/>
      <c r="AP26" s="293"/>
      <c r="AQ26" s="293"/>
      <c r="AR26" s="293"/>
      <c r="AS26" s="293"/>
      <c r="AT26" s="293"/>
      <c r="AU26" s="293"/>
      <c r="AV26" s="293"/>
      <c r="AW26" s="293"/>
      <c r="AX26" s="293"/>
      <c r="AY26" s="293"/>
      <c r="AZ26" s="293"/>
      <c r="BA26" s="293"/>
      <c r="BB26" s="293"/>
      <c r="BC26" s="293"/>
      <c r="BD26" s="293"/>
      <c r="BE26" s="100"/>
    </row>
    <row r="27" spans="2:57" ht="18">
      <c r="C27" s="389"/>
      <c r="D27" s="32" t="s">
        <v>56</v>
      </c>
      <c r="E27" s="32"/>
      <c r="F27" s="32"/>
      <c r="G27" s="32"/>
      <c r="H27" s="57">
        <f>C4</f>
        <v>31987.5</v>
      </c>
      <c r="J27" s="44"/>
      <c r="K27" s="392" t="s">
        <v>57</v>
      </c>
      <c r="L27" s="392"/>
      <c r="M27" s="392"/>
      <c r="N27" s="392"/>
      <c r="O27" s="392"/>
      <c r="P27" s="392"/>
      <c r="Q27" s="392"/>
      <c r="R27" s="392"/>
      <c r="S27" s="392"/>
      <c r="T27" s="392"/>
      <c r="U27" s="47"/>
      <c r="W27" s="100"/>
      <c r="X27" s="293" t="s">
        <v>88</v>
      </c>
      <c r="Y27" s="293"/>
      <c r="Z27" s="293"/>
      <c r="AA27" s="293"/>
      <c r="AB27" s="293"/>
      <c r="AC27" s="293"/>
      <c r="AD27" s="293"/>
      <c r="AE27" s="293"/>
      <c r="AF27" s="293"/>
      <c r="AG27" s="293"/>
      <c r="AH27" s="293"/>
      <c r="AI27" s="293"/>
      <c r="AJ27" s="293"/>
      <c r="AK27" s="293"/>
      <c r="AL27" s="293"/>
      <c r="AM27" s="293"/>
      <c r="AN27" s="293"/>
      <c r="AO27" s="293"/>
      <c r="AP27" s="293"/>
      <c r="AQ27" s="293"/>
      <c r="AR27" s="293"/>
      <c r="AS27" s="293"/>
      <c r="AT27" s="293"/>
      <c r="AU27" s="293"/>
      <c r="AV27" s="293"/>
      <c r="AW27" s="293"/>
      <c r="AX27" s="293"/>
      <c r="AY27" s="293"/>
      <c r="AZ27" s="293"/>
      <c r="BA27" s="293"/>
      <c r="BB27" s="293"/>
      <c r="BC27" s="293"/>
      <c r="BD27" s="293"/>
      <c r="BE27" s="100"/>
    </row>
    <row r="28" spans="2:57" ht="15.75">
      <c r="B28" s="58">
        <f>DATE(YEAR(E$24),MONTH(E$24)+D28+0,DAY(E$24))</f>
        <v>45868</v>
      </c>
      <c r="C28" s="65" t="str">
        <f t="shared" ref="C28:C39" si="2">TEXT(B28,"mmm-yyyy")</f>
        <v>Jul-2025</v>
      </c>
      <c r="D28" s="32">
        <v>1</v>
      </c>
      <c r="E28" s="194">
        <f t="shared" ref="E28:E39" si="3">C$1</f>
        <v>2797.3541131778288</v>
      </c>
      <c r="F28" s="195">
        <f>E28-G28</f>
        <v>2557.4478631778907</v>
      </c>
      <c r="G28" s="196">
        <f t="shared" ref="G28:G39" si="4">H27*C$12</f>
        <v>239.90624999993807</v>
      </c>
      <c r="H28" s="57">
        <f>H27-F28</f>
        <v>29430.052136822109</v>
      </c>
      <c r="J28" s="44"/>
      <c r="K28" s="63"/>
      <c r="L28" s="63"/>
      <c r="M28" s="63"/>
      <c r="N28" s="63"/>
      <c r="O28" s="46"/>
      <c r="P28" s="63"/>
      <c r="Q28" s="45"/>
      <c r="R28" s="45"/>
      <c r="S28" s="45"/>
      <c r="T28" s="45"/>
      <c r="U28" s="47"/>
      <c r="W28" s="100"/>
      <c r="X28" s="100"/>
      <c r="Y28" s="100"/>
      <c r="Z28" s="100"/>
      <c r="AA28" s="100"/>
      <c r="AB28" s="100"/>
      <c r="AC28" s="100"/>
      <c r="AD28" s="100"/>
      <c r="AE28" s="101"/>
      <c r="AF28" s="101"/>
      <c r="AG28" s="101"/>
      <c r="AH28" s="101"/>
      <c r="AI28" s="100"/>
      <c r="AJ28" s="100"/>
      <c r="AK28" s="100"/>
      <c r="AL28" s="100"/>
      <c r="AM28" s="100"/>
      <c r="AN28" s="100"/>
      <c r="AO28" s="100"/>
      <c r="AP28" s="100"/>
      <c r="AQ28" s="100"/>
      <c r="AR28" s="100"/>
      <c r="AS28" s="100"/>
      <c r="AT28" s="100"/>
      <c r="AU28" s="100"/>
      <c r="AV28" s="100"/>
      <c r="AW28" s="100"/>
      <c r="AX28" s="100"/>
      <c r="AY28" s="100"/>
      <c r="AZ28" s="100"/>
      <c r="BA28" s="100"/>
      <c r="BB28" s="100"/>
      <c r="BC28" s="100"/>
      <c r="BD28" s="100"/>
      <c r="BE28" s="100"/>
    </row>
    <row r="29" spans="2:57" ht="15.75">
      <c r="B29" s="58">
        <f t="shared" ref="B29:B39" si="5">DATE(YEAR(E$24),MONTH(E$24)+D29+0,DAY(E$24))</f>
        <v>45899</v>
      </c>
      <c r="C29" s="65" t="str">
        <f t="shared" si="2"/>
        <v>Aug-2025</v>
      </c>
      <c r="D29" s="32">
        <v>2</v>
      </c>
      <c r="E29" s="194">
        <f t="shared" si="3"/>
        <v>2797.3541131778288</v>
      </c>
      <c r="F29" s="195">
        <f t="shared" ref="F29:F39" si="6">E29-G29</f>
        <v>2576.62872215172</v>
      </c>
      <c r="G29" s="196">
        <f t="shared" si="4"/>
        <v>220.72539102610884</v>
      </c>
      <c r="H29" s="57">
        <f t="shared" ref="H29:H39" si="7">H28-F29</f>
        <v>26853.423414670389</v>
      </c>
      <c r="J29" s="44"/>
      <c r="K29" s="63"/>
      <c r="L29" s="63"/>
      <c r="M29" s="63"/>
      <c r="N29" s="63"/>
      <c r="O29" s="46"/>
      <c r="P29" s="63"/>
      <c r="Q29" s="45"/>
      <c r="R29" s="64" t="s">
        <v>58</v>
      </c>
      <c r="S29" s="393">
        <f>E24</f>
        <v>45838</v>
      </c>
      <c r="T29" s="393"/>
      <c r="U29" s="47"/>
      <c r="W29" s="102"/>
      <c r="X29" s="294" t="s">
        <v>89</v>
      </c>
      <c r="Y29" s="295"/>
      <c r="Z29" s="295"/>
      <c r="AA29" s="295"/>
      <c r="AB29" s="295"/>
      <c r="AC29" s="295"/>
      <c r="AD29" s="295"/>
      <c r="AE29" s="295"/>
      <c r="AF29" s="295"/>
      <c r="AG29" s="295"/>
      <c r="AH29" s="295"/>
      <c r="AI29" s="295"/>
      <c r="AJ29" s="295"/>
      <c r="AK29" s="295"/>
      <c r="AL29" s="295"/>
      <c r="AM29" s="295"/>
      <c r="AN29" s="295"/>
      <c r="AO29" s="295"/>
      <c r="AP29" s="295"/>
      <c r="AQ29" s="295"/>
      <c r="AR29" s="295"/>
      <c r="AS29" s="295"/>
      <c r="AT29" s="295"/>
      <c r="AU29" s="295"/>
      <c r="AV29" s="295"/>
      <c r="AW29" s="295"/>
      <c r="AX29" s="295"/>
      <c r="AY29" s="295"/>
      <c r="AZ29" s="295"/>
      <c r="BA29" s="295"/>
      <c r="BB29" s="295"/>
      <c r="BC29" s="295"/>
      <c r="BD29" s="296"/>
      <c r="BE29" s="100"/>
    </row>
    <row r="30" spans="2:57" ht="15.75">
      <c r="B30" s="58">
        <f t="shared" si="5"/>
        <v>45930</v>
      </c>
      <c r="C30" s="65" t="str">
        <f t="shared" si="2"/>
        <v>Sep-2025</v>
      </c>
      <c r="D30" s="32">
        <v>3</v>
      </c>
      <c r="E30" s="194">
        <f t="shared" si="3"/>
        <v>2797.3541131778288</v>
      </c>
      <c r="F30" s="195">
        <f t="shared" si="6"/>
        <v>2595.9534375678527</v>
      </c>
      <c r="G30" s="196">
        <f t="shared" si="4"/>
        <v>201.40067560997593</v>
      </c>
      <c r="H30" s="57">
        <f t="shared" si="7"/>
        <v>24257.469977102537</v>
      </c>
      <c r="J30" s="44"/>
      <c r="K30" s="63"/>
      <c r="L30" s="63"/>
      <c r="M30" s="63"/>
      <c r="N30" s="63"/>
      <c r="O30" s="46"/>
      <c r="P30" s="63"/>
      <c r="Q30" s="45"/>
      <c r="R30" s="64" t="s">
        <v>59</v>
      </c>
      <c r="S30" s="377" t="str">
        <f>H22</f>
        <v>CDEA - 009</v>
      </c>
      <c r="T30" s="377"/>
      <c r="U30" s="47"/>
      <c r="W30" s="100"/>
      <c r="X30" s="100"/>
      <c r="Y30" s="100"/>
      <c r="Z30" s="100"/>
      <c r="AA30" s="100"/>
      <c r="AB30" s="100"/>
      <c r="AC30" s="100"/>
      <c r="AD30" s="100"/>
      <c r="AE30" s="100"/>
      <c r="AF30" s="100"/>
      <c r="AG30" s="100"/>
      <c r="AH30" s="100"/>
      <c r="AI30" s="100"/>
      <c r="AJ30" s="100"/>
      <c r="AK30" s="100"/>
      <c r="AL30" s="100"/>
      <c r="AM30" s="100"/>
      <c r="AN30" s="100"/>
      <c r="AO30" s="100"/>
      <c r="AP30" s="100"/>
      <c r="AQ30" s="100"/>
      <c r="AR30" s="100"/>
      <c r="AS30" s="100"/>
      <c r="AT30" s="100"/>
      <c r="AU30" s="297" t="s">
        <v>58</v>
      </c>
      <c r="AV30" s="297"/>
      <c r="AW30" s="103">
        <v>0</v>
      </c>
      <c r="AX30" s="104">
        <v>6</v>
      </c>
      <c r="AY30" s="104">
        <v>3</v>
      </c>
      <c r="AZ30" s="104">
        <v>0</v>
      </c>
      <c r="BA30" s="104">
        <v>2</v>
      </c>
      <c r="BB30" s="104">
        <v>0</v>
      </c>
      <c r="BC30" s="104">
        <v>2</v>
      </c>
      <c r="BD30" s="105">
        <v>5</v>
      </c>
      <c r="BE30" s="100"/>
    </row>
    <row r="31" spans="2:57" ht="15.75">
      <c r="B31" s="58">
        <f t="shared" si="5"/>
        <v>45960</v>
      </c>
      <c r="C31" s="65" t="str">
        <f t="shared" si="2"/>
        <v>Oct-2025</v>
      </c>
      <c r="D31" s="66">
        <v>4</v>
      </c>
      <c r="E31" s="194">
        <f t="shared" si="3"/>
        <v>2797.3541131778288</v>
      </c>
      <c r="F31" s="195">
        <f t="shared" si="6"/>
        <v>2615.4230883496066</v>
      </c>
      <c r="G31" s="196">
        <f t="shared" si="4"/>
        <v>181.93102482822206</v>
      </c>
      <c r="H31" s="57">
        <f t="shared" si="7"/>
        <v>21642.046888752931</v>
      </c>
      <c r="J31" s="44"/>
      <c r="K31" s="63"/>
      <c r="L31" s="63"/>
      <c r="M31" s="63"/>
      <c r="N31" s="63"/>
      <c r="O31" s="46"/>
      <c r="P31" s="63"/>
      <c r="Q31" s="45"/>
      <c r="R31" s="64"/>
      <c r="S31" s="67"/>
      <c r="T31" s="45"/>
      <c r="U31" s="47"/>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6" t="s">
        <v>90</v>
      </c>
      <c r="AX31" s="106" t="s">
        <v>90</v>
      </c>
      <c r="AY31" s="106" t="s">
        <v>91</v>
      </c>
      <c r="AZ31" s="106" t="s">
        <v>91</v>
      </c>
      <c r="BA31" s="106" t="s">
        <v>92</v>
      </c>
      <c r="BB31" s="106" t="s">
        <v>92</v>
      </c>
      <c r="BC31" s="106" t="s">
        <v>92</v>
      </c>
      <c r="BD31" s="106" t="s">
        <v>92</v>
      </c>
      <c r="BE31" s="100"/>
    </row>
    <row r="32" spans="2:57" ht="15.75">
      <c r="B32" s="58">
        <f t="shared" si="5"/>
        <v>45991</v>
      </c>
      <c r="C32" s="65" t="str">
        <f t="shared" si="2"/>
        <v>Nov-2025</v>
      </c>
      <c r="D32" s="32">
        <v>5</v>
      </c>
      <c r="E32" s="194">
        <f t="shared" si="3"/>
        <v>2797.3541131778288</v>
      </c>
      <c r="F32" s="195">
        <f t="shared" si="6"/>
        <v>2635.0387615122236</v>
      </c>
      <c r="G32" s="196">
        <f t="shared" si="4"/>
        <v>162.31535166560508</v>
      </c>
      <c r="H32" s="57">
        <f t="shared" si="7"/>
        <v>19007.008127240708</v>
      </c>
      <c r="J32" s="68"/>
      <c r="K32" s="64" t="s">
        <v>60</v>
      </c>
      <c r="L32" s="64"/>
      <c r="M32" s="64"/>
      <c r="N32" s="378" t="str">
        <f>D22</f>
        <v>RHODA SAMIANA PAGGABAO</v>
      </c>
      <c r="O32" s="378"/>
      <c r="P32" s="378"/>
      <c r="Q32" s="378"/>
      <c r="R32" s="378"/>
      <c r="S32" s="378"/>
      <c r="T32" s="69"/>
      <c r="U32" s="70"/>
      <c r="W32" s="100"/>
      <c r="X32" s="279" t="s">
        <v>93</v>
      </c>
      <c r="Y32" s="279"/>
      <c r="Z32" s="279"/>
      <c r="AA32" s="279"/>
      <c r="AB32" s="279"/>
      <c r="AC32" s="279"/>
      <c r="AD32" s="279"/>
      <c r="AE32" s="279" t="s">
        <v>94</v>
      </c>
      <c r="AF32" s="279"/>
      <c r="AG32" s="279"/>
      <c r="AH32" s="279"/>
      <c r="AI32" s="279"/>
      <c r="AJ32" s="279"/>
      <c r="AK32" s="279"/>
      <c r="AL32" s="279"/>
      <c r="AM32" s="279" t="s">
        <v>95</v>
      </c>
      <c r="AN32" s="279"/>
      <c r="AO32" s="279"/>
      <c r="AP32" s="279"/>
      <c r="AQ32" s="279"/>
      <c r="AR32" s="279"/>
      <c r="AS32" s="279"/>
      <c r="AT32" s="279" t="s">
        <v>96</v>
      </c>
      <c r="AU32" s="279"/>
      <c r="AV32" s="279"/>
      <c r="AW32" s="279"/>
      <c r="AX32" s="279"/>
      <c r="AY32" s="279"/>
      <c r="AZ32" s="279"/>
      <c r="BA32" s="279"/>
      <c r="BB32" s="279"/>
      <c r="BC32" s="279"/>
      <c r="BD32" s="279"/>
      <c r="BE32" s="102"/>
    </row>
    <row r="33" spans="2:57" ht="15.75">
      <c r="B33" s="58">
        <f t="shared" si="5"/>
        <v>46021</v>
      </c>
      <c r="C33" s="65" t="str">
        <f t="shared" si="2"/>
        <v>Dec-2025</v>
      </c>
      <c r="D33" s="32">
        <v>6</v>
      </c>
      <c r="E33" s="194">
        <f t="shared" si="3"/>
        <v>2797.3541131778288</v>
      </c>
      <c r="F33" s="195">
        <f t="shared" si="6"/>
        <v>2654.8015522235605</v>
      </c>
      <c r="G33" s="196">
        <f t="shared" si="4"/>
        <v>142.5525609542685</v>
      </c>
      <c r="H33" s="57">
        <f t="shared" si="7"/>
        <v>16352.206575017148</v>
      </c>
      <c r="J33" s="68"/>
      <c r="K33" s="64" t="s">
        <v>61</v>
      </c>
      <c r="L33" s="64"/>
      <c r="M33" s="64"/>
      <c r="N33" s="379" t="str">
        <f>D23</f>
        <v xml:space="preserve">1988 - 006 </v>
      </c>
      <c r="O33" s="379"/>
      <c r="P33" s="379"/>
      <c r="Q33" s="379"/>
      <c r="R33" s="379"/>
      <c r="S33" s="379"/>
      <c r="T33" s="69"/>
      <c r="U33" s="70"/>
      <c r="W33" s="100"/>
      <c r="X33" s="108"/>
      <c r="Y33" s="279" t="s">
        <v>97</v>
      </c>
      <c r="Z33" s="279"/>
      <c r="AA33" s="279"/>
      <c r="AB33" s="279"/>
      <c r="AC33" s="279"/>
      <c r="AD33" s="279"/>
      <c r="AE33" s="108"/>
      <c r="AF33" s="279" t="s">
        <v>98</v>
      </c>
      <c r="AG33" s="279"/>
      <c r="AH33" s="279"/>
      <c r="AI33" s="279"/>
      <c r="AJ33" s="279"/>
      <c r="AK33" s="279"/>
      <c r="AL33" s="279"/>
      <c r="AM33" s="108"/>
      <c r="AN33" s="102" t="s">
        <v>99</v>
      </c>
      <c r="AO33" s="100"/>
      <c r="AP33" s="100"/>
      <c r="AQ33" s="100"/>
      <c r="AR33" s="100"/>
      <c r="AS33" s="100"/>
      <c r="AT33" s="108"/>
      <c r="AU33" s="279" t="s">
        <v>100</v>
      </c>
      <c r="AV33" s="279"/>
      <c r="AW33" s="279"/>
      <c r="AX33" s="279"/>
      <c r="AY33" s="279"/>
      <c r="AZ33" s="279"/>
      <c r="BA33" s="279"/>
      <c r="BB33" s="279"/>
      <c r="BC33" s="279"/>
      <c r="BD33" s="279"/>
      <c r="BE33" s="100"/>
    </row>
    <row r="34" spans="2:57" ht="15.75">
      <c r="B34" s="58">
        <f t="shared" si="5"/>
        <v>46052</v>
      </c>
      <c r="C34" s="65" t="str">
        <f t="shared" si="2"/>
        <v>Jan-2026</v>
      </c>
      <c r="D34" s="32">
        <v>7</v>
      </c>
      <c r="E34" s="194">
        <f t="shared" si="3"/>
        <v>2797.3541131778288</v>
      </c>
      <c r="F34" s="195">
        <f t="shared" si="6"/>
        <v>2674.7125638652319</v>
      </c>
      <c r="G34" s="196">
        <f t="shared" si="4"/>
        <v>122.64154931259695</v>
      </c>
      <c r="H34" s="57">
        <f t="shared" si="7"/>
        <v>13677.494011151915</v>
      </c>
      <c r="J34" s="68"/>
      <c r="K34" s="64" t="s">
        <v>42</v>
      </c>
      <c r="L34" s="64"/>
      <c r="M34" s="64"/>
      <c r="N34" s="380" t="str">
        <f>F23</f>
        <v xml:space="preserve">BLK 9 LOT 13 PH D. FRANCISCO HOMES SAN JOSE DEL MONTE BULACAN </v>
      </c>
      <c r="O34" s="381"/>
      <c r="P34" s="381"/>
      <c r="Q34" s="381"/>
      <c r="R34" s="381"/>
      <c r="S34" s="381"/>
      <c r="T34" s="69"/>
      <c r="U34" s="70"/>
      <c r="W34" s="100"/>
      <c r="X34" s="108"/>
      <c r="Y34" s="279" t="s">
        <v>101</v>
      </c>
      <c r="Z34" s="279"/>
      <c r="AA34" s="279"/>
      <c r="AB34" s="279"/>
      <c r="AC34" s="279"/>
      <c r="AD34" s="279"/>
      <c r="AE34" s="108"/>
      <c r="AF34" s="279" t="s">
        <v>102</v>
      </c>
      <c r="AG34" s="279"/>
      <c r="AH34" s="279"/>
      <c r="AI34" s="279"/>
      <c r="AJ34" s="279"/>
      <c r="AK34" s="279"/>
      <c r="AL34" s="279"/>
      <c r="AM34" s="108"/>
      <c r="AN34" s="102" t="s">
        <v>103</v>
      </c>
      <c r="AO34" s="100"/>
      <c r="AP34" s="100"/>
      <c r="AQ34" s="100"/>
      <c r="AR34" s="100"/>
      <c r="AS34" s="100"/>
      <c r="AT34" s="108"/>
      <c r="AU34" s="279" t="s">
        <v>104</v>
      </c>
      <c r="AV34" s="279"/>
      <c r="AW34" s="279"/>
      <c r="AX34" s="279"/>
      <c r="AY34" s="279"/>
      <c r="AZ34" s="279"/>
      <c r="BA34" s="279"/>
      <c r="BB34" s="279"/>
      <c r="BC34" s="279"/>
      <c r="BD34" s="279"/>
      <c r="BE34" s="100"/>
    </row>
    <row r="35" spans="2:57" ht="16.5" thickBot="1">
      <c r="B35" s="58">
        <f t="shared" si="5"/>
        <v>46083</v>
      </c>
      <c r="C35" s="65" t="str">
        <f t="shared" si="2"/>
        <v>Mar-2026</v>
      </c>
      <c r="D35" s="32">
        <v>8</v>
      </c>
      <c r="E35" s="194">
        <f t="shared" si="3"/>
        <v>2797.3541131778288</v>
      </c>
      <c r="F35" s="195">
        <f t="shared" si="6"/>
        <v>2694.7729080942158</v>
      </c>
      <c r="G35" s="196">
        <f t="shared" si="4"/>
        <v>102.58120508361289</v>
      </c>
      <c r="H35" s="57">
        <f t="shared" si="7"/>
        <v>10982.7211030577</v>
      </c>
      <c r="J35" s="44"/>
      <c r="K35" s="63"/>
      <c r="L35" s="63"/>
      <c r="M35" s="63"/>
      <c r="N35" s="71"/>
      <c r="O35" s="69"/>
      <c r="P35" s="69"/>
      <c r="Q35" s="45"/>
      <c r="R35" s="45"/>
      <c r="S35" s="45"/>
      <c r="T35" s="45"/>
      <c r="U35" s="47"/>
      <c r="W35" s="100"/>
      <c r="X35" s="108"/>
      <c r="Y35" s="279" t="s">
        <v>105</v>
      </c>
      <c r="Z35" s="279"/>
      <c r="AA35" s="279"/>
      <c r="AB35" s="279"/>
      <c r="AC35" s="279"/>
      <c r="AD35" s="279"/>
      <c r="AE35" s="108"/>
      <c r="AF35" s="279" t="s">
        <v>106</v>
      </c>
      <c r="AG35" s="279"/>
      <c r="AH35" s="279"/>
      <c r="AI35" s="279"/>
      <c r="AJ35" s="279"/>
      <c r="AK35" s="279"/>
      <c r="AL35" s="279"/>
      <c r="AM35" s="108"/>
      <c r="AN35" s="102" t="s">
        <v>107</v>
      </c>
      <c r="AO35" s="100"/>
      <c r="AP35" s="100"/>
      <c r="AQ35" s="100"/>
      <c r="AR35" s="100"/>
      <c r="AS35" s="100"/>
      <c r="AT35" s="108"/>
      <c r="AU35" s="102" t="s">
        <v>108</v>
      </c>
      <c r="AV35" s="102"/>
      <c r="AW35" s="360"/>
      <c r="AX35" s="360"/>
      <c r="AY35" s="360"/>
      <c r="AZ35" s="360"/>
      <c r="BA35" s="360"/>
      <c r="BB35" s="102"/>
      <c r="BC35" s="102"/>
      <c r="BD35" s="102"/>
      <c r="BE35" s="100"/>
    </row>
    <row r="36" spans="2:57" ht="15.75">
      <c r="B36" s="58">
        <f t="shared" si="5"/>
        <v>46111</v>
      </c>
      <c r="C36" s="65" t="str">
        <f t="shared" si="2"/>
        <v>Mar-2026</v>
      </c>
      <c r="D36" s="32">
        <v>9</v>
      </c>
      <c r="E36" s="194">
        <f t="shared" si="3"/>
        <v>2797.3541131778288</v>
      </c>
      <c r="F36" s="195">
        <f t="shared" si="6"/>
        <v>2714.9837049049174</v>
      </c>
      <c r="G36" s="196">
        <f t="shared" si="4"/>
        <v>82.37040827291149</v>
      </c>
      <c r="H36" s="57">
        <f t="shared" si="7"/>
        <v>8267.7373981527817</v>
      </c>
      <c r="J36" s="44"/>
      <c r="K36" s="63"/>
      <c r="L36" s="64" t="s">
        <v>62</v>
      </c>
      <c r="M36" s="63"/>
      <c r="N36" s="63"/>
      <c r="O36" s="46"/>
      <c r="P36" s="63"/>
      <c r="Q36" s="72"/>
      <c r="R36" s="372">
        <f>C4</f>
        <v>31987.5</v>
      </c>
      <c r="S36" s="372"/>
      <c r="T36" s="372"/>
      <c r="U36" s="47"/>
      <c r="W36" s="100"/>
      <c r="X36" s="108"/>
      <c r="Y36" s="279" t="s">
        <v>109</v>
      </c>
      <c r="Z36" s="279"/>
      <c r="AA36" s="279"/>
      <c r="AB36" s="279"/>
      <c r="AC36" s="279"/>
      <c r="AD36" s="279"/>
      <c r="AE36" s="108"/>
      <c r="AF36" s="279" t="s">
        <v>110</v>
      </c>
      <c r="AG36" s="279"/>
      <c r="AH36" s="279"/>
      <c r="AI36" s="279"/>
      <c r="AJ36" s="279"/>
      <c r="AK36" s="279"/>
      <c r="AL36" s="279"/>
      <c r="AM36" s="108"/>
      <c r="AN36" s="102" t="s">
        <v>111</v>
      </c>
      <c r="AO36" s="100"/>
      <c r="AP36" s="100"/>
      <c r="AQ36" s="100"/>
      <c r="AR36" s="100"/>
      <c r="AS36" s="100"/>
      <c r="AT36" s="100"/>
      <c r="AU36" s="100"/>
      <c r="AV36" s="100"/>
      <c r="AW36" s="100"/>
      <c r="AX36" s="100"/>
      <c r="AY36" s="100"/>
      <c r="AZ36" s="100"/>
      <c r="BA36" s="100"/>
      <c r="BB36" s="100"/>
      <c r="BC36" s="100"/>
      <c r="BD36" s="100"/>
      <c r="BE36" s="100"/>
    </row>
    <row r="37" spans="2:57" ht="15.75">
      <c r="B37" s="58">
        <f t="shared" si="5"/>
        <v>46142</v>
      </c>
      <c r="C37" s="65" t="str">
        <f t="shared" si="2"/>
        <v>Apr-2026</v>
      </c>
      <c r="D37" s="32">
        <v>10</v>
      </c>
      <c r="E37" s="194">
        <f t="shared" si="3"/>
        <v>2797.3541131778288</v>
      </c>
      <c r="F37" s="195">
        <f t="shared" si="6"/>
        <v>2735.3460826916989</v>
      </c>
      <c r="G37" s="196">
        <f t="shared" si="4"/>
        <v>62.008030486129854</v>
      </c>
      <c r="H37" s="57">
        <f t="shared" si="7"/>
        <v>5532.3913154610827</v>
      </c>
      <c r="J37" s="44"/>
      <c r="K37" s="63"/>
      <c r="L37" s="64"/>
      <c r="M37" s="63"/>
      <c r="N37" s="63"/>
      <c r="O37" s="46"/>
      <c r="P37" s="63"/>
      <c r="Q37" s="72"/>
      <c r="R37" s="382"/>
      <c r="S37" s="382"/>
      <c r="T37" s="382"/>
      <c r="U37" s="47"/>
      <c r="W37" s="100"/>
      <c r="X37" s="108"/>
      <c r="Y37" s="279" t="s">
        <v>112</v>
      </c>
      <c r="Z37" s="279"/>
      <c r="AA37" s="279"/>
      <c r="AB37" s="279"/>
      <c r="AC37" s="279"/>
      <c r="AD37" s="279"/>
      <c r="AE37" s="108"/>
      <c r="AF37" s="279" t="s">
        <v>113</v>
      </c>
      <c r="AG37" s="279"/>
      <c r="AH37" s="279"/>
      <c r="AI37" s="279"/>
      <c r="AJ37" s="279"/>
      <c r="AK37" s="279"/>
      <c r="AL37" s="279"/>
      <c r="AM37" s="108"/>
      <c r="AN37" s="102" t="s">
        <v>114</v>
      </c>
      <c r="AO37" s="100"/>
      <c r="AP37" s="100"/>
      <c r="AQ37" s="100"/>
      <c r="AR37" s="100"/>
      <c r="AS37" s="100"/>
      <c r="AT37" s="100"/>
      <c r="AU37" s="100"/>
      <c r="AV37" s="100"/>
      <c r="AW37" s="100"/>
      <c r="AX37" s="100"/>
      <c r="AY37" s="100"/>
      <c r="AZ37" s="100"/>
      <c r="BA37" s="100"/>
      <c r="BB37" s="100"/>
      <c r="BC37" s="100"/>
      <c r="BD37" s="100"/>
      <c r="BE37" s="100"/>
    </row>
    <row r="38" spans="2:57" ht="16.5" thickBot="1">
      <c r="B38" s="58">
        <f t="shared" si="5"/>
        <v>46172</v>
      </c>
      <c r="C38" s="65" t="str">
        <f t="shared" si="2"/>
        <v>May-2026</v>
      </c>
      <c r="D38" s="32">
        <v>11</v>
      </c>
      <c r="E38" s="194">
        <f t="shared" si="3"/>
        <v>2797.3541131778288</v>
      </c>
      <c r="F38" s="195">
        <f t="shared" si="6"/>
        <v>2755.8611783118813</v>
      </c>
      <c r="G38" s="196">
        <f t="shared" si="4"/>
        <v>41.492934865947412</v>
      </c>
      <c r="H38" s="57">
        <f t="shared" si="7"/>
        <v>2776.5301371492014</v>
      </c>
      <c r="J38" s="73"/>
      <c r="K38" s="74"/>
      <c r="L38" s="75" t="s">
        <v>63</v>
      </c>
      <c r="M38" s="74" t="s">
        <v>64</v>
      </c>
      <c r="N38" s="74"/>
      <c r="O38" s="76"/>
      <c r="P38" s="74"/>
      <c r="Q38" s="71"/>
      <c r="R38" s="372">
        <f>-C14</f>
        <v>0</v>
      </c>
      <c r="S38" s="372"/>
      <c r="T38" s="372"/>
      <c r="U38" s="77"/>
      <c r="W38" s="100"/>
      <c r="X38" s="346"/>
      <c r="Y38" s="346"/>
      <c r="Z38" s="346"/>
      <c r="AA38" s="346"/>
      <c r="AB38" s="346"/>
      <c r="AC38" s="346"/>
      <c r="AD38" s="346"/>
      <c r="AE38" s="110"/>
      <c r="AF38" s="102" t="s">
        <v>115</v>
      </c>
      <c r="AG38" s="102"/>
      <c r="AH38" s="321"/>
      <c r="AI38" s="321"/>
      <c r="AJ38" s="321"/>
      <c r="AK38" s="321"/>
      <c r="AL38" s="347"/>
      <c r="AM38" s="110"/>
      <c r="AN38" s="102" t="s">
        <v>108</v>
      </c>
      <c r="AO38" s="100"/>
      <c r="AP38" s="354"/>
      <c r="AQ38" s="354"/>
      <c r="AR38" s="354"/>
      <c r="AS38" s="354"/>
      <c r="AT38" s="354"/>
      <c r="AU38" s="100"/>
      <c r="AV38" s="100"/>
      <c r="AW38" s="100"/>
      <c r="AX38" s="100"/>
      <c r="AY38" s="100"/>
      <c r="AZ38" s="100"/>
      <c r="BA38" s="100"/>
      <c r="BB38" s="100"/>
      <c r="BC38" s="100"/>
      <c r="BD38" s="100"/>
      <c r="BE38" s="100"/>
    </row>
    <row r="39" spans="2:57" ht="15.75">
      <c r="B39" s="58">
        <f t="shared" si="5"/>
        <v>46203</v>
      </c>
      <c r="C39" s="65" t="str">
        <f t="shared" si="2"/>
        <v>Jun-2026</v>
      </c>
      <c r="D39" s="32">
        <v>12</v>
      </c>
      <c r="E39" s="194">
        <f t="shared" si="3"/>
        <v>2797.3541131778288</v>
      </c>
      <c r="F39" s="195">
        <f t="shared" si="6"/>
        <v>2776.5301371492151</v>
      </c>
      <c r="G39" s="196">
        <f t="shared" si="4"/>
        <v>20.823976028613636</v>
      </c>
      <c r="H39" s="57">
        <f t="shared" si="7"/>
        <v>-1.3642420526593924E-11</v>
      </c>
      <c r="J39" s="73"/>
      <c r="K39" s="74"/>
      <c r="L39" s="75" t="s">
        <v>63</v>
      </c>
      <c r="M39" s="74" t="s">
        <v>65</v>
      </c>
      <c r="N39" s="74"/>
      <c r="O39" s="76"/>
      <c r="P39" s="74"/>
      <c r="Q39" s="71"/>
      <c r="R39" s="372">
        <f>-C8</f>
        <v>0</v>
      </c>
      <c r="S39" s="372"/>
      <c r="T39" s="372"/>
      <c r="U39" s="77"/>
      <c r="W39" s="100"/>
      <c r="X39" s="111" t="s">
        <v>116</v>
      </c>
      <c r="Y39" s="112"/>
      <c r="Z39" s="112"/>
      <c r="AA39" s="112"/>
      <c r="AB39" s="355">
        <f>C10</f>
        <v>25000</v>
      </c>
      <c r="AC39" s="355"/>
      <c r="AD39" s="355"/>
      <c r="AE39" s="355"/>
      <c r="AF39" s="355"/>
      <c r="AG39" s="355"/>
      <c r="AH39" s="356"/>
      <c r="AI39" s="356"/>
      <c r="AJ39" s="356"/>
      <c r="AK39" s="356"/>
      <c r="AL39" s="356"/>
      <c r="AM39" s="357"/>
      <c r="AN39" s="111" t="s">
        <v>117</v>
      </c>
      <c r="AO39" s="112"/>
      <c r="AP39" s="113"/>
      <c r="AQ39" s="113"/>
      <c r="AR39" s="113"/>
      <c r="AS39" s="113"/>
      <c r="AT39" s="356">
        <f>R49</f>
        <v>2797.3541131778288</v>
      </c>
      <c r="AU39" s="355"/>
      <c r="AV39" s="355"/>
      <c r="AW39" s="355"/>
      <c r="AX39" s="355"/>
      <c r="AY39" s="355"/>
      <c r="AZ39" s="355"/>
      <c r="BA39" s="355"/>
      <c r="BB39" s="355"/>
      <c r="BC39" s="355"/>
      <c r="BD39" s="357"/>
      <c r="BE39" s="100"/>
    </row>
    <row r="40" spans="2:57" ht="16.5" thickBot="1">
      <c r="B40" s="58"/>
      <c r="C40" s="165"/>
      <c r="D40" s="89"/>
      <c r="E40" s="225">
        <f>SUM(E28:E39)</f>
        <v>33568.249358133944</v>
      </c>
      <c r="F40" s="225">
        <f t="shared" ref="F40:G40" si="8">SUM(F28:F39)</f>
        <v>31987.500000000015</v>
      </c>
      <c r="G40" s="225">
        <f t="shared" si="8"/>
        <v>1580.7493581339309</v>
      </c>
      <c r="H40" s="200"/>
      <c r="J40" s="73"/>
      <c r="K40" s="74"/>
      <c r="L40" s="75" t="s">
        <v>63</v>
      </c>
      <c r="M40" s="74" t="s">
        <v>66</v>
      </c>
      <c r="N40" s="74"/>
      <c r="O40" s="76"/>
      <c r="P40" s="74"/>
      <c r="Q40" s="71"/>
      <c r="R40" s="376">
        <f>-C7</f>
        <v>-5000</v>
      </c>
      <c r="S40" s="376"/>
      <c r="T40" s="376"/>
      <c r="U40" s="77"/>
      <c r="W40" s="100"/>
      <c r="X40" s="114"/>
      <c r="Y40" s="115"/>
      <c r="Z40" s="115"/>
      <c r="AA40" s="115"/>
      <c r="AB40" s="246"/>
      <c r="AC40" s="246"/>
      <c r="AD40" s="246"/>
      <c r="AE40" s="246"/>
      <c r="AF40" s="246"/>
      <c r="AG40" s="246"/>
      <c r="AH40" s="246"/>
      <c r="AI40" s="246"/>
      <c r="AJ40" s="246"/>
      <c r="AK40" s="246"/>
      <c r="AL40" s="246"/>
      <c r="AM40" s="247"/>
      <c r="AN40" s="114"/>
      <c r="AO40" s="115"/>
      <c r="AP40" s="115"/>
      <c r="AQ40" s="115"/>
      <c r="AR40" s="115"/>
      <c r="AS40" s="115"/>
      <c r="AT40" s="246"/>
      <c r="AU40" s="246"/>
      <c r="AV40" s="246"/>
      <c r="AW40" s="246"/>
      <c r="AX40" s="246"/>
      <c r="AY40" s="246"/>
      <c r="AZ40" s="246"/>
      <c r="BA40" s="246"/>
      <c r="BB40" s="246"/>
      <c r="BC40" s="246"/>
      <c r="BD40" s="247"/>
      <c r="BE40" s="100"/>
    </row>
    <row r="41" spans="2:57" ht="15.75">
      <c r="B41" s="58"/>
      <c r="C41" s="97"/>
      <c r="E41" s="28"/>
      <c r="F41" s="98"/>
      <c r="G41" s="99"/>
      <c r="H41" s="98"/>
      <c r="J41" s="73"/>
      <c r="K41" s="74"/>
      <c r="L41" s="75" t="s">
        <v>63</v>
      </c>
      <c r="M41" s="74" t="s">
        <v>6</v>
      </c>
      <c r="N41" s="74"/>
      <c r="O41" s="76"/>
      <c r="P41" s="74"/>
      <c r="Q41" s="71"/>
      <c r="R41" s="376">
        <f>-C5</f>
        <v>-1500</v>
      </c>
      <c r="S41" s="376"/>
      <c r="T41" s="376"/>
      <c r="U41" s="77"/>
      <c r="W41" s="100"/>
      <c r="X41" s="337" t="s">
        <v>118</v>
      </c>
      <c r="Y41" s="338"/>
      <c r="Z41" s="358" t="str">
        <f>S30</f>
        <v>CDEA - 009</v>
      </c>
      <c r="AA41" s="343"/>
      <c r="AB41" s="343"/>
      <c r="AC41" s="343"/>
      <c r="AD41" s="343"/>
      <c r="AE41" s="344"/>
      <c r="AF41" s="117" t="s">
        <v>119</v>
      </c>
      <c r="AG41" s="115"/>
      <c r="AH41" s="115"/>
      <c r="AI41" s="115"/>
      <c r="AJ41" s="361"/>
      <c r="AK41" s="361"/>
      <c r="AL41" s="361"/>
      <c r="AM41" s="361"/>
      <c r="AN41" s="361"/>
      <c r="AO41" s="361"/>
      <c r="AP41" s="361"/>
      <c r="AQ41" s="362"/>
      <c r="AR41" s="118" t="s">
        <v>120</v>
      </c>
      <c r="AS41" s="119"/>
      <c r="AT41" s="119"/>
      <c r="AU41" s="119"/>
      <c r="AV41" s="361"/>
      <c r="AW41" s="361"/>
      <c r="AX41" s="361"/>
      <c r="AY41" s="361"/>
      <c r="AZ41" s="361"/>
      <c r="BA41" s="361"/>
      <c r="BB41" s="361"/>
      <c r="BC41" s="361"/>
      <c r="BD41" s="362"/>
      <c r="BE41" s="100"/>
    </row>
    <row r="42" spans="2:57" ht="15.75">
      <c r="B42" s="58"/>
      <c r="C42" s="97"/>
      <c r="E42" s="28"/>
      <c r="F42" s="98"/>
      <c r="G42" s="99"/>
      <c r="H42" s="98"/>
      <c r="J42" s="73"/>
      <c r="K42" s="74"/>
      <c r="L42" s="75" t="s">
        <v>63</v>
      </c>
      <c r="M42" s="74" t="s">
        <v>67</v>
      </c>
      <c r="N42" s="74"/>
      <c r="O42" s="76"/>
      <c r="P42" s="74"/>
      <c r="Q42" s="71"/>
      <c r="R42" s="376">
        <f>-C6</f>
        <v>-300</v>
      </c>
      <c r="S42" s="376"/>
      <c r="T42" s="376"/>
      <c r="U42" s="77"/>
      <c r="W42" s="100"/>
      <c r="X42" s="335" t="s">
        <v>121</v>
      </c>
      <c r="Y42" s="336"/>
      <c r="Z42" s="339"/>
      <c r="AA42" s="340"/>
      <c r="AB42" s="340"/>
      <c r="AC42" s="340"/>
      <c r="AD42" s="340"/>
      <c r="AE42" s="341"/>
      <c r="AF42" s="121"/>
      <c r="AG42" s="120" t="s">
        <v>122</v>
      </c>
      <c r="AH42" s="122"/>
      <c r="AI42" s="122"/>
      <c r="AJ42" s="122"/>
      <c r="AK42" s="122"/>
      <c r="AL42" s="122"/>
      <c r="AM42" s="122"/>
      <c r="AN42" s="122"/>
      <c r="AO42" s="122"/>
      <c r="AP42" s="122"/>
      <c r="AQ42" s="123"/>
      <c r="AR42" s="124"/>
      <c r="AS42" s="335" t="s">
        <v>123</v>
      </c>
      <c r="AT42" s="345"/>
      <c r="AU42" s="345"/>
      <c r="AV42" s="122"/>
      <c r="AW42" s="122"/>
      <c r="AX42" s="122"/>
      <c r="AY42" s="122"/>
      <c r="AZ42" s="122"/>
      <c r="BA42" s="122"/>
      <c r="BB42" s="122"/>
      <c r="BC42" s="122"/>
      <c r="BD42" s="123"/>
      <c r="BE42" s="100"/>
    </row>
    <row r="43" spans="2:57" ht="15.75">
      <c r="B43" s="58"/>
      <c r="C43" s="97"/>
      <c r="E43" s="28"/>
      <c r="F43" s="98"/>
      <c r="G43" s="99"/>
      <c r="H43" s="98"/>
      <c r="J43" s="50"/>
      <c r="L43" s="75" t="s">
        <v>63</v>
      </c>
      <c r="M43" s="74" t="s">
        <v>10</v>
      </c>
      <c r="R43" s="376">
        <f>-C9</f>
        <v>-187.5</v>
      </c>
      <c r="S43" s="376"/>
      <c r="T43" s="376"/>
      <c r="U43" s="78"/>
      <c r="W43" s="100"/>
      <c r="X43" s="337"/>
      <c r="Y43" s="338"/>
      <c r="Z43" s="342"/>
      <c r="AA43" s="343"/>
      <c r="AB43" s="343"/>
      <c r="AC43" s="343"/>
      <c r="AD43" s="343"/>
      <c r="AE43" s="344"/>
      <c r="AF43" s="108"/>
      <c r="AG43" s="116" t="s">
        <v>124</v>
      </c>
      <c r="AH43" s="125"/>
      <c r="AI43" s="125"/>
      <c r="AJ43" s="125"/>
      <c r="AK43" s="125"/>
      <c r="AL43" s="125"/>
      <c r="AM43" s="125"/>
      <c r="AN43" s="125"/>
      <c r="AO43" s="125"/>
      <c r="AP43" s="125"/>
      <c r="AQ43" s="126"/>
      <c r="AR43" s="108"/>
      <c r="AS43" s="337" t="s">
        <v>125</v>
      </c>
      <c r="AT43" s="363"/>
      <c r="AU43" s="363"/>
      <c r="AV43" s="125"/>
      <c r="AW43" s="125"/>
      <c r="AX43" s="125"/>
      <c r="AY43" s="125"/>
      <c r="AZ43" s="125"/>
      <c r="BA43" s="125"/>
      <c r="BB43" s="125"/>
      <c r="BC43" s="125"/>
      <c r="BD43" s="126"/>
      <c r="BE43" s="100"/>
    </row>
    <row r="44" spans="2:57" ht="15.75">
      <c r="B44" s="58"/>
      <c r="C44" s="97"/>
      <c r="E44" s="28"/>
      <c r="F44" s="98"/>
      <c r="G44" s="99"/>
      <c r="H44" s="98"/>
      <c r="J44" s="44"/>
      <c r="K44" s="63"/>
      <c r="L44" s="64" t="s">
        <v>68</v>
      </c>
      <c r="M44" s="63"/>
      <c r="N44" s="63"/>
      <c r="O44" s="46"/>
      <c r="P44" s="63"/>
      <c r="Q44" s="45"/>
      <c r="R44" s="372">
        <f>SUM(R36:T43)</f>
        <v>25000</v>
      </c>
      <c r="S44" s="372"/>
      <c r="T44" s="372"/>
      <c r="U44" s="47"/>
      <c r="W44" s="100"/>
      <c r="X44" s="294" t="s">
        <v>126</v>
      </c>
      <c r="Y44" s="295"/>
      <c r="Z44" s="295"/>
      <c r="AA44" s="295"/>
      <c r="AB44" s="295"/>
      <c r="AC44" s="295"/>
      <c r="AD44" s="295"/>
      <c r="AE44" s="295"/>
      <c r="AF44" s="295"/>
      <c r="AG44" s="295"/>
      <c r="AH44" s="295"/>
      <c r="AI44" s="295"/>
      <c r="AJ44" s="295"/>
      <c r="AK44" s="295"/>
      <c r="AL44" s="295"/>
      <c r="AM44" s="295"/>
      <c r="AN44" s="295"/>
      <c r="AO44" s="295"/>
      <c r="AP44" s="295"/>
      <c r="AQ44" s="295"/>
      <c r="AR44" s="295"/>
      <c r="AS44" s="295"/>
      <c r="AT44" s="295"/>
      <c r="AU44" s="295"/>
      <c r="AV44" s="295"/>
      <c r="AW44" s="295"/>
      <c r="AX44" s="295"/>
      <c r="AY44" s="295"/>
      <c r="AZ44" s="295"/>
      <c r="BA44" s="295"/>
      <c r="BB44" s="295"/>
      <c r="BC44" s="295"/>
      <c r="BD44" s="296"/>
      <c r="BE44" s="100"/>
    </row>
    <row r="45" spans="2:57" ht="16.5" thickBot="1">
      <c r="B45" s="58"/>
      <c r="C45" s="97"/>
      <c r="E45" s="28"/>
      <c r="F45" s="98"/>
      <c r="G45" s="99"/>
      <c r="H45" s="98"/>
      <c r="J45" s="44"/>
      <c r="K45" s="45"/>
      <c r="L45" s="45"/>
      <c r="M45" s="45"/>
      <c r="N45" s="45"/>
      <c r="O45" s="49"/>
      <c r="P45" s="45"/>
      <c r="Q45" s="45"/>
      <c r="R45" s="45"/>
      <c r="S45" s="45"/>
      <c r="T45" s="45"/>
      <c r="U45" s="47"/>
      <c r="W45" s="100"/>
      <c r="X45" s="396" t="s">
        <v>314</v>
      </c>
      <c r="Y45" s="396"/>
      <c r="Z45" s="396"/>
      <c r="AA45" s="396"/>
      <c r="AB45" s="396"/>
      <c r="AC45" s="396"/>
      <c r="AD45" s="396" t="s">
        <v>315</v>
      </c>
      <c r="AE45" s="396"/>
      <c r="AF45" s="396"/>
      <c r="AG45" s="396"/>
      <c r="AH45" s="396"/>
      <c r="AI45" s="396"/>
      <c r="AJ45" s="396"/>
      <c r="AK45" s="396"/>
      <c r="AL45" s="396"/>
      <c r="AM45" s="396"/>
      <c r="AN45" s="396" t="s">
        <v>316</v>
      </c>
      <c r="AO45" s="396"/>
      <c r="AP45" s="396"/>
      <c r="AQ45" s="396"/>
      <c r="AR45" s="396"/>
      <c r="AS45" s="396"/>
      <c r="AT45" s="396"/>
      <c r="AU45" s="396"/>
      <c r="AV45" s="396"/>
      <c r="AW45" s="396"/>
      <c r="AX45" s="396"/>
      <c r="AY45" s="396"/>
      <c r="AZ45" s="397"/>
      <c r="BA45" s="397"/>
      <c r="BB45" s="113"/>
      <c r="BC45" s="113"/>
      <c r="BD45" s="113"/>
      <c r="BE45" s="100"/>
    </row>
    <row r="46" spans="2:57" ht="15.75">
      <c r="B46" s="58"/>
      <c r="C46" s="97"/>
      <c r="E46" s="28"/>
      <c r="F46" s="98"/>
      <c r="G46" s="99"/>
      <c r="H46" s="98"/>
      <c r="J46" s="44"/>
      <c r="K46" s="79" t="s">
        <v>69</v>
      </c>
      <c r="L46" s="79"/>
      <c r="M46" s="79"/>
      <c r="N46" s="79"/>
      <c r="O46" s="79"/>
      <c r="P46" s="79"/>
      <c r="Q46" s="79"/>
      <c r="R46" s="79"/>
      <c r="S46" s="79"/>
      <c r="T46" s="79"/>
      <c r="U46" s="47"/>
      <c r="W46" s="100"/>
      <c r="X46" s="102" t="s">
        <v>127</v>
      </c>
      <c r="Y46" s="107"/>
      <c r="Z46" s="107"/>
      <c r="AA46" s="102"/>
      <c r="AB46" s="102"/>
      <c r="AC46" s="102"/>
      <c r="AD46" s="102" t="s">
        <v>128</v>
      </c>
      <c r="AE46" s="102"/>
      <c r="AF46" s="102"/>
      <c r="AG46" s="102"/>
      <c r="AH46" s="102"/>
      <c r="AI46" s="102"/>
      <c r="AJ46" s="102"/>
      <c r="AK46" s="102"/>
      <c r="AL46" s="100"/>
      <c r="AM46" s="102"/>
      <c r="AN46" s="102" t="s">
        <v>129</v>
      </c>
      <c r="AO46" s="102"/>
      <c r="AP46" s="102"/>
      <c r="AQ46" s="102"/>
      <c r="AR46" s="102"/>
      <c r="AS46" s="100"/>
      <c r="AT46" s="102"/>
      <c r="AU46" s="102"/>
      <c r="AV46" s="102"/>
      <c r="AW46" s="102"/>
      <c r="AX46" s="100"/>
      <c r="AY46" s="102"/>
      <c r="AZ46" s="102" t="s">
        <v>130</v>
      </c>
      <c r="BA46" s="102"/>
      <c r="BB46" s="128"/>
      <c r="BC46" s="129"/>
      <c r="BD46" s="129"/>
      <c r="BE46" s="100"/>
    </row>
    <row r="47" spans="2:57" ht="15.75">
      <c r="B47" s="58"/>
      <c r="C47" s="97"/>
      <c r="E47" s="28"/>
      <c r="F47" s="98"/>
      <c r="G47" s="99"/>
      <c r="H47" s="98"/>
      <c r="J47" s="44"/>
      <c r="K47" s="45"/>
      <c r="L47" s="45"/>
      <c r="M47" s="45"/>
      <c r="N47" s="45"/>
      <c r="O47" s="49"/>
      <c r="P47" s="45"/>
      <c r="Q47" s="45"/>
      <c r="R47" s="45"/>
      <c r="S47" s="45"/>
      <c r="T47" s="45"/>
      <c r="U47" s="47"/>
      <c r="W47" s="100"/>
      <c r="X47" s="348" t="s">
        <v>131</v>
      </c>
      <c r="Y47" s="349"/>
      <c r="Z47" s="349"/>
      <c r="AA47" s="349"/>
      <c r="AB47" s="349"/>
      <c r="AC47" s="350"/>
      <c r="AD47" s="348" t="s">
        <v>61</v>
      </c>
      <c r="AE47" s="349"/>
      <c r="AF47" s="349"/>
      <c r="AG47" s="349"/>
      <c r="AH47" s="350"/>
      <c r="AI47" s="348" t="s">
        <v>132</v>
      </c>
      <c r="AJ47" s="349"/>
      <c r="AK47" s="349"/>
      <c r="AL47" s="349"/>
      <c r="AM47" s="349"/>
      <c r="AN47" s="350"/>
      <c r="AO47" s="351" t="s">
        <v>133</v>
      </c>
      <c r="AP47" s="352"/>
      <c r="AQ47" s="352"/>
      <c r="AR47" s="352"/>
      <c r="AS47" s="352"/>
      <c r="AT47" s="352"/>
      <c r="AU47" s="352"/>
      <c r="AV47" s="352"/>
      <c r="AW47" s="351" t="s">
        <v>134</v>
      </c>
      <c r="AX47" s="352"/>
      <c r="AY47" s="352"/>
      <c r="AZ47" s="352"/>
      <c r="BA47" s="352"/>
      <c r="BB47" s="352"/>
      <c r="BC47" s="352"/>
      <c r="BD47" s="353"/>
      <c r="BE47" s="100"/>
    </row>
    <row r="48" spans="2:57" ht="15.75">
      <c r="B48" s="58"/>
      <c r="C48" s="97"/>
      <c r="E48" s="28"/>
      <c r="F48" s="98"/>
      <c r="G48" s="99"/>
      <c r="H48" s="98"/>
      <c r="J48" s="44"/>
      <c r="K48" s="45"/>
      <c r="L48" s="80" t="s">
        <v>70</v>
      </c>
      <c r="M48" s="74"/>
      <c r="N48" s="74"/>
      <c r="O48" s="74"/>
      <c r="P48" s="74"/>
      <c r="Q48" s="74"/>
      <c r="R48" s="373">
        <f>E25</f>
        <v>12</v>
      </c>
      <c r="S48" s="373"/>
      <c r="T48" s="81" t="s">
        <v>71</v>
      </c>
      <c r="U48" s="47"/>
      <c r="W48" s="100"/>
      <c r="X48" s="329" t="s">
        <v>317</v>
      </c>
      <c r="Y48" s="330"/>
      <c r="Z48" s="330"/>
      <c r="AA48" s="330"/>
      <c r="AB48" s="330"/>
      <c r="AC48" s="331"/>
      <c r="AD48" s="332" t="str">
        <f>D23</f>
        <v xml:space="preserve">1988 - 006 </v>
      </c>
      <c r="AE48" s="333"/>
      <c r="AF48" s="333"/>
      <c r="AG48" s="333"/>
      <c r="AH48" s="334"/>
      <c r="AI48" s="329" t="s">
        <v>232</v>
      </c>
      <c r="AJ48" s="330"/>
      <c r="AK48" s="330"/>
      <c r="AL48" s="330"/>
      <c r="AM48" s="330"/>
      <c r="AN48" s="331"/>
      <c r="AO48" s="103">
        <v>0</v>
      </c>
      <c r="AP48" s="104">
        <v>2</v>
      </c>
      <c r="AQ48" s="104">
        <v>2</v>
      </c>
      <c r="AR48" s="104">
        <v>1</v>
      </c>
      <c r="AS48" s="104">
        <v>2</v>
      </c>
      <c r="AT48" s="104">
        <v>0</v>
      </c>
      <c r="AU48" s="104">
        <v>1</v>
      </c>
      <c r="AV48" s="105">
        <v>7</v>
      </c>
      <c r="AW48" s="103"/>
      <c r="AX48" s="104"/>
      <c r="AY48" s="104"/>
      <c r="AZ48" s="104"/>
      <c r="BA48" s="104"/>
      <c r="BB48" s="104"/>
      <c r="BC48" s="104"/>
      <c r="BD48" s="105"/>
      <c r="BE48" s="100"/>
    </row>
    <row r="49" spans="2:57" ht="15.75">
      <c r="B49" s="58"/>
      <c r="C49" s="97"/>
      <c r="E49" s="28"/>
      <c r="F49" s="98"/>
      <c r="G49" s="99"/>
      <c r="H49" s="98"/>
      <c r="J49" s="44"/>
      <c r="K49" s="45"/>
      <c r="L49" s="74" t="s">
        <v>72</v>
      </c>
      <c r="M49" s="74"/>
      <c r="N49" s="74"/>
      <c r="O49" s="74"/>
      <c r="P49" s="74"/>
      <c r="Q49" s="74"/>
      <c r="R49" s="374">
        <f>C1</f>
        <v>2797.3541131778288</v>
      </c>
      <c r="S49" s="374"/>
      <c r="T49" s="374"/>
      <c r="U49" s="47"/>
      <c r="W49" s="100"/>
      <c r="X49" s="100"/>
      <c r="Y49" s="100"/>
      <c r="Z49" s="100"/>
      <c r="AA49" s="100"/>
      <c r="AB49" s="100"/>
      <c r="AC49" s="100"/>
      <c r="AD49" s="100"/>
      <c r="AE49" s="100"/>
      <c r="AF49" s="100"/>
      <c r="AG49" s="100"/>
      <c r="AH49" s="100"/>
      <c r="AI49" s="100"/>
      <c r="AJ49" s="100"/>
      <c r="AK49" s="100"/>
      <c r="AL49" s="100"/>
      <c r="AM49" s="100"/>
      <c r="AN49" s="100"/>
      <c r="AO49" s="130" t="s">
        <v>90</v>
      </c>
      <c r="AP49" s="130" t="s">
        <v>90</v>
      </c>
      <c r="AQ49" s="130" t="s">
        <v>91</v>
      </c>
      <c r="AR49" s="130" t="s">
        <v>91</v>
      </c>
      <c r="AS49" s="130" t="s">
        <v>92</v>
      </c>
      <c r="AT49" s="130" t="s">
        <v>92</v>
      </c>
      <c r="AU49" s="130" t="s">
        <v>92</v>
      </c>
      <c r="AV49" s="130" t="s">
        <v>92</v>
      </c>
      <c r="AW49" s="130" t="s">
        <v>90</v>
      </c>
      <c r="AX49" s="130" t="s">
        <v>90</v>
      </c>
      <c r="AY49" s="130" t="s">
        <v>91</v>
      </c>
      <c r="AZ49" s="130" t="s">
        <v>91</v>
      </c>
      <c r="BA49" s="130" t="s">
        <v>92</v>
      </c>
      <c r="BB49" s="130" t="s">
        <v>92</v>
      </c>
      <c r="BC49" s="130" t="s">
        <v>92</v>
      </c>
      <c r="BD49" s="130" t="s">
        <v>92</v>
      </c>
      <c r="BE49" s="100"/>
    </row>
    <row r="50" spans="2:57" ht="15.75">
      <c r="B50" s="58"/>
      <c r="C50" s="97"/>
      <c r="E50" s="28"/>
      <c r="F50" s="98"/>
      <c r="G50" s="99"/>
      <c r="H50" s="98"/>
      <c r="J50" s="44"/>
      <c r="K50" s="45"/>
      <c r="L50" s="74" t="s">
        <v>73</v>
      </c>
      <c r="M50" s="74"/>
      <c r="N50" s="74"/>
      <c r="O50" s="74"/>
      <c r="P50" s="74"/>
      <c r="Q50" s="74"/>
      <c r="R50" s="375">
        <f>E24</f>
        <v>45838</v>
      </c>
      <c r="S50" s="375"/>
      <c r="T50" s="375"/>
      <c r="U50" s="47"/>
      <c r="W50" s="100"/>
      <c r="X50" s="100"/>
      <c r="Y50" s="100"/>
      <c r="Z50" s="100"/>
      <c r="AA50" s="100"/>
      <c r="AB50" s="100"/>
      <c r="AC50" s="100"/>
      <c r="AD50" s="100"/>
      <c r="AE50" s="100"/>
      <c r="AF50" s="100"/>
      <c r="AG50" s="100"/>
      <c r="AH50" s="100"/>
      <c r="AI50" s="100"/>
      <c r="AJ50" s="100"/>
      <c r="AK50" s="100"/>
      <c r="AL50" s="100"/>
      <c r="AM50" s="100"/>
      <c r="AN50" s="100"/>
      <c r="AO50" s="100"/>
      <c r="AP50" s="100"/>
      <c r="AQ50" s="100"/>
      <c r="AR50" s="100"/>
      <c r="AS50" s="100"/>
      <c r="AT50" s="100"/>
      <c r="AU50" s="100"/>
      <c r="AV50" s="100"/>
      <c r="AW50" s="100"/>
      <c r="AX50" s="100"/>
      <c r="AY50" s="100"/>
      <c r="AZ50" s="100"/>
      <c r="BA50" s="100"/>
      <c r="BB50" s="100"/>
      <c r="BC50" s="100"/>
      <c r="BD50" s="100"/>
      <c r="BE50" s="100"/>
    </row>
    <row r="51" spans="2:57" ht="15.75">
      <c r="B51" s="58"/>
      <c r="C51" s="97"/>
      <c r="E51" s="28"/>
      <c r="F51" s="98"/>
      <c r="G51" s="99"/>
      <c r="H51" s="98"/>
      <c r="J51" s="44"/>
      <c r="K51" s="45"/>
      <c r="L51" s="74" t="s">
        <v>74</v>
      </c>
      <c r="M51" s="74"/>
      <c r="N51" s="74"/>
      <c r="O51" s="74"/>
      <c r="P51" s="74"/>
      <c r="Q51" s="74"/>
      <c r="R51" s="375">
        <f>G24</f>
        <v>46203</v>
      </c>
      <c r="S51" s="375"/>
      <c r="T51" s="375"/>
      <c r="U51" s="47"/>
      <c r="W51" s="100"/>
      <c r="X51" s="102" t="s">
        <v>135</v>
      </c>
      <c r="Y51" s="102"/>
      <c r="Z51" s="102"/>
      <c r="AA51" s="102"/>
      <c r="AB51" s="102"/>
      <c r="AC51" s="102"/>
      <c r="AD51" s="102"/>
      <c r="AE51" s="102" t="s">
        <v>136</v>
      </c>
      <c r="AF51" s="102"/>
      <c r="AG51" s="102"/>
      <c r="AH51" s="102"/>
      <c r="AI51" s="100"/>
      <c r="AJ51" s="131" t="s">
        <v>137</v>
      </c>
      <c r="AK51" s="364">
        <v>61</v>
      </c>
      <c r="AL51" s="362"/>
      <c r="AM51" s="365" t="s">
        <v>138</v>
      </c>
      <c r="AN51" s="365"/>
      <c r="AO51" s="365"/>
      <c r="AP51" s="365"/>
      <c r="AQ51" s="132"/>
      <c r="AR51" s="279" t="s">
        <v>139</v>
      </c>
      <c r="AS51" s="279"/>
      <c r="AT51" s="132"/>
      <c r="AU51" s="279" t="s">
        <v>140</v>
      </c>
      <c r="AV51" s="279"/>
      <c r="AW51" s="279"/>
      <c r="AX51" s="279" t="s">
        <v>141</v>
      </c>
      <c r="AY51" s="279"/>
      <c r="AZ51" s="279"/>
      <c r="BA51" s="279"/>
      <c r="BB51" s="279"/>
      <c r="BC51" s="279"/>
      <c r="BD51" s="279"/>
      <c r="BE51" s="100"/>
    </row>
    <row r="52" spans="2:57" ht="15.75">
      <c r="B52" s="58"/>
      <c r="C52" s="97"/>
      <c r="E52" s="28"/>
      <c r="F52" s="98"/>
      <c r="G52" s="99"/>
      <c r="H52" s="98"/>
      <c r="J52" s="44"/>
      <c r="K52" s="45"/>
      <c r="L52" s="74" t="s">
        <v>75</v>
      </c>
      <c r="M52" s="74"/>
      <c r="N52" s="74"/>
      <c r="O52" s="74"/>
      <c r="P52" s="74"/>
      <c r="Q52" s="74"/>
      <c r="R52" s="369">
        <f>C16</f>
        <v>9.3806897670984268E-2</v>
      </c>
      <c r="S52" s="369"/>
      <c r="T52" s="369"/>
      <c r="U52" s="47"/>
      <c r="W52" s="100"/>
      <c r="X52" s="266" t="s">
        <v>318</v>
      </c>
      <c r="Y52" s="267"/>
      <c r="Z52" s="267"/>
      <c r="AA52" s="267"/>
      <c r="AB52" s="267"/>
      <c r="AC52" s="267"/>
      <c r="AD52" s="268"/>
      <c r="AE52" s="269">
        <v>23349</v>
      </c>
      <c r="AF52" s="270"/>
      <c r="AG52" s="270"/>
      <c r="AH52" s="270"/>
      <c r="AI52" s="270"/>
      <c r="AJ52" s="270"/>
      <c r="AK52" s="270"/>
      <c r="AL52" s="271"/>
      <c r="AM52" s="365"/>
      <c r="AN52" s="365"/>
      <c r="AO52" s="365"/>
      <c r="AP52" s="365"/>
      <c r="AQ52" s="132"/>
      <c r="AR52" s="279" t="s">
        <v>142</v>
      </c>
      <c r="AS52" s="279"/>
      <c r="AT52" s="132"/>
      <c r="AU52" s="279" t="s">
        <v>143</v>
      </c>
      <c r="AV52" s="279"/>
      <c r="AW52" s="279"/>
      <c r="AX52" s="366" t="s">
        <v>320</v>
      </c>
      <c r="AY52" s="367"/>
      <c r="AZ52" s="367"/>
      <c r="BA52" s="367"/>
      <c r="BB52" s="367"/>
      <c r="BC52" s="367"/>
      <c r="BD52" s="368"/>
      <c r="BE52" s="100"/>
    </row>
    <row r="53" spans="2:57" ht="15.75">
      <c r="B53" s="58"/>
      <c r="C53" s="97"/>
      <c r="E53" s="28"/>
      <c r="F53" s="98"/>
      <c r="G53" s="99"/>
      <c r="H53" s="98"/>
      <c r="J53" s="44"/>
      <c r="K53" s="45"/>
      <c r="L53" s="74" t="s">
        <v>76</v>
      </c>
      <c r="M53" s="74"/>
      <c r="N53" s="74"/>
      <c r="O53" s="74"/>
      <c r="P53" s="74"/>
      <c r="Q53" s="74"/>
      <c r="R53" s="369">
        <f>'[2]Data Entry'!E12/12</f>
        <v>6.9166666666666673E-3</v>
      </c>
      <c r="S53" s="369"/>
      <c r="T53" s="369"/>
      <c r="U53" s="47"/>
      <c r="W53" s="100"/>
      <c r="X53" s="272" t="s">
        <v>144</v>
      </c>
      <c r="Y53" s="272"/>
      <c r="Z53" s="272"/>
      <c r="AA53" s="272"/>
      <c r="AB53" s="272"/>
      <c r="AC53" s="272"/>
      <c r="AD53" s="272"/>
      <c r="AE53" s="272" t="s">
        <v>145</v>
      </c>
      <c r="AF53" s="272"/>
      <c r="AG53" s="272"/>
      <c r="AH53" s="272"/>
      <c r="AI53" s="272"/>
      <c r="AJ53" s="272"/>
      <c r="AK53" s="272"/>
      <c r="AL53" s="272"/>
      <c r="AM53" s="272"/>
      <c r="AN53" s="272"/>
      <c r="AO53" s="272"/>
      <c r="AP53" s="272"/>
      <c r="AQ53" s="272"/>
      <c r="AR53" s="272"/>
      <c r="AS53" s="272"/>
      <c r="AT53" s="272"/>
      <c r="AU53" s="100"/>
      <c r="AV53" s="113"/>
      <c r="AW53" s="113"/>
      <c r="AX53" s="113" t="s">
        <v>146</v>
      </c>
      <c r="AY53" s="113"/>
      <c r="AZ53" s="113"/>
      <c r="BA53" s="113"/>
      <c r="BB53" s="113"/>
      <c r="BC53" s="113"/>
      <c r="BD53" s="113"/>
      <c r="BE53" s="100"/>
    </row>
    <row r="54" spans="2:57" ht="16.5" thickBot="1">
      <c r="B54" s="58"/>
      <c r="C54" s="97"/>
      <c r="E54" s="28"/>
      <c r="F54" s="98"/>
      <c r="G54" s="99"/>
      <c r="H54" s="98"/>
      <c r="J54" s="44"/>
      <c r="K54" s="82"/>
      <c r="L54" s="82"/>
      <c r="M54" s="82"/>
      <c r="N54" s="82"/>
      <c r="O54" s="83"/>
      <c r="P54" s="82"/>
      <c r="Q54" s="82"/>
      <c r="R54" s="82"/>
      <c r="S54" s="82"/>
      <c r="T54" s="82"/>
      <c r="U54" s="47"/>
      <c r="W54" s="100"/>
      <c r="X54" s="290" t="s">
        <v>232</v>
      </c>
      <c r="Y54" s="291"/>
      <c r="Z54" s="291"/>
      <c r="AA54" s="291"/>
      <c r="AB54" s="291"/>
      <c r="AC54" s="291"/>
      <c r="AD54" s="292"/>
      <c r="AE54" s="273" t="s">
        <v>233</v>
      </c>
      <c r="AF54" s="274"/>
      <c r="AG54" s="274"/>
      <c r="AH54" s="274"/>
      <c r="AI54" s="274"/>
      <c r="AJ54" s="274"/>
      <c r="AK54" s="274"/>
      <c r="AL54" s="274"/>
      <c r="AM54" s="274"/>
      <c r="AN54" s="274"/>
      <c r="AO54" s="274"/>
      <c r="AP54" s="274"/>
      <c r="AQ54" s="274"/>
      <c r="AR54" s="274"/>
      <c r="AS54" s="274"/>
      <c r="AT54" s="274"/>
      <c r="AU54" s="274"/>
      <c r="AV54" s="274"/>
      <c r="AW54" s="275"/>
      <c r="AX54" s="276">
        <v>89115061</v>
      </c>
      <c r="AY54" s="277"/>
      <c r="AZ54" s="277"/>
      <c r="BA54" s="277"/>
      <c r="BB54" s="277"/>
      <c r="BC54" s="277"/>
      <c r="BD54" s="278"/>
      <c r="BE54" s="100"/>
    </row>
    <row r="55" spans="2:57" ht="16.5" thickTop="1">
      <c r="B55" s="58"/>
      <c r="C55" s="97"/>
      <c r="E55" s="28"/>
      <c r="F55" s="98"/>
      <c r="G55" s="99"/>
      <c r="H55" s="98"/>
      <c r="J55" s="44"/>
      <c r="K55" s="45"/>
      <c r="L55" s="45"/>
      <c r="M55" s="45"/>
      <c r="N55" s="45"/>
      <c r="O55" s="49"/>
      <c r="P55" s="45"/>
      <c r="Q55" s="45"/>
      <c r="R55" s="45"/>
      <c r="S55" s="45"/>
      <c r="T55" s="45"/>
      <c r="U55" s="47"/>
      <c r="W55" s="100"/>
      <c r="X55" s="102" t="s">
        <v>147</v>
      </c>
      <c r="Y55" s="102"/>
      <c r="Z55" s="102"/>
      <c r="AA55" s="102"/>
      <c r="AB55" s="102"/>
      <c r="AC55" s="102"/>
      <c r="AD55" s="102"/>
      <c r="AE55" s="100"/>
      <c r="AF55" s="102"/>
      <c r="AG55" s="113" t="s">
        <v>148</v>
      </c>
      <c r="AH55" s="100"/>
      <c r="AI55" s="100"/>
      <c r="AJ55" s="100"/>
      <c r="AK55" s="113"/>
      <c r="AL55" s="113"/>
      <c r="AM55" s="113"/>
      <c r="AN55" s="113"/>
      <c r="AO55" s="113"/>
      <c r="AP55" s="113"/>
      <c r="AQ55" s="113"/>
      <c r="AR55" s="113"/>
      <c r="AS55" s="113"/>
      <c r="AT55" s="279" t="s">
        <v>149</v>
      </c>
      <c r="AU55" s="279"/>
      <c r="AV55" s="279"/>
      <c r="AW55" s="279"/>
      <c r="AX55" s="279"/>
      <c r="AY55" s="279"/>
      <c r="AZ55" s="279"/>
      <c r="BA55" s="279"/>
      <c r="BB55" s="279"/>
      <c r="BC55" s="279"/>
      <c r="BD55" s="279"/>
      <c r="BE55" s="100"/>
    </row>
    <row r="56" spans="2:57" ht="15.75">
      <c r="B56" s="58"/>
      <c r="C56" s="97"/>
      <c r="E56" s="28"/>
      <c r="F56" s="98"/>
      <c r="G56" s="99"/>
      <c r="H56" s="98"/>
      <c r="J56" s="44"/>
      <c r="K56" s="45" t="s">
        <v>77</v>
      </c>
      <c r="L56" s="45"/>
      <c r="M56" s="45"/>
      <c r="O56" s="45"/>
      <c r="P56" s="45"/>
      <c r="R56" s="45" t="s">
        <v>78</v>
      </c>
      <c r="S56" s="45"/>
      <c r="T56" s="45"/>
      <c r="U56" s="47"/>
      <c r="W56" s="100"/>
      <c r="X56" s="283" t="str">
        <f>AD48</f>
        <v xml:space="preserve">1988 - 006 </v>
      </c>
      <c r="Y56" s="274"/>
      <c r="Z56" s="274"/>
      <c r="AA56" s="274"/>
      <c r="AB56" s="274"/>
      <c r="AC56" s="274"/>
      <c r="AD56" s="274"/>
      <c r="AE56" s="274"/>
      <c r="AF56" s="275"/>
      <c r="AG56" s="284" t="s">
        <v>319</v>
      </c>
      <c r="AH56" s="285"/>
      <c r="AI56" s="285"/>
      <c r="AJ56" s="285"/>
      <c r="AK56" s="285"/>
      <c r="AL56" s="285"/>
      <c r="AM56" s="285"/>
      <c r="AN56" s="285"/>
      <c r="AO56" s="285"/>
      <c r="AP56" s="285"/>
      <c r="AQ56" s="285"/>
      <c r="AR56" s="285"/>
      <c r="AS56" s="286"/>
      <c r="AT56" s="219" t="s">
        <v>234</v>
      </c>
      <c r="AU56" s="220" t="s">
        <v>321</v>
      </c>
      <c r="AV56" s="220" t="s">
        <v>305</v>
      </c>
      <c r="AW56" s="133" t="s">
        <v>150</v>
      </c>
      <c r="AX56" s="220" t="s">
        <v>321</v>
      </c>
      <c r="AY56" s="220" t="s">
        <v>305</v>
      </c>
      <c r="AZ56" s="220" t="s">
        <v>305</v>
      </c>
      <c r="BA56" s="133" t="s">
        <v>150</v>
      </c>
      <c r="BB56" s="220" t="s">
        <v>321</v>
      </c>
      <c r="BC56" s="220" t="s">
        <v>321</v>
      </c>
      <c r="BD56" s="220" t="s">
        <v>235</v>
      </c>
      <c r="BE56" s="100"/>
    </row>
    <row r="57" spans="2:57" ht="15.75">
      <c r="B57" s="58"/>
      <c r="C57" s="97"/>
      <c r="E57" s="28"/>
      <c r="F57" s="98"/>
      <c r="G57" s="99"/>
      <c r="H57" s="98"/>
      <c r="J57" s="44"/>
      <c r="K57" s="45"/>
      <c r="L57" s="45"/>
      <c r="M57" s="45"/>
      <c r="N57" s="45"/>
      <c r="O57" s="45"/>
      <c r="P57" s="45"/>
      <c r="Q57" s="45"/>
      <c r="R57" s="45"/>
      <c r="S57" s="45"/>
      <c r="T57" s="45"/>
      <c r="U57" s="47"/>
      <c r="W57" s="100"/>
      <c r="X57" s="134" t="s">
        <v>151</v>
      </c>
      <c r="Y57" s="113"/>
      <c r="Z57" s="113"/>
      <c r="AA57" s="113"/>
      <c r="AB57" s="287" t="str">
        <f>N34</f>
        <v xml:space="preserve">BLK 9 LOT 13 PH D. FRANCISCO HOMES SAN JOSE DEL MONTE BULACAN </v>
      </c>
      <c r="AC57" s="288"/>
      <c r="AD57" s="288"/>
      <c r="AE57" s="288"/>
      <c r="AF57" s="288"/>
      <c r="AG57" s="288"/>
      <c r="AH57" s="288"/>
      <c r="AI57" s="288"/>
      <c r="AJ57" s="288"/>
      <c r="AK57" s="288"/>
      <c r="AL57" s="288"/>
      <c r="AM57" s="288"/>
      <c r="AN57" s="288"/>
      <c r="AO57" s="288"/>
      <c r="AP57" s="288"/>
      <c r="AQ57" s="288"/>
      <c r="AR57" s="288"/>
      <c r="AS57" s="288"/>
      <c r="AT57" s="288"/>
      <c r="AU57" s="288"/>
      <c r="AV57" s="288"/>
      <c r="AW57" s="288"/>
      <c r="AX57" s="288"/>
      <c r="AY57" s="288"/>
      <c r="AZ57" s="288"/>
      <c r="BA57" s="288"/>
      <c r="BB57" s="288"/>
      <c r="BC57" s="288"/>
      <c r="BD57" s="289"/>
      <c r="BE57" s="100"/>
    </row>
    <row r="58" spans="2:57" ht="15.6" customHeight="1">
      <c r="B58" s="58"/>
      <c r="C58" s="97"/>
      <c r="E58" s="28"/>
      <c r="F58" s="98"/>
      <c r="G58" s="99"/>
      <c r="H58" s="98"/>
      <c r="J58" s="50"/>
      <c r="U58" s="78"/>
      <c r="W58" s="100"/>
      <c r="X58" s="280" t="s">
        <v>152</v>
      </c>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c r="BA58" s="281"/>
      <c r="BB58" s="281"/>
      <c r="BC58" s="281"/>
      <c r="BD58" s="282"/>
      <c r="BE58" s="100"/>
    </row>
    <row r="59" spans="2:57" ht="15.75">
      <c r="B59" s="58"/>
      <c r="C59" s="97"/>
      <c r="E59" s="28"/>
      <c r="F59" s="98"/>
      <c r="G59" s="99"/>
      <c r="H59" s="98"/>
      <c r="J59" s="50"/>
      <c r="U59" s="78"/>
      <c r="W59" s="100"/>
      <c r="X59" s="100"/>
      <c r="Y59" s="100"/>
      <c r="Z59" s="100"/>
      <c r="AA59" s="100"/>
      <c r="AB59" s="100"/>
      <c r="AC59" s="100"/>
      <c r="AD59" s="100"/>
      <c r="AE59" s="100"/>
      <c r="AF59" s="100"/>
      <c r="AG59" s="100"/>
      <c r="AH59" s="100"/>
      <c r="AI59" s="100"/>
      <c r="AJ59" s="100"/>
      <c r="AK59" s="100"/>
      <c r="AL59" s="100"/>
      <c r="AM59" s="100"/>
      <c r="AN59" s="100"/>
      <c r="AO59" s="100"/>
      <c r="AP59" s="100"/>
      <c r="AQ59" s="100"/>
      <c r="AR59" s="100"/>
      <c r="AS59" s="100"/>
      <c r="AT59" s="100"/>
      <c r="AU59" s="100"/>
      <c r="AV59" s="100"/>
      <c r="AW59" s="100"/>
      <c r="AX59" s="100"/>
      <c r="AY59" s="100"/>
      <c r="AZ59" s="100"/>
      <c r="BA59" s="100"/>
      <c r="BB59" s="100"/>
      <c r="BC59" s="100"/>
      <c r="BD59" s="100"/>
      <c r="BE59" s="100"/>
    </row>
    <row r="60" spans="2:57" ht="16.5" thickBot="1">
      <c r="B60" s="58"/>
      <c r="C60" s="97"/>
      <c r="E60" s="28"/>
      <c r="F60" s="98"/>
      <c r="G60" s="99"/>
      <c r="H60" s="98"/>
      <c r="J60" s="44"/>
      <c r="K60" s="370" t="s">
        <v>238</v>
      </c>
      <c r="L60" s="370"/>
      <c r="M60" s="370"/>
      <c r="N60" s="63"/>
      <c r="O60" s="63"/>
      <c r="P60" s="63"/>
      <c r="R60" s="359" t="s">
        <v>266</v>
      </c>
      <c r="S60" s="359"/>
      <c r="T60" s="359"/>
      <c r="U60" s="47"/>
      <c r="W60" s="100"/>
      <c r="X60" s="100"/>
      <c r="Y60" s="100" t="s">
        <v>153</v>
      </c>
      <c r="Z60" s="100"/>
      <c r="AA60" s="100"/>
      <c r="AB60" s="100"/>
      <c r="AC60" s="100"/>
      <c r="AD60" s="100"/>
      <c r="AE60" s="100"/>
      <c r="AF60" s="100"/>
      <c r="AG60" s="100"/>
      <c r="AH60" s="100"/>
      <c r="AI60" s="100"/>
      <c r="AJ60" s="100"/>
      <c r="AK60" s="100"/>
      <c r="AL60" s="100"/>
      <c r="AM60" s="100"/>
      <c r="AN60" s="100"/>
      <c r="AO60" s="100"/>
      <c r="AP60" s="100"/>
      <c r="AQ60" s="100"/>
      <c r="AR60" s="100"/>
      <c r="AS60" s="100"/>
      <c r="AT60" s="100"/>
      <c r="AU60" s="100"/>
      <c r="AV60" s="100"/>
      <c r="AW60" s="100"/>
      <c r="AX60" s="100"/>
      <c r="AY60" s="100"/>
      <c r="AZ60" s="100"/>
      <c r="BA60" s="100"/>
      <c r="BB60" s="100"/>
      <c r="BC60" s="100"/>
      <c r="BD60" s="100"/>
      <c r="BE60" s="100"/>
    </row>
    <row r="61" spans="2:57" ht="15.75">
      <c r="B61" s="58"/>
      <c r="C61" s="97"/>
      <c r="E61" s="28"/>
      <c r="F61" s="98"/>
      <c r="G61" s="99"/>
      <c r="H61" s="98"/>
      <c r="J61" s="44"/>
      <c r="K61" s="371" t="s">
        <v>79</v>
      </c>
      <c r="L61" s="371"/>
      <c r="M61" s="371"/>
      <c r="N61" s="45"/>
      <c r="O61" s="49"/>
      <c r="P61" s="45"/>
      <c r="R61" s="371" t="s">
        <v>80</v>
      </c>
      <c r="S61" s="371"/>
      <c r="T61" s="371"/>
      <c r="U61" s="47"/>
      <c r="W61" s="100"/>
      <c r="X61" s="100" t="s">
        <v>154</v>
      </c>
      <c r="Y61" s="100"/>
      <c r="Z61" s="100"/>
      <c r="AA61" s="100"/>
      <c r="AB61" s="100"/>
      <c r="AC61" s="100"/>
      <c r="AD61" s="100"/>
      <c r="AE61" s="100"/>
      <c r="AF61" s="100"/>
      <c r="AG61" s="100"/>
      <c r="AH61" s="100"/>
      <c r="AI61" s="100"/>
      <c r="AJ61" s="100"/>
      <c r="AK61" s="100"/>
      <c r="AL61" s="100"/>
      <c r="AM61" s="100"/>
      <c r="AN61" s="100"/>
      <c r="AO61" s="100"/>
      <c r="AP61" s="100"/>
      <c r="AQ61" s="100"/>
      <c r="AR61" s="100"/>
      <c r="AS61" s="100"/>
      <c r="AT61" s="100"/>
      <c r="AU61" s="100"/>
      <c r="AV61" s="100"/>
      <c r="AW61" s="100"/>
      <c r="AX61" s="100"/>
      <c r="AY61" s="100"/>
      <c r="AZ61" s="100"/>
      <c r="BA61" s="100"/>
      <c r="BB61" s="100"/>
      <c r="BC61" s="100"/>
      <c r="BD61" s="100"/>
      <c r="BE61" s="100"/>
    </row>
    <row r="62" spans="2:57" ht="15.75">
      <c r="B62" s="58"/>
      <c r="C62" s="97"/>
      <c r="E62" s="28"/>
      <c r="F62" s="98"/>
      <c r="G62" s="99"/>
      <c r="H62" s="98"/>
      <c r="J62" s="50"/>
      <c r="U62" s="78"/>
      <c r="W62" s="100"/>
      <c r="X62" s="100" t="s">
        <v>155</v>
      </c>
      <c r="Y62" s="100"/>
      <c r="Z62" s="100"/>
      <c r="AA62" s="100"/>
      <c r="AB62" s="100"/>
      <c r="AC62" s="100"/>
      <c r="AD62" s="100"/>
      <c r="AE62" s="100"/>
      <c r="AF62" s="100"/>
      <c r="AG62" s="100"/>
      <c r="AH62" s="100"/>
      <c r="AI62" s="100"/>
      <c r="AJ62" s="100"/>
      <c r="AK62" s="100"/>
      <c r="AL62" s="100"/>
      <c r="AM62" s="100"/>
      <c r="AN62" s="100"/>
      <c r="AO62" s="100"/>
      <c r="AP62" s="100"/>
      <c r="AQ62" s="100"/>
      <c r="AR62" s="100"/>
      <c r="AS62" s="100"/>
      <c r="AT62" s="100"/>
      <c r="AU62" s="100"/>
      <c r="AV62" s="100"/>
      <c r="AW62" s="100"/>
      <c r="AX62" s="100"/>
      <c r="AY62" s="100"/>
      <c r="AZ62" s="100"/>
      <c r="BA62" s="100"/>
      <c r="BB62" s="100"/>
      <c r="BC62" s="100"/>
      <c r="BD62" s="100"/>
      <c r="BE62" s="100"/>
    </row>
    <row r="63" spans="2:57" ht="15.75">
      <c r="B63" s="58"/>
      <c r="C63" s="97"/>
      <c r="E63" s="28"/>
      <c r="F63" s="98"/>
      <c r="G63" s="99"/>
      <c r="H63" s="98"/>
      <c r="J63" s="50"/>
      <c r="U63" s="78"/>
      <c r="W63" s="100"/>
      <c r="X63" s="100" t="s">
        <v>156</v>
      </c>
      <c r="Y63" s="100"/>
      <c r="Z63" s="100"/>
      <c r="AA63" s="100"/>
      <c r="AB63" s="100"/>
      <c r="AC63" s="100"/>
      <c r="AD63" s="100"/>
      <c r="AE63" s="100"/>
      <c r="AF63" s="100"/>
      <c r="AG63" s="100"/>
      <c r="AH63" s="100"/>
      <c r="AI63" s="100"/>
      <c r="AJ63" s="100"/>
      <c r="AK63" s="100"/>
      <c r="AL63" s="100"/>
      <c r="AM63" s="100"/>
      <c r="AN63" s="100"/>
      <c r="AO63" s="100"/>
      <c r="AP63" s="100"/>
      <c r="AQ63" s="100"/>
      <c r="AR63" s="100"/>
      <c r="AS63" s="100"/>
      <c r="AT63" s="100"/>
      <c r="AU63" s="100"/>
      <c r="AV63" s="100"/>
      <c r="AW63" s="100"/>
      <c r="AX63" s="100"/>
      <c r="AY63" s="100"/>
      <c r="AZ63" s="100"/>
      <c r="BA63" s="100"/>
      <c r="BB63" s="100"/>
      <c r="BC63" s="100"/>
      <c r="BD63" s="100"/>
      <c r="BE63" s="100"/>
    </row>
    <row r="64" spans="2:57" ht="16.5" thickBot="1">
      <c r="B64" s="58"/>
      <c r="C64" s="97"/>
      <c r="E64" s="28"/>
      <c r="F64" s="98"/>
      <c r="G64" s="99"/>
      <c r="H64" s="98"/>
      <c r="J64" s="50"/>
      <c r="U64" s="78"/>
      <c r="W64" s="100"/>
      <c r="X64" s="100"/>
      <c r="Y64" s="100"/>
      <c r="Z64" s="100"/>
      <c r="AA64" s="100"/>
      <c r="AB64" s="100"/>
      <c r="AC64" s="100"/>
      <c r="AD64" s="100"/>
      <c r="AE64" s="100"/>
      <c r="AF64" s="100"/>
      <c r="AG64" s="100"/>
      <c r="AH64" s="100"/>
      <c r="AI64" s="100"/>
      <c r="AJ64" s="100"/>
      <c r="AK64" s="100"/>
      <c r="AL64" s="100"/>
      <c r="AM64" s="100"/>
      <c r="AN64" s="100"/>
      <c r="AO64" s="100"/>
      <c r="AP64" s="100"/>
      <c r="AQ64" s="100"/>
      <c r="AR64" s="100"/>
      <c r="AS64" s="100"/>
      <c r="AT64" s="100"/>
      <c r="AU64" s="244" t="str">
        <f>N32</f>
        <v>RHODA SAMIANA PAGGABAO</v>
      </c>
      <c r="AV64" s="244"/>
      <c r="AW64" s="244"/>
      <c r="AX64" s="244"/>
      <c r="AY64" s="244"/>
      <c r="AZ64" s="244"/>
      <c r="BA64" s="244"/>
      <c r="BB64" s="244"/>
      <c r="BC64" s="244"/>
      <c r="BD64" s="100"/>
      <c r="BE64" s="100"/>
    </row>
    <row r="65" spans="2:57" ht="15.75">
      <c r="B65" s="58"/>
      <c r="C65" s="97"/>
      <c r="E65" s="28"/>
      <c r="F65" s="98"/>
      <c r="G65" s="99"/>
      <c r="H65" s="98"/>
      <c r="J65" s="44"/>
      <c r="K65" s="45"/>
      <c r="L65" s="45"/>
      <c r="M65" s="45"/>
      <c r="N65" s="45"/>
      <c r="O65" s="49"/>
      <c r="P65" s="45"/>
      <c r="Q65" s="45"/>
      <c r="R65" s="45"/>
      <c r="S65" s="45"/>
      <c r="T65" s="45"/>
      <c r="U65" s="47"/>
      <c r="W65" s="100"/>
      <c r="X65" s="100"/>
      <c r="Y65" s="100"/>
      <c r="Z65" s="100"/>
      <c r="AA65" s="100"/>
      <c r="AB65" s="100"/>
      <c r="AC65" s="100"/>
      <c r="AD65" s="100"/>
      <c r="AE65" s="100"/>
      <c r="AF65" s="100"/>
      <c r="AG65" s="100"/>
      <c r="AH65" s="100"/>
      <c r="AI65" s="100"/>
      <c r="AJ65" s="100"/>
      <c r="AK65" s="100"/>
      <c r="AL65" s="100"/>
      <c r="AM65" s="100"/>
      <c r="AN65" s="100"/>
      <c r="AO65" s="100"/>
      <c r="AP65" s="100"/>
      <c r="AQ65" s="100"/>
      <c r="AR65" s="100"/>
      <c r="AS65" s="100"/>
      <c r="AT65" s="100"/>
      <c r="AU65" s="252" t="s">
        <v>157</v>
      </c>
      <c r="AV65" s="346"/>
      <c r="AW65" s="346"/>
      <c r="AX65" s="346"/>
      <c r="AY65" s="346"/>
      <c r="AZ65" s="346"/>
      <c r="BA65" s="346"/>
      <c r="BB65" s="346"/>
      <c r="BC65" s="346"/>
      <c r="BD65" s="100"/>
      <c r="BE65" s="100"/>
    </row>
    <row r="66" spans="2:57" ht="15.75">
      <c r="B66" s="58"/>
      <c r="C66" s="97"/>
      <c r="E66" s="28"/>
      <c r="F66" s="98"/>
      <c r="G66" s="99"/>
      <c r="H66" s="98"/>
      <c r="J66" s="44"/>
      <c r="K66" s="45" t="s">
        <v>81</v>
      </c>
      <c r="L66" s="45"/>
      <c r="M66" s="45"/>
      <c r="N66" s="45"/>
      <c r="O66" s="49"/>
      <c r="P66" s="45"/>
      <c r="Q66" s="45"/>
      <c r="R66" s="45" t="s">
        <v>82</v>
      </c>
      <c r="S66" s="45"/>
      <c r="T66" s="45"/>
      <c r="U66" s="47"/>
      <c r="W66" s="100"/>
      <c r="X66" s="280" t="s">
        <v>158</v>
      </c>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c r="BA66" s="281"/>
      <c r="BB66" s="281"/>
      <c r="BC66" s="281"/>
      <c r="BD66" s="282"/>
      <c r="BE66" s="100"/>
    </row>
    <row r="67" spans="2:57" ht="15.75">
      <c r="B67" s="58"/>
      <c r="C67" s="97"/>
      <c r="E67" s="28"/>
      <c r="F67" s="98"/>
      <c r="G67" s="99"/>
      <c r="H67" s="98"/>
      <c r="J67" s="44"/>
      <c r="K67" s="45"/>
      <c r="L67" s="45"/>
      <c r="M67" s="45"/>
      <c r="N67" s="45"/>
      <c r="O67" s="49"/>
      <c r="P67" s="45"/>
      <c r="Q67" s="45"/>
      <c r="R67" s="45"/>
      <c r="S67" s="45"/>
      <c r="T67" s="45"/>
      <c r="U67" s="47"/>
      <c r="W67" s="100"/>
      <c r="X67" s="100"/>
      <c r="Y67" s="100"/>
      <c r="Z67" s="100"/>
      <c r="AA67" s="100"/>
      <c r="AB67" s="100"/>
      <c r="AC67" s="100"/>
      <c r="AD67" s="100"/>
      <c r="AE67" s="100"/>
      <c r="AF67" s="100"/>
      <c r="AG67" s="100"/>
      <c r="AH67" s="100"/>
      <c r="AI67" s="100"/>
      <c r="AJ67" s="100"/>
      <c r="AK67" s="100"/>
      <c r="AL67" s="100"/>
      <c r="AM67" s="100"/>
      <c r="AN67" s="100"/>
      <c r="AO67" s="100"/>
      <c r="AP67" s="100"/>
      <c r="AQ67" s="100"/>
      <c r="AR67" s="100"/>
      <c r="AS67" s="100"/>
      <c r="AT67" s="100"/>
      <c r="AU67" s="100"/>
      <c r="AV67" s="100"/>
      <c r="AW67" s="100"/>
      <c r="AX67" s="100"/>
      <c r="AY67" s="100"/>
      <c r="AZ67" s="100"/>
      <c r="BA67" s="100"/>
      <c r="BB67" s="100"/>
      <c r="BC67" s="100"/>
      <c r="BD67" s="100"/>
      <c r="BE67" s="100"/>
    </row>
    <row r="68" spans="2:57" ht="15.75">
      <c r="B68" s="58"/>
      <c r="C68" s="97"/>
      <c r="E68" s="28"/>
      <c r="F68" s="98"/>
      <c r="G68" s="99"/>
      <c r="H68" s="98"/>
      <c r="J68" s="50"/>
      <c r="U68" s="78"/>
      <c r="W68" s="100"/>
      <c r="X68" s="100"/>
      <c r="Y68" s="100" t="s">
        <v>159</v>
      </c>
      <c r="Z68" s="100"/>
      <c r="AA68" s="100"/>
      <c r="AB68" s="100"/>
      <c r="AC68" s="100"/>
      <c r="AD68" s="100"/>
      <c r="AE68" s="100"/>
      <c r="AF68" s="100"/>
      <c r="AG68" s="100"/>
      <c r="AH68" s="100"/>
      <c r="AI68" s="100"/>
      <c r="AJ68" s="100"/>
      <c r="AK68" s="100"/>
      <c r="AL68" s="100"/>
      <c r="AM68" s="100"/>
      <c r="AN68" s="100"/>
      <c r="AO68" s="100"/>
      <c r="AP68" s="100"/>
      <c r="AQ68" s="100"/>
      <c r="AR68" s="100"/>
      <c r="AS68" s="100"/>
      <c r="AT68" s="100"/>
      <c r="AU68" s="100"/>
      <c r="AV68" s="100"/>
      <c r="AW68" s="100"/>
      <c r="AX68" s="100"/>
      <c r="AY68" s="100"/>
      <c r="AZ68" s="100"/>
      <c r="BA68" s="100"/>
      <c r="BB68" s="100"/>
      <c r="BC68" s="100"/>
      <c r="BD68" s="100"/>
      <c r="BE68" s="100"/>
    </row>
    <row r="69" spans="2:57" ht="16.5" thickBot="1">
      <c r="B69" s="58"/>
      <c r="C69" s="97"/>
      <c r="E69" s="28"/>
      <c r="F69" s="98"/>
      <c r="G69" s="99"/>
      <c r="H69" s="98"/>
      <c r="J69" s="50"/>
      <c r="P69" s="359" t="s">
        <v>265</v>
      </c>
      <c r="Q69" s="359"/>
      <c r="R69" s="359"/>
      <c r="S69" s="359"/>
      <c r="T69" s="359"/>
      <c r="U69" s="187"/>
      <c r="W69" s="100"/>
      <c r="X69" s="100" t="s">
        <v>160</v>
      </c>
      <c r="Y69" s="100"/>
      <c r="Z69" s="100"/>
      <c r="AA69" s="100"/>
      <c r="AB69" s="100"/>
      <c r="AC69" s="100"/>
      <c r="AD69" s="100"/>
      <c r="AE69" s="100"/>
      <c r="AF69" s="100"/>
      <c r="AG69" s="100"/>
      <c r="AH69" s="100"/>
      <c r="AI69" s="100"/>
      <c r="AJ69" s="100"/>
      <c r="AK69" s="100"/>
      <c r="AL69" s="100"/>
      <c r="AM69" s="100"/>
      <c r="AN69" s="100"/>
      <c r="AO69" s="100"/>
      <c r="AP69" s="100"/>
      <c r="AQ69" s="100"/>
      <c r="AR69" s="100"/>
      <c r="AS69" s="100"/>
      <c r="AT69" s="100"/>
      <c r="AU69" s="100"/>
      <c r="AV69" s="100"/>
      <c r="AW69" s="100"/>
      <c r="AX69" s="100"/>
      <c r="AY69" s="100"/>
      <c r="AZ69" s="100"/>
      <c r="BA69" s="100"/>
      <c r="BB69" s="100"/>
      <c r="BC69" s="100"/>
      <c r="BD69" s="100"/>
      <c r="BE69" s="100"/>
    </row>
    <row r="70" spans="2:57" ht="15.75">
      <c r="B70" s="58"/>
      <c r="C70" s="97"/>
      <c r="E70" s="28"/>
      <c r="F70" s="98"/>
      <c r="G70" s="99"/>
      <c r="H70" s="98"/>
      <c r="J70" s="44"/>
      <c r="K70" s="84" t="s">
        <v>83</v>
      </c>
      <c r="L70" s="84"/>
      <c r="M70" s="84"/>
      <c r="N70" s="45"/>
      <c r="O70" s="49"/>
      <c r="P70" s="45"/>
      <c r="Q70" s="45"/>
      <c r="R70" s="63" t="s">
        <v>84</v>
      </c>
      <c r="S70" s="63"/>
      <c r="T70" s="45"/>
      <c r="U70" s="47"/>
      <c r="W70" s="100"/>
      <c r="X70" s="100"/>
      <c r="Y70" s="100"/>
      <c r="Z70" s="100"/>
      <c r="AA70" s="100"/>
      <c r="AB70" s="100"/>
      <c r="AC70" s="100"/>
      <c r="AD70" s="100"/>
      <c r="AE70" s="100"/>
      <c r="AF70" s="100"/>
      <c r="AG70" s="100"/>
      <c r="AH70" s="100"/>
      <c r="AI70" s="100"/>
      <c r="AJ70" s="100"/>
      <c r="AK70" s="100"/>
      <c r="AL70" s="100"/>
      <c r="AM70" s="100"/>
      <c r="AN70" s="100"/>
      <c r="AO70" s="100"/>
      <c r="AP70" s="100"/>
      <c r="AQ70" s="100"/>
      <c r="AR70" s="100"/>
      <c r="AS70" s="100"/>
      <c r="AT70" s="100"/>
      <c r="AU70" s="100"/>
      <c r="AV70" s="100"/>
      <c r="AW70" s="100"/>
      <c r="AX70" s="100"/>
      <c r="AY70" s="100"/>
      <c r="AZ70" s="100"/>
      <c r="BA70" s="100"/>
      <c r="BB70" s="100"/>
      <c r="BC70" s="100"/>
      <c r="BD70" s="100"/>
      <c r="BE70" s="100"/>
    </row>
    <row r="71" spans="2:57" ht="16.5" thickBot="1">
      <c r="B71" s="58"/>
      <c r="C71" s="97"/>
      <c r="E71" s="28"/>
      <c r="F71" s="98"/>
      <c r="G71" s="99"/>
      <c r="H71" s="98"/>
      <c r="J71" s="85"/>
      <c r="K71" s="86"/>
      <c r="L71" s="86"/>
      <c r="M71" s="86"/>
      <c r="N71" s="86"/>
      <c r="O71" s="87"/>
      <c r="P71" s="86"/>
      <c r="Q71" s="86"/>
      <c r="R71" s="86"/>
      <c r="S71" s="86"/>
      <c r="T71" s="86"/>
      <c r="U71" s="88"/>
      <c r="W71" s="100"/>
      <c r="X71" s="244" t="s">
        <v>242</v>
      </c>
      <c r="Y71" s="244"/>
      <c r="Z71" s="244"/>
      <c r="AA71" s="244"/>
      <c r="AB71" s="244"/>
      <c r="AC71" s="244"/>
      <c r="AD71" s="244"/>
      <c r="AE71" s="244"/>
      <c r="AF71" s="100"/>
      <c r="AG71" s="244" t="s">
        <v>243</v>
      </c>
      <c r="AH71" s="244"/>
      <c r="AI71" s="244"/>
      <c r="AJ71" s="244"/>
      <c r="AK71" s="244"/>
      <c r="AL71" s="244"/>
      <c r="AM71" s="244"/>
      <c r="AN71" s="100"/>
      <c r="AO71" s="100"/>
      <c r="AP71" s="244" t="s">
        <v>244</v>
      </c>
      <c r="AQ71" s="244"/>
      <c r="AR71" s="244"/>
      <c r="AS71" s="244"/>
      <c r="AT71" s="244"/>
      <c r="AU71" s="244"/>
      <c r="AV71" s="244"/>
      <c r="AW71" s="100"/>
      <c r="AX71" s="398" t="s">
        <v>239</v>
      </c>
      <c r="AY71" s="398"/>
      <c r="AZ71" s="398"/>
      <c r="BA71" s="398"/>
      <c r="BB71" s="398"/>
      <c r="BC71" s="398"/>
      <c r="BD71" s="398"/>
      <c r="BE71" s="100"/>
    </row>
    <row r="72" spans="2:57" ht="15.75">
      <c r="B72" s="58"/>
      <c r="C72" s="97"/>
      <c r="E72" s="28"/>
      <c r="F72" s="98"/>
      <c r="G72" s="99"/>
      <c r="H72" s="98"/>
      <c r="W72" s="100"/>
      <c r="X72" s="252" t="s">
        <v>161</v>
      </c>
      <c r="Y72" s="252"/>
      <c r="Z72" s="252"/>
      <c r="AA72" s="252"/>
      <c r="AB72" s="252"/>
      <c r="AC72" s="252"/>
      <c r="AD72" s="252"/>
      <c r="AE72" s="252"/>
      <c r="AF72" s="100"/>
      <c r="AG72" s="252" t="s">
        <v>162</v>
      </c>
      <c r="AH72" s="252"/>
      <c r="AI72" s="252"/>
      <c r="AJ72" s="252"/>
      <c r="AK72" s="252"/>
      <c r="AL72" s="252"/>
      <c r="AM72" s="252"/>
      <c r="AN72" s="100"/>
      <c r="AO72" s="100"/>
      <c r="AP72" s="252" t="s">
        <v>163</v>
      </c>
      <c r="AQ72" s="252"/>
      <c r="AR72" s="252"/>
      <c r="AS72" s="252"/>
      <c r="AT72" s="252"/>
      <c r="AU72" s="252"/>
      <c r="AV72" s="252"/>
      <c r="AW72" s="100"/>
      <c r="AX72" s="252" t="s">
        <v>164</v>
      </c>
      <c r="AY72" s="252"/>
      <c r="AZ72" s="252"/>
      <c r="BA72" s="252"/>
      <c r="BB72" s="252"/>
      <c r="BC72" s="252"/>
      <c r="BD72" s="252"/>
      <c r="BE72" s="100"/>
    </row>
    <row r="73" spans="2:57" ht="15.75">
      <c r="B73" s="58"/>
      <c r="C73" s="97"/>
      <c r="E73" s="28"/>
      <c r="F73" s="98"/>
      <c r="G73" s="99"/>
      <c r="H73" s="98"/>
      <c r="W73" s="100"/>
      <c r="X73" s="252" t="s">
        <v>165</v>
      </c>
      <c r="Y73" s="252"/>
      <c r="Z73" s="252"/>
      <c r="AA73" s="252"/>
      <c r="AB73" s="252"/>
      <c r="AC73" s="252"/>
      <c r="AD73" s="252"/>
      <c r="AE73" s="252"/>
      <c r="AF73" s="100"/>
      <c r="AG73" s="100"/>
      <c r="AH73" s="100"/>
      <c r="AI73" s="100"/>
      <c r="AJ73" s="100"/>
      <c r="AK73" s="100"/>
      <c r="AL73" s="100"/>
      <c r="AM73" s="100"/>
      <c r="AN73" s="100"/>
      <c r="AO73" s="100"/>
      <c r="AP73" s="100"/>
      <c r="AQ73" s="100"/>
      <c r="AR73" s="100"/>
      <c r="AS73" s="100"/>
      <c r="AT73" s="100"/>
      <c r="AU73" s="100"/>
      <c r="AV73" s="100"/>
      <c r="AW73" s="100"/>
      <c r="AX73" s="100"/>
      <c r="AY73" s="100"/>
      <c r="AZ73" s="100"/>
      <c r="BA73" s="100"/>
      <c r="BB73" s="100"/>
      <c r="BC73" s="100"/>
      <c r="BD73" s="100"/>
      <c r="BE73" s="100"/>
    </row>
    <row r="74" spans="2:57" ht="15.75">
      <c r="B74" s="58"/>
      <c r="C74" s="97"/>
      <c r="E74" s="28"/>
      <c r="F74" s="98"/>
      <c r="G74" s="99"/>
      <c r="H74" s="98"/>
      <c r="W74" s="100"/>
      <c r="X74" s="280" t="s">
        <v>166</v>
      </c>
      <c r="Y74" s="410"/>
      <c r="Z74" s="410"/>
      <c r="AA74" s="410"/>
      <c r="AB74" s="410"/>
      <c r="AC74" s="410"/>
      <c r="AD74" s="410"/>
      <c r="AE74" s="410"/>
      <c r="AF74" s="410"/>
      <c r="AG74" s="410"/>
      <c r="AH74" s="410"/>
      <c r="AI74" s="410"/>
      <c r="AJ74" s="410"/>
      <c r="AK74" s="410"/>
      <c r="AL74" s="410"/>
      <c r="AM74" s="410"/>
      <c r="AN74" s="410"/>
      <c r="AO74" s="410"/>
      <c r="AP74" s="410"/>
      <c r="AQ74" s="410"/>
      <c r="AR74" s="410"/>
      <c r="AS74" s="410"/>
      <c r="AT74" s="410"/>
      <c r="AU74" s="410"/>
      <c r="AV74" s="410"/>
      <c r="AW74" s="410"/>
      <c r="AX74" s="410"/>
      <c r="AY74" s="410"/>
      <c r="AZ74" s="410"/>
      <c r="BA74" s="410"/>
      <c r="BB74" s="410"/>
      <c r="BC74" s="410"/>
      <c r="BD74" s="411"/>
      <c r="BE74" s="100"/>
    </row>
    <row r="75" spans="2:57" ht="15.75">
      <c r="B75" s="58"/>
      <c r="C75" s="97"/>
      <c r="E75" s="28"/>
      <c r="F75" s="98"/>
      <c r="G75" s="99"/>
      <c r="H75" s="98"/>
      <c r="W75" s="100"/>
      <c r="X75" s="328" t="s">
        <v>167</v>
      </c>
      <c r="Y75" s="328"/>
      <c r="Z75" s="328"/>
      <c r="AA75" s="328" t="s">
        <v>168</v>
      </c>
      <c r="AB75" s="328"/>
      <c r="AC75" s="328"/>
      <c r="AD75" s="328"/>
      <c r="AE75" s="328" t="s">
        <v>169</v>
      </c>
      <c r="AF75" s="328"/>
      <c r="AG75" s="328"/>
      <c r="AH75" s="328"/>
      <c r="AI75" s="328"/>
      <c r="AJ75" s="328" t="s">
        <v>170</v>
      </c>
      <c r="AK75" s="328"/>
      <c r="AL75" s="328"/>
      <c r="AM75" s="328" t="s">
        <v>46</v>
      </c>
      <c r="AN75" s="328"/>
      <c r="AO75" s="328"/>
      <c r="AP75" s="328"/>
      <c r="AQ75" s="328"/>
      <c r="AR75" s="328" t="s">
        <v>171</v>
      </c>
      <c r="AS75" s="328"/>
      <c r="AT75" s="328"/>
      <c r="AU75" s="328" t="s">
        <v>172</v>
      </c>
      <c r="AV75" s="328"/>
      <c r="AW75" s="328"/>
      <c r="AX75" s="328"/>
      <c r="AY75" s="328"/>
      <c r="AZ75" s="328" t="s">
        <v>173</v>
      </c>
      <c r="BA75" s="328"/>
      <c r="BB75" s="328"/>
      <c r="BC75" s="328"/>
      <c r="BD75" s="328"/>
      <c r="BE75" s="100"/>
    </row>
    <row r="76" spans="2:57" ht="15.75">
      <c r="B76" s="58"/>
      <c r="C76" s="97"/>
      <c r="E76" s="28"/>
      <c r="F76" s="98"/>
      <c r="G76" s="99"/>
      <c r="H76" s="98"/>
      <c r="W76" s="100"/>
      <c r="X76" s="402"/>
      <c r="Y76" s="402"/>
      <c r="Z76" s="402"/>
      <c r="AA76" s="403"/>
      <c r="AB76" s="402"/>
      <c r="AC76" s="402"/>
      <c r="AD76" s="402"/>
      <c r="AE76" s="404"/>
      <c r="AF76" s="404"/>
      <c r="AG76" s="404"/>
      <c r="AH76" s="404"/>
      <c r="AI76" s="404"/>
      <c r="AJ76" s="405"/>
      <c r="AK76" s="402"/>
      <c r="AL76" s="402"/>
      <c r="AM76" s="406"/>
      <c r="AN76" s="407"/>
      <c r="AO76" s="407"/>
      <c r="AP76" s="407"/>
      <c r="AQ76" s="408"/>
      <c r="AR76" s="409"/>
      <c r="AS76" s="409"/>
      <c r="AT76" s="409"/>
      <c r="AU76" s="402"/>
      <c r="AV76" s="402"/>
      <c r="AW76" s="402"/>
      <c r="AX76" s="402"/>
      <c r="AY76" s="402"/>
      <c r="AZ76" s="404"/>
      <c r="BA76" s="404"/>
      <c r="BB76" s="404"/>
      <c r="BC76" s="404"/>
      <c r="BD76" s="404"/>
      <c r="BE76" s="100"/>
    </row>
    <row r="77" spans="2:57" ht="15.75">
      <c r="B77" s="58"/>
      <c r="C77" s="97"/>
      <c r="E77" s="28"/>
      <c r="F77" s="98"/>
      <c r="G77" s="99"/>
      <c r="H77" s="98"/>
      <c r="W77" s="100"/>
      <c r="X77" s="320"/>
      <c r="Y77" s="320"/>
      <c r="Z77" s="320"/>
      <c r="AA77" s="320"/>
      <c r="AB77" s="320"/>
      <c r="AC77" s="320"/>
      <c r="AD77" s="320"/>
      <c r="AE77" s="320"/>
      <c r="AF77" s="320"/>
      <c r="AG77" s="320"/>
      <c r="AH77" s="320"/>
      <c r="AI77" s="320"/>
      <c r="AJ77" s="320"/>
      <c r="AK77" s="320"/>
      <c r="AL77" s="320"/>
      <c r="AM77" s="320"/>
      <c r="AN77" s="320"/>
      <c r="AO77" s="320"/>
      <c r="AP77" s="320"/>
      <c r="AQ77" s="320"/>
      <c r="AR77" s="320"/>
      <c r="AS77" s="320"/>
      <c r="AT77" s="320"/>
      <c r="AU77" s="320"/>
      <c r="AV77" s="320"/>
      <c r="AW77" s="320"/>
      <c r="AX77" s="320"/>
      <c r="AY77" s="320"/>
      <c r="AZ77" s="320"/>
      <c r="BA77" s="320"/>
      <c r="BB77" s="320"/>
      <c r="BC77" s="320"/>
      <c r="BD77" s="320"/>
      <c r="BE77" s="100"/>
    </row>
    <row r="78" spans="2:57" ht="15.75">
      <c r="B78" s="58"/>
      <c r="C78" s="97"/>
      <c r="E78" s="28"/>
      <c r="F78" s="98"/>
      <c r="G78" s="99"/>
      <c r="H78" s="98"/>
      <c r="W78" s="100"/>
      <c r="X78" s="320"/>
      <c r="Y78" s="320"/>
      <c r="Z78" s="320"/>
      <c r="AA78" s="320"/>
      <c r="AB78" s="320"/>
      <c r="AC78" s="320"/>
      <c r="AD78" s="320"/>
      <c r="AE78" s="320"/>
      <c r="AF78" s="320"/>
      <c r="AG78" s="320"/>
      <c r="AH78" s="320"/>
      <c r="AI78" s="320"/>
      <c r="AJ78" s="320"/>
      <c r="AK78" s="320"/>
      <c r="AL78" s="320"/>
      <c r="AM78" s="320"/>
      <c r="AN78" s="320"/>
      <c r="AO78" s="320"/>
      <c r="AP78" s="320"/>
      <c r="AQ78" s="320"/>
      <c r="AR78" s="320"/>
      <c r="AS78" s="320"/>
      <c r="AT78" s="320"/>
      <c r="AU78" s="320"/>
      <c r="AV78" s="320"/>
      <c r="AW78" s="320"/>
      <c r="AX78" s="320"/>
      <c r="AY78" s="320"/>
      <c r="AZ78" s="320"/>
      <c r="BA78" s="320"/>
      <c r="BB78" s="320"/>
      <c r="BC78" s="320"/>
      <c r="BD78" s="320"/>
      <c r="BE78" s="100"/>
    </row>
    <row r="79" spans="2:57" ht="15.75">
      <c r="B79" s="58"/>
      <c r="C79" s="97"/>
      <c r="E79" s="28"/>
      <c r="F79" s="98"/>
      <c r="G79" s="99"/>
      <c r="H79" s="98"/>
      <c r="W79" s="100"/>
      <c r="X79" s="320"/>
      <c r="Y79" s="320"/>
      <c r="Z79" s="320"/>
      <c r="AA79" s="320"/>
      <c r="AB79" s="320"/>
      <c r="AC79" s="320"/>
      <c r="AD79" s="320"/>
      <c r="AE79" s="320"/>
      <c r="AF79" s="320"/>
      <c r="AG79" s="320"/>
      <c r="AH79" s="320"/>
      <c r="AI79" s="320"/>
      <c r="AJ79" s="320"/>
      <c r="AK79" s="320"/>
      <c r="AL79" s="320"/>
      <c r="AM79" s="320"/>
      <c r="AN79" s="320"/>
      <c r="AO79" s="320"/>
      <c r="AP79" s="320"/>
      <c r="AQ79" s="320"/>
      <c r="AR79" s="320"/>
      <c r="AS79" s="320"/>
      <c r="AT79" s="320"/>
      <c r="AU79" s="320"/>
      <c r="AV79" s="320"/>
      <c r="AW79" s="320"/>
      <c r="AX79" s="320"/>
      <c r="AY79" s="320"/>
      <c r="AZ79" s="320"/>
      <c r="BA79" s="320"/>
      <c r="BB79" s="320"/>
      <c r="BC79" s="320"/>
      <c r="BD79" s="320"/>
      <c r="BE79" s="100"/>
    </row>
    <row r="80" spans="2:57" ht="15.75">
      <c r="B80" s="58"/>
      <c r="C80" s="97"/>
      <c r="E80" s="28"/>
      <c r="F80" s="98"/>
      <c r="G80" s="99"/>
      <c r="H80" s="98"/>
      <c r="W80" s="100"/>
      <c r="X80" s="100"/>
      <c r="Y80" s="100"/>
      <c r="Z80" s="100"/>
      <c r="AA80" s="100"/>
      <c r="AB80" s="100"/>
      <c r="AC80" s="100"/>
      <c r="AD80" s="100"/>
      <c r="AE80" s="100"/>
      <c r="AF80" s="100"/>
      <c r="AG80" s="100"/>
      <c r="AH80" s="100"/>
      <c r="AI80" s="100"/>
      <c r="AJ80" s="100"/>
      <c r="AK80" s="100"/>
      <c r="AL80" s="100"/>
      <c r="AM80" s="100"/>
      <c r="AN80" s="100"/>
      <c r="AO80" s="100"/>
      <c r="AP80" s="100"/>
      <c r="AQ80" s="100"/>
      <c r="AR80" s="100"/>
      <c r="AS80" s="100"/>
      <c r="AT80" s="100"/>
      <c r="AU80" s="100"/>
      <c r="AV80" s="100"/>
      <c r="AW80" s="100"/>
      <c r="AX80" s="100"/>
      <c r="AY80" s="100"/>
      <c r="AZ80" s="100"/>
      <c r="BA80" s="100"/>
      <c r="BB80" s="100"/>
      <c r="BC80" s="100"/>
      <c r="BD80" s="100"/>
      <c r="BE80" s="100"/>
    </row>
    <row r="81" spans="2:57" ht="15.75">
      <c r="B81" s="58"/>
      <c r="C81" s="97"/>
      <c r="E81" s="28"/>
      <c r="F81" s="98"/>
      <c r="G81" s="99"/>
      <c r="H81" s="98"/>
      <c r="W81" s="100"/>
      <c r="X81" s="280" t="s">
        <v>174</v>
      </c>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c r="BA81" s="281"/>
      <c r="BB81" s="281"/>
      <c r="BC81" s="281"/>
      <c r="BD81" s="282"/>
      <c r="BE81" s="100"/>
    </row>
    <row r="82" spans="2:57" ht="15.75">
      <c r="B82" s="58"/>
      <c r="C82" s="97"/>
      <c r="E82" s="28"/>
      <c r="F82" s="98"/>
      <c r="G82" s="99"/>
      <c r="H82" s="98"/>
      <c r="W82" s="100"/>
      <c r="X82" s="325" t="s">
        <v>175</v>
      </c>
      <c r="Y82" s="326"/>
      <c r="Z82" s="326"/>
      <c r="AA82" s="326"/>
      <c r="AB82" s="327"/>
      <c r="AC82" s="325" t="s">
        <v>176</v>
      </c>
      <c r="AD82" s="326"/>
      <c r="AE82" s="326"/>
      <c r="AF82" s="327"/>
      <c r="AG82" s="325" t="s">
        <v>48</v>
      </c>
      <c r="AH82" s="326"/>
      <c r="AI82" s="326"/>
      <c r="AJ82" s="327"/>
      <c r="AK82" s="325" t="s">
        <v>177</v>
      </c>
      <c r="AL82" s="326"/>
      <c r="AM82" s="326"/>
      <c r="AN82" s="326"/>
      <c r="AO82" s="326"/>
      <c r="AP82" s="326"/>
      <c r="AQ82" s="327"/>
      <c r="AR82" s="325" t="s">
        <v>178</v>
      </c>
      <c r="AS82" s="326"/>
      <c r="AT82" s="326"/>
      <c r="AU82" s="326"/>
      <c r="AV82" s="327"/>
      <c r="AW82" s="325" t="s">
        <v>179</v>
      </c>
      <c r="AX82" s="326"/>
      <c r="AY82" s="326"/>
      <c r="AZ82" s="326"/>
      <c r="BA82" s="326"/>
      <c r="BB82" s="326"/>
      <c r="BC82" s="326"/>
      <c r="BD82" s="327"/>
      <c r="BE82" s="100"/>
    </row>
    <row r="83" spans="2:57" ht="15.75">
      <c r="B83" s="58"/>
      <c r="C83" s="97"/>
      <c r="E83" s="28"/>
      <c r="F83" s="98"/>
      <c r="G83" s="99"/>
      <c r="H83" s="98"/>
      <c r="W83" s="100"/>
      <c r="X83" s="245">
        <f>C4</f>
        <v>31987.5</v>
      </c>
      <c r="Y83" s="246"/>
      <c r="Z83" s="246"/>
      <c r="AA83" s="246"/>
      <c r="AB83" s="247"/>
      <c r="AC83" s="245">
        <f>C1</f>
        <v>2797.3541131778288</v>
      </c>
      <c r="AD83" s="246"/>
      <c r="AE83" s="246"/>
      <c r="AF83" s="247"/>
      <c r="AG83" s="248" t="str">
        <f>AN33</f>
        <v>12 Months</v>
      </c>
      <c r="AH83" s="249"/>
      <c r="AI83" s="249"/>
      <c r="AJ83" s="250"/>
      <c r="AK83" s="245">
        <v>5000</v>
      </c>
      <c r="AL83" s="246"/>
      <c r="AM83" s="246"/>
      <c r="AN83" s="246"/>
      <c r="AO83" s="246"/>
      <c r="AP83" s="246"/>
      <c r="AQ83" s="247"/>
      <c r="AR83" s="251"/>
      <c r="AS83" s="249"/>
      <c r="AT83" s="249"/>
      <c r="AU83" s="249"/>
      <c r="AV83" s="250"/>
      <c r="AW83" s="245">
        <f>C3</f>
        <v>33568.249358133944</v>
      </c>
      <c r="AX83" s="246"/>
      <c r="AY83" s="246"/>
      <c r="AZ83" s="246"/>
      <c r="BA83" s="246"/>
      <c r="BB83" s="246"/>
      <c r="BC83" s="246"/>
      <c r="BD83" s="247"/>
      <c r="BE83" s="100"/>
    </row>
    <row r="84" spans="2:57" ht="15.75">
      <c r="B84" s="58"/>
      <c r="C84" s="97"/>
      <c r="E84" s="28"/>
      <c r="F84" s="98"/>
      <c r="G84" s="99"/>
      <c r="H84" s="98"/>
      <c r="W84" s="100"/>
      <c r="X84" s="241" t="s">
        <v>180</v>
      </c>
      <c r="Y84" s="241"/>
      <c r="Z84" s="241"/>
      <c r="AA84" s="241"/>
      <c r="AB84" s="241"/>
      <c r="AC84" s="241"/>
      <c r="AD84" s="241"/>
      <c r="AE84" s="241"/>
      <c r="AF84" s="241"/>
      <c r="AG84" s="241"/>
      <c r="AH84" s="241"/>
      <c r="AI84" s="241"/>
      <c r="AJ84" s="241"/>
      <c r="AK84" s="241"/>
      <c r="AL84" s="241"/>
      <c r="AM84" s="241"/>
      <c r="AN84" s="241"/>
      <c r="AO84" s="241"/>
      <c r="AP84" s="241"/>
      <c r="AQ84" s="241"/>
      <c r="AR84" s="241"/>
      <c r="AS84" s="241"/>
      <c r="AT84" s="241"/>
      <c r="AU84" s="241"/>
      <c r="AV84" s="241"/>
      <c r="AW84" s="241"/>
      <c r="AX84" s="241"/>
      <c r="AY84" s="241"/>
      <c r="AZ84" s="241"/>
      <c r="BA84" s="241"/>
      <c r="BB84" s="241"/>
      <c r="BC84" s="241"/>
      <c r="BD84" s="241"/>
      <c r="BE84" s="100"/>
    </row>
    <row r="85" spans="2:57" ht="15.75">
      <c r="B85" s="58"/>
      <c r="C85" s="97"/>
      <c r="E85" s="28"/>
      <c r="F85" s="98"/>
      <c r="G85" s="99"/>
      <c r="H85" s="98"/>
      <c r="W85" s="100"/>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02"/>
      <c r="BE85" s="100"/>
    </row>
    <row r="86" spans="2:57" ht="16.5" thickBot="1">
      <c r="B86" s="58"/>
      <c r="C86" s="97"/>
      <c r="E86" s="28"/>
      <c r="F86" s="98"/>
      <c r="G86" s="99"/>
      <c r="H86" s="98"/>
      <c r="W86" s="100"/>
      <c r="X86" s="102"/>
      <c r="Y86" s="102"/>
      <c r="Z86" s="102"/>
      <c r="AA86" s="102"/>
      <c r="AB86" s="102"/>
      <c r="AC86" s="102"/>
      <c r="AD86" s="102"/>
      <c r="AE86" s="102"/>
      <c r="AF86" s="102"/>
      <c r="AG86" s="102"/>
      <c r="AH86" s="102"/>
      <c r="AI86" s="102"/>
      <c r="AJ86" s="321" t="s">
        <v>238</v>
      </c>
      <c r="AK86" s="321"/>
      <c r="AL86" s="321"/>
      <c r="AM86" s="321"/>
      <c r="AN86" s="321"/>
      <c r="AO86" s="321"/>
      <c r="AP86" s="321"/>
      <c r="AQ86" s="321"/>
      <c r="AR86" s="321"/>
      <c r="AS86" s="321"/>
      <c r="AT86" s="102"/>
      <c r="AU86" s="102"/>
      <c r="AV86" s="102"/>
      <c r="AW86" s="102"/>
      <c r="AX86" s="102"/>
      <c r="AY86" s="102"/>
      <c r="AZ86" s="102"/>
      <c r="BA86" s="102"/>
      <c r="BB86" s="102"/>
      <c r="BC86" s="102"/>
      <c r="BD86" s="102"/>
      <c r="BE86" s="100"/>
    </row>
    <row r="87" spans="2:57" ht="15.75">
      <c r="B87" s="58"/>
      <c r="C87" s="97"/>
      <c r="E87" s="28"/>
      <c r="F87" s="98"/>
      <c r="G87" s="99"/>
      <c r="H87" s="98"/>
      <c r="W87" s="252" t="s">
        <v>182</v>
      </c>
      <c r="X87" s="252"/>
      <c r="Y87" s="252"/>
      <c r="Z87" s="252"/>
      <c r="AA87" s="252"/>
      <c r="AB87" s="252"/>
      <c r="AC87" s="252"/>
      <c r="AD87" s="252"/>
      <c r="AE87" s="252"/>
      <c r="AF87" s="252"/>
      <c r="AG87" s="252"/>
      <c r="AH87" s="252"/>
      <c r="AI87" s="252"/>
      <c r="AJ87" s="252"/>
      <c r="AK87" s="252"/>
      <c r="AL87" s="252"/>
      <c r="AM87" s="252"/>
      <c r="AN87" s="252"/>
      <c r="AO87" s="252"/>
      <c r="AP87" s="252"/>
      <c r="AQ87" s="252"/>
      <c r="AR87" s="252"/>
      <c r="AS87" s="252"/>
      <c r="AT87" s="252"/>
      <c r="AU87" s="252"/>
      <c r="AV87" s="252"/>
      <c r="AW87" s="252"/>
      <c r="AX87" s="252"/>
      <c r="AY87" s="252"/>
      <c r="AZ87" s="252"/>
      <c r="BA87" s="252"/>
      <c r="BB87" s="252"/>
      <c r="BC87" s="252"/>
      <c r="BD87" s="252"/>
      <c r="BE87" s="252"/>
    </row>
    <row r="88" spans="2:57" ht="15.75">
      <c r="C88" s="90"/>
      <c r="D88" s="91"/>
      <c r="H88" s="92"/>
      <c r="I88" s="93"/>
      <c r="J88" s="93"/>
      <c r="W88" s="100"/>
      <c r="X88" s="100"/>
      <c r="Y88" s="100"/>
      <c r="Z88" s="100"/>
      <c r="AA88" s="100"/>
      <c r="AB88" s="100"/>
      <c r="AC88" s="100"/>
      <c r="AD88" s="100"/>
      <c r="AE88" s="100"/>
      <c r="AF88" s="100"/>
      <c r="AG88" s="100"/>
      <c r="AH88" s="100"/>
      <c r="AI88" s="100"/>
      <c r="AJ88" s="100"/>
      <c r="AK88" s="100"/>
      <c r="AL88" s="100"/>
      <c r="AM88" s="100"/>
      <c r="AN88" s="100"/>
      <c r="AO88" s="100"/>
      <c r="AP88" s="100"/>
      <c r="AQ88" s="100"/>
      <c r="AR88" s="100"/>
      <c r="AS88" s="100"/>
      <c r="AT88" s="100"/>
      <c r="AU88" s="100"/>
      <c r="AV88" s="100"/>
      <c r="AW88" s="100"/>
      <c r="AX88" s="100"/>
      <c r="AY88" s="100"/>
      <c r="AZ88" s="100"/>
      <c r="BA88" s="100"/>
      <c r="BB88" s="100"/>
      <c r="BC88" s="100"/>
      <c r="BD88" s="100"/>
      <c r="BE88" s="100"/>
    </row>
    <row r="89" spans="2:57" ht="15.75">
      <c r="W89" s="100"/>
      <c r="X89" s="100"/>
      <c r="Y89" s="100"/>
      <c r="Z89" s="100"/>
      <c r="AA89" s="100"/>
      <c r="AB89" s="100"/>
      <c r="AC89" s="100"/>
      <c r="AD89" s="100"/>
      <c r="AE89" s="100"/>
      <c r="AF89" s="100"/>
      <c r="AG89" s="100"/>
      <c r="AH89" s="100"/>
      <c r="AI89" s="100"/>
      <c r="AJ89" s="100"/>
      <c r="AK89" s="100"/>
      <c r="AL89" s="100"/>
      <c r="AM89" s="100"/>
      <c r="AN89" s="100"/>
      <c r="AO89" s="100"/>
      <c r="AP89" s="100"/>
      <c r="AQ89" s="100"/>
      <c r="AR89" s="100"/>
      <c r="AS89" s="100"/>
      <c r="AT89" s="100"/>
      <c r="AU89" s="100"/>
      <c r="AV89" s="100"/>
      <c r="AW89" s="100"/>
      <c r="AX89" s="100"/>
      <c r="AY89" s="100"/>
      <c r="AZ89" s="100"/>
      <c r="BA89" s="100"/>
      <c r="BB89" s="100"/>
      <c r="BC89" s="100"/>
      <c r="BD89" s="100"/>
      <c r="BE89" s="100"/>
    </row>
    <row r="90" spans="2:57" ht="15.75">
      <c r="W90" s="100"/>
      <c r="X90" s="240" t="s">
        <v>183</v>
      </c>
      <c r="Y90" s="241"/>
      <c r="Z90" s="241"/>
      <c r="AA90" s="241"/>
      <c r="AB90" s="241"/>
      <c r="AC90" s="241"/>
      <c r="AD90" s="241"/>
      <c r="AE90" s="241"/>
      <c r="AF90" s="241"/>
      <c r="AG90" s="241"/>
      <c r="AH90" s="241"/>
      <c r="AI90" s="241"/>
      <c r="AJ90" s="241"/>
      <c r="AK90" s="241"/>
      <c r="AL90" s="241"/>
      <c r="AM90" s="241"/>
      <c r="AN90" s="242"/>
      <c r="AO90" s="240" t="s">
        <v>184</v>
      </c>
      <c r="AP90" s="241"/>
      <c r="AQ90" s="241"/>
      <c r="AR90" s="241"/>
      <c r="AS90" s="241"/>
      <c r="AT90" s="241"/>
      <c r="AU90" s="241"/>
      <c r="AV90" s="241"/>
      <c r="AW90" s="241"/>
      <c r="AX90" s="241"/>
      <c r="AY90" s="241"/>
      <c r="AZ90" s="241"/>
      <c r="BA90" s="241"/>
      <c r="BB90" s="241"/>
      <c r="BC90" s="241"/>
      <c r="BD90" s="242"/>
      <c r="BE90" s="100"/>
    </row>
    <row r="91" spans="2:57" ht="15.75">
      <c r="V91" s="45"/>
      <c r="W91" s="100"/>
      <c r="X91" s="137"/>
      <c r="Y91" s="135"/>
      <c r="Z91" s="135"/>
      <c r="AA91" s="135"/>
      <c r="AB91" s="135"/>
      <c r="AC91" s="135"/>
      <c r="AD91" s="135"/>
      <c r="AE91" s="135"/>
      <c r="AF91" s="135"/>
      <c r="AG91" s="135"/>
      <c r="AH91" s="135"/>
      <c r="AI91" s="135"/>
      <c r="AJ91" s="135"/>
      <c r="AK91" s="135"/>
      <c r="AL91" s="135"/>
      <c r="AM91" s="135"/>
      <c r="AN91" s="138"/>
      <c r="AO91" s="137"/>
      <c r="AP91" s="135"/>
      <c r="AQ91" s="135"/>
      <c r="AR91" s="135"/>
      <c r="AS91" s="135"/>
      <c r="AT91" s="135"/>
      <c r="AU91" s="135"/>
      <c r="AV91" s="135"/>
      <c r="AW91" s="135"/>
      <c r="AX91" s="135"/>
      <c r="AY91" s="135"/>
      <c r="AZ91" s="135"/>
      <c r="BA91" s="135"/>
      <c r="BB91" s="135"/>
      <c r="BC91" s="135"/>
      <c r="BD91" s="138"/>
      <c r="BE91" s="100"/>
    </row>
    <row r="92" spans="2:57" ht="16.5" customHeight="1" thickBot="1">
      <c r="V92" s="45"/>
      <c r="W92" s="100"/>
      <c r="X92" s="139"/>
      <c r="Y92" s="109"/>
      <c r="Z92" s="109"/>
      <c r="AA92" s="140"/>
      <c r="AB92" s="243" t="s">
        <v>266</v>
      </c>
      <c r="AC92" s="243"/>
      <c r="AD92" s="243"/>
      <c r="AE92" s="243"/>
      <c r="AF92" s="243"/>
      <c r="AG92" s="243"/>
      <c r="AH92" s="243"/>
      <c r="AI92" s="243"/>
      <c r="AJ92" s="243"/>
      <c r="AK92" s="140"/>
      <c r="AL92" s="140"/>
      <c r="AM92" s="140"/>
      <c r="AN92" s="141"/>
      <c r="AO92" s="139"/>
      <c r="AP92" s="100"/>
      <c r="AQ92" s="100"/>
      <c r="AR92" s="100"/>
      <c r="AS92" s="244" t="s">
        <v>236</v>
      </c>
      <c r="AT92" s="244"/>
      <c r="AU92" s="244"/>
      <c r="AV92" s="244"/>
      <c r="AW92" s="244"/>
      <c r="AX92" s="244"/>
      <c r="AY92" s="244"/>
      <c r="AZ92" s="244"/>
      <c r="BA92" s="100"/>
      <c r="BB92" s="100"/>
      <c r="BC92" s="100"/>
      <c r="BD92" s="142"/>
      <c r="BE92" s="100"/>
    </row>
    <row r="93" spans="2:57" ht="16.149999999999999" customHeight="1">
      <c r="V93" s="45"/>
      <c r="W93" s="100"/>
      <c r="X93" s="322" t="s">
        <v>182</v>
      </c>
      <c r="Y93" s="323"/>
      <c r="Z93" s="323"/>
      <c r="AA93" s="323"/>
      <c r="AB93" s="323"/>
      <c r="AC93" s="323"/>
      <c r="AD93" s="323"/>
      <c r="AE93" s="323"/>
      <c r="AF93" s="323"/>
      <c r="AG93" s="323"/>
      <c r="AH93" s="323"/>
      <c r="AI93" s="323"/>
      <c r="AJ93" s="323"/>
      <c r="AK93" s="323"/>
      <c r="AL93" s="323"/>
      <c r="AM93" s="323"/>
      <c r="AN93" s="324"/>
      <c r="AO93" s="322" t="s">
        <v>182</v>
      </c>
      <c r="AP93" s="323"/>
      <c r="AQ93" s="323"/>
      <c r="AR93" s="323"/>
      <c r="AS93" s="323"/>
      <c r="AT93" s="323"/>
      <c r="AU93" s="323"/>
      <c r="AV93" s="323"/>
      <c r="AW93" s="323"/>
      <c r="AX93" s="323"/>
      <c r="AY93" s="323"/>
      <c r="AZ93" s="323"/>
      <c r="BA93" s="323"/>
      <c r="BB93" s="323"/>
      <c r="BC93" s="323"/>
      <c r="BD93" s="324"/>
      <c r="BE93" s="100"/>
    </row>
    <row r="94" spans="2:57" ht="15.75">
      <c r="V94" s="45"/>
      <c r="W94" s="100"/>
      <c r="X94" s="100"/>
      <c r="Y94" s="100"/>
      <c r="Z94" s="100"/>
      <c r="AA94" s="100"/>
      <c r="AB94" s="100"/>
      <c r="AC94" s="100"/>
      <c r="AD94" s="100"/>
      <c r="AE94" s="100"/>
      <c r="AF94" s="100"/>
      <c r="AG94" s="100"/>
      <c r="AH94" s="100"/>
      <c r="AI94" s="100"/>
      <c r="AJ94" s="100"/>
      <c r="AK94" s="100"/>
      <c r="AL94" s="100"/>
      <c r="AM94" s="100"/>
      <c r="AN94" s="100"/>
      <c r="AO94" s="100"/>
      <c r="AP94" s="100"/>
      <c r="AQ94" s="100"/>
      <c r="AR94" s="100"/>
      <c r="AS94" s="100"/>
      <c r="AT94" s="100"/>
      <c r="AU94" s="100"/>
      <c r="AV94" s="100"/>
      <c r="AW94" s="100"/>
      <c r="AX94" s="100"/>
      <c r="AY94" s="100"/>
      <c r="AZ94" s="100"/>
      <c r="BA94" s="100"/>
      <c r="BB94" s="100"/>
      <c r="BC94" s="100"/>
      <c r="BD94" s="100"/>
      <c r="BE94" s="100"/>
    </row>
    <row r="95" spans="2:57" ht="15.75">
      <c r="V95" s="45"/>
      <c r="W95" s="100"/>
      <c r="X95" s="100"/>
      <c r="Y95" s="100"/>
      <c r="Z95" s="100"/>
      <c r="AA95" s="100"/>
      <c r="AB95" s="100"/>
      <c r="AC95" s="100"/>
      <c r="AD95" s="100"/>
      <c r="AE95" s="100"/>
      <c r="AF95" s="100"/>
      <c r="AG95" s="100"/>
      <c r="AH95" s="100"/>
      <c r="AI95" s="100"/>
      <c r="AJ95" s="100"/>
      <c r="AK95" s="100"/>
      <c r="AL95" s="100"/>
      <c r="AM95" s="100"/>
      <c r="AN95" s="100"/>
      <c r="AO95" s="100"/>
      <c r="AP95" s="100"/>
      <c r="AQ95" s="100"/>
      <c r="AR95" s="100"/>
      <c r="AS95" s="100"/>
      <c r="AT95" s="100"/>
      <c r="AU95" s="100"/>
      <c r="AV95" s="100"/>
      <c r="AW95" s="100"/>
      <c r="AX95" s="100"/>
      <c r="AY95" s="100"/>
      <c r="AZ95" s="100"/>
      <c r="BA95" s="100"/>
      <c r="BB95" s="100"/>
      <c r="BC95" s="100"/>
      <c r="BD95" s="100"/>
      <c r="BE95" s="100"/>
    </row>
    <row r="96" spans="2:57">
      <c r="V96" s="45"/>
    </row>
    <row r="97" spans="22:57">
      <c r="V97" s="45"/>
    </row>
    <row r="98" spans="22:57">
      <c r="V98" s="45"/>
    </row>
    <row r="99" spans="22:57" ht="18.75">
      <c r="V99" s="45"/>
      <c r="W99" s="100"/>
      <c r="X99" s="100"/>
      <c r="Y99" s="100"/>
      <c r="Z99" s="100"/>
      <c r="AA99" s="100"/>
      <c r="AB99" s="100"/>
      <c r="AC99" s="100"/>
      <c r="AD99" s="100"/>
      <c r="AE99" s="100"/>
      <c r="AF99" s="100"/>
      <c r="AG99" s="100"/>
      <c r="AH99" s="100"/>
      <c r="AI99" s="100"/>
      <c r="AJ99" s="100"/>
      <c r="AK99" s="100"/>
      <c r="AL99" s="100"/>
      <c r="AM99" s="100"/>
      <c r="AN99" s="100"/>
      <c r="AO99" s="100"/>
      <c r="AP99" s="100"/>
      <c r="AQ99" s="100"/>
      <c r="AR99" s="144"/>
      <c r="AS99" s="100"/>
      <c r="AT99" s="100"/>
      <c r="AU99" s="100"/>
      <c r="AV99" s="100"/>
      <c r="AW99" s="100"/>
      <c r="AX99" s="100"/>
      <c r="AY99" s="100"/>
      <c r="AZ99" s="100"/>
      <c r="BA99" s="100"/>
      <c r="BB99" s="100"/>
      <c r="BC99" s="100"/>
      <c r="BD99" s="100"/>
      <c r="BE99" s="100"/>
    </row>
    <row r="100" spans="22:57" ht="18.75">
      <c r="V100" s="45"/>
      <c r="W100" s="100"/>
      <c r="X100" s="253" t="s">
        <v>186</v>
      </c>
      <c r="Y100" s="254"/>
      <c r="Z100" s="254"/>
      <c r="AA100" s="254"/>
      <c r="AB100" s="254"/>
      <c r="AC100" s="254"/>
      <c r="AD100" s="254"/>
      <c r="AE100" s="254"/>
      <c r="AF100" s="254"/>
      <c r="AG100" s="254"/>
      <c r="AH100" s="254"/>
      <c r="AI100" s="254"/>
      <c r="AJ100" s="254"/>
      <c r="AK100" s="254"/>
      <c r="AL100" s="100"/>
      <c r="AM100" s="100"/>
      <c r="AN100" s="100"/>
      <c r="AO100" s="100"/>
      <c r="AP100" s="100"/>
      <c r="AQ100" s="100"/>
      <c r="AR100" s="100"/>
      <c r="AS100" s="100"/>
      <c r="AT100" s="100"/>
      <c r="AU100" s="100"/>
      <c r="AV100" s="100"/>
      <c r="AW100" s="100"/>
      <c r="AX100" s="100"/>
      <c r="AY100" s="100"/>
    </row>
    <row r="101" spans="22:57" ht="18.75" customHeight="1">
      <c r="V101" s="45"/>
      <c r="W101" s="100"/>
      <c r="X101" s="100"/>
      <c r="Y101" s="264" t="s">
        <v>187</v>
      </c>
      <c r="Z101" s="264"/>
      <c r="AA101" s="264"/>
      <c r="AB101" s="264"/>
      <c r="AC101" s="264"/>
      <c r="AD101" s="264"/>
      <c r="AE101" s="264"/>
      <c r="AF101" s="264"/>
      <c r="AG101" s="264"/>
      <c r="AH101" s="264"/>
      <c r="AI101" s="264"/>
      <c r="AJ101" s="264"/>
      <c r="AK101" s="264"/>
      <c r="AL101" s="264"/>
      <c r="AM101" s="264"/>
      <c r="AN101" s="264"/>
      <c r="AO101" s="264"/>
      <c r="AP101" s="264"/>
      <c r="AQ101" s="264"/>
      <c r="AR101" s="264"/>
      <c r="AS101" s="264"/>
      <c r="AT101" s="264"/>
      <c r="AU101" s="264"/>
      <c r="AV101" s="264"/>
      <c r="AW101" s="264"/>
      <c r="AX101" s="264"/>
      <c r="AY101" s="260">
        <f>AW83</f>
        <v>33568.249358133944</v>
      </c>
      <c r="AZ101" s="261"/>
      <c r="BA101" s="261"/>
      <c r="BB101" s="261"/>
      <c r="BC101" s="261"/>
      <c r="BD101" s="261"/>
      <c r="BE101" s="144"/>
    </row>
    <row r="102" spans="22:57" ht="18" customHeight="1">
      <c r="V102" s="45"/>
      <c r="W102" s="100"/>
      <c r="X102" s="262"/>
      <c r="Y102" s="263"/>
      <c r="Z102" s="263"/>
      <c r="AA102" s="145" t="s">
        <v>188</v>
      </c>
      <c r="AB102" s="146">
        <v>12</v>
      </c>
      <c r="AC102" s="264" t="s">
        <v>189</v>
      </c>
      <c r="AD102" s="264"/>
      <c r="AE102" s="264"/>
      <c r="AF102" s="264"/>
      <c r="AG102" s="264"/>
      <c r="AH102" s="264"/>
      <c r="AI102" s="264"/>
      <c r="AJ102" s="264"/>
      <c r="AK102" s="264"/>
      <c r="AL102" s="264"/>
      <c r="AM102" s="264"/>
      <c r="AN102" s="263">
        <f>AC83</f>
        <v>2797.3541131778288</v>
      </c>
      <c r="AO102" s="263"/>
      <c r="AP102" s="263"/>
      <c r="AQ102" s="263"/>
      <c r="AR102" s="264" t="s">
        <v>190</v>
      </c>
      <c r="AS102" s="264"/>
      <c r="AT102" s="264"/>
      <c r="AU102" s="264"/>
      <c r="AV102" s="264"/>
      <c r="AW102" s="264"/>
      <c r="AX102" s="264"/>
      <c r="AY102" s="264"/>
      <c r="AZ102" s="264"/>
      <c r="BA102" s="264"/>
      <c r="BB102" s="264"/>
      <c r="BC102" s="264"/>
      <c r="BD102" s="264"/>
      <c r="BE102" s="144"/>
    </row>
    <row r="103" spans="22:57" ht="18" customHeight="1">
      <c r="V103" s="69"/>
      <c r="W103" s="100"/>
      <c r="X103" s="265">
        <f>B28</f>
        <v>45868</v>
      </c>
      <c r="Y103" s="265"/>
      <c r="Z103" s="265"/>
      <c r="AA103" s="265"/>
      <c r="AB103" s="239" t="s">
        <v>191</v>
      </c>
      <c r="AC103" s="239"/>
      <c r="AD103" s="239"/>
      <c r="AE103" s="239"/>
      <c r="AF103" s="239"/>
      <c r="AG103" s="239"/>
      <c r="AH103" s="239"/>
      <c r="AI103" s="239"/>
      <c r="AJ103" s="239"/>
      <c r="AK103" s="239"/>
      <c r="AL103" s="239"/>
      <c r="AM103" s="239"/>
      <c r="AN103" s="239"/>
      <c r="AO103" s="239"/>
      <c r="AP103" s="239"/>
      <c r="AQ103" s="239"/>
      <c r="AR103" s="239"/>
      <c r="AS103" s="239"/>
      <c r="AT103" s="239"/>
      <c r="AU103" s="239"/>
      <c r="AV103" s="239"/>
      <c r="AW103" s="239"/>
      <c r="AX103" s="239"/>
      <c r="AY103" s="239"/>
      <c r="AZ103" s="239"/>
      <c r="BA103" s="239"/>
      <c r="BB103" s="239"/>
      <c r="BC103" s="239"/>
      <c r="BD103" s="239"/>
      <c r="BE103" s="144"/>
    </row>
    <row r="104" spans="22:57" ht="18" customHeight="1">
      <c r="V104" s="69"/>
      <c r="W104" s="100"/>
      <c r="X104" s="239" t="s">
        <v>192</v>
      </c>
      <c r="Y104" s="239"/>
      <c r="Z104" s="239"/>
      <c r="AA104" s="239"/>
      <c r="AB104" s="239"/>
      <c r="AC104" s="239"/>
      <c r="AD104" s="239"/>
      <c r="AE104" s="239"/>
      <c r="AF104" s="239"/>
      <c r="AG104" s="239"/>
      <c r="AH104" s="239"/>
      <c r="AI104" s="239"/>
      <c r="AJ104" s="239"/>
      <c r="AK104" s="239"/>
      <c r="AL104" s="239"/>
      <c r="AM104" s="239"/>
      <c r="AN104" s="239"/>
      <c r="AO104" s="239"/>
      <c r="AP104" s="239"/>
      <c r="AQ104" s="239"/>
      <c r="AR104" s="239"/>
      <c r="AS104" s="239"/>
      <c r="AT104" s="239"/>
      <c r="AU104" s="239"/>
      <c r="AV104" s="239"/>
      <c r="AW104" s="239"/>
      <c r="AX104" s="239"/>
      <c r="AY104" s="239"/>
      <c r="AZ104" s="239"/>
      <c r="BA104" s="239"/>
      <c r="BB104" s="239"/>
      <c r="BC104" s="239"/>
      <c r="BD104" s="239"/>
      <c r="BE104" s="144"/>
    </row>
    <row r="105" spans="22:57" ht="18" customHeight="1">
      <c r="V105" s="69"/>
      <c r="W105" s="100"/>
      <c r="X105" s="239" t="s">
        <v>193</v>
      </c>
      <c r="Y105" s="239"/>
      <c r="Z105" s="239"/>
      <c r="AA105" s="239"/>
      <c r="AB105" s="239"/>
      <c r="AC105" s="239"/>
      <c r="AD105" s="239"/>
      <c r="AE105" s="239"/>
      <c r="AF105" s="239"/>
      <c r="AG105" s="239"/>
      <c r="AH105" s="239"/>
      <c r="AI105" s="239"/>
      <c r="AJ105" s="239"/>
      <c r="AK105" s="239"/>
      <c r="AL105" s="239"/>
      <c r="AM105" s="239"/>
      <c r="AN105" s="239"/>
      <c r="AO105" s="239"/>
      <c r="AP105" s="239"/>
      <c r="AQ105" s="239"/>
      <c r="AR105" s="239"/>
      <c r="AS105" s="239"/>
      <c r="AT105" s="239"/>
      <c r="AU105" s="239"/>
      <c r="AV105" s="239"/>
      <c r="AW105" s="239"/>
      <c r="AX105" s="239"/>
      <c r="AY105" s="239"/>
      <c r="AZ105" s="239"/>
      <c r="BA105" s="239"/>
      <c r="BB105" s="239"/>
      <c r="BC105" s="239"/>
      <c r="BD105" s="239"/>
      <c r="BE105" s="144"/>
    </row>
    <row r="106" spans="22:57" ht="18" customHeight="1">
      <c r="V106" s="45"/>
      <c r="W106" s="100"/>
      <c r="X106" s="239"/>
      <c r="Y106" s="239"/>
      <c r="Z106" s="239"/>
      <c r="AA106" s="239"/>
      <c r="AB106" s="239"/>
      <c r="AC106" s="239"/>
      <c r="AD106" s="239"/>
      <c r="AE106" s="239"/>
      <c r="AF106" s="239"/>
      <c r="AG106" s="239"/>
      <c r="AH106" s="239"/>
      <c r="AI106" s="239"/>
      <c r="AJ106" s="239"/>
      <c r="AK106" s="239"/>
      <c r="AL106" s="239"/>
      <c r="AM106" s="239"/>
      <c r="AN106" s="239"/>
      <c r="AO106" s="239"/>
      <c r="AP106" s="239"/>
      <c r="AQ106" s="239"/>
      <c r="AR106" s="239"/>
      <c r="AS106" s="239"/>
      <c r="AT106" s="239"/>
      <c r="AU106" s="239"/>
      <c r="AV106" s="239"/>
      <c r="AW106" s="239"/>
      <c r="AX106" s="239"/>
      <c r="AY106" s="239"/>
      <c r="AZ106" s="239"/>
      <c r="BA106" s="239"/>
      <c r="BB106" s="239"/>
      <c r="BC106" s="239"/>
      <c r="BD106" s="239"/>
      <c r="BE106" s="144"/>
    </row>
    <row r="107" spans="22:57" ht="18.75">
      <c r="V107" s="45"/>
      <c r="W107" s="100"/>
      <c r="X107" s="239"/>
      <c r="Y107" s="239"/>
      <c r="Z107" s="239"/>
      <c r="AA107" s="239"/>
      <c r="AB107" s="239"/>
      <c r="AC107" s="239"/>
      <c r="AD107" s="239"/>
      <c r="AE107" s="239"/>
      <c r="AF107" s="239"/>
      <c r="AG107" s="239"/>
      <c r="AH107" s="239"/>
      <c r="AI107" s="239"/>
      <c r="AJ107" s="239"/>
      <c r="AK107" s="239"/>
      <c r="AL107" s="239"/>
      <c r="AM107" s="239"/>
      <c r="AN107" s="239"/>
      <c r="AO107" s="239"/>
      <c r="AP107" s="239"/>
      <c r="AQ107" s="239"/>
      <c r="AR107" s="239"/>
      <c r="AS107" s="239"/>
      <c r="AT107" s="239"/>
      <c r="AU107" s="239"/>
      <c r="AV107" s="239"/>
      <c r="AW107" s="239"/>
      <c r="AX107" s="239"/>
      <c r="AY107" s="239"/>
      <c r="AZ107" s="239"/>
      <c r="BA107" s="239"/>
      <c r="BB107" s="239"/>
      <c r="BC107" s="239"/>
      <c r="BD107" s="239"/>
      <c r="BE107" s="144"/>
    </row>
    <row r="108" spans="22:57" ht="18.75" customHeight="1">
      <c r="V108" s="45"/>
      <c r="W108" s="100"/>
      <c r="X108" s="239" t="s">
        <v>194</v>
      </c>
      <c r="Y108" s="239"/>
      <c r="Z108" s="239"/>
      <c r="AA108" s="239"/>
      <c r="AB108" s="239"/>
      <c r="AC108" s="239"/>
      <c r="AD108" s="239"/>
      <c r="AE108" s="239"/>
      <c r="AF108" s="239"/>
      <c r="AG108" s="239"/>
      <c r="AH108" s="239"/>
      <c r="AI108" s="239"/>
      <c r="AJ108" s="239"/>
      <c r="AK108" s="239"/>
      <c r="AL108" s="239"/>
      <c r="AM108" s="239"/>
      <c r="AN108" s="239"/>
      <c r="AO108" s="239"/>
      <c r="AP108" s="239"/>
      <c r="AQ108" s="239"/>
      <c r="AR108" s="239"/>
      <c r="AS108" s="239"/>
      <c r="AT108" s="239"/>
      <c r="AU108" s="239"/>
      <c r="AV108" s="239"/>
      <c r="AW108" s="239"/>
      <c r="AX108" s="239"/>
      <c r="AY108" s="239"/>
      <c r="AZ108" s="239"/>
      <c r="BA108" s="239"/>
      <c r="BB108" s="239"/>
      <c r="BC108" s="239"/>
      <c r="BD108" s="239"/>
      <c r="BE108" s="144"/>
    </row>
    <row r="109" spans="22:57" ht="18" customHeight="1">
      <c r="V109" s="71"/>
      <c r="W109" s="100"/>
      <c r="X109" s="239"/>
      <c r="Y109" s="239"/>
      <c r="Z109" s="239"/>
      <c r="AA109" s="239"/>
      <c r="AB109" s="239"/>
      <c r="AC109" s="239"/>
      <c r="AD109" s="239"/>
      <c r="AE109" s="239"/>
      <c r="AF109" s="239"/>
      <c r="AG109" s="239"/>
      <c r="AH109" s="239"/>
      <c r="AI109" s="239"/>
      <c r="AJ109" s="239"/>
      <c r="AK109" s="239"/>
      <c r="AL109" s="239"/>
      <c r="AM109" s="239"/>
      <c r="AN109" s="239"/>
      <c r="AO109" s="239"/>
      <c r="AP109" s="239"/>
      <c r="AQ109" s="239"/>
      <c r="AR109" s="239"/>
      <c r="AS109" s="239"/>
      <c r="AT109" s="239"/>
      <c r="AU109" s="239"/>
      <c r="AV109" s="239"/>
      <c r="AW109" s="239"/>
      <c r="AX109" s="239"/>
      <c r="AY109" s="239"/>
      <c r="AZ109" s="239"/>
      <c r="BA109" s="239"/>
      <c r="BB109" s="239"/>
      <c r="BC109" s="239"/>
      <c r="BD109" s="239"/>
      <c r="BE109" s="144"/>
    </row>
    <row r="110" spans="22:57" ht="18.75">
      <c r="V110" s="71"/>
      <c r="W110" s="100"/>
      <c r="X110" s="239"/>
      <c r="Y110" s="239"/>
      <c r="Z110" s="239"/>
      <c r="AA110" s="239"/>
      <c r="AB110" s="239"/>
      <c r="AC110" s="239"/>
      <c r="AD110" s="239"/>
      <c r="AE110" s="239"/>
      <c r="AF110" s="239"/>
      <c r="AG110" s="239"/>
      <c r="AH110" s="239"/>
      <c r="AI110" s="239"/>
      <c r="AJ110" s="239"/>
      <c r="AK110" s="239"/>
      <c r="AL110" s="239"/>
      <c r="AM110" s="239"/>
      <c r="AN110" s="239"/>
      <c r="AO110" s="239"/>
      <c r="AP110" s="239"/>
      <c r="AQ110" s="239"/>
      <c r="AR110" s="239"/>
      <c r="AS110" s="239"/>
      <c r="AT110" s="239"/>
      <c r="AU110" s="239"/>
      <c r="AV110" s="239"/>
      <c r="AW110" s="239"/>
      <c r="AX110" s="239"/>
      <c r="AY110" s="239"/>
      <c r="AZ110" s="239"/>
      <c r="BA110" s="239"/>
      <c r="BB110" s="239"/>
      <c r="BC110" s="239"/>
      <c r="BD110" s="239"/>
      <c r="BE110" s="144"/>
    </row>
    <row r="111" spans="22:57" ht="18.75" customHeight="1">
      <c r="V111" s="71"/>
      <c r="W111" s="100"/>
      <c r="X111" s="239" t="s">
        <v>195</v>
      </c>
      <c r="Y111" s="239"/>
      <c r="Z111" s="239"/>
      <c r="AA111" s="239"/>
      <c r="AB111" s="239"/>
      <c r="AC111" s="239"/>
      <c r="AD111" s="239"/>
      <c r="AE111" s="239"/>
      <c r="AF111" s="239"/>
      <c r="AG111" s="239"/>
      <c r="AH111" s="239"/>
      <c r="AI111" s="239"/>
      <c r="AJ111" s="239"/>
      <c r="AK111" s="239"/>
      <c r="AL111" s="239"/>
      <c r="AM111" s="239"/>
      <c r="AN111" s="239"/>
      <c r="AO111" s="239"/>
      <c r="AP111" s="239"/>
      <c r="AQ111" s="239"/>
      <c r="AR111" s="239"/>
      <c r="AS111" s="239"/>
      <c r="AT111" s="239"/>
      <c r="AU111" s="239"/>
      <c r="AV111" s="239"/>
      <c r="AW111" s="239"/>
      <c r="AX111" s="239"/>
      <c r="AY111" s="239"/>
      <c r="AZ111" s="239"/>
      <c r="BA111" s="239"/>
      <c r="BB111" s="239"/>
      <c r="BC111" s="239"/>
      <c r="BD111" s="239"/>
      <c r="BE111" s="144"/>
    </row>
    <row r="112" spans="22:57" ht="18" customHeight="1">
      <c r="V112" s="71"/>
      <c r="W112" s="100"/>
      <c r="X112" s="239"/>
      <c r="Y112" s="239"/>
      <c r="Z112" s="239"/>
      <c r="AA112" s="239"/>
      <c r="AB112" s="239"/>
      <c r="AC112" s="239"/>
      <c r="AD112" s="239"/>
      <c r="AE112" s="239"/>
      <c r="AF112" s="239"/>
      <c r="AG112" s="239"/>
      <c r="AH112" s="239"/>
      <c r="AI112" s="239"/>
      <c r="AJ112" s="239"/>
      <c r="AK112" s="239"/>
      <c r="AL112" s="239"/>
      <c r="AM112" s="239"/>
      <c r="AN112" s="239"/>
      <c r="AO112" s="239"/>
      <c r="AP112" s="239"/>
      <c r="AQ112" s="239"/>
      <c r="AR112" s="239"/>
      <c r="AS112" s="239"/>
      <c r="AT112" s="239"/>
      <c r="AU112" s="239"/>
      <c r="AV112" s="239"/>
      <c r="AW112" s="239"/>
      <c r="AX112" s="239"/>
      <c r="AY112" s="239"/>
      <c r="AZ112" s="239"/>
      <c r="BA112" s="239"/>
      <c r="BB112" s="239"/>
      <c r="BC112" s="239"/>
      <c r="BD112" s="239"/>
      <c r="BE112" s="144"/>
    </row>
    <row r="113" spans="22:57" ht="18.75">
      <c r="V113" s="71"/>
      <c r="W113" s="100"/>
      <c r="X113" s="239"/>
      <c r="Y113" s="239"/>
      <c r="Z113" s="239"/>
      <c r="AA113" s="239"/>
      <c r="AB113" s="239"/>
      <c r="AC113" s="239"/>
      <c r="AD113" s="239"/>
      <c r="AE113" s="239"/>
      <c r="AF113" s="239"/>
      <c r="AG113" s="239"/>
      <c r="AH113" s="239"/>
      <c r="AI113" s="239"/>
      <c r="AJ113" s="239"/>
      <c r="AK113" s="239"/>
      <c r="AL113" s="239"/>
      <c r="AM113" s="239"/>
      <c r="AN113" s="239"/>
      <c r="AO113" s="239"/>
      <c r="AP113" s="239"/>
      <c r="AQ113" s="239"/>
      <c r="AR113" s="239"/>
      <c r="AS113" s="239"/>
      <c r="AT113" s="239"/>
      <c r="AU113" s="239"/>
      <c r="AV113" s="239"/>
      <c r="AW113" s="239"/>
      <c r="AX113" s="239"/>
      <c r="AY113" s="239"/>
      <c r="AZ113" s="239"/>
      <c r="BA113" s="239"/>
      <c r="BB113" s="239"/>
      <c r="BC113" s="239"/>
      <c r="BD113" s="239"/>
      <c r="BE113" s="144"/>
    </row>
    <row r="114" spans="22:57" ht="18.75">
      <c r="V114" s="45"/>
      <c r="W114" s="100"/>
      <c r="X114" s="239"/>
      <c r="Y114" s="239"/>
      <c r="Z114" s="239"/>
      <c r="AA114" s="239"/>
      <c r="AB114" s="239"/>
      <c r="AC114" s="239"/>
      <c r="AD114" s="239"/>
      <c r="AE114" s="239"/>
      <c r="AF114" s="239"/>
      <c r="AG114" s="239"/>
      <c r="AH114" s="239"/>
      <c r="AI114" s="239"/>
      <c r="AJ114" s="239"/>
      <c r="AK114" s="239"/>
      <c r="AL114" s="239"/>
      <c r="AM114" s="239"/>
      <c r="AN114" s="239"/>
      <c r="AO114" s="239"/>
      <c r="AP114" s="239"/>
      <c r="AQ114" s="239"/>
      <c r="AR114" s="239"/>
      <c r="AS114" s="239"/>
      <c r="AT114" s="239"/>
      <c r="AU114" s="239"/>
      <c r="AV114" s="239"/>
      <c r="AW114" s="239"/>
      <c r="AX114" s="239"/>
      <c r="AY114" s="239"/>
      <c r="AZ114" s="239"/>
      <c r="BA114" s="239"/>
      <c r="BB114" s="239"/>
      <c r="BC114" s="239"/>
      <c r="BD114" s="239"/>
      <c r="BE114" s="144"/>
    </row>
    <row r="115" spans="22:57" ht="18.75">
      <c r="V115" s="45"/>
      <c r="W115" s="100"/>
      <c r="X115" s="239"/>
      <c r="Y115" s="239"/>
      <c r="Z115" s="239"/>
      <c r="AA115" s="239"/>
      <c r="AB115" s="239"/>
      <c r="AC115" s="239"/>
      <c r="AD115" s="239"/>
      <c r="AE115" s="239"/>
      <c r="AF115" s="239"/>
      <c r="AG115" s="239"/>
      <c r="AH115" s="239"/>
      <c r="AI115" s="239"/>
      <c r="AJ115" s="239"/>
      <c r="AK115" s="239"/>
      <c r="AL115" s="239"/>
      <c r="AM115" s="239"/>
      <c r="AN115" s="239"/>
      <c r="AO115" s="239"/>
      <c r="AP115" s="239"/>
      <c r="AQ115" s="239"/>
      <c r="AR115" s="239"/>
      <c r="AS115" s="239"/>
      <c r="AT115" s="239"/>
      <c r="AU115" s="239"/>
      <c r="AV115" s="239"/>
      <c r="AW115" s="239"/>
      <c r="AX115" s="239"/>
      <c r="AY115" s="239"/>
      <c r="AZ115" s="239"/>
      <c r="BA115" s="239"/>
      <c r="BB115" s="239"/>
      <c r="BC115" s="239"/>
      <c r="BD115" s="239"/>
      <c r="BE115" s="144"/>
    </row>
    <row r="116" spans="22:57" ht="18.75" customHeight="1">
      <c r="V116" s="45"/>
      <c r="W116" s="100"/>
      <c r="X116" s="239" t="s">
        <v>196</v>
      </c>
      <c r="Y116" s="239"/>
      <c r="Z116" s="239"/>
      <c r="AA116" s="239"/>
      <c r="AB116" s="239"/>
      <c r="AC116" s="239"/>
      <c r="AD116" s="239"/>
      <c r="AE116" s="239"/>
      <c r="AF116" s="239"/>
      <c r="AG116" s="239"/>
      <c r="AH116" s="239"/>
      <c r="AI116" s="239"/>
      <c r="AJ116" s="239"/>
      <c r="AK116" s="239"/>
      <c r="AL116" s="239"/>
      <c r="AM116" s="239"/>
      <c r="AN116" s="239"/>
      <c r="AO116" s="239"/>
      <c r="AP116" s="239"/>
      <c r="AQ116" s="239"/>
      <c r="AR116" s="239"/>
      <c r="AS116" s="239"/>
      <c r="AT116" s="239"/>
      <c r="AU116" s="239"/>
      <c r="AV116" s="239"/>
      <c r="AW116" s="239"/>
      <c r="AX116" s="239"/>
      <c r="AY116" s="239"/>
      <c r="AZ116" s="239"/>
      <c r="BA116" s="239"/>
      <c r="BB116" s="239"/>
      <c r="BC116" s="239"/>
      <c r="BD116" s="239"/>
      <c r="BE116" s="144"/>
    </row>
    <row r="117" spans="22:57" ht="18" customHeight="1">
      <c r="V117" s="45"/>
      <c r="W117" s="100"/>
      <c r="X117" s="239"/>
      <c r="Y117" s="239"/>
      <c r="Z117" s="239"/>
      <c r="AA117" s="239"/>
      <c r="AB117" s="239"/>
      <c r="AC117" s="239"/>
      <c r="AD117" s="239"/>
      <c r="AE117" s="239"/>
      <c r="AF117" s="239"/>
      <c r="AG117" s="239"/>
      <c r="AH117" s="239"/>
      <c r="AI117" s="239"/>
      <c r="AJ117" s="239"/>
      <c r="AK117" s="239"/>
      <c r="AL117" s="239"/>
      <c r="AM117" s="239"/>
      <c r="AN117" s="239"/>
      <c r="AO117" s="239"/>
      <c r="AP117" s="239"/>
      <c r="AQ117" s="239"/>
      <c r="AR117" s="239"/>
      <c r="AS117" s="239"/>
      <c r="AT117" s="239"/>
      <c r="AU117" s="239"/>
      <c r="AV117" s="239"/>
      <c r="AW117" s="239"/>
      <c r="AX117" s="239"/>
      <c r="AY117" s="239"/>
      <c r="AZ117" s="239"/>
      <c r="BA117" s="239"/>
      <c r="BB117" s="239"/>
      <c r="BC117" s="239"/>
      <c r="BD117" s="239"/>
      <c r="BE117" s="144"/>
    </row>
    <row r="118" spans="22:57" ht="18.75">
      <c r="V118" s="45"/>
      <c r="W118" s="100"/>
      <c r="X118" s="239"/>
      <c r="Y118" s="239"/>
      <c r="Z118" s="239"/>
      <c r="AA118" s="239"/>
      <c r="AB118" s="239"/>
      <c r="AC118" s="239"/>
      <c r="AD118" s="239"/>
      <c r="AE118" s="239"/>
      <c r="AF118" s="239"/>
      <c r="AG118" s="239"/>
      <c r="AH118" s="239"/>
      <c r="AI118" s="239"/>
      <c r="AJ118" s="239"/>
      <c r="AK118" s="239"/>
      <c r="AL118" s="239"/>
      <c r="AM118" s="239"/>
      <c r="AN118" s="239"/>
      <c r="AO118" s="239"/>
      <c r="AP118" s="239"/>
      <c r="AQ118" s="239"/>
      <c r="AR118" s="239"/>
      <c r="AS118" s="239"/>
      <c r="AT118" s="239"/>
      <c r="AU118" s="239"/>
      <c r="AV118" s="239"/>
      <c r="AW118" s="239"/>
      <c r="AX118" s="239"/>
      <c r="AY118" s="239"/>
      <c r="AZ118" s="239"/>
      <c r="BA118" s="239"/>
      <c r="BB118" s="239"/>
      <c r="BC118" s="239"/>
      <c r="BD118" s="239"/>
      <c r="BE118" s="144"/>
    </row>
    <row r="119" spans="22:57" ht="19.5" thickBot="1">
      <c r="V119" s="45"/>
      <c r="W119" s="100"/>
      <c r="X119" s="239"/>
      <c r="Y119" s="239"/>
      <c r="Z119" s="239"/>
      <c r="AA119" s="239"/>
      <c r="AB119" s="239"/>
      <c r="AC119" s="239"/>
      <c r="AD119" s="239"/>
      <c r="AE119" s="239"/>
      <c r="AF119" s="239"/>
      <c r="AG119" s="239"/>
      <c r="AH119" s="239"/>
      <c r="AI119" s="239"/>
      <c r="AJ119" s="239"/>
      <c r="AK119" s="239"/>
      <c r="AL119" s="239"/>
      <c r="AM119" s="239"/>
      <c r="AN119" s="239"/>
      <c r="AO119" s="239"/>
      <c r="AP119" s="239"/>
      <c r="AQ119" s="239"/>
      <c r="AR119" s="239"/>
      <c r="AS119" s="239"/>
      <c r="AT119" s="239"/>
      <c r="AU119" s="239"/>
      <c r="AV119" s="239"/>
      <c r="AW119" s="239"/>
      <c r="AX119" s="239"/>
      <c r="AY119" s="239"/>
      <c r="AZ119" s="239"/>
      <c r="BA119" s="239"/>
      <c r="BB119" s="239"/>
      <c r="BC119" s="239"/>
      <c r="BD119" s="239"/>
      <c r="BE119" s="144"/>
    </row>
    <row r="120" spans="22:57" ht="15.75">
      <c r="V120" s="45"/>
      <c r="W120" s="100"/>
      <c r="X120" s="147"/>
      <c r="Y120" s="147"/>
      <c r="Z120" s="147"/>
      <c r="AA120" s="147"/>
      <c r="AB120" s="147"/>
      <c r="AC120" s="147"/>
      <c r="AD120" s="147"/>
      <c r="AE120" s="147"/>
      <c r="AF120" s="147"/>
      <c r="AG120" s="147"/>
      <c r="AH120" s="147"/>
      <c r="AI120" s="147"/>
      <c r="AJ120" s="147"/>
      <c r="AK120" s="147"/>
      <c r="AL120" s="108"/>
      <c r="AM120" s="100" t="s">
        <v>197</v>
      </c>
      <c r="AN120" s="100"/>
      <c r="AO120" s="148"/>
      <c r="AP120" s="100"/>
      <c r="AQ120" s="100"/>
      <c r="AR120" s="147"/>
      <c r="AS120" s="147"/>
      <c r="AT120" s="301"/>
      <c r="AU120" s="302"/>
      <c r="AV120" s="302"/>
      <c r="AW120" s="302"/>
      <c r="AX120" s="303"/>
      <c r="AY120" s="149"/>
      <c r="AZ120" s="310"/>
      <c r="BA120" s="311"/>
      <c r="BB120" s="311"/>
      <c r="BC120" s="311"/>
      <c r="BD120" s="312"/>
      <c r="BE120" s="147"/>
    </row>
    <row r="121" spans="22:57" ht="15.75">
      <c r="V121" s="45"/>
      <c r="W121" s="100"/>
      <c r="X121" s="100"/>
      <c r="Y121" s="100"/>
      <c r="Z121" s="100"/>
      <c r="AA121" s="100"/>
      <c r="AB121" s="100"/>
      <c r="AC121" s="100"/>
      <c r="AD121" s="100"/>
      <c r="AE121" s="100"/>
      <c r="AF121" s="100"/>
      <c r="AG121" s="100"/>
      <c r="AH121" s="100"/>
      <c r="AI121" s="100"/>
      <c r="AJ121" s="100"/>
      <c r="AK121" s="100"/>
      <c r="AL121" s="108"/>
      <c r="AM121" s="100" t="s">
        <v>198</v>
      </c>
      <c r="AN121" s="100"/>
      <c r="AO121" s="100"/>
      <c r="AP121" s="100"/>
      <c r="AQ121" s="100"/>
      <c r="AR121" s="100"/>
      <c r="AS121" s="100"/>
      <c r="AT121" s="304"/>
      <c r="AU121" s="305"/>
      <c r="AV121" s="305"/>
      <c r="AW121" s="305"/>
      <c r="AX121" s="306"/>
      <c r="AY121" s="147"/>
      <c r="AZ121" s="313"/>
      <c r="BA121" s="314"/>
      <c r="BB121" s="314"/>
      <c r="BC121" s="314"/>
      <c r="BD121" s="315"/>
      <c r="BE121" s="147"/>
    </row>
    <row r="122" spans="22:57" ht="15.75">
      <c r="V122" s="45"/>
      <c r="W122" s="100"/>
      <c r="X122" s="100"/>
      <c r="Y122" s="100"/>
      <c r="Z122" s="100"/>
      <c r="AA122" s="100"/>
      <c r="AB122" s="100"/>
      <c r="AC122" s="100"/>
      <c r="AD122" s="100"/>
      <c r="AE122" s="100"/>
      <c r="AF122" s="100"/>
      <c r="AG122" s="100"/>
      <c r="AH122" s="100"/>
      <c r="AI122" s="100"/>
      <c r="AJ122" s="100"/>
      <c r="AK122" s="100"/>
      <c r="AL122" s="108"/>
      <c r="AM122" s="100" t="s">
        <v>199</v>
      </c>
      <c r="AN122" s="100"/>
      <c r="AO122" s="100"/>
      <c r="AP122" s="100"/>
      <c r="AQ122" s="100"/>
      <c r="AR122" s="100"/>
      <c r="AS122" s="100"/>
      <c r="AT122" s="304"/>
      <c r="AU122" s="305"/>
      <c r="AV122" s="305"/>
      <c r="AW122" s="305"/>
      <c r="AX122" s="306"/>
      <c r="AY122" s="147"/>
      <c r="AZ122" s="313"/>
      <c r="BA122" s="314"/>
      <c r="BB122" s="314"/>
      <c r="BC122" s="314"/>
      <c r="BD122" s="315"/>
      <c r="BE122" s="147"/>
    </row>
    <row r="123" spans="22:57" ht="16.5" thickBot="1">
      <c r="V123" s="45"/>
      <c r="W123" s="100"/>
      <c r="X123" s="100"/>
      <c r="Y123" s="100"/>
      <c r="Z123" s="399" t="str">
        <f>AU64</f>
        <v>RHODA SAMIANA PAGGABAO</v>
      </c>
      <c r="AA123" s="399"/>
      <c r="AB123" s="399"/>
      <c r="AC123" s="399"/>
      <c r="AD123" s="399"/>
      <c r="AE123" s="399"/>
      <c r="AF123" s="399"/>
      <c r="AG123" s="399"/>
      <c r="AH123" s="399"/>
      <c r="AI123" s="100"/>
      <c r="AJ123" s="100"/>
      <c r="AK123" s="100"/>
      <c r="AL123" s="108"/>
      <c r="AM123" s="100" t="s">
        <v>108</v>
      </c>
      <c r="AN123" s="100"/>
      <c r="AO123" s="244"/>
      <c r="AP123" s="244"/>
      <c r="AQ123" s="244"/>
      <c r="AR123" s="100"/>
      <c r="AS123" s="100"/>
      <c r="AT123" s="304"/>
      <c r="AU123" s="305"/>
      <c r="AV123" s="305"/>
      <c r="AW123" s="305"/>
      <c r="AX123" s="306"/>
      <c r="AY123" s="147"/>
      <c r="AZ123" s="313"/>
      <c r="BA123" s="314"/>
      <c r="BB123" s="314"/>
      <c r="BC123" s="314"/>
      <c r="BD123" s="315"/>
      <c r="BE123" s="147"/>
    </row>
    <row r="124" spans="22:57" ht="15.75">
      <c r="V124" s="45"/>
      <c r="W124" s="100"/>
      <c r="X124" s="319" t="s">
        <v>200</v>
      </c>
      <c r="Y124" s="319"/>
      <c r="Z124" s="319"/>
      <c r="AA124" s="319"/>
      <c r="AB124" s="319"/>
      <c r="AC124" s="319"/>
      <c r="AD124" s="319"/>
      <c r="AE124" s="319"/>
      <c r="AF124" s="319"/>
      <c r="AG124" s="319"/>
      <c r="AH124" s="319"/>
      <c r="AI124" s="319"/>
      <c r="AJ124" s="319"/>
      <c r="AK124" s="100"/>
      <c r="AL124" s="100"/>
      <c r="AM124" s="100"/>
      <c r="AN124" s="100"/>
      <c r="AO124" s="100"/>
      <c r="AP124" s="100"/>
      <c r="AQ124" s="100"/>
      <c r="AR124" s="100"/>
      <c r="AS124" s="100"/>
      <c r="AT124" s="304"/>
      <c r="AU124" s="305"/>
      <c r="AV124" s="305"/>
      <c r="AW124" s="305"/>
      <c r="AX124" s="306"/>
      <c r="AY124" s="147"/>
      <c r="AZ124" s="313"/>
      <c r="BA124" s="314"/>
      <c r="BB124" s="314"/>
      <c r="BC124" s="314"/>
      <c r="BD124" s="315"/>
      <c r="BE124" s="147"/>
    </row>
    <row r="125" spans="22:57" ht="15.75">
      <c r="V125" s="45"/>
      <c r="W125" s="100"/>
      <c r="X125" s="102"/>
      <c r="Y125" s="100"/>
      <c r="Z125" s="100"/>
      <c r="AA125" s="100"/>
      <c r="AB125" s="100"/>
      <c r="AC125" s="100"/>
      <c r="AD125" s="100"/>
      <c r="AE125" s="100"/>
      <c r="AF125" s="100"/>
      <c r="AG125" s="100"/>
      <c r="AH125" s="100"/>
      <c r="AI125" s="100"/>
      <c r="AJ125" s="100"/>
      <c r="AK125" s="100"/>
      <c r="AL125" s="100"/>
      <c r="AM125" s="100"/>
      <c r="AN125" s="100"/>
      <c r="AO125" s="100"/>
      <c r="AP125" s="100"/>
      <c r="AQ125" s="100"/>
      <c r="AR125" s="100"/>
      <c r="AS125" s="100"/>
      <c r="AT125" s="304"/>
      <c r="AU125" s="305"/>
      <c r="AV125" s="305"/>
      <c r="AW125" s="305"/>
      <c r="AX125" s="306"/>
      <c r="AY125" s="147"/>
      <c r="AZ125" s="313"/>
      <c r="BA125" s="314"/>
      <c r="BB125" s="314"/>
      <c r="BC125" s="314"/>
      <c r="BD125" s="315"/>
      <c r="BE125" s="147"/>
    </row>
    <row r="126" spans="22:57" ht="16.5" thickBot="1">
      <c r="V126" s="45"/>
      <c r="W126" s="100"/>
      <c r="X126" s="100" t="s">
        <v>201</v>
      </c>
      <c r="Y126" s="100"/>
      <c r="Z126" s="400" t="str">
        <f>X56</f>
        <v xml:space="preserve">1988 - 006 </v>
      </c>
      <c r="AA126" s="244"/>
      <c r="AB126" s="244"/>
      <c r="AC126" s="244"/>
      <c r="AD126" s="244"/>
      <c r="AE126" s="244"/>
      <c r="AF126" s="244"/>
      <c r="AG126" s="244"/>
      <c r="AH126" s="244"/>
      <c r="AI126" s="244"/>
      <c r="AJ126" s="100"/>
      <c r="AK126" s="100"/>
      <c r="AL126" s="100"/>
      <c r="AM126" s="100"/>
      <c r="AN126" s="100"/>
      <c r="AO126" s="100"/>
      <c r="AP126" s="100"/>
      <c r="AQ126" s="100"/>
      <c r="AR126" s="100"/>
      <c r="AS126" s="100"/>
      <c r="AT126" s="307"/>
      <c r="AU126" s="308"/>
      <c r="AV126" s="308"/>
      <c r="AW126" s="308"/>
      <c r="AX126" s="309"/>
      <c r="AY126" s="150"/>
      <c r="AZ126" s="316"/>
      <c r="BA126" s="317"/>
      <c r="BB126" s="317"/>
      <c r="BC126" s="317"/>
      <c r="BD126" s="318"/>
      <c r="BE126" s="147"/>
    </row>
    <row r="127" spans="22:57" ht="16.5" thickBot="1">
      <c r="V127" s="45"/>
      <c r="W127" s="100"/>
      <c r="X127" s="100" t="s">
        <v>202</v>
      </c>
      <c r="Y127" s="100"/>
      <c r="Z127" s="100"/>
      <c r="AA127" s="100"/>
      <c r="AB127" s="401" t="s">
        <v>322</v>
      </c>
      <c r="AC127" s="401"/>
      <c r="AD127" s="401"/>
      <c r="AE127" s="401"/>
      <c r="AF127" s="401"/>
      <c r="AG127" s="401"/>
      <c r="AH127" s="401"/>
      <c r="AI127" s="401"/>
      <c r="AJ127" s="100"/>
      <c r="AK127" s="100"/>
      <c r="AL127" s="100"/>
      <c r="AM127" s="100"/>
      <c r="AN127" s="100"/>
      <c r="AO127" s="100"/>
      <c r="AP127" s="100"/>
      <c r="AQ127" s="100"/>
      <c r="AR127" s="100"/>
      <c r="AS127" s="100"/>
      <c r="AT127" s="256" t="s">
        <v>203</v>
      </c>
      <c r="AU127" s="256"/>
      <c r="AV127" s="256"/>
      <c r="AW127" s="256"/>
      <c r="AX127" s="256"/>
      <c r="AY127" s="112"/>
      <c r="AZ127" s="256" t="s">
        <v>204</v>
      </c>
      <c r="BA127" s="256"/>
      <c r="BB127" s="256"/>
      <c r="BC127" s="256"/>
      <c r="BD127" s="256"/>
      <c r="BE127" s="113"/>
    </row>
    <row r="128" spans="22:57" ht="15.75">
      <c r="V128" s="45"/>
      <c r="W128" s="100"/>
      <c r="X128" s="100"/>
      <c r="Y128" s="100"/>
      <c r="Z128" s="100"/>
      <c r="AA128" s="100"/>
      <c r="AB128" s="100"/>
      <c r="AC128" s="100"/>
      <c r="AD128" s="100"/>
      <c r="AE128" s="100"/>
      <c r="AF128" s="100"/>
      <c r="AG128" s="100"/>
      <c r="AH128" s="100"/>
      <c r="AI128" s="100"/>
      <c r="AJ128" s="100"/>
      <c r="AK128" s="100"/>
      <c r="AL128" s="100"/>
      <c r="AM128" s="100"/>
      <c r="AN128" s="100"/>
      <c r="AO128" s="100"/>
      <c r="AP128" s="100"/>
      <c r="AQ128" s="100"/>
      <c r="AR128" s="100"/>
      <c r="AS128" s="100"/>
      <c r="AT128" s="100"/>
      <c r="AU128" s="100"/>
      <c r="AV128" s="100"/>
      <c r="AW128" s="100"/>
      <c r="AX128" s="100"/>
      <c r="AY128" s="100"/>
      <c r="AZ128" s="100"/>
      <c r="BA128" s="100"/>
      <c r="BB128" s="100"/>
      <c r="BC128" s="100"/>
      <c r="BD128" s="100"/>
      <c r="BE128" s="100"/>
    </row>
    <row r="129" spans="10:57" ht="15.75">
      <c r="V129" s="45"/>
      <c r="W129" s="100"/>
      <c r="X129" s="100"/>
      <c r="Y129" s="100"/>
      <c r="Z129" s="100"/>
      <c r="AA129" s="100"/>
      <c r="AB129" s="100"/>
      <c r="AC129" s="100"/>
      <c r="AD129" s="100"/>
      <c r="AE129" s="100"/>
      <c r="AF129" s="100"/>
      <c r="AG129" s="100"/>
      <c r="AH129" s="100"/>
      <c r="AI129" s="100"/>
      <c r="AJ129" s="100"/>
      <c r="AK129" s="100"/>
      <c r="AL129" s="100"/>
      <c r="AM129" s="100"/>
      <c r="AN129" s="100"/>
      <c r="AO129" s="100"/>
      <c r="AP129" s="100"/>
      <c r="AQ129" s="100"/>
      <c r="AR129" s="100"/>
      <c r="AS129" s="100"/>
      <c r="AT129" s="100"/>
      <c r="AU129" s="100"/>
      <c r="AV129" s="100"/>
      <c r="AW129" s="100"/>
      <c r="AX129" s="100"/>
      <c r="AY129" s="100"/>
      <c r="AZ129" s="100"/>
      <c r="BA129" s="100"/>
      <c r="BB129" s="100"/>
      <c r="BC129" s="100"/>
      <c r="BD129" s="100"/>
      <c r="BE129" s="100"/>
    </row>
    <row r="130" spans="10:57" ht="18.75">
      <c r="V130" s="45"/>
      <c r="W130" s="100"/>
      <c r="X130" s="253" t="s">
        <v>205</v>
      </c>
      <c r="Y130" s="254"/>
      <c r="Z130" s="254"/>
      <c r="AA130" s="254"/>
      <c r="AB130" s="254"/>
      <c r="AC130" s="254"/>
      <c r="AD130" s="254"/>
      <c r="AE130" s="254"/>
      <c r="AF130" s="254"/>
      <c r="AG130" s="254"/>
      <c r="AH130" s="254"/>
      <c r="AI130" s="254"/>
      <c r="AJ130" s="254"/>
      <c r="AK130" s="254"/>
      <c r="AL130" s="254"/>
      <c r="AM130" s="254"/>
      <c r="AN130" s="254"/>
      <c r="AO130" s="254"/>
      <c r="AP130" s="254"/>
      <c r="AQ130" s="254"/>
      <c r="AR130" s="254"/>
      <c r="AS130" s="254"/>
      <c r="AT130" s="254"/>
      <c r="AU130" s="254"/>
      <c r="AV130" s="254"/>
      <c r="AW130" s="254"/>
      <c r="AX130" s="254"/>
      <c r="AY130" s="254"/>
      <c r="AZ130" s="254"/>
      <c r="BA130" s="254"/>
      <c r="BB130" s="254"/>
      <c r="BC130" s="254"/>
      <c r="BD130" s="254"/>
      <c r="BE130" s="254"/>
    </row>
    <row r="131" spans="10:57" ht="15.75">
      <c r="V131" s="45"/>
      <c r="W131" s="100"/>
      <c r="X131" s="100"/>
      <c r="Y131" s="100"/>
      <c r="Z131" s="100"/>
      <c r="AA131" s="100"/>
      <c r="AB131" s="100"/>
      <c r="AC131" s="100"/>
      <c r="AD131" s="100"/>
      <c r="AE131" s="100"/>
      <c r="AF131" s="100"/>
      <c r="AG131" s="100"/>
      <c r="AH131" s="100"/>
      <c r="AI131" s="100"/>
      <c r="AJ131" s="100"/>
      <c r="AK131" s="100"/>
      <c r="AL131" s="100"/>
      <c r="AM131" s="100"/>
      <c r="AN131" s="100"/>
      <c r="AO131" s="100"/>
      <c r="AP131" s="100"/>
      <c r="AQ131" s="100"/>
      <c r="AR131" s="100"/>
      <c r="AS131" s="100"/>
      <c r="AT131" s="100"/>
      <c r="AU131" s="100"/>
      <c r="AV131" s="100"/>
      <c r="AW131" s="100"/>
      <c r="AX131" s="100"/>
      <c r="AY131" s="100"/>
      <c r="AZ131" s="100"/>
      <c r="BA131" s="100"/>
      <c r="BB131" s="100"/>
      <c r="BC131" s="100"/>
      <c r="BD131" s="100"/>
      <c r="BE131" s="100"/>
    </row>
    <row r="132" spans="10:57" ht="17.25">
      <c r="V132" s="45"/>
      <c r="W132" s="100"/>
      <c r="X132" s="151" t="s">
        <v>206</v>
      </c>
      <c r="Y132" s="152"/>
      <c r="Z132" s="152"/>
      <c r="AA132" s="152"/>
      <c r="AB132" s="152"/>
      <c r="AC132" s="152"/>
      <c r="AD132" s="152"/>
      <c r="AE132" s="100"/>
      <c r="AF132" s="100"/>
      <c r="AG132" s="100"/>
      <c r="AH132" s="100"/>
      <c r="AI132" s="100"/>
      <c r="AJ132" s="100"/>
      <c r="AK132" s="100"/>
      <c r="AL132" s="100"/>
      <c r="AM132" s="100"/>
      <c r="AN132" s="100"/>
      <c r="AO132" s="100"/>
      <c r="AP132" s="100"/>
      <c r="AQ132" s="100"/>
      <c r="AR132" s="100"/>
      <c r="AS132" s="100"/>
      <c r="AT132" s="100"/>
      <c r="AU132" s="100"/>
      <c r="AV132" s="100"/>
      <c r="AW132" s="100"/>
      <c r="AX132" s="100"/>
      <c r="AY132" s="100"/>
      <c r="AZ132" s="100"/>
      <c r="BA132" s="100"/>
      <c r="BB132" s="100"/>
      <c r="BC132" s="100"/>
      <c r="BD132" s="100"/>
      <c r="BE132" s="100"/>
    </row>
    <row r="133" spans="10:57" ht="17.25">
      <c r="V133" s="45"/>
      <c r="W133" s="100"/>
      <c r="X133" s="153" t="s">
        <v>207</v>
      </c>
      <c r="Y133" s="152"/>
      <c r="Z133" s="152"/>
      <c r="AA133" s="152"/>
      <c r="AB133" s="152"/>
      <c r="AC133" s="152"/>
      <c r="AD133" s="152"/>
      <c r="AE133" s="100"/>
      <c r="AF133" s="100"/>
      <c r="AG133" s="100"/>
      <c r="AH133" s="100"/>
      <c r="AI133" s="100"/>
      <c r="AJ133" s="100"/>
      <c r="AK133" s="100"/>
      <c r="AL133" s="100"/>
      <c r="AM133" s="100"/>
      <c r="AN133" s="100"/>
      <c r="AO133" s="100"/>
      <c r="AP133" s="100"/>
      <c r="AQ133" s="100"/>
      <c r="AR133" s="100"/>
      <c r="AS133" s="100"/>
      <c r="AT133" s="100"/>
      <c r="AU133" s="100"/>
      <c r="AV133" s="100"/>
      <c r="AW133" s="100"/>
      <c r="AX133" s="100"/>
      <c r="AY133" s="100"/>
      <c r="AZ133" s="100"/>
      <c r="BA133" s="100"/>
      <c r="BB133" s="100"/>
      <c r="BC133" s="100"/>
      <c r="BD133" s="100"/>
      <c r="BE133" s="100"/>
    </row>
    <row r="134" spans="10:57" ht="17.25">
      <c r="V134" s="45"/>
      <c r="W134" s="100"/>
      <c r="X134" s="152"/>
      <c r="Y134" s="152"/>
      <c r="Z134" s="152"/>
      <c r="AA134" s="152"/>
      <c r="AB134" s="152"/>
      <c r="AC134" s="152"/>
      <c r="AD134" s="152"/>
      <c r="AE134" s="100"/>
      <c r="AF134" s="100"/>
      <c r="AG134" s="100"/>
      <c r="AH134" s="100"/>
      <c r="AI134" s="100"/>
      <c r="AJ134" s="100"/>
      <c r="AK134" s="100"/>
      <c r="AL134" s="100"/>
      <c r="AM134" s="100"/>
      <c r="AN134" s="100"/>
      <c r="AO134" s="100"/>
      <c r="AP134" s="100"/>
      <c r="AQ134" s="100"/>
      <c r="AR134" s="100"/>
      <c r="AS134" s="100"/>
      <c r="AT134" s="100"/>
      <c r="AU134" s="100"/>
      <c r="AV134" s="100"/>
      <c r="AW134" s="100"/>
      <c r="AX134" s="100"/>
      <c r="AY134" s="100"/>
      <c r="AZ134" s="100"/>
      <c r="BA134" s="100"/>
      <c r="BB134" s="100"/>
      <c r="BC134" s="100"/>
      <c r="BD134" s="100"/>
      <c r="BE134" s="100"/>
    </row>
    <row r="135" spans="10:57" ht="17.25" customHeight="1">
      <c r="J135" s="45"/>
      <c r="K135" s="45"/>
      <c r="L135" s="45"/>
      <c r="M135" s="45"/>
      <c r="N135" s="45"/>
      <c r="O135" s="49"/>
      <c r="P135" s="45"/>
      <c r="Q135" s="45"/>
      <c r="R135" s="45"/>
      <c r="S135" s="45"/>
      <c r="T135" s="45"/>
      <c r="U135" s="45"/>
      <c r="V135" s="45"/>
      <c r="W135" s="100"/>
      <c r="X135" s="257" t="s">
        <v>208</v>
      </c>
      <c r="Y135" s="257"/>
      <c r="Z135" s="257"/>
      <c r="AA135" s="257"/>
      <c r="AB135" s="257"/>
      <c r="AC135" s="257"/>
      <c r="AD135" s="257"/>
      <c r="AE135" s="257"/>
      <c r="AF135" s="257"/>
      <c r="AG135" s="257"/>
      <c r="AH135" s="257"/>
      <c r="AI135" s="257"/>
      <c r="AJ135" s="257"/>
      <c r="AK135" s="257"/>
      <c r="AL135" s="257"/>
      <c r="AM135" s="257"/>
      <c r="AN135" s="257"/>
      <c r="AO135" s="257"/>
      <c r="AP135" s="257"/>
      <c r="AQ135" s="257"/>
      <c r="AR135" s="257"/>
      <c r="AS135" s="257"/>
      <c r="AT135" s="257"/>
      <c r="AU135" s="257"/>
      <c r="AV135" s="257"/>
      <c r="AW135" s="257"/>
      <c r="AX135" s="257"/>
      <c r="AY135" s="257"/>
      <c r="AZ135" s="257"/>
      <c r="BA135" s="257"/>
      <c r="BB135" s="257"/>
      <c r="BC135" s="257"/>
      <c r="BD135" s="257"/>
      <c r="BE135" s="154"/>
    </row>
    <row r="136" spans="10:57" ht="17.25" customHeight="1">
      <c r="W136" s="100"/>
      <c r="X136" s="258" t="s">
        <v>209</v>
      </c>
      <c r="Y136" s="258"/>
      <c r="Z136" s="258"/>
      <c r="AA136" s="258"/>
      <c r="AB136" s="258"/>
      <c r="AC136" s="258"/>
      <c r="AD136" s="258"/>
      <c r="AE136" s="258"/>
      <c r="AF136" s="258"/>
      <c r="AG136" s="258"/>
      <c r="AH136" s="258"/>
      <c r="AI136" s="258"/>
      <c r="AJ136" s="258"/>
      <c r="AK136" s="258"/>
      <c r="AL136" s="258"/>
      <c r="AM136" s="258"/>
      <c r="AN136" s="258"/>
      <c r="AO136" s="258"/>
      <c r="AP136" s="258"/>
      <c r="AQ136" s="258"/>
      <c r="AR136" s="258"/>
      <c r="AS136" s="258"/>
      <c r="AT136" s="258"/>
      <c r="AU136" s="258"/>
      <c r="AV136" s="258"/>
      <c r="AW136" s="258"/>
      <c r="AX136" s="258"/>
      <c r="AY136" s="258"/>
      <c r="AZ136" s="258"/>
      <c r="BA136" s="258"/>
      <c r="BB136" s="258"/>
      <c r="BC136" s="258"/>
      <c r="BD136" s="258"/>
      <c r="BE136" s="154"/>
    </row>
    <row r="137" spans="10:57" ht="17.25">
      <c r="W137" s="100"/>
      <c r="X137" s="258"/>
      <c r="Y137" s="258"/>
      <c r="Z137" s="258"/>
      <c r="AA137" s="258"/>
      <c r="AB137" s="258"/>
      <c r="AC137" s="258"/>
      <c r="AD137" s="258"/>
      <c r="AE137" s="258"/>
      <c r="AF137" s="258"/>
      <c r="AG137" s="258"/>
      <c r="AH137" s="258"/>
      <c r="AI137" s="258"/>
      <c r="AJ137" s="258"/>
      <c r="AK137" s="258"/>
      <c r="AL137" s="258"/>
      <c r="AM137" s="258"/>
      <c r="AN137" s="258"/>
      <c r="AO137" s="258"/>
      <c r="AP137" s="258"/>
      <c r="AQ137" s="258"/>
      <c r="AR137" s="258"/>
      <c r="AS137" s="258"/>
      <c r="AT137" s="258"/>
      <c r="AU137" s="258"/>
      <c r="AV137" s="258"/>
      <c r="AW137" s="258"/>
      <c r="AX137" s="258"/>
      <c r="AY137" s="258"/>
      <c r="AZ137" s="258"/>
      <c r="BA137" s="258"/>
      <c r="BB137" s="258"/>
      <c r="BC137" s="258"/>
      <c r="BD137" s="258"/>
      <c r="BE137" s="154"/>
    </row>
    <row r="138" spans="10:57" ht="17.25">
      <c r="W138" s="100"/>
      <c r="X138" s="258"/>
      <c r="Y138" s="258"/>
      <c r="Z138" s="258"/>
      <c r="AA138" s="258"/>
      <c r="AB138" s="258"/>
      <c r="AC138" s="258"/>
      <c r="AD138" s="258"/>
      <c r="AE138" s="258"/>
      <c r="AF138" s="258"/>
      <c r="AG138" s="258"/>
      <c r="AH138" s="258"/>
      <c r="AI138" s="258"/>
      <c r="AJ138" s="258"/>
      <c r="AK138" s="258"/>
      <c r="AL138" s="258"/>
      <c r="AM138" s="258"/>
      <c r="AN138" s="258"/>
      <c r="AO138" s="258"/>
      <c r="AP138" s="258"/>
      <c r="AQ138" s="258"/>
      <c r="AR138" s="258"/>
      <c r="AS138" s="258"/>
      <c r="AT138" s="258"/>
      <c r="AU138" s="258"/>
      <c r="AV138" s="258"/>
      <c r="AW138" s="258"/>
      <c r="AX138" s="258"/>
      <c r="AY138" s="258"/>
      <c r="AZ138" s="258"/>
      <c r="BA138" s="258"/>
      <c r="BB138" s="258"/>
      <c r="BC138" s="258"/>
      <c r="BD138" s="258"/>
      <c r="BE138" s="154"/>
    </row>
    <row r="139" spans="10:57" ht="17.25">
      <c r="W139" s="100"/>
      <c r="X139" s="258"/>
      <c r="Y139" s="258"/>
      <c r="Z139" s="258"/>
      <c r="AA139" s="258"/>
      <c r="AB139" s="258"/>
      <c r="AC139" s="258"/>
      <c r="AD139" s="258"/>
      <c r="AE139" s="258"/>
      <c r="AF139" s="258"/>
      <c r="AG139" s="258"/>
      <c r="AH139" s="258"/>
      <c r="AI139" s="258"/>
      <c r="AJ139" s="258"/>
      <c r="AK139" s="258"/>
      <c r="AL139" s="258"/>
      <c r="AM139" s="258"/>
      <c r="AN139" s="258"/>
      <c r="AO139" s="258"/>
      <c r="AP139" s="258"/>
      <c r="AQ139" s="258"/>
      <c r="AR139" s="258"/>
      <c r="AS139" s="258"/>
      <c r="AT139" s="258"/>
      <c r="AU139" s="258"/>
      <c r="AV139" s="258"/>
      <c r="AW139" s="258"/>
      <c r="AX139" s="258"/>
      <c r="AY139" s="258"/>
      <c r="AZ139" s="258"/>
      <c r="BA139" s="258"/>
      <c r="BB139" s="258"/>
      <c r="BC139" s="258"/>
      <c r="BD139" s="258"/>
      <c r="BE139" s="155"/>
    </row>
    <row r="140" spans="10:57" ht="17.25">
      <c r="W140" s="100"/>
      <c r="X140" s="152"/>
      <c r="Y140" s="156" t="s">
        <v>210</v>
      </c>
      <c r="Z140" s="152"/>
      <c r="AA140" s="152"/>
      <c r="AB140" s="152"/>
      <c r="AC140" s="152"/>
      <c r="AD140" s="152"/>
      <c r="AE140" s="100"/>
      <c r="AF140" s="100"/>
      <c r="AG140" s="100"/>
      <c r="AH140" s="100"/>
      <c r="AI140" s="100"/>
      <c r="AJ140" s="100"/>
      <c r="AK140" s="100"/>
      <c r="AL140" s="100"/>
      <c r="AM140" s="100"/>
      <c r="AN140" s="100"/>
      <c r="AO140" s="100"/>
      <c r="AP140" s="100"/>
      <c r="AQ140" s="100"/>
      <c r="AR140" s="100"/>
      <c r="AS140" s="100"/>
      <c r="AT140" s="100"/>
      <c r="AU140" s="100"/>
      <c r="AV140" s="100"/>
      <c r="AW140" s="100"/>
      <c r="AX140" s="100"/>
      <c r="AY140" s="100"/>
      <c r="AZ140" s="100"/>
      <c r="BA140" s="100"/>
      <c r="BB140" s="100"/>
      <c r="BC140" s="100"/>
      <c r="BD140" s="100"/>
      <c r="BE140" s="100"/>
    </row>
    <row r="141" spans="10:57" ht="17.25">
      <c r="W141" s="100"/>
      <c r="X141" s="152"/>
      <c r="Y141" s="152"/>
      <c r="Z141" s="152"/>
      <c r="AA141" s="152"/>
      <c r="AB141" s="152"/>
      <c r="AC141" s="152"/>
      <c r="AD141" s="152"/>
      <c r="AE141" s="100"/>
      <c r="AF141" s="100"/>
      <c r="AG141" s="100"/>
      <c r="AH141" s="100"/>
      <c r="AI141" s="100"/>
      <c r="AJ141" s="100"/>
      <c r="AK141" s="100"/>
      <c r="AL141" s="100"/>
      <c r="AM141" s="100"/>
      <c r="AN141" s="100"/>
      <c r="AO141" s="100"/>
      <c r="AP141" s="100"/>
      <c r="AQ141" s="100"/>
      <c r="AR141" s="100"/>
      <c r="AS141" s="100"/>
      <c r="AT141" s="100"/>
      <c r="AU141" s="100"/>
      <c r="AV141" s="100"/>
      <c r="AW141" s="100"/>
      <c r="AX141" s="100"/>
      <c r="AY141" s="100"/>
      <c r="AZ141" s="100"/>
      <c r="BA141" s="100"/>
      <c r="BB141" s="100"/>
      <c r="BC141" s="100"/>
      <c r="BD141" s="100"/>
      <c r="BE141" s="100"/>
    </row>
    <row r="142" spans="10:57" ht="18" thickBot="1">
      <c r="W142" s="100"/>
      <c r="X142" s="157" t="s">
        <v>211</v>
      </c>
      <c r="Y142" s="152"/>
      <c r="Z142" s="152"/>
      <c r="AA142" s="259"/>
      <c r="AB142" s="259"/>
      <c r="AC142" s="259"/>
      <c r="AD142" s="152"/>
      <c r="AE142" s="100"/>
      <c r="AF142" s="100"/>
      <c r="AG142" s="100"/>
      <c r="AH142" s="100"/>
      <c r="AI142" s="100"/>
      <c r="AJ142" s="100"/>
      <c r="AK142" s="100"/>
      <c r="AL142" s="100"/>
      <c r="AM142" s="100"/>
      <c r="AN142" s="100"/>
      <c r="AO142" s="100"/>
      <c r="AP142" s="100"/>
      <c r="AQ142" s="100"/>
      <c r="AR142" s="100"/>
      <c r="AS142" s="100"/>
      <c r="AT142" s="100"/>
      <c r="AU142" s="100"/>
      <c r="AV142" s="100"/>
      <c r="AW142" s="100"/>
      <c r="AX142" s="100"/>
      <c r="AY142" s="100"/>
      <c r="AZ142" s="100"/>
      <c r="BA142" s="100"/>
      <c r="BB142" s="100"/>
      <c r="BC142" s="100"/>
      <c r="BD142" s="100"/>
      <c r="BE142" s="100"/>
    </row>
    <row r="143" spans="10:57" ht="18" thickBot="1">
      <c r="W143" s="100"/>
      <c r="X143" s="157" t="s">
        <v>212</v>
      </c>
      <c r="Y143" s="152"/>
      <c r="Z143" s="152"/>
      <c r="AA143" s="300"/>
      <c r="AB143" s="300"/>
      <c r="AC143" s="300"/>
      <c r="AD143" s="152"/>
      <c r="AE143" s="100"/>
      <c r="AF143" s="100"/>
      <c r="AG143" s="100"/>
      <c r="AH143" s="100"/>
      <c r="AI143" s="100"/>
      <c r="AJ143" s="100"/>
      <c r="AK143" s="100"/>
      <c r="AL143" s="100"/>
      <c r="AM143" s="100"/>
      <c r="AN143" s="100"/>
      <c r="AO143" s="100"/>
      <c r="AP143" s="100"/>
      <c r="AQ143" s="100"/>
      <c r="AR143" s="100"/>
      <c r="AS143" s="100"/>
      <c r="AT143" s="100"/>
      <c r="AU143" s="100"/>
      <c r="AV143" s="100"/>
      <c r="AW143" s="100"/>
      <c r="AX143" s="100"/>
      <c r="AY143" s="100"/>
      <c r="AZ143" s="100"/>
      <c r="BA143" s="100"/>
      <c r="BB143" s="100"/>
      <c r="BC143" s="100"/>
      <c r="BD143" s="100"/>
      <c r="BE143" s="100"/>
    </row>
    <row r="144" spans="10:57" ht="18" thickBot="1">
      <c r="W144" s="100"/>
      <c r="X144" s="157" t="s">
        <v>213</v>
      </c>
      <c r="Y144" s="152"/>
      <c r="Z144" s="152"/>
      <c r="AA144" s="300"/>
      <c r="AB144" s="300"/>
      <c r="AC144" s="300"/>
      <c r="AD144" s="152"/>
      <c r="AE144" s="100"/>
      <c r="AF144" s="100"/>
      <c r="AG144" s="100"/>
      <c r="AH144" s="100"/>
      <c r="AI144" s="100"/>
      <c r="AJ144" s="100"/>
      <c r="AK144" s="100"/>
      <c r="AL144" s="100"/>
      <c r="AM144" s="100"/>
      <c r="AN144" s="100"/>
      <c r="AO144" s="100"/>
      <c r="AP144" s="100"/>
      <c r="AQ144" s="100"/>
      <c r="AR144" s="100"/>
      <c r="AS144" s="100"/>
      <c r="AT144" s="100"/>
      <c r="AU144" s="100"/>
      <c r="AV144" s="100"/>
      <c r="AW144" s="100"/>
      <c r="AX144" s="100"/>
      <c r="AY144" s="100"/>
      <c r="AZ144" s="100"/>
      <c r="BA144" s="100"/>
      <c r="BB144" s="100"/>
      <c r="BC144" s="100"/>
      <c r="BD144" s="100"/>
      <c r="BE144" s="100"/>
    </row>
    <row r="145" spans="23:57" ht="18" thickBot="1">
      <c r="W145" s="100"/>
      <c r="X145" s="157" t="s">
        <v>214</v>
      </c>
      <c r="Y145" s="152"/>
      <c r="Z145" s="152"/>
      <c r="AA145" s="300"/>
      <c r="AB145" s="300"/>
      <c r="AC145" s="300"/>
      <c r="AD145" s="152"/>
      <c r="AE145" s="100"/>
      <c r="AF145" s="100"/>
      <c r="AG145" s="100"/>
      <c r="AH145" s="100"/>
      <c r="AI145" s="100"/>
      <c r="AJ145" s="100"/>
      <c r="AK145" s="100"/>
      <c r="AL145" s="100"/>
      <c r="AM145" s="100"/>
      <c r="AN145" s="100"/>
      <c r="AO145" s="100"/>
      <c r="AP145" s="100"/>
      <c r="AQ145" s="100"/>
      <c r="AR145" s="100"/>
      <c r="AS145" s="100"/>
      <c r="AT145" s="100"/>
      <c r="AU145" s="100"/>
      <c r="AV145" s="100"/>
      <c r="AW145" s="100"/>
      <c r="AX145" s="100"/>
      <c r="AY145" s="100"/>
      <c r="AZ145" s="100"/>
      <c r="BA145" s="100"/>
      <c r="BB145" s="100"/>
      <c r="BC145" s="100"/>
      <c r="BD145" s="100"/>
      <c r="BE145" s="100"/>
    </row>
    <row r="146" spans="23:57" ht="15.75">
      <c r="W146" s="100"/>
      <c r="X146" s="158"/>
      <c r="Y146" s="100"/>
      <c r="Z146" s="100"/>
      <c r="AA146" s="109"/>
      <c r="AB146" s="109"/>
      <c r="AC146" s="109"/>
      <c r="AD146" s="100"/>
      <c r="AE146" s="100"/>
      <c r="AF146" s="100"/>
      <c r="AG146" s="100"/>
      <c r="AH146" s="100"/>
      <c r="AI146" s="100"/>
      <c r="AJ146" s="100"/>
      <c r="AK146" s="100"/>
      <c r="AL146" s="100"/>
      <c r="AM146" s="100"/>
      <c r="AN146" s="100"/>
      <c r="AO146" s="100"/>
      <c r="AP146" s="100"/>
      <c r="AQ146" s="100"/>
      <c r="AR146" s="100"/>
      <c r="AS146" s="100"/>
      <c r="AT146" s="100"/>
      <c r="AU146" s="100"/>
      <c r="AV146" s="100"/>
      <c r="AW146" s="100"/>
      <c r="AX146" s="100"/>
      <c r="AY146" s="100"/>
      <c r="AZ146" s="100"/>
      <c r="BA146" s="100"/>
      <c r="BB146" s="100"/>
      <c r="BC146" s="100"/>
      <c r="BD146" s="100"/>
      <c r="BE146" s="100"/>
    </row>
    <row r="147" spans="23:57" ht="18.75">
      <c r="W147" s="100"/>
      <c r="X147" s="253" t="s">
        <v>215</v>
      </c>
      <c r="Y147" s="254"/>
      <c r="Z147" s="254"/>
      <c r="AA147" s="254"/>
      <c r="AB147" s="254"/>
      <c r="AC147" s="254"/>
      <c r="AD147" s="254"/>
      <c r="AE147" s="254"/>
      <c r="AF147" s="254"/>
      <c r="AG147" s="254"/>
      <c r="AH147" s="254"/>
      <c r="AI147" s="254"/>
      <c r="AJ147" s="254"/>
      <c r="AK147" s="254"/>
      <c r="AL147" s="254"/>
      <c r="AM147" s="254"/>
      <c r="AN147" s="254"/>
      <c r="AO147" s="254"/>
      <c r="AP147" s="254"/>
      <c r="AQ147" s="254"/>
      <c r="AR147" s="254"/>
      <c r="AS147" s="254"/>
      <c r="AT147" s="254"/>
      <c r="AU147" s="254"/>
      <c r="AV147" s="254"/>
      <c r="AW147" s="254"/>
      <c r="AX147" s="254"/>
      <c r="AY147" s="254"/>
      <c r="AZ147" s="254"/>
      <c r="BA147" s="254"/>
      <c r="BB147" s="254"/>
      <c r="BC147" s="254"/>
      <c r="BD147" s="254"/>
      <c r="BE147" s="159"/>
    </row>
    <row r="148" spans="23:57" ht="15.75">
      <c r="W148" s="100"/>
      <c r="X148" s="160"/>
      <c r="Y148" s="161"/>
      <c r="Z148" s="161"/>
      <c r="AA148" s="161"/>
      <c r="AB148" s="161"/>
      <c r="AC148" s="161"/>
      <c r="AD148" s="161"/>
      <c r="AE148" s="161"/>
      <c r="AF148" s="161"/>
      <c r="AG148" s="161"/>
      <c r="AH148" s="161"/>
      <c r="AI148" s="161"/>
      <c r="AJ148" s="161"/>
      <c r="AK148" s="161"/>
      <c r="AL148" s="161"/>
      <c r="AM148" s="161"/>
      <c r="AN148" s="161"/>
      <c r="AO148" s="161"/>
      <c r="AP148" s="161"/>
      <c r="AQ148" s="161"/>
      <c r="AR148" s="161"/>
      <c r="AS148" s="161"/>
      <c r="AT148" s="161"/>
      <c r="AU148" s="161"/>
      <c r="AV148" s="161"/>
      <c r="AW148" s="161"/>
      <c r="AX148" s="161"/>
      <c r="AY148" s="161"/>
      <c r="AZ148" s="161"/>
      <c r="BA148" s="161"/>
      <c r="BB148" s="161"/>
      <c r="BC148" s="161"/>
      <c r="BD148" s="161"/>
      <c r="BE148" s="161"/>
    </row>
    <row r="149" spans="23:57" ht="17.25">
      <c r="W149" s="100"/>
      <c r="X149" s="152"/>
      <c r="Y149" s="152" t="s">
        <v>216</v>
      </c>
      <c r="Z149" s="100"/>
      <c r="AA149" s="100"/>
      <c r="AB149" s="100"/>
      <c r="AC149" s="100"/>
      <c r="AD149" s="100"/>
      <c r="AE149" s="100"/>
      <c r="AF149" s="100"/>
      <c r="AG149" s="100"/>
      <c r="AH149" s="100"/>
      <c r="AI149" s="100"/>
      <c r="AJ149" s="100"/>
      <c r="AK149" s="100"/>
      <c r="AL149" s="100"/>
      <c r="AM149" s="100"/>
      <c r="AN149" s="100"/>
      <c r="AO149" s="100"/>
      <c r="AP149" s="100"/>
      <c r="AQ149" s="100"/>
      <c r="AR149" s="100"/>
      <c r="AS149" s="100"/>
      <c r="AT149" s="100"/>
      <c r="AU149" s="100"/>
      <c r="AV149" s="100"/>
      <c r="AW149" s="100"/>
      <c r="AX149" s="100"/>
      <c r="AY149" s="100"/>
      <c r="AZ149" s="100"/>
      <c r="BA149" s="100"/>
      <c r="BB149" s="100"/>
      <c r="BC149" s="100"/>
      <c r="BD149" s="100"/>
      <c r="BE149" s="100"/>
    </row>
    <row r="150" spans="23:57" ht="17.25">
      <c r="W150" s="100"/>
      <c r="X150" s="162" t="s">
        <v>217</v>
      </c>
      <c r="Y150" s="152"/>
      <c r="Z150" s="100"/>
      <c r="AA150" s="100"/>
      <c r="AB150" s="100"/>
      <c r="AC150" s="100"/>
      <c r="AD150" s="100"/>
      <c r="AE150" s="100"/>
      <c r="AF150" s="100"/>
      <c r="AG150" s="100"/>
      <c r="AH150" s="100"/>
      <c r="AI150" s="100"/>
      <c r="AJ150" s="100"/>
      <c r="AK150" s="100"/>
      <c r="AL150" s="100"/>
      <c r="AM150" s="100"/>
      <c r="AN150" s="100"/>
      <c r="AO150" s="100"/>
      <c r="AP150" s="100"/>
      <c r="AQ150" s="100"/>
      <c r="AR150" s="100"/>
      <c r="AS150" s="100"/>
      <c r="AT150" s="100"/>
      <c r="AU150" s="100"/>
      <c r="AV150" s="100"/>
      <c r="AW150" s="100"/>
      <c r="AX150" s="100"/>
      <c r="AY150" s="100"/>
      <c r="AZ150" s="100"/>
      <c r="BA150" s="100"/>
      <c r="BB150" s="100"/>
      <c r="BC150" s="100"/>
      <c r="BD150" s="100"/>
      <c r="BE150" s="100"/>
    </row>
    <row r="151" spans="23:57" ht="19.5" thickBot="1">
      <c r="W151" s="100"/>
      <c r="X151" s="162" t="s">
        <v>218</v>
      </c>
      <c r="Y151" s="152"/>
      <c r="Z151" s="100"/>
      <c r="AA151" s="100"/>
      <c r="AB151" s="100"/>
      <c r="AC151" s="136"/>
      <c r="AD151" s="255">
        <f>AC83</f>
        <v>2797.3541131778288</v>
      </c>
      <c r="AE151" s="255"/>
      <c r="AF151" s="255"/>
      <c r="AG151" s="255"/>
      <c r="AH151" s="298" t="s">
        <v>219</v>
      </c>
      <c r="AI151" s="298"/>
      <c r="AJ151" s="298"/>
      <c r="AK151" s="298"/>
      <c r="AL151" s="176" t="str">
        <f>AG83</f>
        <v>12 Months</v>
      </c>
      <c r="AM151" s="176"/>
      <c r="AN151" s="177"/>
      <c r="AO151" t="s">
        <v>241</v>
      </c>
      <c r="AQ151" s="100"/>
      <c r="AR151" s="100"/>
      <c r="AS151" s="100"/>
      <c r="AT151" s="100"/>
      <c r="AU151" s="299">
        <f>AW83</f>
        <v>33568.249358133944</v>
      </c>
      <c r="AV151" s="299"/>
      <c r="AW151" s="299"/>
      <c r="AX151" s="299"/>
      <c r="AY151" s="299"/>
      <c r="AZ151" s="163" t="s">
        <v>221</v>
      </c>
      <c r="BA151" s="164"/>
      <c r="BB151" s="164"/>
      <c r="BC151" s="164"/>
      <c r="BE151" s="100"/>
    </row>
    <row r="152" spans="23:57" ht="17.25">
      <c r="W152" s="100"/>
      <c r="X152" s="152"/>
      <c r="Y152" s="156" t="s">
        <v>222</v>
      </c>
      <c r="Z152" s="100"/>
      <c r="AA152" s="100"/>
      <c r="AB152" s="100"/>
      <c r="AC152" s="100"/>
      <c r="AD152" s="100"/>
      <c r="AE152" s="100"/>
      <c r="AF152" s="100"/>
      <c r="AG152" s="100"/>
      <c r="AH152" s="100"/>
      <c r="AI152" s="100"/>
      <c r="AJ152" s="100"/>
      <c r="AK152" s="100"/>
      <c r="AL152" s="100"/>
      <c r="AM152" s="100"/>
      <c r="AN152" s="100"/>
      <c r="AO152" s="100"/>
      <c r="AP152" s="100"/>
      <c r="AQ152" s="100"/>
      <c r="AR152" s="100"/>
      <c r="AS152" s="100"/>
      <c r="AT152" s="100"/>
      <c r="AU152" s="100"/>
      <c r="AV152" s="100"/>
      <c r="AW152" s="100"/>
      <c r="AX152" s="100"/>
      <c r="AY152" s="100"/>
      <c r="AZ152" s="100"/>
      <c r="BA152" s="100"/>
      <c r="BB152" s="100"/>
      <c r="BC152" s="100"/>
      <c r="BD152" s="100"/>
      <c r="BE152" s="100"/>
    </row>
    <row r="153" spans="23:57" ht="17.25">
      <c r="W153" s="100"/>
      <c r="X153" s="156" t="s">
        <v>223</v>
      </c>
      <c r="Y153" s="152"/>
      <c r="Z153" s="100"/>
      <c r="AA153" s="100"/>
      <c r="AB153" s="100"/>
      <c r="AC153" s="100"/>
      <c r="AD153" s="100"/>
      <c r="AE153" s="100"/>
      <c r="AF153" s="100"/>
      <c r="AG153" s="100"/>
      <c r="AH153" s="100"/>
      <c r="AI153" s="100"/>
      <c r="AJ153" s="100"/>
      <c r="AK153" s="100"/>
      <c r="AL153" s="100"/>
      <c r="AM153" s="100"/>
      <c r="AN153" s="100"/>
      <c r="AO153" s="100"/>
      <c r="AP153" s="100"/>
      <c r="AQ153" s="100"/>
      <c r="AR153" s="100"/>
      <c r="AS153" s="100"/>
      <c r="AT153" s="100"/>
      <c r="AU153" s="100"/>
      <c r="AV153" s="100"/>
      <c r="AW153" s="100"/>
      <c r="AX153" s="100"/>
      <c r="AY153" s="100"/>
      <c r="AZ153" s="100"/>
      <c r="BA153" s="100"/>
      <c r="BB153" s="100"/>
      <c r="BC153" s="100"/>
      <c r="BD153" s="100"/>
      <c r="BE153" s="100"/>
    </row>
    <row r="154" spans="23:57" ht="15.75">
      <c r="W154" s="100"/>
      <c r="X154" s="100"/>
      <c r="Y154" s="100"/>
      <c r="Z154" s="100"/>
      <c r="AA154" s="100"/>
      <c r="AB154" s="100"/>
      <c r="AC154" s="100"/>
      <c r="AD154" s="100"/>
      <c r="AE154" s="100"/>
      <c r="AF154" s="100"/>
      <c r="AG154" s="100"/>
      <c r="AH154" s="100"/>
      <c r="AI154" s="100"/>
      <c r="AJ154" s="100"/>
      <c r="AK154" s="100"/>
      <c r="AL154" s="100"/>
      <c r="AM154" s="100"/>
      <c r="AN154" s="100"/>
      <c r="AO154" s="100"/>
      <c r="AP154" s="100"/>
      <c r="AQ154" s="100"/>
      <c r="AR154" s="100"/>
      <c r="AS154" s="100"/>
      <c r="AT154" s="100"/>
      <c r="AU154" s="100"/>
      <c r="AV154" s="100"/>
      <c r="AW154" s="100"/>
      <c r="AX154" s="100"/>
      <c r="AY154" s="100"/>
      <c r="AZ154" s="100"/>
      <c r="BA154" s="100"/>
      <c r="BB154" s="100"/>
      <c r="BC154" s="100"/>
      <c r="BD154" s="100"/>
      <c r="BE154" s="100"/>
    </row>
    <row r="155" spans="23:57" ht="19.5" thickBot="1">
      <c r="W155" s="100"/>
      <c r="X155" s="100"/>
      <c r="Y155" s="100"/>
      <c r="Z155" s="100"/>
      <c r="AA155" s="100"/>
      <c r="AB155" s="100"/>
      <c r="AC155" s="100"/>
      <c r="AD155" s="100"/>
      <c r="AE155" s="100"/>
      <c r="AF155" s="100"/>
      <c r="AG155" s="100"/>
      <c r="AH155" s="100"/>
      <c r="AI155" s="395" t="str">
        <f>Z123</f>
        <v>RHODA SAMIANA PAGGABAO</v>
      </c>
      <c r="AJ155" s="395"/>
      <c r="AK155" s="395"/>
      <c r="AL155" s="395"/>
      <c r="AM155" s="395"/>
      <c r="AN155" s="395"/>
      <c r="AO155" s="395"/>
      <c r="AP155" s="395"/>
      <c r="AQ155" s="395"/>
      <c r="AR155" s="395"/>
      <c r="AS155" s="395"/>
      <c r="AT155" s="175"/>
      <c r="AU155" s="175"/>
      <c r="AV155" s="100"/>
      <c r="AW155" s="100"/>
      <c r="AX155" s="100"/>
      <c r="AY155" s="100"/>
      <c r="AZ155" s="100"/>
      <c r="BA155" s="100"/>
      <c r="BB155" s="100"/>
      <c r="BC155" s="100"/>
      <c r="BD155" s="100"/>
      <c r="BE155" s="100"/>
    </row>
    <row r="156" spans="23:57" ht="15.75">
      <c r="W156" s="100"/>
      <c r="X156" s="252" t="s">
        <v>224</v>
      </c>
      <c r="Y156" s="252"/>
      <c r="Z156" s="252"/>
      <c r="AA156" s="252"/>
      <c r="AB156" s="252"/>
      <c r="AC156" s="252"/>
      <c r="AD156" s="252"/>
      <c r="AE156" s="252"/>
      <c r="AF156" s="252"/>
      <c r="AG156" s="252"/>
      <c r="AH156" s="252"/>
      <c r="AI156" s="252"/>
      <c r="AJ156" s="252"/>
      <c r="AK156" s="252"/>
      <c r="AL156" s="252"/>
      <c r="AM156" s="252"/>
      <c r="AN156" s="252"/>
      <c r="AO156" s="252"/>
      <c r="AP156" s="252"/>
      <c r="AQ156" s="252"/>
      <c r="AR156" s="252"/>
      <c r="AS156" s="252"/>
      <c r="AT156" s="252"/>
      <c r="AU156" s="252"/>
      <c r="AV156" s="252"/>
      <c r="AW156" s="252"/>
      <c r="AX156" s="252"/>
      <c r="AY156" s="252"/>
      <c r="AZ156" s="252"/>
      <c r="BA156" s="252"/>
      <c r="BB156" s="252"/>
      <c r="BC156" s="252"/>
      <c r="BD156" s="252"/>
      <c r="BE156" s="102"/>
    </row>
    <row r="157" spans="23:57" ht="15.75">
      <c r="W157" s="100"/>
      <c r="X157" s="143"/>
      <c r="Y157" s="143"/>
      <c r="Z157" s="143"/>
      <c r="AA157" s="143"/>
      <c r="AB157" s="143"/>
      <c r="AC157" s="143"/>
      <c r="AD157" s="143"/>
      <c r="AE157" s="143"/>
      <c r="AF157" s="143"/>
      <c r="AG157" s="143"/>
      <c r="AH157" s="143"/>
      <c r="AI157" s="143"/>
      <c r="AJ157" s="143"/>
      <c r="AK157" s="143"/>
      <c r="AL157" s="143"/>
      <c r="AM157" s="143"/>
      <c r="AN157" s="143"/>
      <c r="AO157" s="143"/>
      <c r="AP157" s="143"/>
      <c r="AQ157" s="143"/>
      <c r="AR157" s="143"/>
      <c r="AS157" s="143"/>
      <c r="AT157" s="143"/>
      <c r="AU157" s="143"/>
      <c r="AV157" s="143"/>
      <c r="AW157" s="143"/>
      <c r="AX157" s="143"/>
      <c r="AY157" s="143"/>
      <c r="AZ157" s="143"/>
      <c r="BA157" s="143"/>
      <c r="BB157" s="143"/>
      <c r="BC157" s="143"/>
      <c r="BD157" s="143"/>
      <c r="BE157" s="135"/>
    </row>
    <row r="158" spans="23:57" ht="18.75">
      <c r="W158" s="100"/>
      <c r="X158" s="253" t="s">
        <v>158</v>
      </c>
      <c r="Y158" s="254"/>
      <c r="Z158" s="254"/>
      <c r="AA158" s="254"/>
      <c r="AB158" s="254"/>
      <c r="AC158" s="254"/>
      <c r="AD158" s="254"/>
      <c r="AE158" s="254"/>
      <c r="AF158" s="254"/>
      <c r="AG158" s="254"/>
      <c r="AH158" s="254"/>
      <c r="AI158" s="254"/>
      <c r="AJ158" s="254"/>
      <c r="AK158" s="254"/>
      <c r="AL158" s="254"/>
      <c r="AM158" s="254"/>
      <c r="AN158" s="254"/>
      <c r="AO158" s="254"/>
      <c r="AP158" s="254"/>
      <c r="AQ158" s="254"/>
      <c r="AR158" s="254"/>
      <c r="AS158" s="254"/>
      <c r="AT158" s="254"/>
      <c r="AU158" s="254"/>
      <c r="AV158" s="254"/>
      <c r="AW158" s="254"/>
      <c r="AX158" s="254"/>
      <c r="AY158" s="254"/>
      <c r="AZ158" s="254"/>
      <c r="BA158" s="254"/>
      <c r="BB158" s="254"/>
      <c r="BC158" s="254"/>
      <c r="BD158" s="254"/>
      <c r="BE158" s="159"/>
    </row>
    <row r="159" spans="23:57" ht="15.75">
      <c r="W159" s="100"/>
      <c r="X159" s="100"/>
      <c r="Y159" s="100"/>
      <c r="Z159" s="100"/>
      <c r="AA159" s="100"/>
      <c r="AB159" s="100"/>
      <c r="AC159" s="100"/>
      <c r="AD159" s="100"/>
      <c r="AE159" s="100"/>
      <c r="AF159" s="100"/>
      <c r="AG159" s="100"/>
      <c r="AH159" s="100"/>
      <c r="AI159" s="100"/>
      <c r="AJ159" s="100"/>
      <c r="AK159" s="100"/>
      <c r="AL159" s="100"/>
      <c r="AM159" s="100"/>
      <c r="AN159" s="100"/>
      <c r="AO159" s="100"/>
      <c r="AP159" s="100"/>
      <c r="AQ159" s="100"/>
      <c r="AR159" s="100"/>
      <c r="AS159" s="100"/>
      <c r="AT159" s="100"/>
      <c r="AU159" s="100"/>
      <c r="AV159" s="100"/>
      <c r="AW159" s="100"/>
      <c r="AX159" s="100"/>
      <c r="AY159" s="100"/>
      <c r="AZ159" s="100"/>
      <c r="BA159" s="100"/>
      <c r="BB159" s="100"/>
      <c r="BC159" s="100"/>
      <c r="BD159" s="100"/>
      <c r="BE159" s="100"/>
    </row>
    <row r="160" spans="23:57" ht="17.25">
      <c r="W160" s="100"/>
      <c r="X160" s="152"/>
      <c r="Y160" s="156" t="s">
        <v>225</v>
      </c>
      <c r="Z160" s="100"/>
      <c r="AA160" s="100"/>
      <c r="AB160" s="100"/>
      <c r="AC160" s="100"/>
      <c r="AD160" s="100"/>
      <c r="AE160" s="100"/>
      <c r="AF160" s="100"/>
      <c r="AG160" s="100"/>
      <c r="AH160" s="100"/>
      <c r="AI160" s="100"/>
      <c r="AJ160" s="100"/>
      <c r="AK160" s="100"/>
      <c r="AL160" s="100"/>
      <c r="AM160" s="100"/>
      <c r="AN160" s="100"/>
      <c r="AO160" s="100"/>
      <c r="AP160" s="100"/>
      <c r="AQ160" s="100"/>
      <c r="AR160" s="100"/>
      <c r="AS160" s="100"/>
      <c r="AT160" s="100"/>
      <c r="AU160" s="100"/>
      <c r="AV160" s="100"/>
      <c r="AW160" s="100"/>
      <c r="AX160" s="100"/>
      <c r="AY160" s="100"/>
      <c r="AZ160" s="100"/>
      <c r="BA160" s="100"/>
      <c r="BB160" s="100"/>
      <c r="BC160" s="100"/>
      <c r="BD160" s="100"/>
      <c r="BE160" s="100"/>
    </row>
    <row r="161" spans="23:57" ht="17.25">
      <c r="W161" s="100"/>
      <c r="X161" s="156" t="s">
        <v>226</v>
      </c>
      <c r="Y161" s="152"/>
      <c r="Z161" s="100"/>
      <c r="AA161" s="100"/>
      <c r="AB161" s="100"/>
      <c r="AC161" s="100"/>
      <c r="AD161" s="100"/>
      <c r="AE161" s="100"/>
      <c r="AF161" s="100"/>
      <c r="AG161" s="100"/>
      <c r="AH161" s="100"/>
      <c r="AI161" s="100"/>
      <c r="AJ161" s="100"/>
      <c r="AK161" s="100"/>
      <c r="AL161" s="100"/>
      <c r="AM161" s="100"/>
      <c r="AN161" s="100"/>
      <c r="AO161" s="100"/>
      <c r="AP161" s="100"/>
      <c r="AQ161" s="100"/>
      <c r="AR161" s="100"/>
      <c r="AS161" s="100"/>
      <c r="AT161" s="100"/>
      <c r="AU161" s="100"/>
      <c r="AV161" s="100"/>
      <c r="AW161" s="100"/>
      <c r="AX161" s="100"/>
      <c r="AY161" s="100"/>
      <c r="AZ161" s="100"/>
      <c r="BA161" s="100"/>
      <c r="BB161" s="100"/>
      <c r="BC161" s="100"/>
      <c r="BD161" s="100"/>
      <c r="BE161" s="100"/>
    </row>
    <row r="162" spans="23:57" ht="17.25">
      <c r="W162" s="100"/>
      <c r="X162" s="156" t="s">
        <v>227</v>
      </c>
      <c r="Y162" s="152"/>
      <c r="Z162" s="100"/>
      <c r="AA162" s="100"/>
      <c r="AB162" s="100"/>
      <c r="AC162" s="100"/>
      <c r="AD162" s="100"/>
      <c r="AE162" s="100"/>
      <c r="AF162" s="100"/>
      <c r="AG162" s="100"/>
      <c r="AH162" s="100"/>
      <c r="AI162" s="100"/>
      <c r="AJ162" s="100"/>
      <c r="AK162" s="100"/>
      <c r="AL162" s="100"/>
      <c r="AM162" s="100"/>
      <c r="AN162" s="100"/>
      <c r="AO162" s="100"/>
      <c r="AP162" s="100"/>
      <c r="AQ162" s="100"/>
      <c r="AR162" s="100"/>
      <c r="AS162" s="100"/>
      <c r="AT162" s="100"/>
      <c r="AU162" s="100"/>
      <c r="AV162" s="100"/>
      <c r="AW162" s="100"/>
      <c r="AX162" s="100"/>
      <c r="AY162" s="100"/>
      <c r="AZ162" s="100"/>
      <c r="BA162" s="100"/>
      <c r="BB162" s="100"/>
      <c r="BC162" s="100"/>
      <c r="BD162" s="100"/>
      <c r="BE162" s="100"/>
    </row>
    <row r="163" spans="23:57" ht="17.25">
      <c r="W163" s="100"/>
      <c r="X163" s="156"/>
      <c r="Y163" s="152"/>
      <c r="Z163" s="100"/>
      <c r="AA163" s="100"/>
      <c r="AB163" s="100"/>
      <c r="AC163" s="100"/>
      <c r="AD163" s="100"/>
      <c r="AE163" s="100"/>
      <c r="AF163" s="100"/>
      <c r="AG163" s="100"/>
      <c r="AH163" s="100"/>
      <c r="AI163" s="100"/>
      <c r="AJ163" s="100"/>
      <c r="AK163" s="100"/>
      <c r="AL163" s="100"/>
      <c r="AM163" s="100"/>
      <c r="AN163" s="100"/>
      <c r="AO163" s="100"/>
      <c r="AP163" s="100"/>
      <c r="AQ163" s="100"/>
      <c r="AR163" s="100"/>
      <c r="AS163" s="100"/>
      <c r="AT163" s="100"/>
      <c r="AU163" s="100"/>
      <c r="AV163" s="100"/>
      <c r="AW163" s="100"/>
      <c r="AX163" s="100"/>
      <c r="AY163" s="100"/>
      <c r="AZ163" s="100"/>
      <c r="BA163" s="100"/>
      <c r="BB163" s="100"/>
      <c r="BC163" s="100"/>
      <c r="BD163" s="100"/>
      <c r="BE163" s="100"/>
    </row>
    <row r="164" spans="23:57" ht="17.25">
      <c r="W164" s="100"/>
      <c r="X164" s="156"/>
      <c r="Y164" s="152"/>
      <c r="Z164" s="100"/>
      <c r="AA164" s="100"/>
      <c r="AB164" s="100"/>
      <c r="AC164" s="100"/>
      <c r="AD164" s="100"/>
      <c r="AE164" s="100"/>
      <c r="AF164" s="100"/>
      <c r="AG164" s="100"/>
      <c r="AH164" s="100"/>
      <c r="AI164" s="100"/>
      <c r="AJ164" s="100"/>
      <c r="AK164" s="100"/>
      <c r="AL164" s="100"/>
      <c r="AM164" s="100"/>
      <c r="AN164" s="100"/>
      <c r="AO164" s="100"/>
      <c r="AP164" s="100"/>
      <c r="AQ164" s="100"/>
      <c r="AR164" s="100"/>
      <c r="AS164" s="100"/>
      <c r="AT164" s="100"/>
      <c r="AU164" s="100"/>
      <c r="AV164" s="100"/>
      <c r="AW164" s="100"/>
      <c r="AX164" s="100"/>
      <c r="AY164" s="100"/>
      <c r="AZ164" s="100"/>
      <c r="BA164" s="100"/>
      <c r="BB164" s="100"/>
      <c r="BC164" s="100"/>
      <c r="BD164" s="100"/>
      <c r="BE164" s="100"/>
    </row>
    <row r="165" spans="23:57" ht="16.5" thickBot="1">
      <c r="W165" s="100"/>
      <c r="X165" s="100"/>
      <c r="Y165" s="100"/>
      <c r="Z165" s="100"/>
      <c r="AA165" s="100"/>
      <c r="AB165" s="100"/>
      <c r="AC165" s="100"/>
      <c r="AD165" s="100"/>
      <c r="AE165" s="100"/>
      <c r="AF165" s="102"/>
      <c r="AG165" s="102"/>
      <c r="AH165" s="102"/>
      <c r="AI165" s="212"/>
      <c r="AJ165" s="212"/>
      <c r="AK165" s="212"/>
      <c r="AL165" s="212"/>
      <c r="AM165" s="212" t="s">
        <v>240</v>
      </c>
      <c r="AN165" s="212"/>
      <c r="AO165" s="212"/>
      <c r="AP165" s="212"/>
      <c r="AQ165" s="212"/>
      <c r="AR165" s="212"/>
      <c r="AS165" s="212"/>
      <c r="AT165" s="212"/>
      <c r="AU165" s="212"/>
      <c r="AV165" s="102"/>
      <c r="AW165" s="102"/>
      <c r="AX165" s="102"/>
      <c r="AZ165" s="100"/>
      <c r="BA165" s="100"/>
      <c r="BB165" s="100"/>
      <c r="BC165" s="100"/>
      <c r="BD165" s="100"/>
      <c r="BE165" s="100"/>
    </row>
    <row r="166" spans="23:57" ht="15.75">
      <c r="W166" s="100"/>
      <c r="Z166" s="102"/>
      <c r="AA166" s="102"/>
      <c r="AB166" s="102"/>
      <c r="AC166" s="102"/>
      <c r="AD166" s="102"/>
      <c r="AE166" s="102"/>
      <c r="AF166" s="252" t="s">
        <v>228</v>
      </c>
      <c r="AG166" s="252"/>
      <c r="AH166" s="252"/>
      <c r="AI166" s="252"/>
      <c r="AJ166" s="252"/>
      <c r="AK166" s="252"/>
      <c r="AL166" s="252"/>
      <c r="AM166" s="252"/>
      <c r="AN166" s="252"/>
      <c r="AO166" s="252"/>
      <c r="AP166" s="252"/>
      <c r="AQ166" s="252"/>
      <c r="AR166" s="252"/>
      <c r="AS166" s="252"/>
      <c r="AT166" s="252"/>
      <c r="AU166" s="252"/>
      <c r="AV166" s="252"/>
      <c r="AW166" s="252"/>
      <c r="AX166" s="252"/>
      <c r="AY166" s="102"/>
      <c r="AZ166" s="102"/>
      <c r="BA166" s="102"/>
      <c r="BB166" s="102"/>
      <c r="BC166" s="102"/>
      <c r="BD166" s="102"/>
      <c r="BE166" s="102"/>
    </row>
    <row r="167" spans="23:57" ht="15.75">
      <c r="W167" s="100"/>
      <c r="X167" s="100"/>
      <c r="Y167" s="100"/>
      <c r="Z167" s="100"/>
      <c r="AA167" s="100"/>
      <c r="AB167" s="102"/>
      <c r="AC167" s="100"/>
      <c r="AD167" s="100"/>
      <c r="AE167" s="100"/>
      <c r="AF167" s="100"/>
      <c r="AG167" s="100"/>
      <c r="AH167" s="100"/>
      <c r="AI167" s="100"/>
      <c r="AJ167" s="100"/>
      <c r="AK167" s="100"/>
      <c r="AL167" s="100"/>
      <c r="AM167" s="100"/>
      <c r="AN167" s="100"/>
      <c r="AO167" s="100"/>
      <c r="AP167" s="100"/>
      <c r="AQ167" s="100"/>
      <c r="AR167" s="100"/>
      <c r="AS167" s="100"/>
      <c r="AT167" s="100"/>
      <c r="AU167" s="100"/>
      <c r="AV167" s="100"/>
      <c r="AW167" s="100"/>
      <c r="AX167" s="100"/>
      <c r="AY167" s="100"/>
      <c r="AZ167" s="100"/>
      <c r="BA167" s="100"/>
      <c r="BB167" s="100"/>
      <c r="BC167" s="100"/>
      <c r="BD167" s="100"/>
      <c r="BE167" s="100"/>
    </row>
  </sheetData>
  <protectedRanges>
    <protectedRange sqref="E25" name="Range20"/>
    <protectedRange sqref="G24" name="Range19"/>
    <protectedRange sqref="E24" name="Range18"/>
    <protectedRange sqref="D23" name="Range17"/>
    <protectedRange sqref="F23" name="Range16"/>
    <protectedRange sqref="G24" name="Range15"/>
    <protectedRange sqref="D22" name="Range13"/>
    <protectedRange sqref="C1" name="Range12"/>
    <protectedRange sqref="C3:C9" name="Range11"/>
    <protectedRange sqref="C10:CT10" name="Range21"/>
    <protectedRange sqref="C12" name="Range22"/>
    <protectedRange sqref="B28:C87" name="Range23"/>
  </protectedRanges>
  <mergeCells count="212">
    <mergeCell ref="AI155:AS155"/>
    <mergeCell ref="AF166:AX166"/>
    <mergeCell ref="X45:AC45"/>
    <mergeCell ref="AD45:AM45"/>
    <mergeCell ref="AN45:AY45"/>
    <mergeCell ref="AZ45:BA45"/>
    <mergeCell ref="AX71:BD71"/>
    <mergeCell ref="Z123:AH123"/>
    <mergeCell ref="AO123:AQ123"/>
    <mergeCell ref="Z126:AI126"/>
    <mergeCell ref="AB127:AI127"/>
    <mergeCell ref="X76:Z76"/>
    <mergeCell ref="AA76:AD76"/>
    <mergeCell ref="AE76:AI76"/>
    <mergeCell ref="AJ76:AL76"/>
    <mergeCell ref="AM76:AQ76"/>
    <mergeCell ref="AR76:AT76"/>
    <mergeCell ref="AU76:AY76"/>
    <mergeCell ref="AZ76:BD76"/>
    <mergeCell ref="X73:AE73"/>
    <mergeCell ref="X74:BD74"/>
    <mergeCell ref="X75:Z75"/>
    <mergeCell ref="AA75:AD75"/>
    <mergeCell ref="AE75:AI75"/>
    <mergeCell ref="S30:T30"/>
    <mergeCell ref="N32:S32"/>
    <mergeCell ref="N33:S33"/>
    <mergeCell ref="N34:S34"/>
    <mergeCell ref="R36:T36"/>
    <mergeCell ref="R37:T37"/>
    <mergeCell ref="C20:H21"/>
    <mergeCell ref="C24:C27"/>
    <mergeCell ref="K24:T24"/>
    <mergeCell ref="K25:T25"/>
    <mergeCell ref="K27:T27"/>
    <mergeCell ref="S29:T29"/>
    <mergeCell ref="D22:F22"/>
    <mergeCell ref="K60:M60"/>
    <mergeCell ref="R60:T60"/>
    <mergeCell ref="R61:T61"/>
    <mergeCell ref="R44:T44"/>
    <mergeCell ref="R48:S48"/>
    <mergeCell ref="R49:T49"/>
    <mergeCell ref="R50:T50"/>
    <mergeCell ref="R51:T51"/>
    <mergeCell ref="R52:T52"/>
    <mergeCell ref="K61:M61"/>
    <mergeCell ref="Y34:AD34"/>
    <mergeCell ref="AF34:AL34"/>
    <mergeCell ref="AU34:BD34"/>
    <mergeCell ref="AJ41:AQ41"/>
    <mergeCell ref="AV41:BD41"/>
    <mergeCell ref="AS43:AU43"/>
    <mergeCell ref="AU65:BC65"/>
    <mergeCell ref="AK51:AL51"/>
    <mergeCell ref="AM51:AP52"/>
    <mergeCell ref="AR51:AS51"/>
    <mergeCell ref="AU51:AW51"/>
    <mergeCell ref="AX51:BD51"/>
    <mergeCell ref="AR52:AS52"/>
    <mergeCell ref="AU52:AW52"/>
    <mergeCell ref="AX52:BD52"/>
    <mergeCell ref="AU64:BC64"/>
    <mergeCell ref="AO47:AV47"/>
    <mergeCell ref="AW47:BD47"/>
    <mergeCell ref="AP38:AT38"/>
    <mergeCell ref="AB39:AM40"/>
    <mergeCell ref="AT39:BD40"/>
    <mergeCell ref="X41:Y41"/>
    <mergeCell ref="Z41:AE41"/>
    <mergeCell ref="P69:T69"/>
    <mergeCell ref="Y35:AD35"/>
    <mergeCell ref="AF35:AL35"/>
    <mergeCell ref="Y36:AD36"/>
    <mergeCell ref="AF36:AL36"/>
    <mergeCell ref="AW35:BA35"/>
    <mergeCell ref="X66:BD66"/>
    <mergeCell ref="R53:T53"/>
    <mergeCell ref="R40:T40"/>
    <mergeCell ref="R41:T41"/>
    <mergeCell ref="R42:T42"/>
    <mergeCell ref="R43:T43"/>
    <mergeCell ref="R38:T38"/>
    <mergeCell ref="R39:T39"/>
    <mergeCell ref="AE78:AI78"/>
    <mergeCell ref="AJ78:AL78"/>
    <mergeCell ref="AM78:AQ78"/>
    <mergeCell ref="AR78:AT78"/>
    <mergeCell ref="AU78:AY78"/>
    <mergeCell ref="AZ78:BD78"/>
    <mergeCell ref="X77:Z77"/>
    <mergeCell ref="Y33:AD33"/>
    <mergeCell ref="AF33:AL33"/>
    <mergeCell ref="AU33:BD33"/>
    <mergeCell ref="X48:AC48"/>
    <mergeCell ref="AD48:AH48"/>
    <mergeCell ref="AI48:AN48"/>
    <mergeCell ref="X42:Y43"/>
    <mergeCell ref="Z42:AE43"/>
    <mergeCell ref="AS42:AU42"/>
    <mergeCell ref="Y37:AD37"/>
    <mergeCell ref="AF37:AL37"/>
    <mergeCell ref="X38:AD38"/>
    <mergeCell ref="AH38:AL38"/>
    <mergeCell ref="X44:BD44"/>
    <mergeCell ref="X47:AC47"/>
    <mergeCell ref="AD47:AH47"/>
    <mergeCell ref="AI47:AN47"/>
    <mergeCell ref="X81:BD81"/>
    <mergeCell ref="X82:AB82"/>
    <mergeCell ref="AC82:AF82"/>
    <mergeCell ref="AG82:AJ82"/>
    <mergeCell ref="AK82:AQ82"/>
    <mergeCell ref="AR82:AV82"/>
    <mergeCell ref="AW82:BD82"/>
    <mergeCell ref="AJ75:AL75"/>
    <mergeCell ref="AM75:AQ75"/>
    <mergeCell ref="AR75:AT75"/>
    <mergeCell ref="AU75:AY75"/>
    <mergeCell ref="AZ75:BD75"/>
    <mergeCell ref="AU79:AY79"/>
    <mergeCell ref="AZ79:BD79"/>
    <mergeCell ref="X79:Z79"/>
    <mergeCell ref="AA79:AD79"/>
    <mergeCell ref="AE79:AI79"/>
    <mergeCell ref="AJ79:AL79"/>
    <mergeCell ref="AM79:AQ79"/>
    <mergeCell ref="AR79:AT79"/>
    <mergeCell ref="AU77:AY77"/>
    <mergeCell ref="AZ77:BD77"/>
    <mergeCell ref="X78:Z78"/>
    <mergeCell ref="AA78:AD78"/>
    <mergeCell ref="AU151:AY151"/>
    <mergeCell ref="AA143:AC143"/>
    <mergeCell ref="AA144:AC144"/>
    <mergeCell ref="AA145:AC145"/>
    <mergeCell ref="X116:BD119"/>
    <mergeCell ref="AT120:AX126"/>
    <mergeCell ref="AZ120:BD126"/>
    <mergeCell ref="X124:AJ124"/>
    <mergeCell ref="AA77:AD77"/>
    <mergeCell ref="AE77:AI77"/>
    <mergeCell ref="AJ77:AL77"/>
    <mergeCell ref="AM77:AQ77"/>
    <mergeCell ref="AR77:AT77"/>
    <mergeCell ref="X104:BD104"/>
    <mergeCell ref="X105:BD107"/>
    <mergeCell ref="X108:BD110"/>
    <mergeCell ref="X111:BD115"/>
    <mergeCell ref="Y101:AX101"/>
    <mergeCell ref="AJ86:AS86"/>
    <mergeCell ref="W87:BE87"/>
    <mergeCell ref="X90:AN90"/>
    <mergeCell ref="X84:BD84"/>
    <mergeCell ref="X93:AN93"/>
    <mergeCell ref="AO93:BD93"/>
    <mergeCell ref="X25:BD25"/>
    <mergeCell ref="X29:BD29"/>
    <mergeCell ref="AU30:AV30"/>
    <mergeCell ref="X32:AD32"/>
    <mergeCell ref="AE32:AL32"/>
    <mergeCell ref="AM32:AS32"/>
    <mergeCell ref="AT32:BD32"/>
    <mergeCell ref="X26:BD26"/>
    <mergeCell ref="X27:BD27"/>
    <mergeCell ref="X52:AD52"/>
    <mergeCell ref="AE52:AL52"/>
    <mergeCell ref="AE53:AT53"/>
    <mergeCell ref="AE54:AW54"/>
    <mergeCell ref="AX54:BD54"/>
    <mergeCell ref="AT55:BD55"/>
    <mergeCell ref="X58:BD58"/>
    <mergeCell ref="X56:AF56"/>
    <mergeCell ref="AG56:AS56"/>
    <mergeCell ref="AB57:BD57"/>
    <mergeCell ref="X53:AD53"/>
    <mergeCell ref="X54:AD54"/>
    <mergeCell ref="X156:BD156"/>
    <mergeCell ref="X158:BD158"/>
    <mergeCell ref="X71:AE71"/>
    <mergeCell ref="AG71:AM71"/>
    <mergeCell ref="AP71:AV71"/>
    <mergeCell ref="AD151:AG151"/>
    <mergeCell ref="AT127:AX127"/>
    <mergeCell ref="AZ127:BD127"/>
    <mergeCell ref="X130:BE130"/>
    <mergeCell ref="X135:BD135"/>
    <mergeCell ref="X136:BD139"/>
    <mergeCell ref="AA142:AC142"/>
    <mergeCell ref="AY101:BD101"/>
    <mergeCell ref="X102:Z102"/>
    <mergeCell ref="AC102:AM102"/>
    <mergeCell ref="AN102:AQ102"/>
    <mergeCell ref="AR102:BD102"/>
    <mergeCell ref="X103:AA103"/>
    <mergeCell ref="X72:AE72"/>
    <mergeCell ref="AG72:AM72"/>
    <mergeCell ref="AP72:AV72"/>
    <mergeCell ref="AX72:BD72"/>
    <mergeCell ref="X147:BD147"/>
    <mergeCell ref="AH151:AK151"/>
    <mergeCell ref="AB103:BD103"/>
    <mergeCell ref="AO90:BD90"/>
    <mergeCell ref="AB92:AJ92"/>
    <mergeCell ref="AS92:AZ92"/>
    <mergeCell ref="X83:AB83"/>
    <mergeCell ref="AC83:AF83"/>
    <mergeCell ref="AG83:AJ83"/>
    <mergeCell ref="AK83:AQ83"/>
    <mergeCell ref="AR83:AV83"/>
    <mergeCell ref="AW83:BD83"/>
    <mergeCell ref="X100:AK100"/>
  </mergeCells>
  <hyperlinks>
    <hyperlink ref="AG56" r:id="rId1" xr:uid="{1741AC1F-E2E7-41F1-BE9F-3951897BC6AC}"/>
  </hyperlinks>
  <pageMargins left="0" right="0" top="0" bottom="0" header="0" footer="0"/>
  <pageSetup orientation="portrait" horizontalDpi="0" verticalDpi="0"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FCBCD0-CF42-45FF-9B2E-871013E0B777}">
  <sheetPr>
    <pageSetUpPr fitToPage="1"/>
  </sheetPr>
  <dimension ref="B1:CT167"/>
  <sheetViews>
    <sheetView topLeftCell="A19" zoomScale="85" zoomScaleNormal="85" workbookViewId="0">
      <selection activeCell="G15" sqref="G15"/>
    </sheetView>
  </sheetViews>
  <sheetFormatPr defaultColWidth="8.85546875" defaultRowHeight="15"/>
  <cols>
    <col min="1" max="1" width="2.85546875" customWidth="1"/>
    <col min="2" max="2" width="27.28515625" customWidth="1"/>
    <col min="3" max="3" width="13.42578125" customWidth="1"/>
    <col min="4" max="9" width="15.7109375" customWidth="1"/>
    <col min="10" max="10" width="4.7109375" customWidth="1"/>
    <col min="11" max="20" width="10.7109375" customWidth="1"/>
    <col min="21" max="21" width="4.7109375" customWidth="1"/>
    <col min="22" max="22" width="15.7109375" customWidth="1"/>
    <col min="23" max="57" width="4.85546875" customWidth="1"/>
    <col min="58" max="98" width="15.7109375" customWidth="1"/>
  </cols>
  <sheetData>
    <row r="1" spans="2:98">
      <c r="B1" t="s">
        <v>32</v>
      </c>
      <c r="C1" s="28">
        <f>'Data Entry'!D14</f>
        <v>2766.1672151776716</v>
      </c>
      <c r="T1" t="s">
        <v>33</v>
      </c>
    </row>
    <row r="2" spans="2:98">
      <c r="B2" s="32" t="s">
        <v>34</v>
      </c>
      <c r="C2" s="33">
        <v>0</v>
      </c>
      <c r="D2" s="33">
        <v>1</v>
      </c>
      <c r="E2" s="33">
        <v>2</v>
      </c>
      <c r="F2" s="33">
        <v>3</v>
      </c>
      <c r="G2" s="33">
        <v>4</v>
      </c>
      <c r="H2" s="33">
        <v>5</v>
      </c>
      <c r="I2" s="33">
        <v>6</v>
      </c>
      <c r="J2" s="33">
        <v>7</v>
      </c>
      <c r="K2" s="33">
        <v>8</v>
      </c>
      <c r="L2" s="33">
        <v>9</v>
      </c>
      <c r="M2" s="33">
        <v>10</v>
      </c>
      <c r="N2" s="33">
        <v>11</v>
      </c>
      <c r="O2" s="33">
        <v>12</v>
      </c>
      <c r="P2" s="33">
        <v>13</v>
      </c>
      <c r="Q2" s="33">
        <v>14</v>
      </c>
      <c r="R2" s="33">
        <v>15</v>
      </c>
      <c r="S2" s="33">
        <v>16</v>
      </c>
      <c r="T2" s="33">
        <v>17</v>
      </c>
      <c r="U2" s="33">
        <v>18</v>
      </c>
      <c r="V2" s="33">
        <v>19</v>
      </c>
      <c r="W2" s="33">
        <v>20</v>
      </c>
      <c r="X2" s="33">
        <v>21</v>
      </c>
      <c r="Y2" s="33">
        <v>22</v>
      </c>
      <c r="Z2" s="33">
        <v>23</v>
      </c>
      <c r="AA2" s="33">
        <v>24</v>
      </c>
      <c r="AB2" s="27"/>
      <c r="AC2" s="27"/>
      <c r="AD2" s="27"/>
      <c r="AE2" s="27"/>
      <c r="AF2" s="27"/>
      <c r="AG2" s="27"/>
      <c r="AH2" s="27"/>
      <c r="AI2" s="27"/>
      <c r="AJ2" s="27"/>
      <c r="AK2" s="27"/>
      <c r="AL2" s="27"/>
      <c r="AM2" s="27"/>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27"/>
      <c r="BV2" s="27"/>
      <c r="BW2" s="27"/>
      <c r="BX2" s="27"/>
      <c r="BY2" s="27"/>
      <c r="BZ2" s="27"/>
      <c r="CA2" s="27"/>
      <c r="CB2" s="27"/>
      <c r="CC2" s="27"/>
      <c r="CD2" s="27"/>
      <c r="CE2" s="27"/>
      <c r="CF2" s="27"/>
      <c r="CG2" s="27"/>
      <c r="CH2" s="27"/>
      <c r="CI2" s="27"/>
      <c r="CJ2" s="27"/>
      <c r="CK2" s="27"/>
      <c r="CL2" s="27"/>
      <c r="CM2" s="27"/>
      <c r="CN2" s="27"/>
      <c r="CO2" s="27"/>
      <c r="CP2" s="27"/>
      <c r="CQ2" s="27"/>
      <c r="CR2" s="27"/>
      <c r="CS2" s="27"/>
      <c r="CT2" s="27"/>
    </row>
    <row r="3" spans="2:98">
      <c r="B3" s="32" t="s">
        <v>3</v>
      </c>
      <c r="C3" s="2">
        <f>'Data Entry'!D3</f>
        <v>66388.013164264121</v>
      </c>
      <c r="D3" s="2"/>
      <c r="E3" s="2"/>
      <c r="F3" s="2"/>
      <c r="G3" s="2"/>
      <c r="H3" s="2"/>
      <c r="I3" s="2"/>
      <c r="J3" s="2"/>
      <c r="K3" s="2"/>
      <c r="L3" s="2"/>
      <c r="M3" s="2"/>
      <c r="N3" s="2"/>
      <c r="O3" s="2"/>
      <c r="P3" s="95"/>
      <c r="Q3" s="95"/>
      <c r="R3" s="95"/>
      <c r="S3" s="95"/>
      <c r="T3" s="95"/>
      <c r="U3" s="95"/>
      <c r="V3" s="95"/>
      <c r="W3" s="95"/>
      <c r="X3" s="95"/>
      <c r="Y3" s="95"/>
      <c r="Z3" s="95"/>
      <c r="AA3" s="95"/>
      <c r="AB3" s="95"/>
      <c r="AC3" s="95"/>
      <c r="AD3" s="95"/>
      <c r="AE3" s="95"/>
      <c r="AF3" s="95"/>
      <c r="AG3" s="95"/>
      <c r="AH3" s="95"/>
      <c r="AI3" s="95"/>
      <c r="AJ3" s="95"/>
      <c r="AK3" s="95"/>
      <c r="AL3" s="95"/>
      <c r="AM3" s="95"/>
      <c r="AN3" s="95"/>
      <c r="AO3" s="95"/>
      <c r="AP3" s="95"/>
      <c r="AQ3" s="95"/>
      <c r="AR3" s="95"/>
      <c r="AS3" s="95"/>
      <c r="AT3" s="95"/>
      <c r="AU3" s="95"/>
      <c r="AV3" s="95"/>
      <c r="AW3" s="95"/>
      <c r="AX3" s="95"/>
      <c r="AY3" s="95"/>
      <c r="AZ3" s="95"/>
      <c r="BA3" s="95"/>
      <c r="BB3" s="95"/>
      <c r="BC3" s="95"/>
      <c r="BD3" s="95"/>
      <c r="BE3" s="95"/>
      <c r="BF3" s="95"/>
      <c r="BG3" s="95"/>
      <c r="BH3" s="95"/>
      <c r="BI3" s="95"/>
      <c r="BJ3" s="95"/>
      <c r="BK3" s="95"/>
      <c r="BL3" s="95"/>
      <c r="BM3" s="95"/>
      <c r="BN3" s="95"/>
      <c r="BO3" s="95"/>
      <c r="BP3" s="95"/>
      <c r="BQ3" s="95"/>
      <c r="BR3" s="95"/>
      <c r="BS3" s="95"/>
      <c r="BT3" s="95"/>
      <c r="BU3" s="95"/>
      <c r="BV3" s="95"/>
      <c r="BW3" s="95"/>
      <c r="BX3" s="95"/>
      <c r="BY3" s="95"/>
      <c r="BZ3" s="95"/>
      <c r="CA3" s="95"/>
      <c r="CB3" s="95"/>
      <c r="CC3" s="95"/>
      <c r="CD3" s="95"/>
      <c r="CE3" s="95"/>
      <c r="CF3" s="95"/>
      <c r="CG3" s="95"/>
      <c r="CH3" s="95"/>
      <c r="CI3" s="95"/>
      <c r="CJ3" s="95"/>
      <c r="CK3" s="95"/>
      <c r="CL3" s="95"/>
      <c r="CM3" s="95"/>
      <c r="CN3" s="95"/>
      <c r="CO3" s="95"/>
      <c r="CP3" s="95"/>
      <c r="CQ3" s="95"/>
      <c r="CR3" s="95"/>
      <c r="CS3" s="95"/>
      <c r="CT3" s="95"/>
    </row>
    <row r="4" spans="2:98">
      <c r="B4" s="32" t="s">
        <v>11</v>
      </c>
      <c r="C4" s="2">
        <f>'Data Entry'!D11</f>
        <v>60854.166666666664</v>
      </c>
      <c r="D4" s="2"/>
      <c r="E4" s="2"/>
      <c r="F4" s="2"/>
      <c r="G4" s="2"/>
      <c r="H4" s="2"/>
      <c r="I4" s="2"/>
      <c r="J4" s="2"/>
      <c r="K4" s="2"/>
      <c r="L4" s="2"/>
      <c r="M4" s="2"/>
      <c r="N4" s="2"/>
      <c r="O4" s="2"/>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5"/>
      <c r="AZ4" s="95"/>
      <c r="BA4" s="95"/>
      <c r="BB4" s="95"/>
      <c r="BC4" s="95"/>
      <c r="BD4" s="95"/>
      <c r="BE4" s="95"/>
      <c r="BF4" s="95"/>
      <c r="BG4" s="95"/>
      <c r="BH4" s="95"/>
      <c r="BI4" s="95"/>
      <c r="BJ4" s="95"/>
      <c r="BK4" s="95"/>
      <c r="BL4" s="95"/>
      <c r="BM4" s="95"/>
      <c r="BN4" s="95"/>
      <c r="BO4" s="95"/>
      <c r="BP4" s="95"/>
      <c r="BQ4" s="95"/>
      <c r="BR4" s="95"/>
      <c r="BS4" s="95"/>
      <c r="BT4" s="95"/>
      <c r="BU4" s="95"/>
      <c r="BV4" s="95"/>
      <c r="BW4" s="95"/>
      <c r="BX4" s="95"/>
      <c r="BY4" s="95"/>
      <c r="BZ4" s="95"/>
      <c r="CA4" s="95"/>
      <c r="CB4" s="95"/>
      <c r="CC4" s="95"/>
      <c r="CD4" s="95"/>
      <c r="CE4" s="95"/>
      <c r="CF4" s="95"/>
      <c r="CG4" s="95"/>
      <c r="CH4" s="95"/>
      <c r="CI4" s="95"/>
      <c r="CJ4" s="95"/>
      <c r="CK4" s="95"/>
      <c r="CL4" s="95"/>
      <c r="CM4" s="95"/>
      <c r="CN4" s="95"/>
      <c r="CO4" s="95"/>
      <c r="CP4" s="95"/>
      <c r="CQ4" s="95"/>
      <c r="CR4" s="95"/>
      <c r="CS4" s="95"/>
      <c r="CT4" s="95"/>
    </row>
    <row r="5" spans="2:98">
      <c r="B5" s="32" t="s">
        <v>6</v>
      </c>
      <c r="C5" s="2">
        <f>'Data Entry'!D6</f>
        <v>4000</v>
      </c>
      <c r="D5" s="2"/>
      <c r="E5" s="2"/>
      <c r="F5" s="2"/>
      <c r="G5" s="2"/>
      <c r="H5" s="2"/>
      <c r="I5" s="2"/>
      <c r="J5" s="2"/>
      <c r="K5" s="2"/>
      <c r="L5" s="2"/>
      <c r="M5" s="2"/>
      <c r="N5" s="2"/>
      <c r="O5" s="2"/>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c r="BP5" s="95"/>
      <c r="BQ5" s="95"/>
      <c r="BR5" s="95"/>
      <c r="BS5" s="95"/>
      <c r="BT5" s="95"/>
      <c r="BU5" s="95"/>
      <c r="BV5" s="95"/>
      <c r="BW5" s="95"/>
      <c r="BX5" s="95"/>
      <c r="BY5" s="95"/>
      <c r="BZ5" s="95"/>
      <c r="CA5" s="95"/>
      <c r="CB5" s="95"/>
      <c r="CC5" s="95"/>
      <c r="CD5" s="95"/>
      <c r="CE5" s="95"/>
      <c r="CF5" s="95"/>
      <c r="CG5" s="95"/>
      <c r="CH5" s="95"/>
      <c r="CI5" s="95"/>
      <c r="CJ5" s="95"/>
      <c r="CK5" s="95"/>
      <c r="CL5" s="95"/>
      <c r="CM5" s="95"/>
      <c r="CN5" s="95"/>
      <c r="CO5" s="95"/>
      <c r="CP5" s="95"/>
      <c r="CQ5" s="95"/>
      <c r="CR5" s="95"/>
      <c r="CS5" s="95"/>
      <c r="CT5" s="95"/>
    </row>
    <row r="6" spans="2:98">
      <c r="B6" s="32" t="s">
        <v>7</v>
      </c>
      <c r="C6" s="2">
        <f>'Data Entry'!D7</f>
        <v>1200</v>
      </c>
      <c r="D6" s="2"/>
      <c r="E6" s="2"/>
      <c r="F6" s="2"/>
      <c r="G6" s="2"/>
      <c r="H6" s="2"/>
      <c r="I6" s="2"/>
      <c r="J6" s="2"/>
      <c r="K6" s="2"/>
      <c r="L6" s="2"/>
      <c r="M6" s="2"/>
      <c r="N6" s="2"/>
      <c r="O6" s="2"/>
      <c r="P6" s="95"/>
      <c r="Q6" s="95"/>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5"/>
      <c r="AT6" s="95"/>
      <c r="AU6" s="95"/>
      <c r="AV6" s="95"/>
      <c r="AW6" s="95"/>
      <c r="AX6" s="95"/>
      <c r="AY6" s="95"/>
      <c r="AZ6" s="95"/>
      <c r="BA6" s="95"/>
      <c r="BB6" s="95"/>
      <c r="BC6" s="95"/>
      <c r="BD6" s="95"/>
      <c r="BE6" s="95"/>
      <c r="BF6" s="95"/>
      <c r="BG6" s="95"/>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row>
    <row r="7" spans="2:98">
      <c r="B7" s="32" t="s">
        <v>8</v>
      </c>
      <c r="C7" s="2">
        <f>'Data Entry'!D8</f>
        <v>5000</v>
      </c>
      <c r="D7" s="2"/>
      <c r="E7" s="2"/>
      <c r="F7" s="2"/>
      <c r="G7" s="2"/>
      <c r="H7" s="2"/>
      <c r="I7" s="2"/>
      <c r="J7" s="2"/>
      <c r="K7" s="2"/>
      <c r="L7" s="2"/>
      <c r="M7" s="2"/>
      <c r="N7" s="2"/>
      <c r="O7" s="2"/>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95"/>
      <c r="AY7" s="95"/>
      <c r="AZ7" s="95"/>
      <c r="BA7" s="95"/>
      <c r="BB7" s="95"/>
      <c r="BC7" s="95"/>
      <c r="BD7" s="95"/>
      <c r="BE7" s="95"/>
      <c r="BF7" s="95"/>
      <c r="BG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row>
    <row r="8" spans="2:98">
      <c r="B8" s="32" t="s">
        <v>9</v>
      </c>
      <c r="C8" s="2">
        <f>'Data Entry'!D9</f>
        <v>300</v>
      </c>
      <c r="D8" s="2"/>
      <c r="E8" s="2"/>
      <c r="F8" s="2"/>
      <c r="G8" s="2"/>
      <c r="H8" s="2"/>
      <c r="I8" s="2"/>
      <c r="J8" s="2"/>
      <c r="K8" s="2"/>
      <c r="L8" s="2"/>
      <c r="M8" s="2"/>
      <c r="N8" s="2"/>
      <c r="O8" s="2"/>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I8" s="95"/>
      <c r="BJ8" s="95"/>
      <c r="BK8" s="95"/>
      <c r="BL8" s="95"/>
      <c r="BM8" s="95"/>
      <c r="BN8" s="95"/>
      <c r="BO8" s="95"/>
      <c r="BP8" s="95"/>
      <c r="BQ8" s="95"/>
      <c r="BR8" s="95"/>
      <c r="BS8" s="95"/>
      <c r="BT8" s="95"/>
      <c r="BU8" s="95"/>
      <c r="BV8" s="95"/>
      <c r="BW8" s="95"/>
      <c r="BX8" s="95"/>
      <c r="BY8" s="95"/>
      <c r="BZ8" s="95"/>
      <c r="CA8" s="95"/>
      <c r="CB8" s="95"/>
      <c r="CC8" s="95"/>
      <c r="CD8" s="95"/>
      <c r="CE8" s="95"/>
      <c r="CF8" s="95"/>
      <c r="CG8" s="95"/>
      <c r="CH8" s="95"/>
      <c r="CI8" s="95"/>
      <c r="CJ8" s="95"/>
      <c r="CK8" s="95"/>
      <c r="CL8" s="95"/>
      <c r="CM8" s="95"/>
      <c r="CN8" s="95"/>
      <c r="CO8" s="95"/>
      <c r="CP8" s="95"/>
      <c r="CQ8" s="95"/>
      <c r="CR8" s="95"/>
      <c r="CS8" s="95"/>
      <c r="CT8" s="95"/>
    </row>
    <row r="9" spans="2:98">
      <c r="B9" s="32" t="s">
        <v>10</v>
      </c>
      <c r="C9" s="2">
        <f>'Data Entry'!D10</f>
        <v>354.16666666666669</v>
      </c>
      <c r="D9" s="2"/>
      <c r="E9" s="2"/>
      <c r="F9" s="2"/>
      <c r="G9" s="2"/>
      <c r="H9" s="2"/>
      <c r="I9" s="2"/>
      <c r="J9" s="2"/>
      <c r="K9" s="2"/>
      <c r="L9" s="2"/>
      <c r="M9" s="2"/>
      <c r="N9" s="2"/>
      <c r="O9" s="2"/>
      <c r="P9" s="95"/>
      <c r="Q9" s="95"/>
      <c r="R9" s="95"/>
      <c r="S9" s="95"/>
      <c r="T9" s="95"/>
      <c r="U9" s="95"/>
      <c r="V9" s="9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5"/>
      <c r="AY9" s="95"/>
      <c r="AZ9" s="95"/>
      <c r="BA9" s="95"/>
      <c r="BB9" s="95"/>
      <c r="BC9" s="95"/>
      <c r="BD9" s="95"/>
      <c r="BE9" s="95"/>
      <c r="BF9" s="95"/>
      <c r="BI9" s="95"/>
      <c r="BJ9" s="95"/>
      <c r="BK9" s="95"/>
      <c r="BL9" s="95"/>
      <c r="BM9" s="95"/>
      <c r="BN9" s="95"/>
      <c r="BO9" s="95"/>
      <c r="BP9" s="95"/>
      <c r="BQ9" s="95"/>
      <c r="BR9" s="95"/>
      <c r="BS9" s="95"/>
      <c r="BT9" s="95"/>
      <c r="BU9" s="95"/>
      <c r="BV9" s="95"/>
      <c r="BW9" s="95"/>
      <c r="BX9" s="95"/>
      <c r="BY9" s="95"/>
      <c r="BZ9" s="95"/>
      <c r="CA9" s="95"/>
      <c r="CB9" s="95"/>
      <c r="CC9" s="95"/>
      <c r="CD9" s="95"/>
      <c r="CE9" s="95"/>
      <c r="CF9" s="95"/>
      <c r="CG9" s="95"/>
      <c r="CH9" s="95"/>
      <c r="CI9" s="95"/>
      <c r="CJ9" s="95"/>
      <c r="CK9" s="95"/>
      <c r="CL9" s="95"/>
      <c r="CM9" s="95"/>
      <c r="CN9" s="95"/>
      <c r="CO9" s="95"/>
      <c r="CP9" s="95"/>
      <c r="CQ9" s="95"/>
      <c r="CR9" s="95"/>
      <c r="CS9" s="95"/>
      <c r="CT9" s="95"/>
    </row>
    <row r="10" spans="2:98">
      <c r="B10" s="34" t="s">
        <v>35</v>
      </c>
      <c r="C10" s="35">
        <f>C4-C5-C6-C7-C8-C9</f>
        <v>50000</v>
      </c>
      <c r="D10" s="35">
        <f t="shared" ref="D10:AA10" si="0">-$C1</f>
        <v>-2766.1672151776716</v>
      </c>
      <c r="E10" s="35">
        <f t="shared" si="0"/>
        <v>-2766.1672151776716</v>
      </c>
      <c r="F10" s="35">
        <f t="shared" si="0"/>
        <v>-2766.1672151776716</v>
      </c>
      <c r="G10" s="35">
        <f t="shared" si="0"/>
        <v>-2766.1672151776716</v>
      </c>
      <c r="H10" s="35">
        <f t="shared" si="0"/>
        <v>-2766.1672151776716</v>
      </c>
      <c r="I10" s="35">
        <f t="shared" si="0"/>
        <v>-2766.1672151776716</v>
      </c>
      <c r="J10" s="35">
        <f t="shared" si="0"/>
        <v>-2766.1672151776716</v>
      </c>
      <c r="K10" s="35">
        <f t="shared" si="0"/>
        <v>-2766.1672151776716</v>
      </c>
      <c r="L10" s="35">
        <f t="shared" si="0"/>
        <v>-2766.1672151776716</v>
      </c>
      <c r="M10" s="35">
        <f t="shared" si="0"/>
        <v>-2766.1672151776716</v>
      </c>
      <c r="N10" s="35">
        <f t="shared" si="0"/>
        <v>-2766.1672151776716</v>
      </c>
      <c r="O10" s="35">
        <f t="shared" si="0"/>
        <v>-2766.1672151776716</v>
      </c>
      <c r="P10" s="35">
        <f t="shared" si="0"/>
        <v>-2766.1672151776716</v>
      </c>
      <c r="Q10" s="35">
        <f t="shared" si="0"/>
        <v>-2766.1672151776716</v>
      </c>
      <c r="R10" s="35">
        <f t="shared" si="0"/>
        <v>-2766.1672151776716</v>
      </c>
      <c r="S10" s="35">
        <f t="shared" si="0"/>
        <v>-2766.1672151776716</v>
      </c>
      <c r="T10" s="35">
        <f t="shared" si="0"/>
        <v>-2766.1672151776716</v>
      </c>
      <c r="U10" s="35">
        <f t="shared" si="0"/>
        <v>-2766.1672151776716</v>
      </c>
      <c r="V10" s="35">
        <f t="shared" si="0"/>
        <v>-2766.1672151776716</v>
      </c>
      <c r="W10" s="35">
        <f t="shared" si="0"/>
        <v>-2766.1672151776716</v>
      </c>
      <c r="X10" s="35">
        <f t="shared" si="0"/>
        <v>-2766.1672151776716</v>
      </c>
      <c r="Y10" s="35">
        <f t="shared" si="0"/>
        <v>-2766.1672151776716</v>
      </c>
      <c r="Z10" s="35">
        <f t="shared" si="0"/>
        <v>-2766.1672151776716</v>
      </c>
      <c r="AA10" s="35">
        <f t="shared" si="0"/>
        <v>-2766.1672151776716</v>
      </c>
      <c r="AB10" s="95"/>
      <c r="AC10" s="95"/>
      <c r="AD10" s="95"/>
      <c r="AE10" s="95"/>
      <c r="AF10" s="95"/>
      <c r="AG10" s="95"/>
      <c r="AH10" s="95"/>
      <c r="AI10" s="95"/>
      <c r="AJ10" s="95"/>
      <c r="AK10" s="95"/>
      <c r="AL10" s="95"/>
      <c r="AM10" s="95"/>
      <c r="AN10" s="95"/>
      <c r="AO10" s="95"/>
      <c r="AP10" s="95"/>
      <c r="AQ10" s="95"/>
      <c r="AR10" s="95"/>
      <c r="AS10" s="95"/>
      <c r="AT10" s="95"/>
      <c r="AU10" s="95"/>
      <c r="AV10" s="95"/>
      <c r="AW10" s="95"/>
      <c r="AX10" s="95"/>
      <c r="AY10" s="95"/>
      <c r="AZ10" s="95"/>
      <c r="BA10" s="95"/>
      <c r="BB10" s="95"/>
      <c r="BC10" s="95"/>
      <c r="BD10" s="95"/>
      <c r="BE10" s="95"/>
      <c r="BF10" s="95"/>
      <c r="BI10" s="95"/>
      <c r="BJ10" s="95"/>
      <c r="BK10" s="95"/>
      <c r="BL10" s="95"/>
      <c r="BM10" s="95"/>
      <c r="BN10" s="95"/>
      <c r="BO10" s="95"/>
      <c r="BP10" s="95"/>
      <c r="BQ10" s="95"/>
      <c r="BR10" s="95"/>
      <c r="BS10" s="95"/>
      <c r="BT10" s="95"/>
      <c r="BU10" s="95"/>
      <c r="BV10" s="95"/>
      <c r="BW10" s="95"/>
      <c r="BX10" s="95"/>
      <c r="BY10" s="95"/>
      <c r="BZ10" s="95"/>
      <c r="CA10" s="95"/>
      <c r="CB10" s="95"/>
      <c r="CC10" s="95"/>
      <c r="CD10" s="95"/>
      <c r="CE10" s="95"/>
      <c r="CF10" s="95"/>
      <c r="CG10" s="95"/>
      <c r="CH10" s="95"/>
      <c r="CI10" s="95"/>
      <c r="CJ10" s="95"/>
      <c r="CK10" s="95"/>
      <c r="CL10" s="95"/>
      <c r="CM10" s="95"/>
      <c r="CN10" s="95"/>
      <c r="CO10" s="95"/>
      <c r="CP10" s="95"/>
      <c r="CQ10" s="95"/>
      <c r="CR10" s="95"/>
      <c r="CS10" s="95"/>
      <c r="CT10" s="95"/>
    </row>
    <row r="12" spans="2:98">
      <c r="B12" t="s">
        <v>36</v>
      </c>
      <c r="C12" s="11">
        <f>IRR(C10:AA10)</f>
        <v>2.4042928995644974E-2</v>
      </c>
      <c r="D12">
        <f>C12/5</f>
        <v>4.8085857991289945E-3</v>
      </c>
    </row>
    <row r="13" spans="2:98">
      <c r="C13" s="36"/>
    </row>
    <row r="14" spans="2:98">
      <c r="B14" t="s">
        <v>37</v>
      </c>
      <c r="C14" s="37"/>
    </row>
    <row r="15" spans="2:98">
      <c r="B15" t="s">
        <v>28</v>
      </c>
      <c r="C15" s="17">
        <f>'Data Entry'!D12/12</f>
        <v>7.0833333333333338E-3</v>
      </c>
    </row>
    <row r="16" spans="2:98">
      <c r="B16" t="s">
        <v>13</v>
      </c>
      <c r="C16" s="38">
        <f>'Data Entry'!D13</f>
        <v>8.855359027416676E-2</v>
      </c>
    </row>
    <row r="17" spans="2:57">
      <c r="B17" t="s">
        <v>170</v>
      </c>
      <c r="C17">
        <v>24</v>
      </c>
    </row>
    <row r="19" spans="2:57" ht="15.75" thickBot="1">
      <c r="H19" s="5"/>
    </row>
    <row r="20" spans="2:57" ht="15.75" customHeight="1">
      <c r="B20" s="28"/>
      <c r="C20" s="453" t="s">
        <v>38</v>
      </c>
      <c r="D20" s="454"/>
      <c r="E20" s="454"/>
      <c r="F20" s="454"/>
      <c r="G20" s="454"/>
      <c r="H20" s="455"/>
      <c r="I20" s="39"/>
      <c r="J20" s="40"/>
      <c r="K20" s="41"/>
      <c r="L20" s="41"/>
      <c r="M20" s="41"/>
      <c r="N20" s="41"/>
      <c r="O20" s="42"/>
      <c r="P20" s="41"/>
      <c r="Q20" s="41"/>
      <c r="R20" s="41"/>
      <c r="S20" s="41"/>
      <c r="T20" s="41"/>
      <c r="U20" s="43"/>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00"/>
      <c r="BB20" s="100"/>
      <c r="BC20" s="100"/>
      <c r="BD20" s="100"/>
      <c r="BE20" s="100"/>
    </row>
    <row r="21" spans="2:57" ht="15.75">
      <c r="C21" s="456"/>
      <c r="D21" s="457"/>
      <c r="E21" s="457"/>
      <c r="F21" s="457"/>
      <c r="G21" s="457"/>
      <c r="H21" s="458"/>
      <c r="J21" s="44"/>
      <c r="K21" s="45"/>
      <c r="L21" s="45"/>
      <c r="M21" s="45"/>
      <c r="N21" s="45"/>
      <c r="O21" s="46"/>
      <c r="P21" s="45"/>
      <c r="Q21" s="45"/>
      <c r="R21" s="45"/>
      <c r="S21" s="45"/>
      <c r="T21" s="45"/>
      <c r="U21" s="47"/>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c r="BD21" s="100"/>
      <c r="BE21" s="100"/>
    </row>
    <row r="22" spans="2:57" ht="15.75">
      <c r="C22" s="32" t="s">
        <v>39</v>
      </c>
      <c r="D22" s="459" t="s">
        <v>298</v>
      </c>
      <c r="E22" s="460"/>
      <c r="F22" s="461"/>
      <c r="G22" s="96" t="s">
        <v>40</v>
      </c>
      <c r="H22" s="224" t="s">
        <v>310</v>
      </c>
      <c r="J22" s="44"/>
      <c r="K22" s="45"/>
      <c r="L22" s="45"/>
      <c r="M22" s="45"/>
      <c r="N22" s="45"/>
      <c r="O22" s="49"/>
      <c r="P22" s="45"/>
      <c r="Q22" s="45"/>
      <c r="R22" s="45"/>
      <c r="S22" s="45"/>
      <c r="T22" s="45"/>
      <c r="U22" s="47"/>
      <c r="W22" s="100"/>
      <c r="X22" s="100"/>
      <c r="Y22" s="100"/>
      <c r="Z22" s="100"/>
      <c r="AA22" s="100"/>
      <c r="AB22" s="100"/>
      <c r="AC22" s="100"/>
      <c r="AD22" s="100"/>
      <c r="AE22" s="100"/>
      <c r="AF22" s="100"/>
      <c r="AG22" s="100"/>
      <c r="AH22" s="100"/>
      <c r="AI22" s="100"/>
      <c r="AJ22" s="100"/>
      <c r="AK22" s="100"/>
      <c r="AL22" s="100"/>
      <c r="AM22" s="100"/>
      <c r="AN22" s="100"/>
      <c r="AO22" s="100"/>
      <c r="AP22" s="100"/>
      <c r="AQ22" s="100"/>
      <c r="AR22" s="100"/>
      <c r="AS22" s="100"/>
      <c r="AT22" s="100"/>
      <c r="AU22" s="100"/>
      <c r="AV22" s="100"/>
      <c r="AW22" s="100"/>
      <c r="AX22" s="100"/>
      <c r="AY22" s="100"/>
      <c r="AZ22" s="100"/>
      <c r="BA22" s="100"/>
      <c r="BB22" s="100"/>
      <c r="BC22" s="100"/>
      <c r="BD22" s="100"/>
      <c r="BE22" s="100"/>
    </row>
    <row r="23" spans="2:57" ht="15.75" customHeight="1">
      <c r="C23" s="214" t="s">
        <v>41</v>
      </c>
      <c r="D23" s="94" t="s">
        <v>293</v>
      </c>
      <c r="E23" s="51" t="s">
        <v>42</v>
      </c>
      <c r="F23" s="465" t="s">
        <v>294</v>
      </c>
      <c r="G23" s="466"/>
      <c r="H23" s="467"/>
      <c r="J23" s="44"/>
      <c r="K23" s="45"/>
      <c r="L23" s="45"/>
      <c r="M23" s="45"/>
      <c r="N23" s="45"/>
      <c r="O23" s="49"/>
      <c r="P23" s="45"/>
      <c r="Q23" s="45"/>
      <c r="R23" s="45"/>
      <c r="S23" s="45"/>
      <c r="T23" s="45"/>
      <c r="U23" s="47"/>
      <c r="W23" s="100"/>
      <c r="X23" s="100"/>
      <c r="Y23" s="100"/>
      <c r="Z23" s="100"/>
      <c r="AA23" s="100"/>
      <c r="AB23" s="100"/>
      <c r="AC23" s="100"/>
      <c r="AD23" s="100"/>
      <c r="AE23" s="100"/>
      <c r="AF23" s="100"/>
      <c r="AG23" s="100"/>
      <c r="AH23" s="100"/>
      <c r="AI23" s="100"/>
      <c r="AJ23" s="100"/>
      <c r="AK23" s="100"/>
      <c r="AL23" s="100"/>
      <c r="AM23" s="100"/>
      <c r="AN23" s="100"/>
      <c r="AO23" s="100"/>
      <c r="AP23" s="100"/>
      <c r="AQ23" s="100"/>
      <c r="AR23" s="100"/>
      <c r="AS23" s="100"/>
      <c r="AT23" s="100"/>
      <c r="AU23" s="100"/>
      <c r="AV23" s="100"/>
      <c r="AW23" s="100"/>
      <c r="AX23" s="100"/>
      <c r="AY23" s="100"/>
      <c r="AZ23" s="100"/>
      <c r="BA23" s="100"/>
      <c r="BB23" s="100"/>
      <c r="BC23" s="100"/>
      <c r="BD23" s="100"/>
      <c r="BE23" s="100"/>
    </row>
    <row r="24" spans="2:57" ht="21">
      <c r="C24" s="462" t="s">
        <v>44</v>
      </c>
      <c r="D24" s="48" t="s">
        <v>45</v>
      </c>
      <c r="E24" s="52">
        <v>45771</v>
      </c>
      <c r="F24" s="184" t="s">
        <v>46</v>
      </c>
      <c r="G24" s="185">
        <f>B51</f>
        <v>46501</v>
      </c>
      <c r="H24" s="184"/>
      <c r="J24" s="44"/>
      <c r="K24" s="390" t="s">
        <v>47</v>
      </c>
      <c r="L24" s="390"/>
      <c r="M24" s="390"/>
      <c r="N24" s="390"/>
      <c r="O24" s="390"/>
      <c r="P24" s="390"/>
      <c r="Q24" s="390"/>
      <c r="R24" s="390"/>
      <c r="S24" s="390"/>
      <c r="T24" s="390"/>
      <c r="U24" s="47"/>
      <c r="W24" s="100"/>
      <c r="X24" s="100"/>
      <c r="Y24" s="100"/>
      <c r="Z24" s="100"/>
      <c r="AA24" s="100"/>
      <c r="AB24" s="100"/>
      <c r="AC24" s="100"/>
      <c r="AD24" s="100"/>
      <c r="AE24" s="100"/>
      <c r="AF24" s="100"/>
      <c r="AG24" s="100"/>
      <c r="AH24" s="100"/>
      <c r="AI24" s="100"/>
      <c r="AJ24" s="100"/>
      <c r="AK24" s="100"/>
      <c r="AL24" s="100"/>
      <c r="AM24" s="100"/>
      <c r="AN24" s="100"/>
      <c r="AO24" s="100"/>
      <c r="AP24" s="100"/>
      <c r="AQ24" s="100"/>
      <c r="AR24" s="100"/>
      <c r="AS24" s="100"/>
      <c r="AT24" s="100"/>
      <c r="AU24" s="100"/>
      <c r="AV24" s="100"/>
      <c r="AW24" s="100"/>
      <c r="AX24" s="100"/>
      <c r="AY24" s="100"/>
      <c r="AZ24" s="100"/>
      <c r="BA24" s="100"/>
      <c r="BB24" s="100"/>
      <c r="BC24" s="100"/>
      <c r="BD24" s="100"/>
      <c r="BE24" s="100"/>
    </row>
    <row r="25" spans="2:57" ht="15.75">
      <c r="C25" s="463"/>
      <c r="D25" s="32" t="s">
        <v>48</v>
      </c>
      <c r="E25" s="32">
        <f>C17</f>
        <v>24</v>
      </c>
      <c r="F25" s="32" t="s">
        <v>49</v>
      </c>
      <c r="G25" s="32"/>
      <c r="H25" s="32"/>
      <c r="J25" s="44"/>
      <c r="K25" s="391" t="s">
        <v>50</v>
      </c>
      <c r="L25" s="391"/>
      <c r="M25" s="391"/>
      <c r="N25" s="391"/>
      <c r="O25" s="391"/>
      <c r="P25" s="391"/>
      <c r="Q25" s="391"/>
      <c r="R25" s="391"/>
      <c r="S25" s="391"/>
      <c r="T25" s="391"/>
      <c r="U25" s="47"/>
      <c r="W25" s="100"/>
      <c r="X25" s="293" t="s">
        <v>86</v>
      </c>
      <c r="Y25" s="293"/>
      <c r="Z25" s="293"/>
      <c r="AA25" s="293"/>
      <c r="AB25" s="293"/>
      <c r="AC25" s="293"/>
      <c r="AD25" s="293"/>
      <c r="AE25" s="293"/>
      <c r="AF25" s="293"/>
      <c r="AG25" s="293"/>
      <c r="AH25" s="293"/>
      <c r="AI25" s="293"/>
      <c r="AJ25" s="293"/>
      <c r="AK25" s="293"/>
      <c r="AL25" s="293"/>
      <c r="AM25" s="293"/>
      <c r="AN25" s="293"/>
      <c r="AO25" s="293"/>
      <c r="AP25" s="293"/>
      <c r="AQ25" s="293"/>
      <c r="AR25" s="293"/>
      <c r="AS25" s="293"/>
      <c r="AT25" s="293"/>
      <c r="AU25" s="293"/>
      <c r="AV25" s="293"/>
      <c r="AW25" s="293"/>
      <c r="AX25" s="293"/>
      <c r="AY25" s="293"/>
      <c r="AZ25" s="293"/>
      <c r="BA25" s="293"/>
      <c r="BB25" s="293"/>
      <c r="BC25" s="293"/>
      <c r="BD25" s="293"/>
      <c r="BE25" s="100"/>
    </row>
    <row r="26" spans="2:57" ht="15.75">
      <c r="C26" s="463"/>
      <c r="D26" s="32" t="s">
        <v>51</v>
      </c>
      <c r="E26" s="55" t="s">
        <v>52</v>
      </c>
      <c r="F26" s="55" t="s">
        <v>53</v>
      </c>
      <c r="G26" s="55" t="s">
        <v>54</v>
      </c>
      <c r="H26" s="55" t="s">
        <v>55</v>
      </c>
      <c r="J26" s="44"/>
      <c r="K26" s="45"/>
      <c r="L26" s="45"/>
      <c r="M26" s="45"/>
      <c r="N26" s="45"/>
      <c r="O26" s="49"/>
      <c r="P26" s="45"/>
      <c r="Q26" s="45"/>
      <c r="R26" s="45"/>
      <c r="S26" s="45"/>
      <c r="T26" s="45"/>
      <c r="U26" s="47"/>
      <c r="W26" s="100"/>
      <c r="X26" s="293" t="s">
        <v>87</v>
      </c>
      <c r="Y26" s="293"/>
      <c r="Z26" s="293"/>
      <c r="AA26" s="293"/>
      <c r="AB26" s="293"/>
      <c r="AC26" s="293"/>
      <c r="AD26" s="293"/>
      <c r="AE26" s="293"/>
      <c r="AF26" s="293"/>
      <c r="AG26" s="293"/>
      <c r="AH26" s="293"/>
      <c r="AI26" s="293"/>
      <c r="AJ26" s="293"/>
      <c r="AK26" s="293"/>
      <c r="AL26" s="293"/>
      <c r="AM26" s="293"/>
      <c r="AN26" s="293"/>
      <c r="AO26" s="293"/>
      <c r="AP26" s="293"/>
      <c r="AQ26" s="293"/>
      <c r="AR26" s="293"/>
      <c r="AS26" s="293"/>
      <c r="AT26" s="293"/>
      <c r="AU26" s="293"/>
      <c r="AV26" s="293"/>
      <c r="AW26" s="293"/>
      <c r="AX26" s="293"/>
      <c r="AY26" s="293"/>
      <c r="AZ26" s="293"/>
      <c r="BA26" s="293"/>
      <c r="BB26" s="293"/>
      <c r="BC26" s="293"/>
      <c r="BD26" s="293"/>
      <c r="BE26" s="100"/>
    </row>
    <row r="27" spans="2:57" ht="18">
      <c r="C27" s="464"/>
      <c r="D27" s="32" t="s">
        <v>56</v>
      </c>
      <c r="E27" s="32"/>
      <c r="F27" s="32"/>
      <c r="G27" s="32"/>
      <c r="H27" s="195">
        <f>C10</f>
        <v>50000</v>
      </c>
      <c r="J27" s="44"/>
      <c r="K27" s="392" t="s">
        <v>57</v>
      </c>
      <c r="L27" s="392"/>
      <c r="M27" s="392"/>
      <c r="N27" s="392"/>
      <c r="O27" s="392"/>
      <c r="P27" s="392"/>
      <c r="Q27" s="392"/>
      <c r="R27" s="392"/>
      <c r="S27" s="392"/>
      <c r="T27" s="392"/>
      <c r="U27" s="47"/>
      <c r="W27" s="100"/>
      <c r="X27" s="293" t="s">
        <v>88</v>
      </c>
      <c r="Y27" s="293"/>
      <c r="Z27" s="293"/>
      <c r="AA27" s="293"/>
      <c r="AB27" s="293"/>
      <c r="AC27" s="293"/>
      <c r="AD27" s="293"/>
      <c r="AE27" s="293"/>
      <c r="AF27" s="293"/>
      <c r="AG27" s="293"/>
      <c r="AH27" s="293"/>
      <c r="AI27" s="293"/>
      <c r="AJ27" s="293"/>
      <c r="AK27" s="293"/>
      <c r="AL27" s="293"/>
      <c r="AM27" s="293"/>
      <c r="AN27" s="293"/>
      <c r="AO27" s="293"/>
      <c r="AP27" s="293"/>
      <c r="AQ27" s="293"/>
      <c r="AR27" s="293"/>
      <c r="AS27" s="293"/>
      <c r="AT27" s="293"/>
      <c r="AU27" s="293"/>
      <c r="AV27" s="293"/>
      <c r="AW27" s="293"/>
      <c r="AX27" s="293"/>
      <c r="AY27" s="293"/>
      <c r="AZ27" s="293"/>
      <c r="BA27" s="293"/>
      <c r="BB27" s="293"/>
      <c r="BC27" s="293"/>
      <c r="BD27" s="293"/>
      <c r="BE27" s="100"/>
    </row>
    <row r="28" spans="2:57" ht="15.75">
      <c r="B28" s="58">
        <f>DATE(YEAR(E$24),MONTH(E$24)+D28+0,DAY(E$24))</f>
        <v>45801</v>
      </c>
      <c r="C28" s="215" t="str">
        <f t="shared" ref="C28:C39" si="1">TEXT(B28,"mmm-yyyy")</f>
        <v>May-2025</v>
      </c>
      <c r="D28" s="59">
        <v>1</v>
      </c>
      <c r="E28" s="60">
        <f t="shared" ref="E28:E39" si="2">C$1</f>
        <v>2766.1672151776716</v>
      </c>
      <c r="F28" s="61">
        <f>E28-G28</f>
        <v>1564.0207653954228</v>
      </c>
      <c r="G28" s="62">
        <f t="shared" ref="G28:G39" si="3">H27*C$12</f>
        <v>1202.1464497822487</v>
      </c>
      <c r="H28" s="61">
        <f>H27-F28</f>
        <v>48435.97923460458</v>
      </c>
      <c r="J28" s="44"/>
      <c r="K28" s="63"/>
      <c r="L28" s="63"/>
      <c r="M28" s="63"/>
      <c r="N28" s="63"/>
      <c r="O28" s="46"/>
      <c r="P28" s="63"/>
      <c r="Q28" s="45"/>
      <c r="R28" s="45"/>
      <c r="S28" s="45"/>
      <c r="T28" s="45"/>
      <c r="U28" s="47"/>
      <c r="W28" s="100"/>
      <c r="X28" s="100"/>
      <c r="Y28" s="100"/>
      <c r="Z28" s="100"/>
      <c r="AA28" s="100"/>
      <c r="AB28" s="100"/>
      <c r="AC28" s="100"/>
      <c r="AD28" s="100"/>
      <c r="AE28" s="101"/>
      <c r="AF28" s="101"/>
      <c r="AG28" s="101"/>
      <c r="AH28" s="101"/>
      <c r="AI28" s="100"/>
      <c r="AJ28" s="100"/>
      <c r="AK28" s="100"/>
      <c r="AL28" s="100"/>
      <c r="AM28" s="100"/>
      <c r="AN28" s="100"/>
      <c r="AO28" s="100"/>
      <c r="AP28" s="100"/>
      <c r="AQ28" s="100"/>
      <c r="AR28" s="100"/>
      <c r="AS28" s="100"/>
      <c r="AT28" s="100"/>
      <c r="AU28" s="100"/>
      <c r="AV28" s="100"/>
      <c r="AW28" s="100"/>
      <c r="AX28" s="100"/>
      <c r="AY28" s="100"/>
      <c r="AZ28" s="100"/>
      <c r="BA28" s="100"/>
      <c r="BB28" s="100"/>
      <c r="BC28" s="100"/>
      <c r="BD28" s="100"/>
      <c r="BE28" s="100"/>
    </row>
    <row r="29" spans="2:57" ht="15.75">
      <c r="B29" s="58">
        <f t="shared" ref="B29:B51" si="4">DATE(YEAR(E$24),MONTH(E$24)+D29+0,DAY(E$24))</f>
        <v>45832</v>
      </c>
      <c r="C29" s="215" t="str">
        <f t="shared" si="1"/>
        <v>Jun-2025</v>
      </c>
      <c r="D29" s="59">
        <v>2</v>
      </c>
      <c r="E29" s="60">
        <f t="shared" si="2"/>
        <v>2766.1672151776716</v>
      </c>
      <c r="F29" s="61">
        <f t="shared" ref="F29:F39" si="5">E29-G29</f>
        <v>1601.6244056055393</v>
      </c>
      <c r="G29" s="62">
        <f t="shared" si="3"/>
        <v>1164.5428095721322</v>
      </c>
      <c r="H29" s="61">
        <f t="shared" ref="H29:H39" si="6">H28-F29</f>
        <v>46834.354828999043</v>
      </c>
      <c r="J29" s="44"/>
      <c r="K29" s="63"/>
      <c r="L29" s="63"/>
      <c r="M29" s="63"/>
      <c r="N29" s="63"/>
      <c r="O29" s="46"/>
      <c r="P29" s="63"/>
      <c r="Q29" s="45"/>
      <c r="R29" s="64" t="s">
        <v>58</v>
      </c>
      <c r="S29" s="393">
        <f>E24</f>
        <v>45771</v>
      </c>
      <c r="T29" s="393"/>
      <c r="U29" s="47"/>
      <c r="W29" s="102"/>
      <c r="X29" s="294" t="s">
        <v>89</v>
      </c>
      <c r="Y29" s="295"/>
      <c r="Z29" s="295"/>
      <c r="AA29" s="295"/>
      <c r="AB29" s="295"/>
      <c r="AC29" s="295"/>
      <c r="AD29" s="295"/>
      <c r="AE29" s="295"/>
      <c r="AF29" s="295"/>
      <c r="AG29" s="295"/>
      <c r="AH29" s="295"/>
      <c r="AI29" s="295"/>
      <c r="AJ29" s="295"/>
      <c r="AK29" s="295"/>
      <c r="AL29" s="295"/>
      <c r="AM29" s="295"/>
      <c r="AN29" s="295"/>
      <c r="AO29" s="295"/>
      <c r="AP29" s="295"/>
      <c r="AQ29" s="295"/>
      <c r="AR29" s="295"/>
      <c r="AS29" s="295"/>
      <c r="AT29" s="295"/>
      <c r="AU29" s="295"/>
      <c r="AV29" s="295"/>
      <c r="AW29" s="295"/>
      <c r="AX29" s="295"/>
      <c r="AY29" s="295"/>
      <c r="AZ29" s="295"/>
      <c r="BA29" s="295"/>
      <c r="BB29" s="295"/>
      <c r="BC29" s="295"/>
      <c r="BD29" s="296"/>
      <c r="BE29" s="100"/>
    </row>
    <row r="30" spans="2:57" ht="15.75">
      <c r="B30" s="58">
        <f t="shared" si="4"/>
        <v>45862</v>
      </c>
      <c r="C30" s="215" t="str">
        <f t="shared" si="1"/>
        <v>Jul-2025</v>
      </c>
      <c r="D30" s="59">
        <v>3</v>
      </c>
      <c r="E30" s="60">
        <f t="shared" si="2"/>
        <v>2766.1672151776716</v>
      </c>
      <c r="F30" s="61">
        <f t="shared" si="5"/>
        <v>1640.1321474672052</v>
      </c>
      <c r="G30" s="62">
        <f t="shared" si="3"/>
        <v>1126.0350677104664</v>
      </c>
      <c r="H30" s="61">
        <f t="shared" si="6"/>
        <v>45194.222681531835</v>
      </c>
      <c r="J30" s="44"/>
      <c r="K30" s="63"/>
      <c r="L30" s="63"/>
      <c r="M30" s="63"/>
      <c r="N30" s="63"/>
      <c r="O30" s="46"/>
      <c r="P30" s="63"/>
      <c r="Q30" s="45"/>
      <c r="R30" s="64" t="s">
        <v>59</v>
      </c>
      <c r="S30" s="450" t="str">
        <f>H22</f>
        <v>CDEA-006</v>
      </c>
      <c r="T30" s="450"/>
      <c r="U30" s="47"/>
      <c r="W30" s="100"/>
      <c r="X30" s="100"/>
      <c r="Y30" s="100"/>
      <c r="Z30" s="100"/>
      <c r="AA30" s="100"/>
      <c r="AB30" s="100"/>
      <c r="AC30" s="100"/>
      <c r="AD30" s="100"/>
      <c r="AE30" s="100"/>
      <c r="AF30" s="100"/>
      <c r="AG30" s="100"/>
      <c r="AH30" s="100"/>
      <c r="AI30" s="100"/>
      <c r="AJ30" s="100"/>
      <c r="AK30" s="100"/>
      <c r="AL30" s="100"/>
      <c r="AM30" s="100"/>
      <c r="AN30" s="100"/>
      <c r="AO30" s="100"/>
      <c r="AP30" s="100"/>
      <c r="AQ30" s="100"/>
      <c r="AR30" s="100"/>
      <c r="AS30" s="100"/>
      <c r="AT30" s="100"/>
      <c r="AU30" s="451" t="s">
        <v>58</v>
      </c>
      <c r="AV30" s="452"/>
      <c r="AW30" s="103">
        <v>0</v>
      </c>
      <c r="AX30" s="104">
        <v>4</v>
      </c>
      <c r="AY30" s="104">
        <v>2</v>
      </c>
      <c r="AZ30" s="104">
        <v>4</v>
      </c>
      <c r="BA30" s="104">
        <v>2</v>
      </c>
      <c r="BB30" s="104">
        <v>0</v>
      </c>
      <c r="BC30" s="104">
        <v>2</v>
      </c>
      <c r="BD30" s="105">
        <v>5</v>
      </c>
      <c r="BE30" s="100"/>
    </row>
    <row r="31" spans="2:57" ht="15.75">
      <c r="B31" s="58">
        <f t="shared" si="4"/>
        <v>45893</v>
      </c>
      <c r="C31" s="216" t="str">
        <f t="shared" si="1"/>
        <v>Aug-2025</v>
      </c>
      <c r="D31" s="66">
        <v>4</v>
      </c>
      <c r="E31" s="60">
        <f t="shared" si="2"/>
        <v>2766.1672151776716</v>
      </c>
      <c r="F31" s="61">
        <f t="shared" si="5"/>
        <v>1679.5657282322341</v>
      </c>
      <c r="G31" s="62">
        <f t="shared" si="3"/>
        <v>1086.6014869454375</v>
      </c>
      <c r="H31" s="61">
        <f t="shared" si="6"/>
        <v>43514.6569532996</v>
      </c>
      <c r="J31" s="44"/>
      <c r="K31" s="63"/>
      <c r="L31" s="63"/>
      <c r="M31" s="63"/>
      <c r="N31" s="63"/>
      <c r="O31" s="46"/>
      <c r="P31" s="63"/>
      <c r="Q31" s="45"/>
      <c r="R31" s="64"/>
      <c r="S31" s="67"/>
      <c r="T31" s="45"/>
      <c r="U31" s="47"/>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6" t="s">
        <v>90</v>
      </c>
      <c r="AX31" s="106" t="s">
        <v>90</v>
      </c>
      <c r="AY31" s="106" t="s">
        <v>91</v>
      </c>
      <c r="AZ31" s="106" t="s">
        <v>91</v>
      </c>
      <c r="BA31" s="106" t="s">
        <v>92</v>
      </c>
      <c r="BB31" s="106" t="s">
        <v>92</v>
      </c>
      <c r="BC31" s="106" t="s">
        <v>92</v>
      </c>
      <c r="BD31" s="106" t="s">
        <v>92</v>
      </c>
      <c r="BE31" s="100"/>
    </row>
    <row r="32" spans="2:57" ht="15.75">
      <c r="B32" s="58">
        <f t="shared" si="4"/>
        <v>45924</v>
      </c>
      <c r="C32" s="216" t="str">
        <f t="shared" si="1"/>
        <v>Sep-2025</v>
      </c>
      <c r="D32" s="32">
        <v>5</v>
      </c>
      <c r="E32" s="60">
        <f t="shared" si="2"/>
        <v>2766.1672151776716</v>
      </c>
      <c r="F32" s="61">
        <f t="shared" si="5"/>
        <v>1719.9474077796403</v>
      </c>
      <c r="G32" s="62">
        <f t="shared" si="3"/>
        <v>1046.2198073980312</v>
      </c>
      <c r="H32" s="61">
        <f t="shared" si="6"/>
        <v>41794.70954551996</v>
      </c>
      <c r="J32" s="68"/>
      <c r="K32" s="64" t="s">
        <v>60</v>
      </c>
      <c r="L32" s="64"/>
      <c r="M32" s="64"/>
      <c r="N32" s="378" t="str">
        <f>D22</f>
        <v>MARY ANN ELVEÑA MENDEZ</v>
      </c>
      <c r="O32" s="378"/>
      <c r="P32" s="378"/>
      <c r="Q32" s="378"/>
      <c r="R32" s="378"/>
      <c r="S32" s="378"/>
      <c r="T32" s="69"/>
      <c r="U32" s="70"/>
      <c r="W32" s="100"/>
      <c r="X32" s="279" t="s">
        <v>93</v>
      </c>
      <c r="Y32" s="279"/>
      <c r="Z32" s="279"/>
      <c r="AA32" s="279"/>
      <c r="AB32" s="279"/>
      <c r="AC32" s="279"/>
      <c r="AD32" s="279"/>
      <c r="AE32" s="279" t="s">
        <v>94</v>
      </c>
      <c r="AF32" s="279"/>
      <c r="AG32" s="279"/>
      <c r="AH32" s="279"/>
      <c r="AI32" s="279"/>
      <c r="AJ32" s="279"/>
      <c r="AK32" s="279"/>
      <c r="AL32" s="279"/>
      <c r="AM32" s="279" t="s">
        <v>95</v>
      </c>
      <c r="AN32" s="279"/>
      <c r="AO32" s="279"/>
      <c r="AP32" s="279"/>
      <c r="AQ32" s="279"/>
      <c r="AR32" s="279"/>
      <c r="AS32" s="279"/>
      <c r="AT32" s="279" t="s">
        <v>96</v>
      </c>
      <c r="AU32" s="279"/>
      <c r="AV32" s="279"/>
      <c r="AW32" s="279"/>
      <c r="AX32" s="279"/>
      <c r="AY32" s="279"/>
      <c r="AZ32" s="279"/>
      <c r="BA32" s="279"/>
      <c r="BB32" s="279"/>
      <c r="BC32" s="279"/>
      <c r="BD32" s="279"/>
      <c r="BE32" s="102"/>
    </row>
    <row r="33" spans="2:57" ht="15.75">
      <c r="B33" s="58">
        <f t="shared" si="4"/>
        <v>45954</v>
      </c>
      <c r="C33" s="216" t="str">
        <f t="shared" si="1"/>
        <v>Oct-2025</v>
      </c>
      <c r="D33" s="32">
        <v>6</v>
      </c>
      <c r="E33" s="60">
        <f t="shared" si="2"/>
        <v>2766.1672151776716</v>
      </c>
      <c r="F33" s="61">
        <f t="shared" si="5"/>
        <v>1761.2999811811301</v>
      </c>
      <c r="G33" s="62">
        <f t="shared" si="3"/>
        <v>1004.8672339965416</v>
      </c>
      <c r="H33" s="61">
        <f t="shared" si="6"/>
        <v>40033.409564338828</v>
      </c>
      <c r="J33" s="68"/>
      <c r="K33" s="64" t="s">
        <v>61</v>
      </c>
      <c r="L33" s="64"/>
      <c r="M33" s="64"/>
      <c r="N33" s="449" t="str">
        <f>D23</f>
        <v>2012-039</v>
      </c>
      <c r="O33" s="449"/>
      <c r="P33" s="449"/>
      <c r="Q33" s="449"/>
      <c r="R33" s="449"/>
      <c r="S33" s="449"/>
      <c r="T33" s="69"/>
      <c r="U33" s="70"/>
      <c r="W33" s="100"/>
      <c r="X33" s="108"/>
      <c r="Y33" s="435" t="s">
        <v>97</v>
      </c>
      <c r="Z33" s="279"/>
      <c r="AA33" s="279"/>
      <c r="AB33" s="279"/>
      <c r="AC33" s="279"/>
      <c r="AD33" s="436"/>
      <c r="AE33" s="108"/>
      <c r="AF33" s="435" t="s">
        <v>98</v>
      </c>
      <c r="AG33" s="279"/>
      <c r="AH33" s="279"/>
      <c r="AI33" s="279"/>
      <c r="AJ33" s="279"/>
      <c r="AK33" s="279"/>
      <c r="AL33" s="436"/>
      <c r="AM33" s="108"/>
      <c r="AN33" s="102" t="s">
        <v>99</v>
      </c>
      <c r="AO33" s="100"/>
      <c r="AP33" s="100"/>
      <c r="AQ33" s="100"/>
      <c r="AR33" s="100"/>
      <c r="AS33" s="100"/>
      <c r="AT33" s="108"/>
      <c r="AU33" s="435" t="s">
        <v>100</v>
      </c>
      <c r="AV33" s="279"/>
      <c r="AW33" s="279"/>
      <c r="AX33" s="279"/>
      <c r="AY33" s="279"/>
      <c r="AZ33" s="279"/>
      <c r="BA33" s="279"/>
      <c r="BB33" s="279"/>
      <c r="BC33" s="279"/>
      <c r="BD33" s="279"/>
      <c r="BE33" s="100"/>
    </row>
    <row r="34" spans="2:57" ht="15.75">
      <c r="B34" s="58">
        <f t="shared" si="4"/>
        <v>45985</v>
      </c>
      <c r="C34" s="216" t="str">
        <f t="shared" si="1"/>
        <v>Nov-2025</v>
      </c>
      <c r="D34" s="32">
        <v>7</v>
      </c>
      <c r="E34" s="60">
        <f t="shared" si="2"/>
        <v>2766.1672151776716</v>
      </c>
      <c r="F34" s="61">
        <f t="shared" si="5"/>
        <v>1803.6467915686987</v>
      </c>
      <c r="G34" s="62">
        <f t="shared" si="3"/>
        <v>962.52042360897281</v>
      </c>
      <c r="H34" s="61">
        <f t="shared" si="6"/>
        <v>38229.762772770133</v>
      </c>
      <c r="J34" s="68"/>
      <c r="K34" s="64" t="s">
        <v>42</v>
      </c>
      <c r="L34" s="64"/>
      <c r="M34" s="64"/>
      <c r="N34" s="381" t="str">
        <f>F23</f>
        <v>043 ZONE 2, PC HILL, ROSARY HEIGHTS I, COTABATO CITY</v>
      </c>
      <c r="O34" s="381"/>
      <c r="P34" s="381"/>
      <c r="Q34" s="381"/>
      <c r="R34" s="381"/>
      <c r="S34" s="381"/>
      <c r="T34" s="69"/>
      <c r="U34" s="70"/>
      <c r="W34" s="100"/>
      <c r="X34" s="108"/>
      <c r="Y34" s="435" t="s">
        <v>101</v>
      </c>
      <c r="Z34" s="279"/>
      <c r="AA34" s="279"/>
      <c r="AB34" s="279"/>
      <c r="AC34" s="279"/>
      <c r="AD34" s="436"/>
      <c r="AE34" s="108"/>
      <c r="AF34" s="435" t="s">
        <v>102</v>
      </c>
      <c r="AG34" s="279"/>
      <c r="AH34" s="279"/>
      <c r="AI34" s="279"/>
      <c r="AJ34" s="279"/>
      <c r="AK34" s="279"/>
      <c r="AL34" s="436"/>
      <c r="AM34" s="108"/>
      <c r="AN34" s="102" t="s">
        <v>103</v>
      </c>
      <c r="AO34" s="100"/>
      <c r="AP34" s="100"/>
      <c r="AQ34" s="100"/>
      <c r="AR34" s="100"/>
      <c r="AS34" s="100"/>
      <c r="AT34" s="108"/>
      <c r="AU34" s="435" t="s">
        <v>104</v>
      </c>
      <c r="AV34" s="279"/>
      <c r="AW34" s="279"/>
      <c r="AX34" s="279"/>
      <c r="AY34" s="279"/>
      <c r="AZ34" s="279"/>
      <c r="BA34" s="279"/>
      <c r="BB34" s="279"/>
      <c r="BC34" s="279"/>
      <c r="BD34" s="279"/>
      <c r="BE34" s="100"/>
    </row>
    <row r="35" spans="2:57" ht="16.5" thickBot="1">
      <c r="B35" s="58">
        <f t="shared" si="4"/>
        <v>46015</v>
      </c>
      <c r="C35" s="216" t="str">
        <f t="shared" si="1"/>
        <v>Dec-2025</v>
      </c>
      <c r="D35" s="32">
        <v>8</v>
      </c>
      <c r="E35" s="60">
        <f t="shared" si="2"/>
        <v>2766.1672151776716</v>
      </c>
      <c r="F35" s="61">
        <f t="shared" si="5"/>
        <v>1847.0117433116077</v>
      </c>
      <c r="G35" s="62">
        <f t="shared" si="3"/>
        <v>919.15547186606386</v>
      </c>
      <c r="H35" s="61">
        <f t="shared" si="6"/>
        <v>36382.751029458523</v>
      </c>
      <c r="J35" s="44"/>
      <c r="K35" s="63"/>
      <c r="L35" s="63"/>
      <c r="M35" s="63"/>
      <c r="N35" s="71"/>
      <c r="O35" s="69"/>
      <c r="P35" s="69"/>
      <c r="Q35" s="45"/>
      <c r="R35" s="45"/>
      <c r="S35" s="45"/>
      <c r="T35" s="45"/>
      <c r="U35" s="47"/>
      <c r="W35" s="100"/>
      <c r="X35" s="108"/>
      <c r="Y35" s="435" t="s">
        <v>105</v>
      </c>
      <c r="Z35" s="279"/>
      <c r="AA35" s="279"/>
      <c r="AB35" s="279"/>
      <c r="AC35" s="279"/>
      <c r="AD35" s="436"/>
      <c r="AE35" s="108"/>
      <c r="AF35" s="435" t="s">
        <v>106</v>
      </c>
      <c r="AG35" s="279"/>
      <c r="AH35" s="279"/>
      <c r="AI35" s="279"/>
      <c r="AJ35" s="279"/>
      <c r="AK35" s="279"/>
      <c r="AL35" s="436"/>
      <c r="AM35" s="108"/>
      <c r="AN35" s="102" t="s">
        <v>107</v>
      </c>
      <c r="AO35" s="100"/>
      <c r="AP35" s="100"/>
      <c r="AQ35" s="100"/>
      <c r="AR35" s="100"/>
      <c r="AS35" s="100"/>
      <c r="AT35" s="108"/>
      <c r="AU35" s="102" t="s">
        <v>108</v>
      </c>
      <c r="AV35" s="102"/>
      <c r="AW35" s="360"/>
      <c r="AX35" s="360"/>
      <c r="AY35" s="360"/>
      <c r="AZ35" s="360"/>
      <c r="BA35" s="360"/>
      <c r="BB35" s="102"/>
      <c r="BC35" s="102"/>
      <c r="BD35" s="102"/>
      <c r="BE35" s="100"/>
    </row>
    <row r="36" spans="2:57" ht="15.75">
      <c r="B36" s="58">
        <f t="shared" si="4"/>
        <v>46046</v>
      </c>
      <c r="C36" s="216" t="str">
        <f t="shared" si="1"/>
        <v>Jan-2026</v>
      </c>
      <c r="D36" s="32">
        <v>9</v>
      </c>
      <c r="E36" s="60">
        <f t="shared" si="2"/>
        <v>2766.1672151776716</v>
      </c>
      <c r="F36" s="61">
        <f t="shared" si="5"/>
        <v>1891.4193155101711</v>
      </c>
      <c r="G36" s="62">
        <f t="shared" si="3"/>
        <v>874.74789966750041</v>
      </c>
      <c r="H36" s="61">
        <f t="shared" si="6"/>
        <v>34491.331713948355</v>
      </c>
      <c r="J36" s="44"/>
      <c r="K36" s="63"/>
      <c r="L36" s="64" t="s">
        <v>62</v>
      </c>
      <c r="M36" s="63"/>
      <c r="N36" s="63"/>
      <c r="O36" s="46"/>
      <c r="P36" s="63"/>
      <c r="Q36" s="72"/>
      <c r="R36" s="372">
        <f>C4</f>
        <v>60854.166666666664</v>
      </c>
      <c r="S36" s="372"/>
      <c r="T36" s="372"/>
      <c r="U36" s="47"/>
      <c r="W36" s="100"/>
      <c r="X36" s="108"/>
      <c r="Y36" s="435" t="s">
        <v>109</v>
      </c>
      <c r="Z36" s="279"/>
      <c r="AA36" s="279"/>
      <c r="AB36" s="279"/>
      <c r="AC36" s="279"/>
      <c r="AD36" s="436"/>
      <c r="AE36" s="108"/>
      <c r="AF36" s="435" t="s">
        <v>110</v>
      </c>
      <c r="AG36" s="279"/>
      <c r="AH36" s="279"/>
      <c r="AI36" s="279"/>
      <c r="AJ36" s="279"/>
      <c r="AK36" s="279"/>
      <c r="AL36" s="436"/>
      <c r="AM36" s="108"/>
      <c r="AN36" s="102" t="s">
        <v>111</v>
      </c>
      <c r="AO36" s="100"/>
      <c r="AP36" s="100"/>
      <c r="AQ36" s="100"/>
      <c r="AR36" s="100"/>
      <c r="AS36" s="100"/>
      <c r="AT36" s="100"/>
      <c r="AU36" s="100"/>
      <c r="AV36" s="100"/>
      <c r="AW36" s="100"/>
      <c r="AX36" s="100"/>
      <c r="AY36" s="100"/>
      <c r="AZ36" s="100"/>
      <c r="BA36" s="100"/>
      <c r="BB36" s="100"/>
      <c r="BC36" s="100"/>
      <c r="BD36" s="100"/>
      <c r="BE36" s="100"/>
    </row>
    <row r="37" spans="2:57" ht="15.75">
      <c r="B37" s="58">
        <f t="shared" si="4"/>
        <v>46077</v>
      </c>
      <c r="C37" s="216" t="str">
        <f t="shared" si="1"/>
        <v>Feb-2026</v>
      </c>
      <c r="D37" s="32">
        <v>10</v>
      </c>
      <c r="E37" s="60">
        <f t="shared" si="2"/>
        <v>2766.1672151776716</v>
      </c>
      <c r="F37" s="61">
        <f t="shared" si="5"/>
        <v>1936.8945758139735</v>
      </c>
      <c r="G37" s="62">
        <f t="shared" si="3"/>
        <v>829.27263936369798</v>
      </c>
      <c r="H37" s="61">
        <f t="shared" si="6"/>
        <v>32554.437138134381</v>
      </c>
      <c r="J37" s="44"/>
      <c r="K37" s="63"/>
      <c r="L37" s="64"/>
      <c r="M37" s="63"/>
      <c r="N37" s="63"/>
      <c r="O37" s="46"/>
      <c r="P37" s="63"/>
      <c r="Q37" s="72"/>
      <c r="R37" s="382"/>
      <c r="S37" s="382"/>
      <c r="T37" s="382"/>
      <c r="U37" s="47"/>
      <c r="W37" s="100"/>
      <c r="X37" s="108"/>
      <c r="Y37" s="435" t="s">
        <v>112</v>
      </c>
      <c r="Z37" s="279"/>
      <c r="AA37" s="279"/>
      <c r="AB37" s="279"/>
      <c r="AC37" s="279"/>
      <c r="AD37" s="436"/>
      <c r="AE37" s="108"/>
      <c r="AF37" s="435" t="s">
        <v>113</v>
      </c>
      <c r="AG37" s="279"/>
      <c r="AH37" s="279"/>
      <c r="AI37" s="279"/>
      <c r="AJ37" s="279"/>
      <c r="AK37" s="279"/>
      <c r="AL37" s="436"/>
      <c r="AM37" s="108"/>
      <c r="AN37" s="102" t="s">
        <v>114</v>
      </c>
      <c r="AO37" s="100"/>
      <c r="AP37" s="100"/>
      <c r="AQ37" s="100"/>
      <c r="AR37" s="100"/>
      <c r="AS37" s="100"/>
      <c r="AT37" s="100"/>
      <c r="AU37" s="100"/>
      <c r="AV37" s="100"/>
      <c r="AW37" s="100"/>
      <c r="AX37" s="100"/>
      <c r="AY37" s="100"/>
      <c r="AZ37" s="100"/>
      <c r="BA37" s="100"/>
      <c r="BB37" s="100"/>
      <c r="BC37" s="100"/>
      <c r="BD37" s="100"/>
      <c r="BE37" s="100"/>
    </row>
    <row r="38" spans="2:57" ht="16.5" thickBot="1">
      <c r="B38" s="58">
        <f t="shared" si="4"/>
        <v>46105</v>
      </c>
      <c r="C38" s="216" t="str">
        <f t="shared" si="1"/>
        <v>Mar-2026</v>
      </c>
      <c r="D38" s="32">
        <v>11</v>
      </c>
      <c r="E38" s="60">
        <f t="shared" si="2"/>
        <v>2766.1672151776716</v>
      </c>
      <c r="F38" s="61">
        <f t="shared" si="5"/>
        <v>1983.4631945723188</v>
      </c>
      <c r="G38" s="62">
        <f t="shared" si="3"/>
        <v>782.70402060535275</v>
      </c>
      <c r="H38" s="61">
        <f t="shared" si="6"/>
        <v>30570.973943562061</v>
      </c>
      <c r="J38" s="73"/>
      <c r="K38" s="74"/>
      <c r="L38" s="75" t="s">
        <v>63</v>
      </c>
      <c r="M38" s="74" t="s">
        <v>64</v>
      </c>
      <c r="N38" s="74"/>
      <c r="O38" s="76"/>
      <c r="P38" s="74"/>
      <c r="Q38" s="71"/>
      <c r="R38" s="372">
        <f>-C14</f>
        <v>0</v>
      </c>
      <c r="S38" s="372"/>
      <c r="T38" s="372"/>
      <c r="U38" s="77"/>
      <c r="W38" s="100"/>
      <c r="X38" s="346"/>
      <c r="Y38" s="346"/>
      <c r="Z38" s="346"/>
      <c r="AA38" s="346"/>
      <c r="AB38" s="346"/>
      <c r="AC38" s="346"/>
      <c r="AD38" s="445"/>
      <c r="AE38" s="110"/>
      <c r="AF38" s="102" t="s">
        <v>115</v>
      </c>
      <c r="AG38" s="102"/>
      <c r="AH38" s="252"/>
      <c r="AI38" s="252"/>
      <c r="AJ38" s="252"/>
      <c r="AK38" s="252"/>
      <c r="AL38" s="446"/>
      <c r="AM38" s="110"/>
      <c r="AN38" s="102" t="s">
        <v>108</v>
      </c>
      <c r="AO38" s="100"/>
      <c r="AP38" s="354"/>
      <c r="AQ38" s="354"/>
      <c r="AR38" s="354"/>
      <c r="AS38" s="354"/>
      <c r="AT38" s="447"/>
      <c r="AU38" s="100"/>
      <c r="AV38" s="100"/>
      <c r="AW38" s="100"/>
      <c r="AX38" s="100"/>
      <c r="AY38" s="100"/>
      <c r="AZ38" s="100"/>
      <c r="BA38" s="100"/>
      <c r="BB38" s="100"/>
      <c r="BC38" s="100"/>
      <c r="BD38" s="100"/>
      <c r="BE38" s="100"/>
    </row>
    <row r="39" spans="2:57" ht="16.5" thickBot="1">
      <c r="B39" s="58">
        <f t="shared" si="4"/>
        <v>46136</v>
      </c>
      <c r="C39" s="217" t="str">
        <f t="shared" si="1"/>
        <v>Apr-2026</v>
      </c>
      <c r="D39" s="89">
        <v>12</v>
      </c>
      <c r="E39" s="166">
        <f t="shared" si="2"/>
        <v>2766.1672151776716</v>
      </c>
      <c r="F39" s="167">
        <f t="shared" si="5"/>
        <v>2031.1514593248962</v>
      </c>
      <c r="G39" s="168">
        <f t="shared" si="3"/>
        <v>735.01575585277521</v>
      </c>
      <c r="H39" s="167">
        <f t="shared" si="6"/>
        <v>28539.822484237164</v>
      </c>
      <c r="J39" s="73"/>
      <c r="K39" s="74"/>
      <c r="L39" s="75" t="s">
        <v>63</v>
      </c>
      <c r="M39" s="74" t="s">
        <v>65</v>
      </c>
      <c r="N39" s="74"/>
      <c r="O39" s="76"/>
      <c r="P39" s="74"/>
      <c r="Q39" s="71"/>
      <c r="R39" s="376">
        <f>-C8</f>
        <v>-300</v>
      </c>
      <c r="S39" s="376"/>
      <c r="T39" s="376"/>
      <c r="U39" s="77"/>
      <c r="W39" s="100"/>
      <c r="X39" s="111" t="s">
        <v>116</v>
      </c>
      <c r="Y39" s="112"/>
      <c r="Z39" s="112"/>
      <c r="AA39" s="112"/>
      <c r="AB39" s="448">
        <f>R44</f>
        <v>50000</v>
      </c>
      <c r="AC39" s="355"/>
      <c r="AD39" s="355"/>
      <c r="AE39" s="355"/>
      <c r="AF39" s="355"/>
      <c r="AG39" s="355"/>
      <c r="AH39" s="355"/>
      <c r="AI39" s="355"/>
      <c r="AJ39" s="355"/>
      <c r="AK39" s="355"/>
      <c r="AL39" s="355"/>
      <c r="AM39" s="357"/>
      <c r="AN39" s="111" t="s">
        <v>117</v>
      </c>
      <c r="AO39" s="112"/>
      <c r="AP39" s="113"/>
      <c r="AQ39" s="113"/>
      <c r="AR39" s="113"/>
      <c r="AS39" s="113"/>
      <c r="AT39" s="448">
        <f>R49</f>
        <v>2766.1672151776716</v>
      </c>
      <c r="AU39" s="355"/>
      <c r="AV39" s="355"/>
      <c r="AW39" s="355"/>
      <c r="AX39" s="355"/>
      <c r="AY39" s="355"/>
      <c r="AZ39" s="355"/>
      <c r="BA39" s="355"/>
      <c r="BB39" s="355"/>
      <c r="BC39" s="355"/>
      <c r="BD39" s="357"/>
      <c r="BE39" s="100"/>
    </row>
    <row r="40" spans="2:57" ht="16.5" thickBot="1">
      <c r="B40" s="58">
        <f t="shared" si="4"/>
        <v>46166</v>
      </c>
      <c r="C40" s="217" t="str">
        <f t="shared" ref="C40:C51" si="7">TEXT(B40,"mmm-yyyy")</f>
        <v>May-2026</v>
      </c>
      <c r="D40" s="89">
        <v>13</v>
      </c>
      <c r="E40" s="166">
        <f t="shared" ref="E40:E51" si="8">C$1</f>
        <v>2766.1672151776716</v>
      </c>
      <c r="F40" s="167">
        <f t="shared" ref="F40:F51" si="9">E40-G40</f>
        <v>2079.9862896408454</v>
      </c>
      <c r="G40" s="168">
        <f t="shared" ref="G40:G51" si="10">H39*C$12</f>
        <v>686.18092553682607</v>
      </c>
      <c r="H40" s="167">
        <f t="shared" ref="H40:H51" si="11">H39-F40</f>
        <v>26459.836194596319</v>
      </c>
      <c r="J40" s="73"/>
      <c r="K40" s="74"/>
      <c r="L40" s="75" t="s">
        <v>63</v>
      </c>
      <c r="M40" s="74" t="s">
        <v>66</v>
      </c>
      <c r="N40" s="74"/>
      <c r="O40" s="76"/>
      <c r="P40" s="74"/>
      <c r="Q40" s="71"/>
      <c r="R40" s="376">
        <f>-C7</f>
        <v>-5000</v>
      </c>
      <c r="S40" s="376"/>
      <c r="T40" s="376"/>
      <c r="U40" s="77"/>
      <c r="W40" s="100"/>
      <c r="X40" s="114"/>
      <c r="Y40" s="115"/>
      <c r="Z40" s="115"/>
      <c r="AA40" s="115"/>
      <c r="AB40" s="245"/>
      <c r="AC40" s="246"/>
      <c r="AD40" s="246"/>
      <c r="AE40" s="246"/>
      <c r="AF40" s="246"/>
      <c r="AG40" s="246"/>
      <c r="AH40" s="246"/>
      <c r="AI40" s="246"/>
      <c r="AJ40" s="246"/>
      <c r="AK40" s="246"/>
      <c r="AL40" s="246"/>
      <c r="AM40" s="247"/>
      <c r="AN40" s="114"/>
      <c r="AO40" s="115"/>
      <c r="AP40" s="115"/>
      <c r="AQ40" s="115"/>
      <c r="AR40" s="115"/>
      <c r="AS40" s="115"/>
      <c r="AT40" s="245"/>
      <c r="AU40" s="246"/>
      <c r="AV40" s="246"/>
      <c r="AW40" s="246"/>
      <c r="AX40" s="246"/>
      <c r="AY40" s="246"/>
      <c r="AZ40" s="246"/>
      <c r="BA40" s="246"/>
      <c r="BB40" s="246"/>
      <c r="BC40" s="246"/>
      <c r="BD40" s="247"/>
      <c r="BE40" s="100"/>
    </row>
    <row r="41" spans="2:57" ht="16.5" thickBot="1">
      <c r="B41" s="58">
        <f t="shared" si="4"/>
        <v>46197</v>
      </c>
      <c r="C41" s="217" t="str">
        <f t="shared" si="7"/>
        <v>Jun-2026</v>
      </c>
      <c r="D41" s="89">
        <v>14</v>
      </c>
      <c r="E41" s="166">
        <f t="shared" si="8"/>
        <v>2766.1672151776716</v>
      </c>
      <c r="F41" s="167">
        <f t="shared" si="9"/>
        <v>2129.9952523145953</v>
      </c>
      <c r="G41" s="168">
        <f t="shared" si="10"/>
        <v>636.17196286307626</v>
      </c>
      <c r="H41" s="167">
        <f t="shared" si="11"/>
        <v>24329.840942281724</v>
      </c>
      <c r="J41" s="73"/>
      <c r="K41" s="74"/>
      <c r="L41" s="75" t="s">
        <v>63</v>
      </c>
      <c r="M41" s="74" t="s">
        <v>6</v>
      </c>
      <c r="N41" s="74"/>
      <c r="O41" s="76"/>
      <c r="P41" s="74"/>
      <c r="Q41" s="71"/>
      <c r="R41" s="376">
        <f>-C5</f>
        <v>-4000</v>
      </c>
      <c r="S41" s="376"/>
      <c r="T41" s="376"/>
      <c r="U41" s="77"/>
      <c r="W41" s="100"/>
      <c r="X41" s="273" t="s">
        <v>118</v>
      </c>
      <c r="Y41" s="275"/>
      <c r="Z41" s="442"/>
      <c r="AA41" s="443"/>
      <c r="AB41" s="443"/>
      <c r="AC41" s="443"/>
      <c r="AD41" s="443"/>
      <c r="AE41" s="444"/>
      <c r="AF41" s="117" t="s">
        <v>119</v>
      </c>
      <c r="AG41" s="115"/>
      <c r="AH41" s="115"/>
      <c r="AI41" s="115"/>
      <c r="AJ41" s="361"/>
      <c r="AK41" s="361"/>
      <c r="AL41" s="361"/>
      <c r="AM41" s="361"/>
      <c r="AN41" s="361"/>
      <c r="AO41" s="361"/>
      <c r="AP41" s="361"/>
      <c r="AQ41" s="362"/>
      <c r="AR41" s="118" t="s">
        <v>120</v>
      </c>
      <c r="AS41" s="119"/>
      <c r="AT41" s="119"/>
      <c r="AU41" s="119"/>
      <c r="AV41" s="361"/>
      <c r="AW41" s="361"/>
      <c r="AX41" s="361"/>
      <c r="AY41" s="361"/>
      <c r="AZ41" s="361"/>
      <c r="BA41" s="361"/>
      <c r="BB41" s="361"/>
      <c r="BC41" s="361"/>
      <c r="BD41" s="362"/>
      <c r="BE41" s="100"/>
    </row>
    <row r="42" spans="2:57" ht="16.5" thickBot="1">
      <c r="B42" s="58">
        <f t="shared" si="4"/>
        <v>46227</v>
      </c>
      <c r="C42" s="217" t="str">
        <f t="shared" si="7"/>
        <v>Jul-2026</v>
      </c>
      <c r="D42" s="89">
        <v>15</v>
      </c>
      <c r="E42" s="166">
        <f t="shared" si="8"/>
        <v>2766.1672151776716</v>
      </c>
      <c r="F42" s="167">
        <f t="shared" si="9"/>
        <v>2181.2065769270562</v>
      </c>
      <c r="G42" s="168">
        <f t="shared" si="10"/>
        <v>584.96063825061549</v>
      </c>
      <c r="H42" s="167">
        <f t="shared" si="11"/>
        <v>22148.634365354668</v>
      </c>
      <c r="J42" s="73"/>
      <c r="K42" s="74"/>
      <c r="L42" s="75" t="s">
        <v>63</v>
      </c>
      <c r="M42" s="74" t="s">
        <v>67</v>
      </c>
      <c r="N42" s="74"/>
      <c r="O42" s="76"/>
      <c r="P42" s="74"/>
      <c r="Q42" s="71"/>
      <c r="R42" s="376">
        <f>-C6</f>
        <v>-1200</v>
      </c>
      <c r="S42" s="376"/>
      <c r="T42" s="376"/>
      <c r="U42" s="77"/>
      <c r="W42" s="100"/>
      <c r="X42" s="335" t="s">
        <v>121</v>
      </c>
      <c r="Y42" s="336"/>
      <c r="Z42" s="339"/>
      <c r="AA42" s="340"/>
      <c r="AB42" s="340"/>
      <c r="AC42" s="340"/>
      <c r="AD42" s="340"/>
      <c r="AE42" s="341"/>
      <c r="AF42" s="121"/>
      <c r="AG42" s="120" t="s">
        <v>122</v>
      </c>
      <c r="AH42" s="122"/>
      <c r="AI42" s="122"/>
      <c r="AJ42" s="122"/>
      <c r="AK42" s="122"/>
      <c r="AL42" s="122"/>
      <c r="AM42" s="122"/>
      <c r="AN42" s="122"/>
      <c r="AO42" s="122"/>
      <c r="AP42" s="122"/>
      <c r="AQ42" s="123"/>
      <c r="AR42" s="124"/>
      <c r="AS42" s="335" t="s">
        <v>123</v>
      </c>
      <c r="AT42" s="345"/>
      <c r="AU42" s="345"/>
      <c r="AV42" s="122"/>
      <c r="AW42" s="122"/>
      <c r="AX42" s="122"/>
      <c r="AY42" s="122"/>
      <c r="AZ42" s="122"/>
      <c r="BA42" s="122"/>
      <c r="BB42" s="122"/>
      <c r="BC42" s="122"/>
      <c r="BD42" s="123"/>
      <c r="BE42" s="100"/>
    </row>
    <row r="43" spans="2:57" ht="16.5" thickBot="1">
      <c r="B43" s="58">
        <f t="shared" si="4"/>
        <v>46258</v>
      </c>
      <c r="C43" s="217" t="str">
        <f t="shared" si="7"/>
        <v>Aug-2026</v>
      </c>
      <c r="D43" s="89">
        <v>16</v>
      </c>
      <c r="E43" s="166">
        <f t="shared" si="8"/>
        <v>2766.1672151776716</v>
      </c>
      <c r="F43" s="167">
        <f t="shared" si="9"/>
        <v>2233.6491717809472</v>
      </c>
      <c r="G43" s="168">
        <f t="shared" si="10"/>
        <v>532.51804339672447</v>
      </c>
      <c r="H43" s="167">
        <f t="shared" si="11"/>
        <v>19914.985193573721</v>
      </c>
      <c r="J43" s="50"/>
      <c r="L43" s="75" t="s">
        <v>63</v>
      </c>
      <c r="M43" s="74" t="s">
        <v>10</v>
      </c>
      <c r="R43" s="376">
        <f>-C9</f>
        <v>-354.16666666666669</v>
      </c>
      <c r="S43" s="376"/>
      <c r="T43" s="376"/>
      <c r="U43" s="78"/>
      <c r="W43" s="100"/>
      <c r="X43" s="337"/>
      <c r="Y43" s="338"/>
      <c r="Z43" s="342"/>
      <c r="AA43" s="343"/>
      <c r="AB43" s="343"/>
      <c r="AC43" s="343"/>
      <c r="AD43" s="343"/>
      <c r="AE43" s="344"/>
      <c r="AF43" s="108"/>
      <c r="AG43" s="116" t="s">
        <v>124</v>
      </c>
      <c r="AH43" s="125"/>
      <c r="AI43" s="125"/>
      <c r="AJ43" s="125"/>
      <c r="AK43" s="125"/>
      <c r="AL43" s="125"/>
      <c r="AM43" s="125"/>
      <c r="AN43" s="125"/>
      <c r="AO43" s="125"/>
      <c r="AP43" s="125"/>
      <c r="AQ43" s="126"/>
      <c r="AR43" s="108"/>
      <c r="AS43" s="337" t="s">
        <v>125</v>
      </c>
      <c r="AT43" s="363"/>
      <c r="AU43" s="363"/>
      <c r="AV43" s="125"/>
      <c r="AW43" s="125"/>
      <c r="AX43" s="125"/>
      <c r="AY43" s="125"/>
      <c r="AZ43" s="125"/>
      <c r="BA43" s="125"/>
      <c r="BB43" s="125"/>
      <c r="BC43" s="125"/>
      <c r="BD43" s="126"/>
      <c r="BE43" s="100"/>
    </row>
    <row r="44" spans="2:57" ht="16.5" thickBot="1">
      <c r="B44" s="58">
        <f t="shared" si="4"/>
        <v>46289</v>
      </c>
      <c r="C44" s="217" t="str">
        <f t="shared" si="7"/>
        <v>Sep-2026</v>
      </c>
      <c r="D44" s="89">
        <v>17</v>
      </c>
      <c r="E44" s="166">
        <f t="shared" si="8"/>
        <v>2766.1672151776716</v>
      </c>
      <c r="F44" s="167">
        <f t="shared" si="9"/>
        <v>2287.3526402192574</v>
      </c>
      <c r="G44" s="168">
        <f t="shared" si="10"/>
        <v>478.81457495841397</v>
      </c>
      <c r="H44" s="167">
        <f t="shared" si="11"/>
        <v>17627.632553354462</v>
      </c>
      <c r="J44" s="44"/>
      <c r="K44" s="63"/>
      <c r="L44" s="64" t="s">
        <v>68</v>
      </c>
      <c r="M44" s="63"/>
      <c r="N44" s="63"/>
      <c r="O44" s="46"/>
      <c r="P44" s="63"/>
      <c r="Q44" s="45"/>
      <c r="R44" s="376">
        <f>SUM(R36:T43)</f>
        <v>50000</v>
      </c>
      <c r="S44" s="376"/>
      <c r="T44" s="376"/>
      <c r="U44" s="47"/>
      <c r="W44" s="100"/>
      <c r="X44" s="294" t="s">
        <v>126</v>
      </c>
      <c r="Y44" s="295"/>
      <c r="Z44" s="295"/>
      <c r="AA44" s="295"/>
      <c r="AB44" s="295"/>
      <c r="AC44" s="295"/>
      <c r="AD44" s="295"/>
      <c r="AE44" s="295"/>
      <c r="AF44" s="295"/>
      <c r="AG44" s="295"/>
      <c r="AH44" s="295"/>
      <c r="AI44" s="295"/>
      <c r="AJ44" s="295"/>
      <c r="AK44" s="295"/>
      <c r="AL44" s="295"/>
      <c r="AM44" s="295"/>
      <c r="AN44" s="295"/>
      <c r="AO44" s="295"/>
      <c r="AP44" s="295"/>
      <c r="AQ44" s="295"/>
      <c r="AR44" s="295"/>
      <c r="AS44" s="295"/>
      <c r="AT44" s="295"/>
      <c r="AU44" s="295"/>
      <c r="AV44" s="295"/>
      <c r="AW44" s="295"/>
      <c r="AX44" s="295"/>
      <c r="AY44" s="295"/>
      <c r="AZ44" s="295"/>
      <c r="BA44" s="295"/>
      <c r="BB44" s="295"/>
      <c r="BC44" s="295"/>
      <c r="BD44" s="296"/>
      <c r="BE44" s="100"/>
    </row>
    <row r="45" spans="2:57" ht="16.5" thickBot="1">
      <c r="B45" s="58">
        <f t="shared" si="4"/>
        <v>46319</v>
      </c>
      <c r="C45" s="217" t="str">
        <f t="shared" si="7"/>
        <v>Oct-2026</v>
      </c>
      <c r="D45" s="89">
        <v>18</v>
      </c>
      <c r="E45" s="166">
        <f t="shared" si="8"/>
        <v>2766.1672151776716</v>
      </c>
      <c r="F45" s="167">
        <f t="shared" si="9"/>
        <v>2342.3472973360504</v>
      </c>
      <c r="G45" s="168">
        <f t="shared" si="10"/>
        <v>423.81991784162125</v>
      </c>
      <c r="H45" s="167">
        <f t="shared" si="11"/>
        <v>15285.285256018411</v>
      </c>
      <c r="J45" s="44"/>
      <c r="K45" s="45"/>
      <c r="L45" s="45"/>
      <c r="M45" s="45"/>
      <c r="N45" s="45"/>
      <c r="O45" s="49"/>
      <c r="P45" s="45"/>
      <c r="Q45" s="45"/>
      <c r="R45" s="45"/>
      <c r="S45" s="45"/>
      <c r="T45" s="45"/>
      <c r="U45" s="47"/>
      <c r="W45" s="100"/>
      <c r="X45" s="127" t="s">
        <v>297</v>
      </c>
      <c r="Y45" s="127"/>
      <c r="Z45" s="127"/>
      <c r="AA45" s="127"/>
      <c r="AB45" s="127"/>
      <c r="AC45" s="127"/>
      <c r="AD45" s="127" t="s">
        <v>295</v>
      </c>
      <c r="AE45" s="127"/>
      <c r="AF45" s="127"/>
      <c r="AG45" s="127"/>
      <c r="AH45" s="127"/>
      <c r="AI45" s="127"/>
      <c r="AJ45" s="127"/>
      <c r="AK45" s="127"/>
      <c r="AL45" s="127"/>
      <c r="AM45" s="127"/>
      <c r="AN45" s="127" t="s">
        <v>296</v>
      </c>
      <c r="AO45" s="127"/>
      <c r="AP45" s="127"/>
      <c r="AQ45" s="127"/>
      <c r="AR45" s="127"/>
      <c r="AS45" s="127"/>
      <c r="AT45" s="127"/>
      <c r="AU45" s="127"/>
      <c r="AV45" s="127"/>
      <c r="AW45" s="127"/>
      <c r="AX45" s="127"/>
      <c r="AY45" s="127"/>
      <c r="AZ45" s="127"/>
      <c r="BA45" s="127"/>
      <c r="BB45" s="113"/>
      <c r="BC45" s="113"/>
      <c r="BD45" s="113"/>
      <c r="BE45" s="100"/>
    </row>
    <row r="46" spans="2:57" ht="16.5" thickBot="1">
      <c r="B46" s="58">
        <f t="shared" si="4"/>
        <v>46350</v>
      </c>
      <c r="C46" s="217" t="str">
        <f t="shared" si="7"/>
        <v>Nov-2026</v>
      </c>
      <c r="D46" s="89">
        <v>19</v>
      </c>
      <c r="E46" s="166">
        <f t="shared" si="8"/>
        <v>2766.1672151776716</v>
      </c>
      <c r="F46" s="167">
        <f t="shared" si="9"/>
        <v>2398.6641870890417</v>
      </c>
      <c r="G46" s="168">
        <f t="shared" si="10"/>
        <v>367.50302808862966</v>
      </c>
      <c r="H46" s="167">
        <f t="shared" si="11"/>
        <v>12886.621068929369</v>
      </c>
      <c r="J46" s="44"/>
      <c r="K46" s="79" t="s">
        <v>69</v>
      </c>
      <c r="L46" s="79"/>
      <c r="M46" s="79"/>
      <c r="N46" s="79"/>
      <c r="O46" s="79"/>
      <c r="P46" s="79"/>
      <c r="Q46" s="79"/>
      <c r="R46" s="79"/>
      <c r="S46" s="79"/>
      <c r="T46" s="79"/>
      <c r="U46" s="47"/>
      <c r="W46" s="100"/>
      <c r="X46" s="102" t="s">
        <v>127</v>
      </c>
      <c r="Y46" s="107"/>
      <c r="Z46" s="107"/>
      <c r="AA46" s="102"/>
      <c r="AB46" s="102"/>
      <c r="AC46" s="102"/>
      <c r="AD46" s="102" t="s">
        <v>128</v>
      </c>
      <c r="AE46" s="102"/>
      <c r="AF46" s="102"/>
      <c r="AG46" s="102"/>
      <c r="AH46" s="102"/>
      <c r="AI46" s="102"/>
      <c r="AJ46" s="102"/>
      <c r="AK46" s="102"/>
      <c r="AL46" s="100"/>
      <c r="AM46" s="102"/>
      <c r="AN46" s="102" t="s">
        <v>129</v>
      </c>
      <c r="AO46" s="102"/>
      <c r="AP46" s="102"/>
      <c r="AQ46" s="102"/>
      <c r="AR46" s="102"/>
      <c r="AS46" s="100"/>
      <c r="AT46" s="102"/>
      <c r="AU46" s="102"/>
      <c r="AV46" s="102"/>
      <c r="AW46" s="102"/>
      <c r="AX46" s="100"/>
      <c r="AY46" s="102"/>
      <c r="AZ46" s="102" t="s">
        <v>130</v>
      </c>
      <c r="BA46" s="102"/>
      <c r="BB46" s="128"/>
      <c r="BC46" s="129"/>
      <c r="BD46" s="129"/>
      <c r="BE46" s="100"/>
    </row>
    <row r="47" spans="2:57" ht="16.5" thickBot="1">
      <c r="B47" s="58">
        <f t="shared" si="4"/>
        <v>46380</v>
      </c>
      <c r="C47" s="217" t="str">
        <f t="shared" si="7"/>
        <v>Dec-2026</v>
      </c>
      <c r="D47" s="89">
        <v>20</v>
      </c>
      <c r="E47" s="166">
        <f t="shared" si="8"/>
        <v>2766.1672151776716</v>
      </c>
      <c r="F47" s="167">
        <f t="shared" si="9"/>
        <v>2456.3350998236201</v>
      </c>
      <c r="G47" s="168">
        <f t="shared" si="10"/>
        <v>309.83211535405138</v>
      </c>
      <c r="H47" s="167">
        <f t="shared" si="11"/>
        <v>10430.285969105749</v>
      </c>
      <c r="J47" s="44"/>
      <c r="K47" s="45"/>
      <c r="L47" s="45"/>
      <c r="M47" s="45"/>
      <c r="N47" s="45"/>
      <c r="O47" s="49"/>
      <c r="P47" s="45"/>
      <c r="Q47" s="45"/>
      <c r="R47" s="45"/>
      <c r="S47" s="45"/>
      <c r="T47" s="45"/>
      <c r="U47" s="47"/>
      <c r="W47" s="100"/>
      <c r="X47" s="348" t="s">
        <v>131</v>
      </c>
      <c r="Y47" s="349"/>
      <c r="Z47" s="349"/>
      <c r="AA47" s="349"/>
      <c r="AB47" s="349"/>
      <c r="AC47" s="350"/>
      <c r="AD47" s="348" t="s">
        <v>61</v>
      </c>
      <c r="AE47" s="349"/>
      <c r="AF47" s="349"/>
      <c r="AG47" s="349"/>
      <c r="AH47" s="350"/>
      <c r="AI47" s="348" t="s">
        <v>132</v>
      </c>
      <c r="AJ47" s="349"/>
      <c r="AK47" s="349"/>
      <c r="AL47" s="349"/>
      <c r="AM47" s="349"/>
      <c r="AN47" s="350"/>
      <c r="AO47" s="351" t="s">
        <v>133</v>
      </c>
      <c r="AP47" s="352"/>
      <c r="AQ47" s="352"/>
      <c r="AR47" s="352"/>
      <c r="AS47" s="352"/>
      <c r="AT47" s="352"/>
      <c r="AU47" s="352"/>
      <c r="AV47" s="353"/>
      <c r="AW47" s="351" t="s">
        <v>134</v>
      </c>
      <c r="AX47" s="352"/>
      <c r="AY47" s="352"/>
      <c r="AZ47" s="352"/>
      <c r="BA47" s="352"/>
      <c r="BB47" s="352"/>
      <c r="BC47" s="352"/>
      <c r="BD47" s="353"/>
      <c r="BE47" s="100"/>
    </row>
    <row r="48" spans="2:57" ht="16.5" thickBot="1">
      <c r="B48" s="58">
        <f t="shared" si="4"/>
        <v>46411</v>
      </c>
      <c r="C48" s="217" t="str">
        <f t="shared" si="7"/>
        <v>Jan-2027</v>
      </c>
      <c r="D48" s="89">
        <v>21</v>
      </c>
      <c r="E48" s="166">
        <f t="shared" si="8"/>
        <v>2766.1672151776716</v>
      </c>
      <c r="F48" s="167">
        <f t="shared" si="9"/>
        <v>2515.39259021819</v>
      </c>
      <c r="G48" s="168">
        <f t="shared" si="10"/>
        <v>250.77462495948157</v>
      </c>
      <c r="H48" s="167">
        <f t="shared" si="11"/>
        <v>7914.8933788875593</v>
      </c>
      <c r="J48" s="44"/>
      <c r="K48" s="45"/>
      <c r="L48" s="80" t="s">
        <v>70</v>
      </c>
      <c r="M48" s="74"/>
      <c r="N48" s="74"/>
      <c r="O48" s="74"/>
      <c r="P48" s="74"/>
      <c r="Q48" s="74"/>
      <c r="R48" s="373">
        <f>E25</f>
        <v>24</v>
      </c>
      <c r="S48" s="373"/>
      <c r="T48" s="81" t="s">
        <v>71</v>
      </c>
      <c r="U48" s="47"/>
      <c r="W48" s="100"/>
      <c r="X48" s="221" t="s">
        <v>299</v>
      </c>
      <c r="Y48" s="222"/>
      <c r="Z48" s="222"/>
      <c r="AA48" s="222"/>
      <c r="AB48" s="222"/>
      <c r="AC48" s="223"/>
      <c r="AD48" s="441" t="str">
        <f>N33</f>
        <v>2012-039</v>
      </c>
      <c r="AE48" s="333"/>
      <c r="AF48" s="333"/>
      <c r="AG48" s="333"/>
      <c r="AH48" s="334"/>
      <c r="AI48" s="329" t="s">
        <v>280</v>
      </c>
      <c r="AJ48" s="330"/>
      <c r="AK48" s="330"/>
      <c r="AL48" s="330"/>
      <c r="AM48" s="330"/>
      <c r="AN48" s="331"/>
      <c r="AO48" s="103"/>
      <c r="AP48" s="105"/>
      <c r="AQ48" s="103"/>
      <c r="AR48" s="105"/>
      <c r="AS48" s="104"/>
      <c r="AT48" s="104"/>
      <c r="AU48" s="104"/>
      <c r="AV48" s="105"/>
      <c r="AW48" s="103"/>
      <c r="AX48" s="105"/>
      <c r="AY48" s="103"/>
      <c r="AZ48" s="105"/>
      <c r="BA48" s="104"/>
      <c r="BB48" s="104"/>
      <c r="BC48" s="104"/>
      <c r="BD48" s="105"/>
      <c r="BE48" s="100"/>
    </row>
    <row r="49" spans="2:57" ht="16.5" thickBot="1">
      <c r="B49" s="58">
        <f t="shared" si="4"/>
        <v>46442</v>
      </c>
      <c r="C49" s="217" t="str">
        <f t="shared" si="7"/>
        <v>Feb-2027</v>
      </c>
      <c r="D49" s="89">
        <v>22</v>
      </c>
      <c r="E49" s="166">
        <f t="shared" si="8"/>
        <v>2766.1672151776716</v>
      </c>
      <c r="F49" s="167">
        <f t="shared" si="9"/>
        <v>2575.8699956609776</v>
      </c>
      <c r="G49" s="168">
        <f t="shared" si="10"/>
        <v>190.29721951669413</v>
      </c>
      <c r="H49" s="167">
        <f t="shared" si="11"/>
        <v>5339.0233832265822</v>
      </c>
      <c r="J49" s="44"/>
      <c r="K49" s="45"/>
      <c r="L49" s="74" t="s">
        <v>72</v>
      </c>
      <c r="M49" s="74"/>
      <c r="N49" s="74"/>
      <c r="O49" s="74"/>
      <c r="P49" s="74"/>
      <c r="Q49" s="74"/>
      <c r="R49" s="374">
        <f>C1</f>
        <v>2766.1672151776716</v>
      </c>
      <c r="S49" s="374"/>
      <c r="T49" s="374"/>
      <c r="U49" s="47"/>
      <c r="W49" s="100"/>
      <c r="X49" s="100"/>
      <c r="Y49" s="100"/>
      <c r="Z49" s="100"/>
      <c r="AA49" s="100"/>
      <c r="AB49" s="100"/>
      <c r="AC49" s="100"/>
      <c r="AD49" s="100"/>
      <c r="AE49" s="100"/>
      <c r="AF49" s="100"/>
      <c r="AG49" s="100"/>
      <c r="AH49" s="100"/>
      <c r="AI49" s="100"/>
      <c r="AJ49" s="100"/>
      <c r="AK49" s="100"/>
      <c r="AL49" s="100"/>
      <c r="AM49" s="100"/>
      <c r="AN49" s="100"/>
      <c r="AO49" s="130" t="s">
        <v>90</v>
      </c>
      <c r="AP49" s="130" t="s">
        <v>90</v>
      </c>
      <c r="AQ49" s="130" t="s">
        <v>91</v>
      </c>
      <c r="AR49" s="130" t="s">
        <v>91</v>
      </c>
      <c r="AS49" s="130" t="s">
        <v>92</v>
      </c>
      <c r="AT49" s="130" t="s">
        <v>92</v>
      </c>
      <c r="AU49" s="130" t="s">
        <v>92</v>
      </c>
      <c r="AV49" s="130" t="s">
        <v>92</v>
      </c>
      <c r="AW49" s="130" t="s">
        <v>90</v>
      </c>
      <c r="AX49" s="130" t="s">
        <v>90</v>
      </c>
      <c r="AY49" s="130" t="s">
        <v>91</v>
      </c>
      <c r="AZ49" s="130" t="s">
        <v>91</v>
      </c>
      <c r="BA49" s="130" t="s">
        <v>92</v>
      </c>
      <c r="BB49" s="130" t="s">
        <v>92</v>
      </c>
      <c r="BC49" s="130" t="s">
        <v>92</v>
      </c>
      <c r="BD49" s="130" t="s">
        <v>92</v>
      </c>
      <c r="BE49" s="100"/>
    </row>
    <row r="50" spans="2:57" ht="16.5" thickBot="1">
      <c r="B50" s="58">
        <f t="shared" si="4"/>
        <v>46470</v>
      </c>
      <c r="C50" s="217" t="str">
        <f t="shared" si="7"/>
        <v>Mar-2027</v>
      </c>
      <c r="D50" s="89">
        <v>23</v>
      </c>
      <c r="E50" s="166">
        <f t="shared" si="8"/>
        <v>2766.1672151776716</v>
      </c>
      <c r="F50" s="167">
        <f t="shared" si="9"/>
        <v>2637.8014550686667</v>
      </c>
      <c r="G50" s="168">
        <f t="shared" si="10"/>
        <v>128.36576010900492</v>
      </c>
      <c r="H50" s="167">
        <f t="shared" si="11"/>
        <v>2701.2219281579155</v>
      </c>
      <c r="J50" s="44"/>
      <c r="K50" s="45"/>
      <c r="L50" s="74" t="s">
        <v>73</v>
      </c>
      <c r="M50" s="74"/>
      <c r="N50" s="74"/>
      <c r="O50" s="74"/>
      <c r="P50" s="74"/>
      <c r="Q50" s="74"/>
      <c r="R50" s="437">
        <f>B28</f>
        <v>45801</v>
      </c>
      <c r="S50" s="437"/>
      <c r="T50" s="437"/>
      <c r="U50" s="47"/>
      <c r="W50" s="100"/>
      <c r="X50" s="100"/>
      <c r="Y50" s="100"/>
      <c r="Z50" s="100"/>
      <c r="AA50" s="100"/>
      <c r="AB50" s="100"/>
      <c r="AC50" s="100"/>
      <c r="AD50" s="100"/>
      <c r="AE50" s="100"/>
      <c r="AF50" s="100"/>
      <c r="AG50" s="100"/>
      <c r="AH50" s="100"/>
      <c r="AI50" s="100"/>
      <c r="AJ50" s="100"/>
      <c r="AK50" s="100"/>
      <c r="AL50" s="100"/>
      <c r="AM50" s="100"/>
      <c r="AN50" s="100"/>
      <c r="AO50" s="100"/>
      <c r="AP50" s="100"/>
      <c r="AQ50" s="100"/>
      <c r="AR50" s="100"/>
      <c r="AS50" s="100"/>
      <c r="AT50" s="100"/>
      <c r="AU50" s="100"/>
      <c r="AV50" s="100"/>
      <c r="AW50" s="100"/>
      <c r="AX50" s="100"/>
      <c r="AY50" s="100"/>
      <c r="AZ50" s="100"/>
      <c r="BA50" s="100"/>
      <c r="BB50" s="100"/>
      <c r="BC50" s="100"/>
      <c r="BD50" s="100"/>
      <c r="BE50" s="100"/>
    </row>
    <row r="51" spans="2:57" ht="15.75">
      <c r="B51" s="58">
        <f t="shared" si="4"/>
        <v>46501</v>
      </c>
      <c r="C51" s="216" t="str">
        <f t="shared" si="7"/>
        <v>Apr-2027</v>
      </c>
      <c r="D51" s="32">
        <v>24</v>
      </c>
      <c r="E51" s="60">
        <f t="shared" si="8"/>
        <v>2766.1672151776716</v>
      </c>
      <c r="F51" s="61">
        <f t="shared" si="9"/>
        <v>2701.2219281574917</v>
      </c>
      <c r="G51" s="62">
        <f t="shared" si="10"/>
        <v>64.945287020179975</v>
      </c>
      <c r="H51" s="61">
        <f t="shared" si="11"/>
        <v>4.2382453102618456E-10</v>
      </c>
      <c r="J51" s="44"/>
      <c r="K51" s="45"/>
      <c r="L51" s="74" t="s">
        <v>74</v>
      </c>
      <c r="M51" s="74"/>
      <c r="N51" s="74"/>
      <c r="O51" s="74"/>
      <c r="P51" s="74"/>
      <c r="Q51" s="74"/>
      <c r="R51" s="437">
        <f>B51</f>
        <v>46501</v>
      </c>
      <c r="S51" s="437"/>
      <c r="T51" s="437"/>
      <c r="U51" s="47"/>
      <c r="W51" s="100"/>
      <c r="X51" s="102" t="s">
        <v>135</v>
      </c>
      <c r="Y51" s="102"/>
      <c r="Z51" s="102"/>
      <c r="AA51" s="102"/>
      <c r="AB51" s="102"/>
      <c r="AC51" s="102"/>
      <c r="AD51" s="102"/>
      <c r="AE51" s="102" t="s">
        <v>136</v>
      </c>
      <c r="AF51" s="102"/>
      <c r="AG51" s="102"/>
      <c r="AH51" s="102"/>
      <c r="AI51" s="100"/>
      <c r="AJ51" s="131" t="s">
        <v>137</v>
      </c>
      <c r="AK51" s="364">
        <v>46</v>
      </c>
      <c r="AL51" s="362"/>
      <c r="AM51" s="438" t="s">
        <v>138</v>
      </c>
      <c r="AN51" s="365"/>
      <c r="AO51" s="365"/>
      <c r="AP51" s="439"/>
      <c r="AQ51" s="132"/>
      <c r="AR51" s="435" t="s">
        <v>139</v>
      </c>
      <c r="AS51" s="436"/>
      <c r="AT51" s="132"/>
      <c r="AU51" s="435" t="s">
        <v>140</v>
      </c>
      <c r="AV51" s="279"/>
      <c r="AW51" s="279"/>
      <c r="AX51" s="440" t="s">
        <v>141</v>
      </c>
      <c r="AY51" s="440"/>
      <c r="AZ51" s="440"/>
      <c r="BA51" s="440"/>
      <c r="BB51" s="440"/>
      <c r="BC51" s="440"/>
      <c r="BD51" s="440"/>
      <c r="BE51" s="100"/>
    </row>
    <row r="52" spans="2:57" ht="15.75">
      <c r="B52" s="58"/>
      <c r="C52" s="97"/>
      <c r="E52" s="91">
        <f>SUM(E28:E51)</f>
        <v>66388.013164264135</v>
      </c>
      <c r="F52" s="91">
        <f t="shared" ref="F52:G52" si="12">SUM(F28:F51)</f>
        <v>49999.999999999578</v>
      </c>
      <c r="G52" s="91">
        <f t="shared" si="12"/>
        <v>16388.013164264543</v>
      </c>
      <c r="H52" s="98"/>
      <c r="J52" s="44"/>
      <c r="K52" s="45"/>
      <c r="L52" s="74" t="s">
        <v>75</v>
      </c>
      <c r="M52" s="74"/>
      <c r="N52" s="74"/>
      <c r="O52" s="74"/>
      <c r="P52" s="74"/>
      <c r="Q52" s="74"/>
      <c r="R52" s="369">
        <f>C16</f>
        <v>8.855359027416676E-2</v>
      </c>
      <c r="S52" s="369"/>
      <c r="T52" s="369"/>
      <c r="U52" s="47"/>
      <c r="W52" s="100"/>
      <c r="X52" s="266" t="s">
        <v>287</v>
      </c>
      <c r="Y52" s="267"/>
      <c r="Z52" s="267"/>
      <c r="AA52" s="267"/>
      <c r="AB52" s="267"/>
      <c r="AC52" s="267"/>
      <c r="AD52" s="268"/>
      <c r="AE52" s="364" t="s">
        <v>300</v>
      </c>
      <c r="AF52" s="361"/>
      <c r="AG52" s="361"/>
      <c r="AH52" s="361"/>
      <c r="AI52" s="361"/>
      <c r="AJ52" s="361"/>
      <c r="AK52" s="361"/>
      <c r="AL52" s="362"/>
      <c r="AM52" s="438"/>
      <c r="AN52" s="365"/>
      <c r="AO52" s="365"/>
      <c r="AP52" s="439"/>
      <c r="AQ52" s="132"/>
      <c r="AR52" s="435" t="s">
        <v>142</v>
      </c>
      <c r="AS52" s="436"/>
      <c r="AT52" s="132"/>
      <c r="AU52" s="435" t="s">
        <v>143</v>
      </c>
      <c r="AV52" s="279"/>
      <c r="AW52" s="436"/>
      <c r="AX52" s="290"/>
      <c r="AY52" s="291"/>
      <c r="AZ52" s="291"/>
      <c r="BA52" s="291"/>
      <c r="BB52" s="291"/>
      <c r="BC52" s="291"/>
      <c r="BD52" s="292"/>
      <c r="BE52" s="100"/>
    </row>
    <row r="53" spans="2:57" ht="15.75">
      <c r="B53" s="58"/>
      <c r="C53" s="97"/>
      <c r="E53" s="28"/>
      <c r="F53" s="98"/>
      <c r="G53" s="99"/>
      <c r="H53" s="98"/>
      <c r="J53" s="44"/>
      <c r="K53" s="45"/>
      <c r="L53" s="74" t="s">
        <v>76</v>
      </c>
      <c r="M53" s="74"/>
      <c r="N53" s="74"/>
      <c r="O53" s="74"/>
      <c r="P53" s="74"/>
      <c r="Q53" s="74"/>
      <c r="R53" s="369">
        <f>C15</f>
        <v>7.0833333333333338E-3</v>
      </c>
      <c r="S53" s="369"/>
      <c r="T53" s="369"/>
      <c r="U53" s="47"/>
      <c r="W53" s="100"/>
      <c r="X53" s="430" t="s">
        <v>144</v>
      </c>
      <c r="Y53" s="430"/>
      <c r="Z53" s="430"/>
      <c r="AA53" s="430"/>
      <c r="AB53" s="430"/>
      <c r="AC53" s="430"/>
      <c r="AD53" s="430"/>
      <c r="AE53" s="431" t="s">
        <v>145</v>
      </c>
      <c r="AF53" s="431"/>
      <c r="AG53" s="431"/>
      <c r="AH53" s="431"/>
      <c r="AI53" s="431"/>
      <c r="AJ53" s="431"/>
      <c r="AK53" s="431"/>
      <c r="AL53" s="431"/>
      <c r="AM53" s="431"/>
      <c r="AN53" s="431"/>
      <c r="AO53" s="431"/>
      <c r="AP53" s="431"/>
      <c r="AQ53" s="431"/>
      <c r="AR53" s="431"/>
      <c r="AS53" s="431"/>
      <c r="AT53" s="431"/>
      <c r="AU53" s="100"/>
      <c r="AV53" s="113"/>
      <c r="AW53" s="113"/>
      <c r="AX53" s="113" t="s">
        <v>146</v>
      </c>
      <c r="AY53" s="113"/>
      <c r="AZ53" s="113"/>
      <c r="BA53" s="113"/>
      <c r="BB53" s="113"/>
      <c r="BC53" s="113"/>
      <c r="BD53" s="113"/>
      <c r="BE53" s="100"/>
    </row>
    <row r="54" spans="2:57" ht="16.5" thickBot="1">
      <c r="B54" s="58"/>
      <c r="C54" s="97"/>
      <c r="E54" s="28"/>
      <c r="F54" s="98"/>
      <c r="G54" s="99"/>
      <c r="H54" s="98"/>
      <c r="J54" s="44"/>
      <c r="K54" s="82"/>
      <c r="L54" s="82"/>
      <c r="M54" s="82"/>
      <c r="N54" s="82"/>
      <c r="O54" s="83"/>
      <c r="P54" s="82"/>
      <c r="Q54" s="82"/>
      <c r="R54" s="82"/>
      <c r="S54" s="82"/>
      <c r="T54" s="82"/>
      <c r="U54" s="47"/>
      <c r="W54" s="100"/>
      <c r="X54" s="290" t="str">
        <f>AI48</f>
        <v>OFFICE OF THE CIVIL DEFENSE</v>
      </c>
      <c r="Y54" s="291"/>
      <c r="Z54" s="291"/>
      <c r="AA54" s="291"/>
      <c r="AB54" s="291"/>
      <c r="AC54" s="291"/>
      <c r="AD54" s="292"/>
      <c r="AE54" s="273" t="s">
        <v>303</v>
      </c>
      <c r="AF54" s="274"/>
      <c r="AG54" s="274"/>
      <c r="AH54" s="274"/>
      <c r="AI54" s="274"/>
      <c r="AJ54" s="274"/>
      <c r="AK54" s="274"/>
      <c r="AL54" s="274"/>
      <c r="AM54" s="274"/>
      <c r="AN54" s="274"/>
      <c r="AO54" s="274"/>
      <c r="AP54" s="274"/>
      <c r="AQ54" s="274"/>
      <c r="AR54" s="274"/>
      <c r="AS54" s="274"/>
      <c r="AT54" s="274"/>
      <c r="AU54" s="274"/>
      <c r="AV54" s="274"/>
      <c r="AW54" s="275"/>
      <c r="AX54" s="273" t="s">
        <v>304</v>
      </c>
      <c r="AY54" s="274"/>
      <c r="AZ54" s="274"/>
      <c r="BA54" s="274"/>
      <c r="BB54" s="274"/>
      <c r="BC54" s="274"/>
      <c r="BD54" s="275"/>
      <c r="BE54" s="100"/>
    </row>
    <row r="55" spans="2:57" ht="16.5" thickTop="1">
      <c r="B55" s="58"/>
      <c r="C55" s="97"/>
      <c r="H55" s="98"/>
      <c r="J55" s="44"/>
      <c r="K55" s="45"/>
      <c r="L55" s="45"/>
      <c r="M55" s="45"/>
      <c r="N55" s="45"/>
      <c r="O55" s="49"/>
      <c r="P55" s="45"/>
      <c r="Q55" s="45"/>
      <c r="R55" s="45"/>
      <c r="S55" s="45"/>
      <c r="T55" s="45"/>
      <c r="U55" s="47"/>
      <c r="W55" s="100"/>
      <c r="X55" s="102" t="s">
        <v>147</v>
      </c>
      <c r="Y55" s="102"/>
      <c r="Z55" s="102"/>
      <c r="AA55" s="102"/>
      <c r="AB55" s="102"/>
      <c r="AC55" s="102"/>
      <c r="AD55" s="102"/>
      <c r="AE55" s="100"/>
      <c r="AF55" s="102"/>
      <c r="AG55" s="113" t="s">
        <v>148</v>
      </c>
      <c r="AH55" s="100"/>
      <c r="AI55" s="100"/>
      <c r="AJ55" s="432"/>
      <c r="AK55" s="433"/>
      <c r="AL55" s="433"/>
      <c r="AM55" s="433"/>
      <c r="AN55" s="433"/>
      <c r="AO55" s="433"/>
      <c r="AP55" s="433"/>
      <c r="AQ55" s="433"/>
      <c r="AR55" s="433"/>
      <c r="AS55" s="434"/>
      <c r="AT55" s="213" t="s">
        <v>149</v>
      </c>
      <c r="AU55" s="213"/>
      <c r="AV55" s="213"/>
      <c r="AW55" s="213"/>
      <c r="AX55" s="213"/>
      <c r="AY55" s="213"/>
      <c r="AZ55" s="213"/>
      <c r="BA55" s="213"/>
      <c r="BB55" s="213"/>
      <c r="BC55" s="213"/>
      <c r="BD55" s="213"/>
      <c r="BE55" s="100"/>
    </row>
    <row r="56" spans="2:57" ht="15.75">
      <c r="B56" s="58"/>
      <c r="C56" s="97"/>
      <c r="E56" s="28"/>
      <c r="F56" s="98"/>
      <c r="G56" s="99"/>
      <c r="H56" s="98"/>
      <c r="J56" s="44"/>
      <c r="K56" s="45" t="s">
        <v>77</v>
      </c>
      <c r="L56" s="45"/>
      <c r="M56" s="45"/>
      <c r="O56" s="45"/>
      <c r="P56" s="45"/>
      <c r="R56" s="45" t="s">
        <v>78</v>
      </c>
      <c r="S56" s="45"/>
      <c r="T56" s="45"/>
      <c r="U56" s="47"/>
      <c r="W56" s="100"/>
      <c r="X56" s="273" t="s">
        <v>309</v>
      </c>
      <c r="Y56" s="274"/>
      <c r="Z56" s="274"/>
      <c r="AA56" s="274"/>
      <c r="AB56" s="274"/>
      <c r="AC56" s="274"/>
      <c r="AD56" s="274"/>
      <c r="AE56" s="274"/>
      <c r="AF56" s="275"/>
      <c r="AG56" s="425"/>
      <c r="AH56" s="426"/>
      <c r="AI56" s="426"/>
      <c r="AJ56" s="426"/>
      <c r="AK56" s="426"/>
      <c r="AL56" s="426"/>
      <c r="AM56" s="426"/>
      <c r="AN56" s="426"/>
      <c r="AO56" s="426"/>
      <c r="AP56" s="426"/>
      <c r="AQ56" s="426"/>
      <c r="AR56" s="426"/>
      <c r="AS56" s="427"/>
      <c r="AT56" s="173">
        <v>4</v>
      </c>
      <c r="AU56" s="174">
        <v>0</v>
      </c>
      <c r="AV56" s="174">
        <v>4</v>
      </c>
      <c r="AW56" s="133" t="s">
        <v>150</v>
      </c>
      <c r="AX56" s="174" t="s">
        <v>305</v>
      </c>
      <c r="AY56" s="174" t="s">
        <v>306</v>
      </c>
      <c r="AZ56" s="174" t="s">
        <v>254</v>
      </c>
      <c r="BA56" s="133" t="s">
        <v>150</v>
      </c>
      <c r="BB56" s="174" t="s">
        <v>307</v>
      </c>
      <c r="BC56" s="174" t="s">
        <v>308</v>
      </c>
      <c r="BD56" s="174" t="s">
        <v>307</v>
      </c>
      <c r="BE56" s="100"/>
    </row>
    <row r="57" spans="2:57" ht="16.5" customHeight="1">
      <c r="B57" s="58"/>
      <c r="C57" s="97"/>
      <c r="E57" s="28"/>
      <c r="F57" s="98"/>
      <c r="G57" s="99"/>
      <c r="H57" s="98"/>
      <c r="J57" s="44"/>
      <c r="K57" s="45"/>
      <c r="L57" s="45"/>
      <c r="M57" s="45"/>
      <c r="N57" s="45"/>
      <c r="O57" s="45"/>
      <c r="P57" s="45"/>
      <c r="Q57" s="45"/>
      <c r="R57" s="45"/>
      <c r="S57" s="45"/>
      <c r="T57" s="45"/>
      <c r="U57" s="47"/>
      <c r="W57" s="100"/>
      <c r="X57" s="134" t="s">
        <v>151</v>
      </c>
      <c r="Y57" s="113"/>
      <c r="Z57" s="113"/>
      <c r="AA57" s="113"/>
      <c r="AB57" s="428" t="str">
        <f>N34</f>
        <v>043 ZONE 2, PC HILL, ROSARY HEIGHTS I, COTABATO CITY</v>
      </c>
      <c r="AC57" s="288"/>
      <c r="AD57" s="288"/>
      <c r="AE57" s="288"/>
      <c r="AF57" s="288"/>
      <c r="AG57" s="288"/>
      <c r="AH57" s="288"/>
      <c r="AI57" s="288"/>
      <c r="AJ57" s="288"/>
      <c r="AK57" s="288"/>
      <c r="AL57" s="288"/>
      <c r="AM57" s="288"/>
      <c r="AN57" s="288"/>
      <c r="AO57" s="288"/>
      <c r="AP57" s="288"/>
      <c r="AQ57" s="288"/>
      <c r="AR57" s="288"/>
      <c r="AS57" s="288"/>
      <c r="AT57" s="288"/>
      <c r="AU57" s="288"/>
      <c r="AV57" s="288"/>
      <c r="AW57" s="288"/>
      <c r="AX57" s="288"/>
      <c r="AY57" s="288"/>
      <c r="AZ57" s="288"/>
      <c r="BA57" s="288"/>
      <c r="BB57" s="288"/>
      <c r="BC57" s="288"/>
      <c r="BD57" s="289"/>
      <c r="BE57" s="100"/>
    </row>
    <row r="58" spans="2:57" ht="15.6" customHeight="1">
      <c r="B58" s="58"/>
      <c r="C58" s="97"/>
      <c r="E58" s="28"/>
      <c r="F58" s="98"/>
      <c r="G58" s="99"/>
      <c r="H58" s="98"/>
      <c r="J58" s="50"/>
      <c r="U58" s="78"/>
      <c r="W58" s="100"/>
      <c r="X58" s="280" t="s">
        <v>152</v>
      </c>
      <c r="Y58" s="410"/>
      <c r="Z58" s="410"/>
      <c r="AA58" s="410"/>
      <c r="AB58" s="410"/>
      <c r="AC58" s="410"/>
      <c r="AD58" s="410"/>
      <c r="AE58" s="410"/>
      <c r="AF58" s="410"/>
      <c r="AG58" s="410"/>
      <c r="AH58" s="410"/>
      <c r="AI58" s="410"/>
      <c r="AJ58" s="410"/>
      <c r="AK58" s="410"/>
      <c r="AL58" s="410"/>
      <c r="AM58" s="410"/>
      <c r="AN58" s="410"/>
      <c r="AO58" s="410"/>
      <c r="AP58" s="410"/>
      <c r="AQ58" s="410"/>
      <c r="AR58" s="410"/>
      <c r="AS58" s="410"/>
      <c r="AT58" s="410"/>
      <c r="AU58" s="410"/>
      <c r="AV58" s="410"/>
      <c r="AW58" s="410"/>
      <c r="AX58" s="410"/>
      <c r="AY58" s="410"/>
      <c r="AZ58" s="410"/>
      <c r="BA58" s="410"/>
      <c r="BB58" s="410"/>
      <c r="BC58" s="410"/>
      <c r="BD58" s="411"/>
      <c r="BE58" s="100"/>
    </row>
    <row r="59" spans="2:57" ht="15.75">
      <c r="B59" s="58"/>
      <c r="C59" s="97"/>
      <c r="E59" s="28"/>
      <c r="F59" s="98"/>
      <c r="G59" s="99"/>
      <c r="H59" s="98"/>
      <c r="J59" s="50"/>
      <c r="U59" s="78"/>
      <c r="W59" s="100"/>
      <c r="X59" s="100"/>
      <c r="Y59" s="100"/>
      <c r="Z59" s="100"/>
      <c r="AA59" s="100"/>
      <c r="AB59" s="100"/>
      <c r="AC59" s="100"/>
      <c r="AD59" s="100"/>
      <c r="AE59" s="100"/>
      <c r="AF59" s="100"/>
      <c r="AG59" s="100"/>
      <c r="AH59" s="100"/>
      <c r="AI59" s="100"/>
      <c r="AJ59" s="100"/>
      <c r="AK59" s="100"/>
      <c r="AL59" s="100"/>
      <c r="AM59" s="100"/>
      <c r="AN59" s="100"/>
      <c r="AO59" s="100"/>
      <c r="AP59" s="100"/>
      <c r="AQ59" s="100"/>
      <c r="AR59" s="100"/>
      <c r="AS59" s="100"/>
      <c r="AT59" s="100"/>
      <c r="AU59" s="100"/>
      <c r="AV59" s="100"/>
      <c r="AW59" s="100"/>
      <c r="AX59" s="100"/>
      <c r="AY59" s="100"/>
      <c r="AZ59" s="100"/>
      <c r="BA59" s="100"/>
      <c r="BB59" s="100"/>
      <c r="BC59" s="100"/>
      <c r="BD59" s="100"/>
      <c r="BE59" s="100"/>
    </row>
    <row r="60" spans="2:57" ht="15.75">
      <c r="B60" s="58"/>
      <c r="C60" s="97"/>
      <c r="E60" s="28"/>
      <c r="F60" s="98"/>
      <c r="G60" s="99"/>
      <c r="H60" s="98"/>
      <c r="J60" s="44"/>
      <c r="K60" s="429" t="s">
        <v>281</v>
      </c>
      <c r="L60" s="429"/>
      <c r="M60" s="429"/>
      <c r="N60" s="63"/>
      <c r="O60" s="63"/>
      <c r="P60" s="63"/>
      <c r="R60" s="370" t="s">
        <v>266</v>
      </c>
      <c r="S60" s="370"/>
      <c r="T60" s="370"/>
      <c r="U60" s="47"/>
      <c r="W60" s="100"/>
      <c r="X60" s="100"/>
      <c r="Y60" s="100" t="s">
        <v>153</v>
      </c>
      <c r="Z60" s="100"/>
      <c r="AA60" s="100"/>
      <c r="AB60" s="100"/>
      <c r="AC60" s="100"/>
      <c r="AD60" s="100"/>
      <c r="AE60" s="100"/>
      <c r="AF60" s="100"/>
      <c r="AG60" s="100"/>
      <c r="AH60" s="100"/>
      <c r="AI60" s="100"/>
      <c r="AJ60" s="100"/>
      <c r="AK60" s="100"/>
      <c r="AL60" s="100"/>
      <c r="AM60" s="100"/>
      <c r="AN60" s="100"/>
      <c r="AO60" s="100"/>
      <c r="AP60" s="100"/>
      <c r="AQ60" s="100"/>
      <c r="AR60" s="100"/>
      <c r="AS60" s="100"/>
      <c r="AT60" s="100"/>
      <c r="AU60" s="100"/>
      <c r="AV60" s="100"/>
      <c r="AW60" s="100"/>
      <c r="AX60" s="100"/>
      <c r="AY60" s="100"/>
      <c r="AZ60" s="100"/>
      <c r="BA60" s="100"/>
      <c r="BB60" s="100"/>
      <c r="BC60" s="100"/>
      <c r="BD60" s="100"/>
      <c r="BE60" s="100"/>
    </row>
    <row r="61" spans="2:57" ht="15.75">
      <c r="B61" s="58"/>
      <c r="C61" s="97"/>
      <c r="E61" s="28"/>
      <c r="F61" s="98"/>
      <c r="G61" s="99"/>
      <c r="H61" s="98"/>
      <c r="J61" s="44"/>
      <c r="K61" s="371" t="s">
        <v>79</v>
      </c>
      <c r="L61" s="371"/>
      <c r="M61" s="371"/>
      <c r="N61" s="45"/>
      <c r="O61" s="49"/>
      <c r="P61" s="45"/>
      <c r="R61" s="422" t="s">
        <v>80</v>
      </c>
      <c r="S61" s="422"/>
      <c r="T61" s="422"/>
      <c r="U61" s="47"/>
      <c r="W61" s="100"/>
      <c r="X61" s="100" t="s">
        <v>154</v>
      </c>
      <c r="Y61" s="100"/>
      <c r="Z61" s="100"/>
      <c r="AA61" s="100"/>
      <c r="AB61" s="100"/>
      <c r="AC61" s="100"/>
      <c r="AD61" s="100"/>
      <c r="AE61" s="100"/>
      <c r="AF61" s="100"/>
      <c r="AG61" s="100"/>
      <c r="AH61" s="100"/>
      <c r="AI61" s="100"/>
      <c r="AJ61" s="100"/>
      <c r="AK61" s="100"/>
      <c r="AL61" s="100"/>
      <c r="AM61" s="100"/>
      <c r="AN61" s="100"/>
      <c r="AO61" s="100"/>
      <c r="AP61" s="100"/>
      <c r="AQ61" s="100"/>
      <c r="AR61" s="100"/>
      <c r="AS61" s="100"/>
      <c r="AT61" s="100"/>
      <c r="AU61" s="100"/>
      <c r="AV61" s="100"/>
      <c r="AW61" s="100"/>
      <c r="AX61" s="100"/>
      <c r="AY61" s="100"/>
      <c r="AZ61" s="100"/>
      <c r="BA61" s="100"/>
      <c r="BB61" s="100"/>
      <c r="BC61" s="100"/>
      <c r="BD61" s="100"/>
      <c r="BE61" s="100"/>
    </row>
    <row r="62" spans="2:57" ht="15.75">
      <c r="B62" s="58"/>
      <c r="C62" s="97"/>
      <c r="E62" s="28"/>
      <c r="F62" s="98"/>
      <c r="G62" s="99"/>
      <c r="H62" s="98"/>
      <c r="J62" s="50"/>
      <c r="U62" s="78"/>
      <c r="W62" s="100"/>
      <c r="X62" s="100" t="s">
        <v>155</v>
      </c>
      <c r="Y62" s="100"/>
      <c r="Z62" s="100"/>
      <c r="AA62" s="100"/>
      <c r="AB62" s="100"/>
      <c r="AC62" s="100"/>
      <c r="AD62" s="100"/>
      <c r="AE62" s="100"/>
      <c r="AF62" s="100"/>
      <c r="AG62" s="100"/>
      <c r="AH62" s="100"/>
      <c r="AI62" s="100"/>
      <c r="AJ62" s="100"/>
      <c r="AK62" s="100"/>
      <c r="AL62" s="100"/>
      <c r="AM62" s="100"/>
      <c r="AN62" s="100"/>
      <c r="AO62" s="100"/>
      <c r="AP62" s="100"/>
      <c r="AQ62" s="100"/>
      <c r="AR62" s="100"/>
      <c r="AS62" s="100"/>
      <c r="AT62" s="100"/>
      <c r="AU62" s="100"/>
      <c r="AV62" s="100"/>
      <c r="AW62" s="100"/>
      <c r="AX62" s="100"/>
      <c r="AY62" s="100"/>
      <c r="AZ62" s="100"/>
      <c r="BA62" s="100"/>
      <c r="BB62" s="100"/>
      <c r="BC62" s="100"/>
      <c r="BD62" s="100"/>
      <c r="BE62" s="100"/>
    </row>
    <row r="63" spans="2:57" ht="15.75">
      <c r="B63" s="58"/>
      <c r="C63" s="97"/>
      <c r="E63" s="28"/>
      <c r="F63" s="98"/>
      <c r="G63" s="99"/>
      <c r="H63" s="98"/>
      <c r="J63" s="50"/>
      <c r="U63" s="78"/>
      <c r="W63" s="100"/>
      <c r="X63" s="100" t="s">
        <v>156</v>
      </c>
      <c r="Y63" s="100"/>
      <c r="Z63" s="100"/>
      <c r="AA63" s="100"/>
      <c r="AB63" s="100"/>
      <c r="AC63" s="100"/>
      <c r="AD63" s="100"/>
      <c r="AE63" s="100"/>
      <c r="AF63" s="100"/>
      <c r="AG63" s="100"/>
      <c r="AH63" s="100"/>
      <c r="AI63" s="100"/>
      <c r="AJ63" s="100"/>
      <c r="AK63" s="100"/>
      <c r="AL63" s="100"/>
      <c r="AM63" s="100"/>
      <c r="AN63" s="100"/>
      <c r="AO63" s="100"/>
      <c r="AP63" s="100"/>
      <c r="AQ63" s="100"/>
      <c r="AR63" s="100"/>
      <c r="AS63" s="100"/>
      <c r="AT63" s="100"/>
      <c r="AU63" s="100"/>
      <c r="AV63" s="100"/>
      <c r="AW63" s="100"/>
      <c r="AX63" s="100"/>
      <c r="AY63" s="100"/>
      <c r="AZ63" s="100"/>
      <c r="BA63" s="100"/>
      <c r="BB63" s="100"/>
      <c r="BC63" s="100"/>
      <c r="BD63" s="100"/>
      <c r="BE63" s="100"/>
    </row>
    <row r="64" spans="2:57" ht="16.5" thickBot="1">
      <c r="B64" s="58"/>
      <c r="C64" s="97"/>
      <c r="E64" s="28"/>
      <c r="F64" s="98"/>
      <c r="G64" s="99"/>
      <c r="H64" s="98"/>
      <c r="J64" s="50"/>
      <c r="U64" s="78"/>
      <c r="W64" s="100"/>
      <c r="X64" s="100"/>
      <c r="Y64" s="100"/>
      <c r="Z64" s="100"/>
      <c r="AA64" s="100"/>
      <c r="AB64" s="100"/>
      <c r="AC64" s="100"/>
      <c r="AD64" s="100"/>
      <c r="AE64" s="100"/>
      <c r="AF64" s="100"/>
      <c r="AG64" s="100"/>
      <c r="AH64" s="100"/>
      <c r="AI64" s="100"/>
      <c r="AJ64" s="100"/>
      <c r="AK64" s="100"/>
      <c r="AL64" s="100"/>
      <c r="AM64" s="100"/>
      <c r="AN64" s="100"/>
      <c r="AO64" s="100"/>
      <c r="AP64" s="100"/>
      <c r="AQ64" s="100"/>
      <c r="AR64" s="100"/>
      <c r="AS64" s="100"/>
      <c r="AT64" s="100"/>
      <c r="AU64" s="244" t="str">
        <f>D22</f>
        <v>MARY ANN ELVEÑA MENDEZ</v>
      </c>
      <c r="AV64" s="244"/>
      <c r="AW64" s="244"/>
      <c r="AX64" s="244"/>
      <c r="AY64" s="244"/>
      <c r="AZ64" s="244"/>
      <c r="BA64" s="244"/>
      <c r="BB64" s="244"/>
      <c r="BC64" s="244"/>
      <c r="BD64" s="100"/>
      <c r="BE64" s="100"/>
    </row>
    <row r="65" spans="2:57" ht="15.75">
      <c r="B65" s="58"/>
      <c r="C65" s="97"/>
      <c r="E65" s="28"/>
      <c r="F65" s="98"/>
      <c r="G65" s="99"/>
      <c r="H65" s="98"/>
      <c r="J65" s="44"/>
      <c r="K65" s="45"/>
      <c r="L65" s="45"/>
      <c r="M65" s="45"/>
      <c r="N65" s="45"/>
      <c r="O65" s="49"/>
      <c r="P65" s="45"/>
      <c r="Q65" s="45"/>
      <c r="R65" s="45"/>
      <c r="S65" s="45"/>
      <c r="T65" s="45"/>
      <c r="U65" s="47"/>
      <c r="W65" s="100"/>
      <c r="X65" s="100"/>
      <c r="Y65" s="100"/>
      <c r="Z65" s="100"/>
      <c r="AA65" s="100"/>
      <c r="AB65" s="100"/>
      <c r="AC65" s="100"/>
      <c r="AD65" s="100"/>
      <c r="AE65" s="100"/>
      <c r="AF65" s="100"/>
      <c r="AG65" s="100"/>
      <c r="AH65" s="100"/>
      <c r="AI65" s="100"/>
      <c r="AJ65" s="100"/>
      <c r="AK65" s="100"/>
      <c r="AL65" s="100"/>
      <c r="AM65" s="100"/>
      <c r="AN65" s="100"/>
      <c r="AO65" s="100"/>
      <c r="AP65" s="100"/>
      <c r="AQ65" s="100"/>
      <c r="AR65" s="100"/>
      <c r="AS65" s="100"/>
      <c r="AT65" s="100"/>
      <c r="AU65" s="423" t="s">
        <v>157</v>
      </c>
      <c r="AV65" s="423"/>
      <c r="AW65" s="423"/>
      <c r="AX65" s="423"/>
      <c r="AY65" s="423"/>
      <c r="AZ65" s="423"/>
      <c r="BA65" s="423"/>
      <c r="BB65" s="423"/>
      <c r="BC65" s="423"/>
      <c r="BD65" s="100"/>
      <c r="BE65" s="100"/>
    </row>
    <row r="66" spans="2:57" ht="15.75">
      <c r="B66" s="58"/>
      <c r="C66" s="97"/>
      <c r="E66" s="28"/>
      <c r="F66" s="98"/>
      <c r="G66" s="99"/>
      <c r="H66" s="98"/>
      <c r="J66" s="44"/>
      <c r="K66" s="45" t="s">
        <v>81</v>
      </c>
      <c r="L66" s="45"/>
      <c r="M66" s="45"/>
      <c r="N66" s="45"/>
      <c r="O66" s="49"/>
      <c r="P66" s="45"/>
      <c r="Q66" s="45"/>
      <c r="R66" s="45" t="s">
        <v>82</v>
      </c>
      <c r="S66" s="45"/>
      <c r="T66" s="45"/>
      <c r="U66" s="47"/>
      <c r="W66" s="100"/>
      <c r="X66" s="280" t="s">
        <v>158</v>
      </c>
      <c r="Y66" s="410"/>
      <c r="Z66" s="410"/>
      <c r="AA66" s="410"/>
      <c r="AB66" s="410"/>
      <c r="AC66" s="410"/>
      <c r="AD66" s="410"/>
      <c r="AE66" s="410"/>
      <c r="AF66" s="410"/>
      <c r="AG66" s="410"/>
      <c r="AH66" s="410"/>
      <c r="AI66" s="410"/>
      <c r="AJ66" s="410"/>
      <c r="AK66" s="410"/>
      <c r="AL66" s="410"/>
      <c r="AM66" s="410"/>
      <c r="AN66" s="410"/>
      <c r="AO66" s="410"/>
      <c r="AP66" s="410"/>
      <c r="AQ66" s="410"/>
      <c r="AR66" s="410"/>
      <c r="AS66" s="410"/>
      <c r="AT66" s="410"/>
      <c r="AU66" s="410"/>
      <c r="AV66" s="410"/>
      <c r="AW66" s="410"/>
      <c r="AX66" s="410"/>
      <c r="AY66" s="410"/>
      <c r="AZ66" s="410"/>
      <c r="BA66" s="410"/>
      <c r="BB66" s="410"/>
      <c r="BC66" s="410"/>
      <c r="BD66" s="411"/>
      <c r="BE66" s="100"/>
    </row>
    <row r="67" spans="2:57" ht="15.75">
      <c r="B67" s="58"/>
      <c r="C67" s="97"/>
      <c r="E67" s="28"/>
      <c r="F67" s="98"/>
      <c r="G67" s="99"/>
      <c r="H67" s="98"/>
      <c r="J67" s="44"/>
      <c r="K67" s="45"/>
      <c r="L67" s="45"/>
      <c r="M67" s="45"/>
      <c r="N67" s="45"/>
      <c r="O67" s="49"/>
      <c r="P67" s="45"/>
      <c r="Q67" s="45"/>
      <c r="R67" s="45"/>
      <c r="S67" s="45"/>
      <c r="T67" s="45"/>
      <c r="U67" s="47"/>
      <c r="W67" s="100"/>
      <c r="X67" s="100"/>
      <c r="Y67" s="100"/>
      <c r="Z67" s="100"/>
      <c r="AA67" s="100"/>
      <c r="AB67" s="100"/>
      <c r="AC67" s="100"/>
      <c r="AD67" s="100"/>
      <c r="AE67" s="100"/>
      <c r="AF67" s="100"/>
      <c r="AG67" s="100"/>
      <c r="AH67" s="100"/>
      <c r="AI67" s="100"/>
      <c r="AJ67" s="100"/>
      <c r="AK67" s="100"/>
      <c r="AL67" s="100"/>
      <c r="AM67" s="100"/>
      <c r="AN67" s="100"/>
      <c r="AO67" s="100"/>
      <c r="AP67" s="100"/>
      <c r="AQ67" s="100"/>
      <c r="AR67" s="100"/>
      <c r="AS67" s="100"/>
      <c r="AT67" s="100"/>
      <c r="AU67" s="100"/>
      <c r="AV67" s="100"/>
      <c r="AW67" s="100"/>
      <c r="AX67" s="100"/>
      <c r="AY67" s="100"/>
      <c r="AZ67" s="100"/>
      <c r="BA67" s="100"/>
      <c r="BB67" s="100"/>
      <c r="BC67" s="100"/>
      <c r="BD67" s="100"/>
      <c r="BE67" s="100"/>
    </row>
    <row r="68" spans="2:57" ht="15.75">
      <c r="B68" s="58"/>
      <c r="C68" s="97"/>
      <c r="E68" s="28"/>
      <c r="F68" s="98"/>
      <c r="G68" s="99"/>
      <c r="H68" s="98"/>
      <c r="J68" s="50"/>
      <c r="U68" s="78"/>
      <c r="W68" s="100"/>
      <c r="X68" s="100"/>
      <c r="Y68" s="100" t="s">
        <v>159</v>
      </c>
      <c r="Z68" s="100"/>
      <c r="AA68" s="100"/>
      <c r="AB68" s="100"/>
      <c r="AC68" s="100"/>
      <c r="AD68" s="100"/>
      <c r="AE68" s="100"/>
      <c r="AF68" s="100"/>
      <c r="AG68" s="100"/>
      <c r="AH68" s="100"/>
      <c r="AI68" s="100"/>
      <c r="AJ68" s="100"/>
      <c r="AK68" s="100"/>
      <c r="AL68" s="100"/>
      <c r="AM68" s="100"/>
      <c r="AN68" s="100"/>
      <c r="AO68" s="100"/>
      <c r="AP68" s="100"/>
      <c r="AQ68" s="100"/>
      <c r="AR68" s="100"/>
      <c r="AS68" s="100"/>
      <c r="AT68" s="100"/>
      <c r="AU68" s="100"/>
      <c r="AV68" s="100"/>
      <c r="AW68" s="100"/>
      <c r="AX68" s="100"/>
      <c r="AY68" s="100"/>
      <c r="AZ68" s="100"/>
      <c r="BA68" s="100"/>
      <c r="BB68" s="100"/>
      <c r="BC68" s="100"/>
      <c r="BD68" s="100"/>
      <c r="BE68" s="100"/>
    </row>
    <row r="69" spans="2:57" ht="16.5" thickBot="1">
      <c r="B69" s="58"/>
      <c r="C69" s="97"/>
      <c r="E69" s="28"/>
      <c r="F69" s="98"/>
      <c r="G69" s="99"/>
      <c r="H69" s="98"/>
      <c r="J69" s="50"/>
      <c r="K69" s="370" t="str">
        <f>N32</f>
        <v>MARY ANN ELVEÑA MENDEZ</v>
      </c>
      <c r="L69" s="370"/>
      <c r="M69" s="370"/>
      <c r="P69" s="45"/>
      <c r="Q69" s="359" t="s">
        <v>265</v>
      </c>
      <c r="R69" s="359"/>
      <c r="S69" s="359"/>
      <c r="T69" s="359"/>
      <c r="U69" s="78"/>
      <c r="W69" s="100"/>
      <c r="X69" s="100" t="s">
        <v>160</v>
      </c>
      <c r="Y69" s="100"/>
      <c r="Z69" s="100"/>
      <c r="AA69" s="100"/>
      <c r="AB69" s="100"/>
      <c r="AC69" s="100"/>
      <c r="AD69" s="100"/>
      <c r="AE69" s="100"/>
      <c r="AF69" s="100"/>
      <c r="AG69" s="100"/>
      <c r="AH69" s="100"/>
      <c r="AI69" s="100"/>
      <c r="AJ69" s="100"/>
      <c r="AK69" s="100"/>
      <c r="AL69" s="100"/>
      <c r="AM69" s="100"/>
      <c r="AN69" s="100"/>
      <c r="AO69" s="100"/>
      <c r="AP69" s="100"/>
      <c r="AQ69" s="100"/>
      <c r="AR69" s="100"/>
      <c r="AS69" s="100"/>
      <c r="AT69" s="100"/>
      <c r="AU69" s="100"/>
      <c r="AV69" s="100"/>
      <c r="AW69" s="100"/>
      <c r="AX69" s="100"/>
      <c r="AY69" s="100"/>
      <c r="AZ69" s="100"/>
      <c r="BA69" s="100"/>
      <c r="BB69" s="100"/>
      <c r="BC69" s="100"/>
      <c r="BD69" s="100"/>
      <c r="BE69" s="100"/>
    </row>
    <row r="70" spans="2:57" ht="15.75">
      <c r="B70" s="58"/>
      <c r="C70" s="97"/>
      <c r="E70" s="28"/>
      <c r="F70" s="98"/>
      <c r="G70" s="99"/>
      <c r="H70" s="98"/>
      <c r="J70" s="44"/>
      <c r="K70" s="84" t="s">
        <v>83</v>
      </c>
      <c r="L70" s="84"/>
      <c r="M70" s="84"/>
      <c r="N70" s="45"/>
      <c r="O70" s="49"/>
      <c r="P70" s="45"/>
      <c r="Q70" s="45"/>
      <c r="R70" s="424" t="s">
        <v>84</v>
      </c>
      <c r="S70" s="424"/>
      <c r="T70" s="45"/>
      <c r="U70" s="47"/>
      <c r="W70" s="100"/>
      <c r="X70" s="100"/>
      <c r="Y70" s="100"/>
      <c r="Z70" s="100"/>
      <c r="AA70" s="100"/>
      <c r="AB70" s="100"/>
      <c r="AC70" s="100"/>
      <c r="AD70" s="100"/>
      <c r="AE70" s="100"/>
      <c r="AF70" s="100"/>
      <c r="AG70" s="100"/>
      <c r="AH70" s="100"/>
      <c r="AI70" s="100"/>
      <c r="AJ70" s="100"/>
      <c r="AK70" s="100"/>
      <c r="AL70" s="100"/>
      <c r="AM70" s="100"/>
      <c r="AN70" s="100"/>
      <c r="AO70" s="100"/>
      <c r="AP70" s="100"/>
      <c r="AQ70" s="100"/>
      <c r="AR70" s="100"/>
      <c r="AS70" s="100"/>
      <c r="AT70" s="100"/>
      <c r="AU70" s="100"/>
      <c r="AV70" s="100"/>
      <c r="AW70" s="100"/>
      <c r="AX70" s="100"/>
      <c r="AY70" s="100"/>
      <c r="AZ70" s="100"/>
      <c r="BA70" s="100"/>
      <c r="BB70" s="100"/>
      <c r="BC70" s="100"/>
      <c r="BD70" s="100"/>
      <c r="BE70" s="100"/>
    </row>
    <row r="71" spans="2:57" ht="16.5" thickBot="1">
      <c r="B71" s="58"/>
      <c r="C71" s="97"/>
      <c r="E71" s="28"/>
      <c r="F71" s="98"/>
      <c r="G71" s="99"/>
      <c r="H71" s="98"/>
      <c r="J71" s="85"/>
      <c r="K71" s="86"/>
      <c r="L71" s="86"/>
      <c r="M71" s="86"/>
      <c r="N71" s="86"/>
      <c r="O71" s="87"/>
      <c r="P71" s="86"/>
      <c r="Q71" s="86"/>
      <c r="R71" s="86"/>
      <c r="S71" s="86"/>
      <c r="T71" s="86"/>
      <c r="U71" s="88"/>
      <c r="W71" s="100"/>
      <c r="X71" s="244" t="s">
        <v>229</v>
      </c>
      <c r="Y71" s="244"/>
      <c r="Z71" s="244"/>
      <c r="AA71" s="244"/>
      <c r="AB71" s="244"/>
      <c r="AC71" s="244"/>
      <c r="AD71" s="244"/>
      <c r="AE71" s="244"/>
      <c r="AF71" s="100"/>
      <c r="AG71" s="244" t="s">
        <v>230</v>
      </c>
      <c r="AH71" s="244"/>
      <c r="AI71" s="244"/>
      <c r="AJ71" s="244"/>
      <c r="AK71" s="244"/>
      <c r="AL71" s="244"/>
      <c r="AM71" s="244"/>
      <c r="AN71" s="100"/>
      <c r="AO71" s="100"/>
      <c r="AP71" s="420" t="str">
        <f>AI48</f>
        <v>OFFICE OF THE CIVIL DEFENSE</v>
      </c>
      <c r="AQ71" s="244"/>
      <c r="AR71" s="244"/>
      <c r="AS71" s="244"/>
      <c r="AT71" s="244"/>
      <c r="AU71" s="244"/>
      <c r="AV71" s="244"/>
      <c r="AW71" s="100"/>
      <c r="AX71" s="398" t="s">
        <v>239</v>
      </c>
      <c r="AY71" s="398"/>
      <c r="AZ71" s="398"/>
      <c r="BA71" s="398"/>
      <c r="BB71" s="398"/>
      <c r="BC71" s="398"/>
      <c r="BD71" s="398"/>
      <c r="BE71" s="100"/>
    </row>
    <row r="72" spans="2:57" ht="15.75">
      <c r="B72" s="58"/>
      <c r="C72" s="97"/>
      <c r="E72" s="28"/>
      <c r="F72" s="98"/>
      <c r="G72" s="99"/>
      <c r="H72" s="98"/>
      <c r="W72" s="100"/>
      <c r="X72" s="421" t="s">
        <v>161</v>
      </c>
      <c r="Y72" s="421"/>
      <c r="Z72" s="421"/>
      <c r="AA72" s="421"/>
      <c r="AB72" s="421"/>
      <c r="AC72" s="421"/>
      <c r="AD72" s="421"/>
      <c r="AE72" s="421"/>
      <c r="AF72" s="100"/>
      <c r="AG72" s="421" t="s">
        <v>162</v>
      </c>
      <c r="AH72" s="421"/>
      <c r="AI72" s="421"/>
      <c r="AJ72" s="421"/>
      <c r="AK72" s="421"/>
      <c r="AL72" s="421"/>
      <c r="AM72" s="421"/>
      <c r="AN72" s="100"/>
      <c r="AO72" s="100"/>
      <c r="AP72" s="421" t="s">
        <v>163</v>
      </c>
      <c r="AQ72" s="421"/>
      <c r="AR72" s="421"/>
      <c r="AS72" s="421"/>
      <c r="AT72" s="421"/>
      <c r="AU72" s="421"/>
      <c r="AV72" s="421"/>
      <c r="AW72" s="100"/>
      <c r="AX72" s="421" t="s">
        <v>164</v>
      </c>
      <c r="AY72" s="421"/>
      <c r="AZ72" s="421"/>
      <c r="BA72" s="421"/>
      <c r="BB72" s="421"/>
      <c r="BC72" s="421"/>
      <c r="BD72" s="421"/>
      <c r="BE72" s="100"/>
    </row>
    <row r="73" spans="2:57" ht="15.75">
      <c r="B73" s="58"/>
      <c r="C73" s="97"/>
      <c r="E73" s="28"/>
      <c r="F73" s="98"/>
      <c r="G73" s="99"/>
      <c r="H73" s="98"/>
      <c r="W73" s="100"/>
      <c r="X73" s="323" t="s">
        <v>165</v>
      </c>
      <c r="Y73" s="323"/>
      <c r="Z73" s="323"/>
      <c r="AA73" s="323"/>
      <c r="AB73" s="323"/>
      <c r="AC73" s="323"/>
      <c r="AD73" s="323"/>
      <c r="AE73" s="323"/>
      <c r="AF73" s="100"/>
      <c r="AG73" s="100"/>
      <c r="AH73" s="100"/>
      <c r="AI73" s="100"/>
      <c r="AJ73" s="100"/>
      <c r="AK73" s="100"/>
      <c r="AL73" s="100"/>
      <c r="AM73" s="100"/>
      <c r="AN73" s="100"/>
      <c r="AO73" s="100"/>
      <c r="AP73" s="100"/>
      <c r="AQ73" s="100"/>
      <c r="AR73" s="100"/>
      <c r="AS73" s="100"/>
      <c r="AT73" s="100"/>
      <c r="AU73" s="100"/>
      <c r="AV73" s="100"/>
      <c r="AW73" s="100"/>
      <c r="AX73" s="100"/>
      <c r="AY73" s="100"/>
      <c r="AZ73" s="100"/>
      <c r="BA73" s="100"/>
      <c r="BB73" s="100"/>
      <c r="BC73" s="100"/>
      <c r="BD73" s="100"/>
      <c r="BE73" s="100"/>
    </row>
    <row r="74" spans="2:57" ht="15.75">
      <c r="B74" s="58"/>
      <c r="C74" s="97"/>
      <c r="E74" s="28"/>
      <c r="F74" s="98"/>
      <c r="G74" s="99"/>
      <c r="H74" s="98"/>
      <c r="W74" s="100"/>
      <c r="X74" s="280" t="s">
        <v>166</v>
      </c>
      <c r="Y74" s="410"/>
      <c r="Z74" s="410"/>
      <c r="AA74" s="410"/>
      <c r="AB74" s="410"/>
      <c r="AC74" s="410"/>
      <c r="AD74" s="410"/>
      <c r="AE74" s="410"/>
      <c r="AF74" s="410"/>
      <c r="AG74" s="410"/>
      <c r="AH74" s="410"/>
      <c r="AI74" s="410"/>
      <c r="AJ74" s="410"/>
      <c r="AK74" s="410"/>
      <c r="AL74" s="410"/>
      <c r="AM74" s="410"/>
      <c r="AN74" s="410"/>
      <c r="AO74" s="410"/>
      <c r="AP74" s="410"/>
      <c r="AQ74" s="410"/>
      <c r="AR74" s="410"/>
      <c r="AS74" s="410"/>
      <c r="AT74" s="410"/>
      <c r="AU74" s="410"/>
      <c r="AV74" s="410"/>
      <c r="AW74" s="410"/>
      <c r="AX74" s="410"/>
      <c r="AY74" s="410"/>
      <c r="AZ74" s="410"/>
      <c r="BA74" s="410"/>
      <c r="BB74" s="410"/>
      <c r="BC74" s="410"/>
      <c r="BD74" s="411"/>
      <c r="BE74" s="100"/>
    </row>
    <row r="75" spans="2:57" ht="15.75">
      <c r="B75" s="58"/>
      <c r="C75" s="97"/>
      <c r="E75" s="28"/>
      <c r="F75" s="98"/>
      <c r="G75" s="99"/>
      <c r="H75" s="98"/>
      <c r="W75" s="100"/>
      <c r="X75" s="417" t="s">
        <v>167</v>
      </c>
      <c r="Y75" s="418"/>
      <c r="Z75" s="419"/>
      <c r="AA75" s="417" t="s">
        <v>168</v>
      </c>
      <c r="AB75" s="418"/>
      <c r="AC75" s="418"/>
      <c r="AD75" s="419"/>
      <c r="AE75" s="417" t="s">
        <v>169</v>
      </c>
      <c r="AF75" s="418"/>
      <c r="AG75" s="418"/>
      <c r="AH75" s="418"/>
      <c r="AI75" s="419"/>
      <c r="AJ75" s="417" t="s">
        <v>170</v>
      </c>
      <c r="AK75" s="418"/>
      <c r="AL75" s="419"/>
      <c r="AM75" s="417" t="s">
        <v>46</v>
      </c>
      <c r="AN75" s="418"/>
      <c r="AO75" s="418"/>
      <c r="AP75" s="418"/>
      <c r="AQ75" s="419"/>
      <c r="AR75" s="417" t="s">
        <v>171</v>
      </c>
      <c r="AS75" s="418"/>
      <c r="AT75" s="419"/>
      <c r="AU75" s="417" t="s">
        <v>172</v>
      </c>
      <c r="AV75" s="418"/>
      <c r="AW75" s="418"/>
      <c r="AX75" s="418"/>
      <c r="AY75" s="419"/>
      <c r="AZ75" s="417" t="s">
        <v>173</v>
      </c>
      <c r="BA75" s="418"/>
      <c r="BB75" s="418"/>
      <c r="BC75" s="418"/>
      <c r="BD75" s="419"/>
      <c r="BE75" s="100"/>
    </row>
    <row r="76" spans="2:57" ht="15.75">
      <c r="B76" s="58"/>
      <c r="C76" s="97"/>
      <c r="E76" s="28"/>
      <c r="F76" s="98"/>
      <c r="G76" s="99"/>
      <c r="H76" s="98"/>
      <c r="W76" s="100"/>
      <c r="X76" s="273"/>
      <c r="Y76" s="274"/>
      <c r="Z76" s="275"/>
      <c r="AA76" s="273"/>
      <c r="AB76" s="274"/>
      <c r="AC76" s="274"/>
      <c r="AD76" s="275"/>
      <c r="AE76" s="273"/>
      <c r="AF76" s="274"/>
      <c r="AG76" s="274"/>
      <c r="AH76" s="274"/>
      <c r="AI76" s="275"/>
      <c r="AJ76" s="273"/>
      <c r="AK76" s="274"/>
      <c r="AL76" s="275"/>
      <c r="AM76" s="273"/>
      <c r="AN76" s="274"/>
      <c r="AO76" s="274"/>
      <c r="AP76" s="274"/>
      <c r="AQ76" s="275"/>
      <c r="AR76" s="273"/>
      <c r="AS76" s="274"/>
      <c r="AT76" s="275"/>
      <c r="AU76" s="273"/>
      <c r="AV76" s="274"/>
      <c r="AW76" s="274"/>
      <c r="AX76" s="274"/>
      <c r="AY76" s="275"/>
      <c r="AZ76" s="273"/>
      <c r="BA76" s="274"/>
      <c r="BB76" s="274"/>
      <c r="BC76" s="274"/>
      <c r="BD76" s="275"/>
      <c r="BE76" s="100"/>
    </row>
    <row r="77" spans="2:57" ht="15.75">
      <c r="B77" s="58"/>
      <c r="C77" s="97"/>
      <c r="E77" s="28"/>
      <c r="F77" s="98"/>
      <c r="G77" s="99"/>
      <c r="H77" s="98"/>
      <c r="W77" s="100"/>
      <c r="X77" s="273"/>
      <c r="Y77" s="274"/>
      <c r="Z77" s="275"/>
      <c r="AA77" s="273"/>
      <c r="AB77" s="274"/>
      <c r="AC77" s="274"/>
      <c r="AD77" s="275"/>
      <c r="AE77" s="273"/>
      <c r="AF77" s="274"/>
      <c r="AG77" s="274"/>
      <c r="AH77" s="274"/>
      <c r="AI77" s="275"/>
      <c r="AJ77" s="273"/>
      <c r="AK77" s="274"/>
      <c r="AL77" s="275"/>
      <c r="AM77" s="273"/>
      <c r="AN77" s="274"/>
      <c r="AO77" s="274"/>
      <c r="AP77" s="274"/>
      <c r="AQ77" s="275"/>
      <c r="AR77" s="273"/>
      <c r="AS77" s="274"/>
      <c r="AT77" s="275"/>
      <c r="AU77" s="273"/>
      <c r="AV77" s="274"/>
      <c r="AW77" s="274"/>
      <c r="AX77" s="274"/>
      <c r="AY77" s="275"/>
      <c r="AZ77" s="273"/>
      <c r="BA77" s="274"/>
      <c r="BB77" s="274"/>
      <c r="BC77" s="274"/>
      <c r="BD77" s="275"/>
      <c r="BE77" s="100"/>
    </row>
    <row r="78" spans="2:57" ht="15.75">
      <c r="B78" s="58"/>
      <c r="C78" s="97"/>
      <c r="E78" s="28"/>
      <c r="F78" s="98"/>
      <c r="G78" s="99"/>
      <c r="H78" s="98"/>
      <c r="W78" s="100"/>
      <c r="X78" s="273"/>
      <c r="Y78" s="274"/>
      <c r="Z78" s="275"/>
      <c r="AA78" s="273"/>
      <c r="AB78" s="274"/>
      <c r="AC78" s="274"/>
      <c r="AD78" s="275"/>
      <c r="AE78" s="273"/>
      <c r="AF78" s="274"/>
      <c r="AG78" s="274"/>
      <c r="AH78" s="274"/>
      <c r="AI78" s="275"/>
      <c r="AJ78" s="273"/>
      <c r="AK78" s="274"/>
      <c r="AL78" s="275"/>
      <c r="AM78" s="273"/>
      <c r="AN78" s="274"/>
      <c r="AO78" s="274"/>
      <c r="AP78" s="274"/>
      <c r="AQ78" s="275"/>
      <c r="AR78" s="273"/>
      <c r="AS78" s="274"/>
      <c r="AT78" s="275"/>
      <c r="AU78" s="273"/>
      <c r="AV78" s="274"/>
      <c r="AW78" s="274"/>
      <c r="AX78" s="274"/>
      <c r="AY78" s="275"/>
      <c r="AZ78" s="273"/>
      <c r="BA78" s="274"/>
      <c r="BB78" s="274"/>
      <c r="BC78" s="274"/>
      <c r="BD78" s="275"/>
      <c r="BE78" s="100"/>
    </row>
    <row r="79" spans="2:57" ht="15.75">
      <c r="B79" s="58"/>
      <c r="C79" s="97"/>
      <c r="E79" s="28"/>
      <c r="F79" s="98"/>
      <c r="G79" s="99"/>
      <c r="H79" s="98"/>
      <c r="W79" s="100"/>
      <c r="X79" s="273"/>
      <c r="Y79" s="274"/>
      <c r="Z79" s="275"/>
      <c r="AA79" s="273"/>
      <c r="AB79" s="274"/>
      <c r="AC79" s="274"/>
      <c r="AD79" s="275"/>
      <c r="AE79" s="273"/>
      <c r="AF79" s="274"/>
      <c r="AG79" s="274"/>
      <c r="AH79" s="274"/>
      <c r="AI79" s="275"/>
      <c r="AJ79" s="273"/>
      <c r="AK79" s="274"/>
      <c r="AL79" s="275"/>
      <c r="AM79" s="273"/>
      <c r="AN79" s="274"/>
      <c r="AO79" s="274"/>
      <c r="AP79" s="274"/>
      <c r="AQ79" s="275"/>
      <c r="AR79" s="273"/>
      <c r="AS79" s="274"/>
      <c r="AT79" s="275"/>
      <c r="AU79" s="273"/>
      <c r="AV79" s="274"/>
      <c r="AW79" s="274"/>
      <c r="AX79" s="274"/>
      <c r="AY79" s="275"/>
      <c r="AZ79" s="273"/>
      <c r="BA79" s="274"/>
      <c r="BB79" s="274"/>
      <c r="BC79" s="274"/>
      <c r="BD79" s="275"/>
      <c r="BE79" s="100"/>
    </row>
    <row r="80" spans="2:57" ht="15.75">
      <c r="B80" s="58"/>
      <c r="C80" s="97"/>
      <c r="E80" s="28"/>
      <c r="F80" s="98"/>
      <c r="G80" s="99"/>
      <c r="H80" s="98"/>
      <c r="W80" s="100"/>
      <c r="X80" s="100"/>
      <c r="Y80" s="100"/>
      <c r="Z80" s="100"/>
      <c r="AA80" s="100"/>
      <c r="AB80" s="100"/>
      <c r="AC80" s="100"/>
      <c r="AD80" s="100"/>
      <c r="AE80" s="100"/>
      <c r="AF80" s="100"/>
      <c r="AG80" s="100"/>
      <c r="AH80" s="100"/>
      <c r="AI80" s="100"/>
      <c r="AJ80" s="100"/>
      <c r="AK80" s="100"/>
      <c r="AL80" s="100"/>
      <c r="AM80" s="100"/>
      <c r="AN80" s="100"/>
      <c r="AO80" s="100"/>
      <c r="AP80" s="100"/>
      <c r="AQ80" s="100"/>
      <c r="AR80" s="100"/>
      <c r="AS80" s="100"/>
      <c r="AT80" s="100"/>
      <c r="AU80" s="100"/>
      <c r="AV80" s="100"/>
      <c r="AW80" s="100"/>
      <c r="AX80" s="100"/>
      <c r="AY80" s="100"/>
      <c r="AZ80" s="100"/>
      <c r="BA80" s="100"/>
      <c r="BB80" s="100"/>
      <c r="BC80" s="100"/>
      <c r="BD80" s="100"/>
      <c r="BE80" s="100"/>
    </row>
    <row r="81" spans="2:57" ht="15.75">
      <c r="B81" s="58"/>
      <c r="C81" s="97"/>
      <c r="E81" s="28"/>
      <c r="F81" s="98"/>
      <c r="G81" s="99"/>
      <c r="H81" s="98"/>
      <c r="W81" s="100"/>
      <c r="X81" s="280" t="s">
        <v>174</v>
      </c>
      <c r="Y81" s="410"/>
      <c r="Z81" s="410"/>
      <c r="AA81" s="410"/>
      <c r="AB81" s="410"/>
      <c r="AC81" s="410"/>
      <c r="AD81" s="410"/>
      <c r="AE81" s="410"/>
      <c r="AF81" s="410"/>
      <c r="AG81" s="410"/>
      <c r="AH81" s="410"/>
      <c r="AI81" s="410"/>
      <c r="AJ81" s="410"/>
      <c r="AK81" s="410"/>
      <c r="AL81" s="410"/>
      <c r="AM81" s="410"/>
      <c r="AN81" s="410"/>
      <c r="AO81" s="410"/>
      <c r="AP81" s="410"/>
      <c r="AQ81" s="410"/>
      <c r="AR81" s="410"/>
      <c r="AS81" s="410"/>
      <c r="AT81" s="410"/>
      <c r="AU81" s="410"/>
      <c r="AV81" s="410"/>
      <c r="AW81" s="410"/>
      <c r="AX81" s="410"/>
      <c r="AY81" s="410"/>
      <c r="AZ81" s="410"/>
      <c r="BA81" s="410"/>
      <c r="BB81" s="410"/>
      <c r="BC81" s="410"/>
      <c r="BD81" s="411"/>
      <c r="BE81" s="100"/>
    </row>
    <row r="82" spans="2:57" ht="15.75">
      <c r="B82" s="58"/>
      <c r="C82" s="97"/>
      <c r="E82" s="28"/>
      <c r="F82" s="98"/>
      <c r="G82" s="99"/>
      <c r="H82" s="98"/>
      <c r="W82" s="100"/>
      <c r="X82" s="325" t="s">
        <v>175</v>
      </c>
      <c r="Y82" s="326"/>
      <c r="Z82" s="326"/>
      <c r="AA82" s="326"/>
      <c r="AB82" s="327"/>
      <c r="AC82" s="325" t="s">
        <v>176</v>
      </c>
      <c r="AD82" s="326"/>
      <c r="AE82" s="326"/>
      <c r="AF82" s="327"/>
      <c r="AG82" s="325" t="s">
        <v>48</v>
      </c>
      <c r="AH82" s="326"/>
      <c r="AI82" s="326"/>
      <c r="AJ82" s="327"/>
      <c r="AK82" s="325" t="s">
        <v>177</v>
      </c>
      <c r="AL82" s="326"/>
      <c r="AM82" s="326"/>
      <c r="AN82" s="326"/>
      <c r="AO82" s="326"/>
      <c r="AP82" s="326"/>
      <c r="AQ82" s="327"/>
      <c r="AR82" s="325" t="s">
        <v>178</v>
      </c>
      <c r="AS82" s="326"/>
      <c r="AT82" s="326"/>
      <c r="AU82" s="326"/>
      <c r="AV82" s="327"/>
      <c r="AW82" s="325" t="s">
        <v>179</v>
      </c>
      <c r="AX82" s="326"/>
      <c r="AY82" s="326"/>
      <c r="AZ82" s="326"/>
      <c r="BA82" s="326"/>
      <c r="BB82" s="326"/>
      <c r="BC82" s="326"/>
      <c r="BD82" s="327"/>
      <c r="BE82" s="100"/>
    </row>
    <row r="83" spans="2:57" ht="15.75">
      <c r="B83" s="58"/>
      <c r="C83" s="97"/>
      <c r="E83" s="28"/>
      <c r="F83" s="98"/>
      <c r="G83" s="99"/>
      <c r="H83" s="98"/>
      <c r="W83" s="100"/>
      <c r="X83" s="245">
        <f>C4</f>
        <v>60854.166666666664</v>
      </c>
      <c r="Y83" s="246"/>
      <c r="Z83" s="246"/>
      <c r="AA83" s="246"/>
      <c r="AB83" s="247"/>
      <c r="AC83" s="245">
        <f>C1</f>
        <v>2766.1672151776716</v>
      </c>
      <c r="AD83" s="246"/>
      <c r="AE83" s="246"/>
      <c r="AF83" s="247"/>
      <c r="AG83" s="248" t="str">
        <f>AN34</f>
        <v>24 Months</v>
      </c>
      <c r="AH83" s="413"/>
      <c r="AI83" s="413"/>
      <c r="AJ83" s="414"/>
      <c r="AK83" s="245">
        <v>5000</v>
      </c>
      <c r="AL83" s="246"/>
      <c r="AM83" s="246"/>
      <c r="AN83" s="246"/>
      <c r="AO83" s="246"/>
      <c r="AP83" s="246"/>
      <c r="AQ83" s="247"/>
      <c r="AR83" s="251"/>
      <c r="AS83" s="415"/>
      <c r="AT83" s="415"/>
      <c r="AU83" s="415"/>
      <c r="AV83" s="416"/>
      <c r="AW83" s="245">
        <f>C3</f>
        <v>66388.013164264121</v>
      </c>
      <c r="AX83" s="246"/>
      <c r="AY83" s="246"/>
      <c r="AZ83" s="246"/>
      <c r="BA83" s="246"/>
      <c r="BB83" s="246"/>
      <c r="BC83" s="246"/>
      <c r="BD83" s="247"/>
      <c r="BE83" s="100"/>
    </row>
    <row r="84" spans="2:57" ht="15.75">
      <c r="B84" s="58"/>
      <c r="C84" s="97"/>
      <c r="E84" s="28"/>
      <c r="F84" s="98"/>
      <c r="G84" s="99"/>
      <c r="H84" s="98"/>
      <c r="W84" s="100"/>
      <c r="X84" s="241" t="s">
        <v>180</v>
      </c>
      <c r="Y84" s="241"/>
      <c r="Z84" s="241"/>
      <c r="AA84" s="241"/>
      <c r="AB84" s="241"/>
      <c r="AC84" s="241"/>
      <c r="AD84" s="241"/>
      <c r="AE84" s="241"/>
      <c r="AF84" s="241"/>
      <c r="AG84" s="241"/>
      <c r="AH84" s="241"/>
      <c r="AI84" s="241"/>
      <c r="AJ84" s="241"/>
      <c r="AK84" s="241"/>
      <c r="AL84" s="241"/>
      <c r="AM84" s="241"/>
      <c r="AN84" s="241"/>
      <c r="AO84" s="241"/>
      <c r="AP84" s="241"/>
      <c r="AQ84" s="241"/>
      <c r="AR84" s="241"/>
      <c r="AS84" s="241"/>
      <c r="AT84" s="241"/>
      <c r="AU84" s="241"/>
      <c r="AV84" s="241"/>
      <c r="AW84" s="241"/>
      <c r="AX84" s="241"/>
      <c r="AY84" s="241"/>
      <c r="AZ84" s="241"/>
      <c r="BA84" s="241"/>
      <c r="BB84" s="241"/>
      <c r="BC84" s="241"/>
      <c r="BD84" s="241"/>
      <c r="BE84" s="100"/>
    </row>
    <row r="85" spans="2:57" ht="15.75">
      <c r="B85" s="58"/>
      <c r="C85" s="97"/>
      <c r="E85" s="28"/>
      <c r="F85" s="98"/>
      <c r="G85" s="99"/>
      <c r="H85" s="98"/>
      <c r="W85" s="100"/>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02"/>
      <c r="BE85" s="100"/>
    </row>
    <row r="86" spans="2:57" ht="16.5" thickBot="1">
      <c r="B86" s="58"/>
      <c r="C86" s="97"/>
      <c r="E86" s="28"/>
      <c r="F86" s="98"/>
      <c r="G86" s="99"/>
      <c r="H86" s="98"/>
      <c r="W86" s="100"/>
      <c r="X86" s="102"/>
      <c r="Y86" s="102"/>
      <c r="Z86" s="102"/>
      <c r="AA86" s="102"/>
      <c r="AB86" s="102"/>
      <c r="AC86" s="102"/>
      <c r="AD86" s="102"/>
      <c r="AE86" s="102"/>
      <c r="AF86" s="102"/>
      <c r="AG86" s="102"/>
      <c r="AH86" s="102"/>
      <c r="AI86" s="102"/>
      <c r="AJ86" s="321" t="s">
        <v>181</v>
      </c>
      <c r="AK86" s="321"/>
      <c r="AL86" s="321"/>
      <c r="AM86" s="321"/>
      <c r="AN86" s="321"/>
      <c r="AO86" s="321"/>
      <c r="AP86" s="321"/>
      <c r="AQ86" s="321"/>
      <c r="AR86" s="321"/>
      <c r="AS86" s="321"/>
      <c r="AT86" s="102"/>
      <c r="AU86" s="102"/>
      <c r="AV86" s="102"/>
      <c r="AW86" s="102"/>
      <c r="AX86" s="102"/>
      <c r="AY86" s="102"/>
      <c r="AZ86" s="102"/>
      <c r="BA86" s="102"/>
      <c r="BB86" s="102"/>
      <c r="BC86" s="102"/>
      <c r="BD86" s="102"/>
      <c r="BE86" s="100"/>
    </row>
    <row r="87" spans="2:57" ht="15.75">
      <c r="B87" s="58"/>
      <c r="C87" s="97"/>
      <c r="E87" s="28"/>
      <c r="F87" s="98"/>
      <c r="G87" s="99"/>
      <c r="H87" s="98"/>
      <c r="W87" s="252" t="s">
        <v>182</v>
      </c>
      <c r="X87" s="252"/>
      <c r="Y87" s="252"/>
      <c r="Z87" s="252"/>
      <c r="AA87" s="252"/>
      <c r="AB87" s="252"/>
      <c r="AC87" s="252"/>
      <c r="AD87" s="252"/>
      <c r="AE87" s="252"/>
      <c r="AF87" s="252"/>
      <c r="AG87" s="252"/>
      <c r="AH87" s="252"/>
      <c r="AI87" s="252"/>
      <c r="AJ87" s="252"/>
      <c r="AK87" s="252"/>
      <c r="AL87" s="252"/>
      <c r="AM87" s="252"/>
      <c r="AN87" s="252"/>
      <c r="AO87" s="252"/>
      <c r="AP87" s="252"/>
      <c r="AQ87" s="252"/>
      <c r="AR87" s="252"/>
      <c r="AS87" s="252"/>
      <c r="AT87" s="252"/>
      <c r="AU87" s="252"/>
      <c r="AV87" s="252"/>
      <c r="AW87" s="252"/>
      <c r="AX87" s="252"/>
      <c r="AY87" s="252"/>
      <c r="AZ87" s="252"/>
      <c r="BA87" s="252"/>
      <c r="BB87" s="252"/>
      <c r="BC87" s="252"/>
      <c r="BD87" s="252"/>
      <c r="BE87" s="252"/>
    </row>
    <row r="88" spans="2:57" ht="15.75">
      <c r="C88" s="90"/>
      <c r="D88" s="91"/>
      <c r="H88" s="92"/>
      <c r="I88" s="93"/>
      <c r="J88" s="93"/>
      <c r="W88" s="100"/>
      <c r="X88" s="100"/>
      <c r="Y88" s="100"/>
      <c r="Z88" s="100"/>
      <c r="AA88" s="100"/>
      <c r="AB88" s="100"/>
      <c r="AC88" s="100"/>
      <c r="AD88" s="100"/>
      <c r="AE88" s="100"/>
      <c r="AF88" s="100"/>
      <c r="AG88" s="100"/>
      <c r="AH88" s="100"/>
      <c r="AI88" s="100"/>
      <c r="AJ88" s="100"/>
      <c r="AK88" s="100"/>
      <c r="AL88" s="100"/>
      <c r="AM88" s="100"/>
      <c r="AN88" s="100"/>
      <c r="AO88" s="100"/>
      <c r="AP88" s="100"/>
      <c r="AQ88" s="100"/>
      <c r="AR88" s="100"/>
      <c r="AS88" s="100"/>
      <c r="AT88" s="100"/>
      <c r="AU88" s="100"/>
      <c r="AV88" s="100"/>
      <c r="AW88" s="100"/>
      <c r="AX88" s="100"/>
      <c r="AY88" s="100"/>
      <c r="AZ88" s="100"/>
      <c r="BA88" s="100"/>
      <c r="BB88" s="100"/>
      <c r="BC88" s="100"/>
      <c r="BD88" s="100"/>
      <c r="BE88" s="100"/>
    </row>
    <row r="89" spans="2:57" ht="15.75">
      <c r="W89" s="100"/>
      <c r="X89" s="100"/>
      <c r="Y89" s="100"/>
      <c r="Z89" s="100"/>
      <c r="AA89" s="100"/>
      <c r="AB89" s="100"/>
      <c r="AC89" s="100"/>
      <c r="AD89" s="100"/>
      <c r="AE89" s="100"/>
      <c r="AF89" s="100"/>
      <c r="AG89" s="100"/>
      <c r="AH89" s="100"/>
      <c r="AI89" s="100"/>
      <c r="AJ89" s="100"/>
      <c r="AK89" s="100"/>
      <c r="AL89" s="100"/>
      <c r="AM89" s="100"/>
      <c r="AN89" s="100"/>
      <c r="AO89" s="100"/>
      <c r="AP89" s="100"/>
      <c r="AQ89" s="100"/>
      <c r="AR89" s="100"/>
      <c r="AS89" s="100"/>
      <c r="AT89" s="100"/>
      <c r="AU89" s="100"/>
      <c r="AV89" s="100"/>
      <c r="AW89" s="100"/>
      <c r="AX89" s="100"/>
      <c r="AY89" s="100"/>
      <c r="AZ89" s="100"/>
      <c r="BA89" s="100"/>
      <c r="BB89" s="100"/>
      <c r="BC89" s="100"/>
      <c r="BD89" s="100"/>
      <c r="BE89" s="100"/>
    </row>
    <row r="90" spans="2:57" ht="15.75">
      <c r="W90" s="100"/>
      <c r="X90" s="240" t="s">
        <v>183</v>
      </c>
      <c r="Y90" s="241"/>
      <c r="Z90" s="241"/>
      <c r="AA90" s="241"/>
      <c r="AB90" s="241"/>
      <c r="AC90" s="241"/>
      <c r="AD90" s="241"/>
      <c r="AE90" s="241"/>
      <c r="AF90" s="241"/>
      <c r="AG90" s="241"/>
      <c r="AH90" s="241"/>
      <c r="AI90" s="241"/>
      <c r="AJ90" s="241"/>
      <c r="AK90" s="241"/>
      <c r="AL90" s="241"/>
      <c r="AM90" s="241"/>
      <c r="AN90" s="242"/>
      <c r="AO90" s="240" t="s">
        <v>184</v>
      </c>
      <c r="AP90" s="241"/>
      <c r="AQ90" s="241"/>
      <c r="AR90" s="241"/>
      <c r="AS90" s="241"/>
      <c r="AT90" s="241"/>
      <c r="AU90" s="241"/>
      <c r="AV90" s="241"/>
      <c r="AW90" s="241"/>
      <c r="AX90" s="241"/>
      <c r="AY90" s="241"/>
      <c r="AZ90" s="241"/>
      <c r="BA90" s="241"/>
      <c r="BB90" s="241"/>
      <c r="BC90" s="241"/>
      <c r="BD90" s="242"/>
      <c r="BE90" s="100"/>
    </row>
    <row r="91" spans="2:57" ht="15.75">
      <c r="V91" s="45"/>
      <c r="W91" s="100"/>
      <c r="X91" s="137"/>
      <c r="Y91" s="135"/>
      <c r="Z91" s="135"/>
      <c r="AA91" s="135"/>
      <c r="AB91" s="135"/>
      <c r="AC91" s="135"/>
      <c r="AD91" s="135"/>
      <c r="AE91" s="135"/>
      <c r="AF91" s="135"/>
      <c r="AG91" s="135"/>
      <c r="AH91" s="135"/>
      <c r="AI91" s="135"/>
      <c r="AJ91" s="135"/>
      <c r="AK91" s="135"/>
      <c r="AL91" s="135"/>
      <c r="AM91" s="135"/>
      <c r="AN91" s="138"/>
      <c r="AO91" s="137"/>
      <c r="AP91" s="135"/>
      <c r="AQ91" s="135"/>
      <c r="AR91" s="135"/>
      <c r="AS91" s="135"/>
      <c r="AT91" s="135"/>
      <c r="AU91" s="135"/>
      <c r="AV91" s="135"/>
      <c r="AW91" s="135"/>
      <c r="AX91" s="135"/>
      <c r="AY91" s="135"/>
      <c r="AZ91" s="135"/>
      <c r="BA91" s="135"/>
      <c r="BB91" s="135"/>
      <c r="BC91" s="135"/>
      <c r="BD91" s="138"/>
      <c r="BE91" s="100"/>
    </row>
    <row r="92" spans="2:57" ht="16.5" customHeight="1" thickBot="1">
      <c r="V92" s="45"/>
      <c r="W92" s="100"/>
      <c r="X92" s="139"/>
      <c r="Y92" s="109"/>
      <c r="Z92" s="109"/>
      <c r="AA92" s="140"/>
      <c r="AB92" s="412" t="s">
        <v>185</v>
      </c>
      <c r="AC92" s="412"/>
      <c r="AD92" s="412"/>
      <c r="AE92" s="412"/>
      <c r="AF92" s="412"/>
      <c r="AG92" s="412"/>
      <c r="AH92" s="412"/>
      <c r="AI92" s="412"/>
      <c r="AJ92" s="412"/>
      <c r="AK92" s="140"/>
      <c r="AL92" s="140"/>
      <c r="AM92" s="140"/>
      <c r="AN92" s="141"/>
      <c r="AO92" s="139"/>
      <c r="AP92" s="100"/>
      <c r="AQ92" s="100"/>
      <c r="AR92" s="244" t="s">
        <v>236</v>
      </c>
      <c r="AS92" s="244"/>
      <c r="AT92" s="244"/>
      <c r="AU92" s="244"/>
      <c r="AV92" s="244"/>
      <c r="AW92" s="244"/>
      <c r="AX92" s="244"/>
      <c r="AY92" s="244"/>
      <c r="AZ92" s="244"/>
      <c r="BA92" s="244"/>
      <c r="BB92" s="100"/>
      <c r="BC92" s="100"/>
      <c r="BD92" s="142"/>
      <c r="BE92" s="100"/>
    </row>
    <row r="93" spans="2:57" ht="16.149999999999999" customHeight="1">
      <c r="V93" s="45"/>
      <c r="W93" s="100"/>
      <c r="X93" s="322" t="s">
        <v>182</v>
      </c>
      <c r="Y93" s="323"/>
      <c r="Z93" s="323"/>
      <c r="AA93" s="323"/>
      <c r="AB93" s="323"/>
      <c r="AC93" s="323"/>
      <c r="AD93" s="323"/>
      <c r="AE93" s="323"/>
      <c r="AF93" s="323"/>
      <c r="AG93" s="323"/>
      <c r="AH93" s="323"/>
      <c r="AI93" s="323"/>
      <c r="AJ93" s="323"/>
      <c r="AK93" s="323"/>
      <c r="AL93" s="323"/>
      <c r="AM93" s="323"/>
      <c r="AN93" s="324"/>
      <c r="AO93" s="322" t="s">
        <v>182</v>
      </c>
      <c r="AP93" s="323"/>
      <c r="AQ93" s="323"/>
      <c r="AR93" s="323"/>
      <c r="AS93" s="323"/>
      <c r="AT93" s="323"/>
      <c r="AU93" s="323"/>
      <c r="AV93" s="323"/>
      <c r="AW93" s="323"/>
      <c r="AX93" s="323"/>
      <c r="AY93" s="323"/>
      <c r="AZ93" s="323"/>
      <c r="BA93" s="323"/>
      <c r="BB93" s="323"/>
      <c r="BC93" s="323"/>
      <c r="BD93" s="324"/>
      <c r="BE93" s="100"/>
    </row>
    <row r="94" spans="2:57" ht="15.75">
      <c r="V94" s="45"/>
      <c r="W94" s="100"/>
      <c r="X94" s="100"/>
      <c r="Y94" s="100"/>
      <c r="Z94" s="100"/>
      <c r="AA94" s="100"/>
      <c r="AB94" s="100"/>
      <c r="AC94" s="100"/>
      <c r="AD94" s="100"/>
      <c r="AE94" s="100"/>
      <c r="AF94" s="100"/>
      <c r="AG94" s="100"/>
      <c r="AH94" s="100"/>
      <c r="AI94" s="100"/>
      <c r="AJ94" s="100"/>
      <c r="AK94" s="100"/>
      <c r="AL94" s="100"/>
      <c r="AM94" s="100"/>
      <c r="AN94" s="100"/>
      <c r="AO94" s="100"/>
      <c r="AP94" s="100"/>
      <c r="AQ94" s="100"/>
      <c r="AR94" s="100"/>
      <c r="AS94" s="100"/>
      <c r="AT94" s="100"/>
      <c r="AU94" s="100"/>
      <c r="AV94" s="100"/>
      <c r="AW94" s="100"/>
      <c r="AX94" s="100"/>
      <c r="AY94" s="100"/>
      <c r="AZ94" s="100"/>
      <c r="BA94" s="100"/>
      <c r="BB94" s="100"/>
      <c r="BC94" s="100"/>
      <c r="BD94" s="100"/>
      <c r="BE94" s="100"/>
    </row>
    <row r="95" spans="2:57" ht="15.75">
      <c r="V95" s="45"/>
      <c r="W95" s="100"/>
      <c r="X95" s="100"/>
      <c r="Y95" s="100"/>
      <c r="Z95" s="100"/>
      <c r="AA95" s="100"/>
      <c r="AB95" s="100"/>
      <c r="AC95" s="100"/>
      <c r="AD95" s="100"/>
      <c r="AE95" s="100"/>
      <c r="AF95" s="100"/>
      <c r="AG95" s="100"/>
      <c r="AH95" s="100"/>
      <c r="AI95" s="100"/>
      <c r="AJ95" s="100"/>
      <c r="AK95" s="100"/>
      <c r="AL95" s="100"/>
      <c r="AM95" s="100"/>
      <c r="AN95" s="100"/>
      <c r="AO95" s="100"/>
      <c r="AP95" s="100"/>
      <c r="AQ95" s="100"/>
      <c r="AR95" s="100"/>
      <c r="AS95" s="100"/>
      <c r="AT95" s="100"/>
      <c r="AU95" s="100"/>
      <c r="AV95" s="100"/>
      <c r="AW95" s="100"/>
      <c r="AX95" s="100"/>
      <c r="AY95" s="100"/>
      <c r="AZ95" s="100"/>
      <c r="BA95" s="100"/>
      <c r="BB95" s="100"/>
      <c r="BC95" s="100"/>
      <c r="BD95" s="100"/>
      <c r="BE95" s="100"/>
    </row>
    <row r="96" spans="2:57">
      <c r="V96" s="45"/>
    </row>
    <row r="97" spans="22:57">
      <c r="V97" s="45"/>
    </row>
    <row r="98" spans="22:57">
      <c r="V98" s="45"/>
    </row>
    <row r="99" spans="22:57" ht="18.75">
      <c r="V99" s="45"/>
      <c r="W99" s="100"/>
      <c r="X99" s="100"/>
      <c r="Y99" s="100"/>
      <c r="Z99" s="100"/>
      <c r="AA99" s="100"/>
      <c r="AB99" s="100"/>
      <c r="AC99" s="100"/>
      <c r="AD99" s="100"/>
      <c r="AE99" s="100"/>
      <c r="AF99" s="100"/>
      <c r="AG99" s="100"/>
      <c r="AH99" s="100"/>
      <c r="AI99" s="100"/>
      <c r="AJ99" s="100"/>
      <c r="AK99" s="100"/>
      <c r="AL99" s="100"/>
      <c r="AM99" s="100"/>
      <c r="AN99" s="100"/>
      <c r="AO99" s="100"/>
      <c r="AP99" s="100"/>
      <c r="AQ99" s="100"/>
      <c r="AR99" s="144"/>
      <c r="AS99" s="100"/>
      <c r="AT99" s="100"/>
      <c r="AU99" s="100"/>
      <c r="AV99" s="100"/>
      <c r="AW99" s="100"/>
      <c r="AX99" s="100"/>
      <c r="AY99" s="100"/>
      <c r="AZ99" s="100"/>
      <c r="BA99" s="100"/>
      <c r="BB99" s="100"/>
      <c r="BC99" s="100"/>
      <c r="BD99" s="100"/>
      <c r="BE99" s="100"/>
    </row>
    <row r="100" spans="22:57" ht="18.75">
      <c r="V100" s="45"/>
      <c r="W100" s="100"/>
      <c r="X100" s="253" t="s">
        <v>186</v>
      </c>
      <c r="Y100" s="254"/>
      <c r="Z100" s="254"/>
      <c r="AA100" s="254"/>
      <c r="AB100" s="254"/>
      <c r="AC100" s="254"/>
      <c r="AD100" s="254"/>
      <c r="AE100" s="254"/>
      <c r="AF100" s="254"/>
      <c r="AG100" s="254"/>
      <c r="AH100" s="254"/>
      <c r="AI100" s="254"/>
      <c r="AJ100" s="254"/>
      <c r="AK100" s="254"/>
      <c r="AL100" s="100"/>
      <c r="AM100" s="100"/>
      <c r="AN100" s="100"/>
      <c r="AO100" s="100"/>
      <c r="AP100" s="100"/>
      <c r="AQ100" s="100"/>
      <c r="AR100" s="100"/>
      <c r="AS100" s="100"/>
      <c r="AT100" s="100"/>
      <c r="AU100" s="100"/>
      <c r="AV100" s="100"/>
      <c r="AW100" s="100"/>
      <c r="AX100" s="100"/>
      <c r="AY100" s="100"/>
    </row>
    <row r="101" spans="22:57" ht="18.75" customHeight="1">
      <c r="V101" s="45"/>
      <c r="W101" s="100"/>
      <c r="X101" s="100"/>
      <c r="Y101" s="264" t="s">
        <v>187</v>
      </c>
      <c r="Z101" s="264"/>
      <c r="AA101" s="264"/>
      <c r="AB101" s="264"/>
      <c r="AC101" s="264"/>
      <c r="AD101" s="264"/>
      <c r="AE101" s="264"/>
      <c r="AF101" s="264"/>
      <c r="AG101" s="264"/>
      <c r="AH101" s="264"/>
      <c r="AI101" s="264"/>
      <c r="AJ101" s="264"/>
      <c r="AK101" s="264"/>
      <c r="AL101" s="264"/>
      <c r="AM101" s="264"/>
      <c r="AN101" s="264"/>
      <c r="AO101" s="264"/>
      <c r="AP101" s="264"/>
      <c r="AQ101" s="264"/>
      <c r="AR101" s="264"/>
      <c r="AS101" s="264"/>
      <c r="AT101" s="264"/>
      <c r="AU101" s="264"/>
      <c r="AV101" s="264"/>
      <c r="AW101" s="264"/>
      <c r="AX101" s="264"/>
      <c r="AY101" s="260">
        <f>AW83</f>
        <v>66388.013164264121</v>
      </c>
      <c r="AZ101" s="261"/>
      <c r="BA101" s="261"/>
      <c r="BB101" s="261"/>
      <c r="BC101" s="261"/>
      <c r="BD101" s="261"/>
      <c r="BE101" s="144"/>
    </row>
    <row r="102" spans="22:57" ht="18" customHeight="1">
      <c r="V102" s="45"/>
      <c r="W102" s="100"/>
      <c r="X102" s="262"/>
      <c r="Y102" s="263"/>
      <c r="Z102" s="263"/>
      <c r="AA102" s="145" t="s">
        <v>188</v>
      </c>
      <c r="AB102" s="146">
        <f>E25</f>
        <v>24</v>
      </c>
      <c r="AC102" s="264" t="s">
        <v>189</v>
      </c>
      <c r="AD102" s="264"/>
      <c r="AE102" s="264"/>
      <c r="AF102" s="264"/>
      <c r="AG102" s="264"/>
      <c r="AH102" s="264"/>
      <c r="AI102" s="264"/>
      <c r="AJ102" s="264"/>
      <c r="AK102" s="264"/>
      <c r="AL102" s="264"/>
      <c r="AM102" s="264"/>
      <c r="AN102" s="263">
        <f>AT39</f>
        <v>2766.1672151776716</v>
      </c>
      <c r="AO102" s="263"/>
      <c r="AP102" s="263"/>
      <c r="AQ102" s="263"/>
      <c r="AR102" s="264" t="s">
        <v>190</v>
      </c>
      <c r="AS102" s="264"/>
      <c r="AT102" s="264"/>
      <c r="AU102" s="264"/>
      <c r="AV102" s="264"/>
      <c r="AW102" s="264"/>
      <c r="AX102" s="264"/>
      <c r="AY102" s="264"/>
      <c r="AZ102" s="264"/>
      <c r="BA102" s="264"/>
      <c r="BB102" s="264"/>
      <c r="BC102" s="264"/>
      <c r="BD102" s="264"/>
      <c r="BE102" s="144"/>
    </row>
    <row r="103" spans="22:57" ht="18" customHeight="1">
      <c r="V103" s="69"/>
      <c r="W103" s="100"/>
      <c r="X103" s="265">
        <f>B28</f>
        <v>45801</v>
      </c>
      <c r="Y103" s="265"/>
      <c r="Z103" s="265"/>
      <c r="AA103" s="265"/>
      <c r="AB103" s="239" t="s">
        <v>191</v>
      </c>
      <c r="AC103" s="239"/>
      <c r="AD103" s="239"/>
      <c r="AE103" s="239"/>
      <c r="AF103" s="239"/>
      <c r="AG103" s="239"/>
      <c r="AH103" s="239"/>
      <c r="AI103" s="239"/>
      <c r="AJ103" s="239"/>
      <c r="AK103" s="239"/>
      <c r="AL103" s="239"/>
      <c r="AM103" s="239"/>
      <c r="AN103" s="239"/>
      <c r="AO103" s="239"/>
      <c r="AP103" s="239"/>
      <c r="AQ103" s="239"/>
      <c r="AR103" s="239"/>
      <c r="AS103" s="239"/>
      <c r="AT103" s="239"/>
      <c r="AU103" s="239"/>
      <c r="AV103" s="239"/>
      <c r="AW103" s="239"/>
      <c r="AX103" s="239"/>
      <c r="AY103" s="239"/>
      <c r="AZ103" s="239"/>
      <c r="BA103" s="239"/>
      <c r="BB103" s="239"/>
      <c r="BC103" s="239"/>
      <c r="BD103" s="239"/>
      <c r="BE103" s="144"/>
    </row>
    <row r="104" spans="22:57" ht="18" customHeight="1">
      <c r="V104" s="69"/>
      <c r="W104" s="100"/>
      <c r="X104" s="239" t="s">
        <v>192</v>
      </c>
      <c r="Y104" s="239"/>
      <c r="Z104" s="239"/>
      <c r="AA104" s="239"/>
      <c r="AB104" s="239"/>
      <c r="AC104" s="239"/>
      <c r="AD104" s="239"/>
      <c r="AE104" s="239"/>
      <c r="AF104" s="239"/>
      <c r="AG104" s="239"/>
      <c r="AH104" s="239"/>
      <c r="AI104" s="239"/>
      <c r="AJ104" s="239"/>
      <c r="AK104" s="239"/>
      <c r="AL104" s="239"/>
      <c r="AM104" s="239"/>
      <c r="AN104" s="239"/>
      <c r="AO104" s="239"/>
      <c r="AP104" s="239"/>
      <c r="AQ104" s="239"/>
      <c r="AR104" s="239"/>
      <c r="AS104" s="239"/>
      <c r="AT104" s="239"/>
      <c r="AU104" s="239"/>
      <c r="AV104" s="239"/>
      <c r="AW104" s="239"/>
      <c r="AX104" s="239"/>
      <c r="AY104" s="239"/>
      <c r="AZ104" s="239"/>
      <c r="BA104" s="239"/>
      <c r="BB104" s="239"/>
      <c r="BC104" s="239"/>
      <c r="BD104" s="239"/>
      <c r="BE104" s="144"/>
    </row>
    <row r="105" spans="22:57" ht="18" customHeight="1">
      <c r="V105" s="69"/>
      <c r="W105" s="100"/>
      <c r="X105" s="239" t="s">
        <v>193</v>
      </c>
      <c r="Y105" s="239"/>
      <c r="Z105" s="239"/>
      <c r="AA105" s="239"/>
      <c r="AB105" s="239"/>
      <c r="AC105" s="239"/>
      <c r="AD105" s="239"/>
      <c r="AE105" s="239"/>
      <c r="AF105" s="239"/>
      <c r="AG105" s="239"/>
      <c r="AH105" s="239"/>
      <c r="AI105" s="239"/>
      <c r="AJ105" s="239"/>
      <c r="AK105" s="239"/>
      <c r="AL105" s="239"/>
      <c r="AM105" s="239"/>
      <c r="AN105" s="239"/>
      <c r="AO105" s="239"/>
      <c r="AP105" s="239"/>
      <c r="AQ105" s="239"/>
      <c r="AR105" s="239"/>
      <c r="AS105" s="239"/>
      <c r="AT105" s="239"/>
      <c r="AU105" s="239"/>
      <c r="AV105" s="239"/>
      <c r="AW105" s="239"/>
      <c r="AX105" s="239"/>
      <c r="AY105" s="239"/>
      <c r="AZ105" s="239"/>
      <c r="BA105" s="239"/>
      <c r="BB105" s="239"/>
      <c r="BC105" s="239"/>
      <c r="BD105" s="239"/>
      <c r="BE105" s="144"/>
    </row>
    <row r="106" spans="22:57" ht="18" customHeight="1">
      <c r="V106" s="45"/>
      <c r="W106" s="100"/>
      <c r="X106" s="239"/>
      <c r="Y106" s="239"/>
      <c r="Z106" s="239"/>
      <c r="AA106" s="239"/>
      <c r="AB106" s="239"/>
      <c r="AC106" s="239"/>
      <c r="AD106" s="239"/>
      <c r="AE106" s="239"/>
      <c r="AF106" s="239"/>
      <c r="AG106" s="239"/>
      <c r="AH106" s="239"/>
      <c r="AI106" s="239"/>
      <c r="AJ106" s="239"/>
      <c r="AK106" s="239"/>
      <c r="AL106" s="239"/>
      <c r="AM106" s="239"/>
      <c r="AN106" s="239"/>
      <c r="AO106" s="239"/>
      <c r="AP106" s="239"/>
      <c r="AQ106" s="239"/>
      <c r="AR106" s="239"/>
      <c r="AS106" s="239"/>
      <c r="AT106" s="239"/>
      <c r="AU106" s="239"/>
      <c r="AV106" s="239"/>
      <c r="AW106" s="239"/>
      <c r="AX106" s="239"/>
      <c r="AY106" s="239"/>
      <c r="AZ106" s="239"/>
      <c r="BA106" s="239"/>
      <c r="BB106" s="239"/>
      <c r="BC106" s="239"/>
      <c r="BD106" s="239"/>
      <c r="BE106" s="144"/>
    </row>
    <row r="107" spans="22:57" ht="18.75">
      <c r="V107" s="45"/>
      <c r="W107" s="100"/>
      <c r="X107" s="239"/>
      <c r="Y107" s="239"/>
      <c r="Z107" s="239"/>
      <c r="AA107" s="239"/>
      <c r="AB107" s="239"/>
      <c r="AC107" s="239"/>
      <c r="AD107" s="239"/>
      <c r="AE107" s="239"/>
      <c r="AF107" s="239"/>
      <c r="AG107" s="239"/>
      <c r="AH107" s="239"/>
      <c r="AI107" s="239"/>
      <c r="AJ107" s="239"/>
      <c r="AK107" s="239"/>
      <c r="AL107" s="239"/>
      <c r="AM107" s="239"/>
      <c r="AN107" s="239"/>
      <c r="AO107" s="239"/>
      <c r="AP107" s="239"/>
      <c r="AQ107" s="239"/>
      <c r="AR107" s="239"/>
      <c r="AS107" s="239"/>
      <c r="AT107" s="239"/>
      <c r="AU107" s="239"/>
      <c r="AV107" s="239"/>
      <c r="AW107" s="239"/>
      <c r="AX107" s="239"/>
      <c r="AY107" s="239"/>
      <c r="AZ107" s="239"/>
      <c r="BA107" s="239"/>
      <c r="BB107" s="239"/>
      <c r="BC107" s="239"/>
      <c r="BD107" s="239"/>
      <c r="BE107" s="144"/>
    </row>
    <row r="108" spans="22:57" ht="18.75" customHeight="1">
      <c r="V108" s="45"/>
      <c r="W108" s="100"/>
      <c r="X108" s="239" t="s">
        <v>194</v>
      </c>
      <c r="Y108" s="239"/>
      <c r="Z108" s="239"/>
      <c r="AA108" s="239"/>
      <c r="AB108" s="239"/>
      <c r="AC108" s="239"/>
      <c r="AD108" s="239"/>
      <c r="AE108" s="239"/>
      <c r="AF108" s="239"/>
      <c r="AG108" s="239"/>
      <c r="AH108" s="239"/>
      <c r="AI108" s="239"/>
      <c r="AJ108" s="239"/>
      <c r="AK108" s="239"/>
      <c r="AL108" s="239"/>
      <c r="AM108" s="239"/>
      <c r="AN108" s="239"/>
      <c r="AO108" s="239"/>
      <c r="AP108" s="239"/>
      <c r="AQ108" s="239"/>
      <c r="AR108" s="239"/>
      <c r="AS108" s="239"/>
      <c r="AT108" s="239"/>
      <c r="AU108" s="239"/>
      <c r="AV108" s="239"/>
      <c r="AW108" s="239"/>
      <c r="AX108" s="239"/>
      <c r="AY108" s="239"/>
      <c r="AZ108" s="239"/>
      <c r="BA108" s="239"/>
      <c r="BB108" s="239"/>
      <c r="BC108" s="239"/>
      <c r="BD108" s="239"/>
      <c r="BE108" s="144"/>
    </row>
    <row r="109" spans="22:57" ht="18" customHeight="1">
      <c r="V109" s="71"/>
      <c r="W109" s="100"/>
      <c r="X109" s="239"/>
      <c r="Y109" s="239"/>
      <c r="Z109" s="239"/>
      <c r="AA109" s="239"/>
      <c r="AB109" s="239"/>
      <c r="AC109" s="239"/>
      <c r="AD109" s="239"/>
      <c r="AE109" s="239"/>
      <c r="AF109" s="239"/>
      <c r="AG109" s="239"/>
      <c r="AH109" s="239"/>
      <c r="AI109" s="239"/>
      <c r="AJ109" s="239"/>
      <c r="AK109" s="239"/>
      <c r="AL109" s="239"/>
      <c r="AM109" s="239"/>
      <c r="AN109" s="239"/>
      <c r="AO109" s="239"/>
      <c r="AP109" s="239"/>
      <c r="AQ109" s="239"/>
      <c r="AR109" s="239"/>
      <c r="AS109" s="239"/>
      <c r="AT109" s="239"/>
      <c r="AU109" s="239"/>
      <c r="AV109" s="239"/>
      <c r="AW109" s="239"/>
      <c r="AX109" s="239"/>
      <c r="AY109" s="239"/>
      <c r="AZ109" s="239"/>
      <c r="BA109" s="239"/>
      <c r="BB109" s="239"/>
      <c r="BC109" s="239"/>
      <c r="BD109" s="239"/>
      <c r="BE109" s="144"/>
    </row>
    <row r="110" spans="22:57" ht="18.75">
      <c r="V110" s="71"/>
      <c r="W110" s="100"/>
      <c r="X110" s="239"/>
      <c r="Y110" s="239"/>
      <c r="Z110" s="239"/>
      <c r="AA110" s="239"/>
      <c r="AB110" s="239"/>
      <c r="AC110" s="239"/>
      <c r="AD110" s="239"/>
      <c r="AE110" s="239"/>
      <c r="AF110" s="239"/>
      <c r="AG110" s="239"/>
      <c r="AH110" s="239"/>
      <c r="AI110" s="239"/>
      <c r="AJ110" s="239"/>
      <c r="AK110" s="239"/>
      <c r="AL110" s="239"/>
      <c r="AM110" s="239"/>
      <c r="AN110" s="239"/>
      <c r="AO110" s="239"/>
      <c r="AP110" s="239"/>
      <c r="AQ110" s="239"/>
      <c r="AR110" s="239"/>
      <c r="AS110" s="239"/>
      <c r="AT110" s="239"/>
      <c r="AU110" s="239"/>
      <c r="AV110" s="239"/>
      <c r="AW110" s="239"/>
      <c r="AX110" s="239"/>
      <c r="AY110" s="239"/>
      <c r="AZ110" s="239"/>
      <c r="BA110" s="239"/>
      <c r="BB110" s="239"/>
      <c r="BC110" s="239"/>
      <c r="BD110" s="239"/>
      <c r="BE110" s="144"/>
    </row>
    <row r="111" spans="22:57" ht="18.75" customHeight="1">
      <c r="V111" s="71"/>
      <c r="W111" s="100"/>
      <c r="X111" s="239" t="s">
        <v>195</v>
      </c>
      <c r="Y111" s="239"/>
      <c r="Z111" s="239"/>
      <c r="AA111" s="239"/>
      <c r="AB111" s="239"/>
      <c r="AC111" s="239"/>
      <c r="AD111" s="239"/>
      <c r="AE111" s="239"/>
      <c r="AF111" s="239"/>
      <c r="AG111" s="239"/>
      <c r="AH111" s="239"/>
      <c r="AI111" s="239"/>
      <c r="AJ111" s="239"/>
      <c r="AK111" s="239"/>
      <c r="AL111" s="239"/>
      <c r="AM111" s="239"/>
      <c r="AN111" s="239"/>
      <c r="AO111" s="239"/>
      <c r="AP111" s="239"/>
      <c r="AQ111" s="239"/>
      <c r="AR111" s="239"/>
      <c r="AS111" s="239"/>
      <c r="AT111" s="239"/>
      <c r="AU111" s="239"/>
      <c r="AV111" s="239"/>
      <c r="AW111" s="239"/>
      <c r="AX111" s="239"/>
      <c r="AY111" s="239"/>
      <c r="AZ111" s="239"/>
      <c r="BA111" s="239"/>
      <c r="BB111" s="239"/>
      <c r="BC111" s="239"/>
      <c r="BD111" s="239"/>
      <c r="BE111" s="144"/>
    </row>
    <row r="112" spans="22:57" ht="18" customHeight="1">
      <c r="V112" s="71"/>
      <c r="W112" s="100"/>
      <c r="X112" s="239"/>
      <c r="Y112" s="239"/>
      <c r="Z112" s="239"/>
      <c r="AA112" s="239"/>
      <c r="AB112" s="239"/>
      <c r="AC112" s="239"/>
      <c r="AD112" s="239"/>
      <c r="AE112" s="239"/>
      <c r="AF112" s="239"/>
      <c r="AG112" s="239"/>
      <c r="AH112" s="239"/>
      <c r="AI112" s="239"/>
      <c r="AJ112" s="239"/>
      <c r="AK112" s="239"/>
      <c r="AL112" s="239"/>
      <c r="AM112" s="239"/>
      <c r="AN112" s="239"/>
      <c r="AO112" s="239"/>
      <c r="AP112" s="239"/>
      <c r="AQ112" s="239"/>
      <c r="AR112" s="239"/>
      <c r="AS112" s="239"/>
      <c r="AT112" s="239"/>
      <c r="AU112" s="239"/>
      <c r="AV112" s="239"/>
      <c r="AW112" s="239"/>
      <c r="AX112" s="239"/>
      <c r="AY112" s="239"/>
      <c r="AZ112" s="239"/>
      <c r="BA112" s="239"/>
      <c r="BB112" s="239"/>
      <c r="BC112" s="239"/>
      <c r="BD112" s="239"/>
      <c r="BE112" s="144"/>
    </row>
    <row r="113" spans="22:57" ht="18.75">
      <c r="V113" s="71"/>
      <c r="W113" s="100"/>
      <c r="X113" s="239"/>
      <c r="Y113" s="239"/>
      <c r="Z113" s="239"/>
      <c r="AA113" s="239"/>
      <c r="AB113" s="239"/>
      <c r="AC113" s="239"/>
      <c r="AD113" s="239"/>
      <c r="AE113" s="239"/>
      <c r="AF113" s="239"/>
      <c r="AG113" s="239"/>
      <c r="AH113" s="239"/>
      <c r="AI113" s="239"/>
      <c r="AJ113" s="239"/>
      <c r="AK113" s="239"/>
      <c r="AL113" s="239"/>
      <c r="AM113" s="239"/>
      <c r="AN113" s="239"/>
      <c r="AO113" s="239"/>
      <c r="AP113" s="239"/>
      <c r="AQ113" s="239"/>
      <c r="AR113" s="239"/>
      <c r="AS113" s="239"/>
      <c r="AT113" s="239"/>
      <c r="AU113" s="239"/>
      <c r="AV113" s="239"/>
      <c r="AW113" s="239"/>
      <c r="AX113" s="239"/>
      <c r="AY113" s="239"/>
      <c r="AZ113" s="239"/>
      <c r="BA113" s="239"/>
      <c r="BB113" s="239"/>
      <c r="BC113" s="239"/>
      <c r="BD113" s="239"/>
      <c r="BE113" s="144"/>
    </row>
    <row r="114" spans="22:57" ht="18.75">
      <c r="V114" s="45"/>
      <c r="W114" s="100"/>
      <c r="X114" s="239"/>
      <c r="Y114" s="239"/>
      <c r="Z114" s="239"/>
      <c r="AA114" s="239"/>
      <c r="AB114" s="239"/>
      <c r="AC114" s="239"/>
      <c r="AD114" s="239"/>
      <c r="AE114" s="239"/>
      <c r="AF114" s="239"/>
      <c r="AG114" s="239"/>
      <c r="AH114" s="239"/>
      <c r="AI114" s="239"/>
      <c r="AJ114" s="239"/>
      <c r="AK114" s="239"/>
      <c r="AL114" s="239"/>
      <c r="AM114" s="239"/>
      <c r="AN114" s="239"/>
      <c r="AO114" s="239"/>
      <c r="AP114" s="239"/>
      <c r="AQ114" s="239"/>
      <c r="AR114" s="239"/>
      <c r="AS114" s="239"/>
      <c r="AT114" s="239"/>
      <c r="AU114" s="239"/>
      <c r="AV114" s="239"/>
      <c r="AW114" s="239"/>
      <c r="AX114" s="239"/>
      <c r="AY114" s="239"/>
      <c r="AZ114" s="239"/>
      <c r="BA114" s="239"/>
      <c r="BB114" s="239"/>
      <c r="BC114" s="239"/>
      <c r="BD114" s="239"/>
      <c r="BE114" s="144"/>
    </row>
    <row r="115" spans="22:57" ht="18.75">
      <c r="V115" s="45"/>
      <c r="W115" s="100"/>
      <c r="X115" s="239"/>
      <c r="Y115" s="239"/>
      <c r="Z115" s="239"/>
      <c r="AA115" s="239"/>
      <c r="AB115" s="239"/>
      <c r="AC115" s="239"/>
      <c r="AD115" s="239"/>
      <c r="AE115" s="239"/>
      <c r="AF115" s="239"/>
      <c r="AG115" s="239"/>
      <c r="AH115" s="239"/>
      <c r="AI115" s="239"/>
      <c r="AJ115" s="239"/>
      <c r="AK115" s="239"/>
      <c r="AL115" s="239"/>
      <c r="AM115" s="239"/>
      <c r="AN115" s="239"/>
      <c r="AO115" s="239"/>
      <c r="AP115" s="239"/>
      <c r="AQ115" s="239"/>
      <c r="AR115" s="239"/>
      <c r="AS115" s="239"/>
      <c r="AT115" s="239"/>
      <c r="AU115" s="239"/>
      <c r="AV115" s="239"/>
      <c r="AW115" s="239"/>
      <c r="AX115" s="239"/>
      <c r="AY115" s="239"/>
      <c r="AZ115" s="239"/>
      <c r="BA115" s="239"/>
      <c r="BB115" s="239"/>
      <c r="BC115" s="239"/>
      <c r="BD115" s="239"/>
      <c r="BE115" s="144"/>
    </row>
    <row r="116" spans="22:57" ht="18.75" customHeight="1">
      <c r="V116" s="45"/>
      <c r="W116" s="100"/>
      <c r="X116" s="239" t="s">
        <v>196</v>
      </c>
      <c r="Y116" s="239"/>
      <c r="Z116" s="239"/>
      <c r="AA116" s="239"/>
      <c r="AB116" s="239"/>
      <c r="AC116" s="239"/>
      <c r="AD116" s="239"/>
      <c r="AE116" s="239"/>
      <c r="AF116" s="239"/>
      <c r="AG116" s="239"/>
      <c r="AH116" s="239"/>
      <c r="AI116" s="239"/>
      <c r="AJ116" s="239"/>
      <c r="AK116" s="239"/>
      <c r="AL116" s="239"/>
      <c r="AM116" s="239"/>
      <c r="AN116" s="239"/>
      <c r="AO116" s="239"/>
      <c r="AP116" s="239"/>
      <c r="AQ116" s="239"/>
      <c r="AR116" s="239"/>
      <c r="AS116" s="239"/>
      <c r="AT116" s="239"/>
      <c r="AU116" s="239"/>
      <c r="AV116" s="239"/>
      <c r="AW116" s="239"/>
      <c r="AX116" s="239"/>
      <c r="AY116" s="239"/>
      <c r="AZ116" s="239"/>
      <c r="BA116" s="239"/>
      <c r="BB116" s="239"/>
      <c r="BC116" s="239"/>
      <c r="BD116" s="239"/>
      <c r="BE116" s="144"/>
    </row>
    <row r="117" spans="22:57" ht="18" customHeight="1">
      <c r="V117" s="45"/>
      <c r="W117" s="100"/>
      <c r="X117" s="239"/>
      <c r="Y117" s="239"/>
      <c r="Z117" s="239"/>
      <c r="AA117" s="239"/>
      <c r="AB117" s="239"/>
      <c r="AC117" s="239"/>
      <c r="AD117" s="239"/>
      <c r="AE117" s="239"/>
      <c r="AF117" s="239"/>
      <c r="AG117" s="239"/>
      <c r="AH117" s="239"/>
      <c r="AI117" s="239"/>
      <c r="AJ117" s="239"/>
      <c r="AK117" s="239"/>
      <c r="AL117" s="239"/>
      <c r="AM117" s="239"/>
      <c r="AN117" s="239"/>
      <c r="AO117" s="239"/>
      <c r="AP117" s="239"/>
      <c r="AQ117" s="239"/>
      <c r="AR117" s="239"/>
      <c r="AS117" s="239"/>
      <c r="AT117" s="239"/>
      <c r="AU117" s="239"/>
      <c r="AV117" s="239"/>
      <c r="AW117" s="239"/>
      <c r="AX117" s="239"/>
      <c r="AY117" s="239"/>
      <c r="AZ117" s="239"/>
      <c r="BA117" s="239"/>
      <c r="BB117" s="239"/>
      <c r="BC117" s="239"/>
      <c r="BD117" s="239"/>
      <c r="BE117" s="144"/>
    </row>
    <row r="118" spans="22:57" ht="18.75">
      <c r="V118" s="45"/>
      <c r="W118" s="100"/>
      <c r="X118" s="239"/>
      <c r="Y118" s="239"/>
      <c r="Z118" s="239"/>
      <c r="AA118" s="239"/>
      <c r="AB118" s="239"/>
      <c r="AC118" s="239"/>
      <c r="AD118" s="239"/>
      <c r="AE118" s="239"/>
      <c r="AF118" s="239"/>
      <c r="AG118" s="239"/>
      <c r="AH118" s="239"/>
      <c r="AI118" s="239"/>
      <c r="AJ118" s="239"/>
      <c r="AK118" s="239"/>
      <c r="AL118" s="239"/>
      <c r="AM118" s="239"/>
      <c r="AN118" s="239"/>
      <c r="AO118" s="239"/>
      <c r="AP118" s="239"/>
      <c r="AQ118" s="239"/>
      <c r="AR118" s="239"/>
      <c r="AS118" s="239"/>
      <c r="AT118" s="239"/>
      <c r="AU118" s="239"/>
      <c r="AV118" s="239"/>
      <c r="AW118" s="239"/>
      <c r="AX118" s="239"/>
      <c r="AY118" s="239"/>
      <c r="AZ118" s="239"/>
      <c r="BA118" s="239"/>
      <c r="BB118" s="239"/>
      <c r="BC118" s="239"/>
      <c r="BD118" s="239"/>
      <c r="BE118" s="144"/>
    </row>
    <row r="119" spans="22:57" ht="19.5" thickBot="1">
      <c r="V119" s="45"/>
      <c r="W119" s="100"/>
      <c r="X119" s="239"/>
      <c r="Y119" s="239"/>
      <c r="Z119" s="239"/>
      <c r="AA119" s="239"/>
      <c r="AB119" s="239"/>
      <c r="AC119" s="239"/>
      <c r="AD119" s="239"/>
      <c r="AE119" s="239"/>
      <c r="AF119" s="239"/>
      <c r="AG119" s="239"/>
      <c r="AH119" s="239"/>
      <c r="AI119" s="239"/>
      <c r="AJ119" s="239"/>
      <c r="AK119" s="239"/>
      <c r="AL119" s="239"/>
      <c r="AM119" s="239"/>
      <c r="AN119" s="239"/>
      <c r="AO119" s="239"/>
      <c r="AP119" s="239"/>
      <c r="AQ119" s="239"/>
      <c r="AR119" s="239"/>
      <c r="AS119" s="239"/>
      <c r="AT119" s="239"/>
      <c r="AU119" s="239"/>
      <c r="AV119" s="239"/>
      <c r="AW119" s="239"/>
      <c r="AX119" s="239"/>
      <c r="AY119" s="239"/>
      <c r="AZ119" s="239"/>
      <c r="BA119" s="239"/>
      <c r="BB119" s="239"/>
      <c r="BC119" s="239"/>
      <c r="BD119" s="239"/>
      <c r="BE119" s="144"/>
    </row>
    <row r="120" spans="22:57" ht="15.75">
      <c r="V120" s="45"/>
      <c r="W120" s="100"/>
      <c r="X120" s="147"/>
      <c r="Y120" s="147"/>
      <c r="Z120" s="147"/>
      <c r="AA120" s="147"/>
      <c r="AB120" s="147"/>
      <c r="AC120" s="147"/>
      <c r="AD120" s="147"/>
      <c r="AE120" s="147"/>
      <c r="AF120" s="147"/>
      <c r="AG120" s="147"/>
      <c r="AH120" s="147"/>
      <c r="AI120" s="147"/>
      <c r="AJ120" s="147"/>
      <c r="AK120" s="147"/>
      <c r="AL120" s="108"/>
      <c r="AM120" s="100" t="s">
        <v>197</v>
      </c>
      <c r="AN120" s="100"/>
      <c r="AO120" s="148"/>
      <c r="AP120" s="100"/>
      <c r="AQ120" s="100"/>
      <c r="AR120" s="147"/>
      <c r="AS120" s="147"/>
      <c r="AT120" s="301"/>
      <c r="AU120" s="302"/>
      <c r="AV120" s="302"/>
      <c r="AW120" s="302"/>
      <c r="AX120" s="303"/>
      <c r="AY120" s="149"/>
      <c r="AZ120" s="310"/>
      <c r="BA120" s="311"/>
      <c r="BB120" s="311"/>
      <c r="BC120" s="311"/>
      <c r="BD120" s="312"/>
      <c r="BE120" s="147"/>
    </row>
    <row r="121" spans="22:57" ht="15.75">
      <c r="V121" s="45"/>
      <c r="W121" s="100"/>
      <c r="X121" s="100"/>
      <c r="Y121" s="100"/>
      <c r="Z121" s="100"/>
      <c r="AA121" s="100"/>
      <c r="AB121" s="100"/>
      <c r="AC121" s="100"/>
      <c r="AD121" s="100"/>
      <c r="AE121" s="100"/>
      <c r="AF121" s="100"/>
      <c r="AG121" s="100"/>
      <c r="AH121" s="100"/>
      <c r="AI121" s="100"/>
      <c r="AJ121" s="100"/>
      <c r="AK121" s="100"/>
      <c r="AL121" s="108"/>
      <c r="AM121" s="100" t="s">
        <v>198</v>
      </c>
      <c r="AN121" s="100"/>
      <c r="AO121" s="100"/>
      <c r="AP121" s="100"/>
      <c r="AQ121" s="100"/>
      <c r="AR121" s="100"/>
      <c r="AS121" s="100"/>
      <c r="AT121" s="304"/>
      <c r="AU121" s="305"/>
      <c r="AV121" s="305"/>
      <c r="AW121" s="305"/>
      <c r="AX121" s="306"/>
      <c r="AY121" s="147"/>
      <c r="AZ121" s="313"/>
      <c r="BA121" s="314"/>
      <c r="BB121" s="314"/>
      <c r="BC121" s="314"/>
      <c r="BD121" s="315"/>
      <c r="BE121" s="147"/>
    </row>
    <row r="122" spans="22:57" ht="15.75">
      <c r="V122" s="45"/>
      <c r="W122" s="100"/>
      <c r="X122" s="100"/>
      <c r="Y122" s="100"/>
      <c r="Z122" s="100"/>
      <c r="AA122" s="100"/>
      <c r="AB122" s="100"/>
      <c r="AC122" s="100"/>
      <c r="AD122" s="100"/>
      <c r="AE122" s="100"/>
      <c r="AF122" s="100"/>
      <c r="AG122" s="100"/>
      <c r="AH122" s="100"/>
      <c r="AI122" s="100"/>
      <c r="AJ122" s="100"/>
      <c r="AK122" s="100"/>
      <c r="AL122" s="108"/>
      <c r="AM122" s="100" t="s">
        <v>199</v>
      </c>
      <c r="AN122" s="100"/>
      <c r="AO122" s="100"/>
      <c r="AP122" s="100"/>
      <c r="AQ122" s="100"/>
      <c r="AR122" s="100"/>
      <c r="AS122" s="100"/>
      <c r="AT122" s="304"/>
      <c r="AU122" s="305"/>
      <c r="AV122" s="305"/>
      <c r="AW122" s="305"/>
      <c r="AX122" s="306"/>
      <c r="AY122" s="147"/>
      <c r="AZ122" s="313"/>
      <c r="BA122" s="314"/>
      <c r="BB122" s="314"/>
      <c r="BC122" s="314"/>
      <c r="BD122" s="315"/>
      <c r="BE122" s="147"/>
    </row>
    <row r="123" spans="22:57" ht="16.5" thickBot="1">
      <c r="V123" s="45"/>
      <c r="W123" s="100"/>
      <c r="X123" s="100"/>
      <c r="Y123" s="100"/>
      <c r="Z123" s="399" t="str">
        <f>AU64</f>
        <v>MARY ANN ELVEÑA MENDEZ</v>
      </c>
      <c r="AA123" s="399"/>
      <c r="AB123" s="399"/>
      <c r="AC123" s="399"/>
      <c r="AD123" s="399"/>
      <c r="AE123" s="399"/>
      <c r="AF123" s="399"/>
      <c r="AG123" s="399"/>
      <c r="AH123" s="399"/>
      <c r="AI123" s="100"/>
      <c r="AJ123" s="100"/>
      <c r="AK123" s="100"/>
      <c r="AL123" s="108"/>
      <c r="AM123" s="100" t="s">
        <v>108</v>
      </c>
      <c r="AN123" s="100"/>
      <c r="AO123" s="244" t="s">
        <v>301</v>
      </c>
      <c r="AP123" s="244"/>
      <c r="AQ123" s="244"/>
      <c r="AR123" s="100"/>
      <c r="AS123" s="100"/>
      <c r="AT123" s="304"/>
      <c r="AU123" s="305"/>
      <c r="AV123" s="305"/>
      <c r="AW123" s="305"/>
      <c r="AX123" s="306"/>
      <c r="AY123" s="147"/>
      <c r="AZ123" s="313"/>
      <c r="BA123" s="314"/>
      <c r="BB123" s="314"/>
      <c r="BC123" s="314"/>
      <c r="BD123" s="315"/>
      <c r="BE123" s="147"/>
    </row>
    <row r="124" spans="22:57" ht="15.75">
      <c r="V124" s="45"/>
      <c r="W124" s="100"/>
      <c r="X124" s="319" t="s">
        <v>200</v>
      </c>
      <c r="Y124" s="319"/>
      <c r="Z124" s="319"/>
      <c r="AA124" s="319"/>
      <c r="AB124" s="319"/>
      <c r="AC124" s="319"/>
      <c r="AD124" s="319"/>
      <c r="AE124" s="319"/>
      <c r="AF124" s="319"/>
      <c r="AG124" s="319"/>
      <c r="AH124" s="319"/>
      <c r="AI124" s="319"/>
      <c r="AJ124" s="319"/>
      <c r="AK124" s="100"/>
      <c r="AL124" s="100"/>
      <c r="AM124" s="100"/>
      <c r="AN124" s="100"/>
      <c r="AO124" s="100"/>
      <c r="AP124" s="100"/>
      <c r="AQ124" s="100"/>
      <c r="AR124" s="100"/>
      <c r="AS124" s="100"/>
      <c r="AT124" s="304"/>
      <c r="AU124" s="305"/>
      <c r="AV124" s="305"/>
      <c r="AW124" s="305"/>
      <c r="AX124" s="306"/>
      <c r="AY124" s="147"/>
      <c r="AZ124" s="313"/>
      <c r="BA124" s="314"/>
      <c r="BB124" s="314"/>
      <c r="BC124" s="314"/>
      <c r="BD124" s="315"/>
      <c r="BE124" s="147"/>
    </row>
    <row r="125" spans="22:57" ht="15.75">
      <c r="V125" s="45"/>
      <c r="W125" s="100"/>
      <c r="X125" s="102"/>
      <c r="Y125" s="100"/>
      <c r="Z125" s="100"/>
      <c r="AA125" s="100"/>
      <c r="AB125" s="100"/>
      <c r="AC125" s="100"/>
      <c r="AD125" s="100"/>
      <c r="AE125" s="100"/>
      <c r="AF125" s="100"/>
      <c r="AG125" s="100"/>
      <c r="AH125" s="100"/>
      <c r="AI125" s="100"/>
      <c r="AJ125" s="100"/>
      <c r="AK125" s="100"/>
      <c r="AL125" s="100"/>
      <c r="AM125" s="100"/>
      <c r="AN125" s="100"/>
      <c r="AO125" s="100"/>
      <c r="AP125" s="100"/>
      <c r="AQ125" s="100"/>
      <c r="AR125" s="100"/>
      <c r="AS125" s="100"/>
      <c r="AT125" s="304"/>
      <c r="AU125" s="305"/>
      <c r="AV125" s="305"/>
      <c r="AW125" s="305"/>
      <c r="AX125" s="306"/>
      <c r="AY125" s="147"/>
      <c r="AZ125" s="313"/>
      <c r="BA125" s="314"/>
      <c r="BB125" s="314"/>
      <c r="BC125" s="314"/>
      <c r="BD125" s="315"/>
      <c r="BE125" s="147"/>
    </row>
    <row r="126" spans="22:57" ht="16.5" thickBot="1">
      <c r="V126" s="45"/>
      <c r="W126" s="100"/>
      <c r="X126" s="100" t="s">
        <v>201</v>
      </c>
      <c r="Y126" s="100"/>
      <c r="Z126" s="244">
        <v>1923893</v>
      </c>
      <c r="AA126" s="244"/>
      <c r="AB126" s="244"/>
      <c r="AC126" s="244"/>
      <c r="AD126" s="244"/>
      <c r="AE126" s="244"/>
      <c r="AF126" s="244"/>
      <c r="AG126" s="244"/>
      <c r="AH126" s="244"/>
      <c r="AI126" s="244"/>
      <c r="AJ126" s="100"/>
      <c r="AK126" s="100"/>
      <c r="AL126" s="100"/>
      <c r="AM126" s="100"/>
      <c r="AN126" s="100"/>
      <c r="AO126" s="100"/>
      <c r="AP126" s="100"/>
      <c r="AQ126" s="100"/>
      <c r="AR126" s="100"/>
      <c r="AS126" s="100"/>
      <c r="AT126" s="307"/>
      <c r="AU126" s="308"/>
      <c r="AV126" s="308"/>
      <c r="AW126" s="308"/>
      <c r="AX126" s="309"/>
      <c r="AY126" s="150"/>
      <c r="AZ126" s="316"/>
      <c r="BA126" s="317"/>
      <c r="BB126" s="317"/>
      <c r="BC126" s="317"/>
      <c r="BD126" s="318"/>
      <c r="BE126" s="147"/>
    </row>
    <row r="127" spans="22:57" ht="16.5" thickBot="1">
      <c r="V127" s="45"/>
      <c r="W127" s="100"/>
      <c r="X127" s="100" t="s">
        <v>202</v>
      </c>
      <c r="Y127" s="100"/>
      <c r="Z127" s="100"/>
      <c r="AA127" s="100"/>
      <c r="AB127" s="401" t="s">
        <v>302</v>
      </c>
      <c r="AC127" s="401"/>
      <c r="AD127" s="401"/>
      <c r="AE127" s="401"/>
      <c r="AF127" s="401"/>
      <c r="AG127" s="401"/>
      <c r="AH127" s="401"/>
      <c r="AI127" s="401"/>
      <c r="AJ127" s="100"/>
      <c r="AK127" s="100"/>
      <c r="AL127" s="100"/>
      <c r="AM127" s="100"/>
      <c r="AN127" s="100"/>
      <c r="AO127" s="100"/>
      <c r="AP127" s="100"/>
      <c r="AQ127" s="100"/>
      <c r="AR127" s="100"/>
      <c r="AS127" s="100"/>
      <c r="AT127" s="256" t="s">
        <v>203</v>
      </c>
      <c r="AU127" s="256"/>
      <c r="AV127" s="256"/>
      <c r="AW127" s="256"/>
      <c r="AX127" s="256"/>
      <c r="AY127" s="112"/>
      <c r="AZ127" s="256" t="s">
        <v>204</v>
      </c>
      <c r="BA127" s="256"/>
      <c r="BB127" s="256"/>
      <c r="BC127" s="256"/>
      <c r="BD127" s="256"/>
      <c r="BE127" s="113"/>
    </row>
    <row r="128" spans="22:57" ht="15.75">
      <c r="V128" s="45"/>
      <c r="W128" s="100"/>
      <c r="X128" s="100"/>
      <c r="Y128" s="100"/>
      <c r="Z128" s="100"/>
      <c r="AA128" s="100"/>
      <c r="AB128" s="100"/>
      <c r="AC128" s="100"/>
      <c r="AD128" s="100"/>
      <c r="AE128" s="100"/>
      <c r="AF128" s="100"/>
      <c r="AG128" s="100"/>
      <c r="AH128" s="100"/>
      <c r="AI128" s="100"/>
      <c r="AJ128" s="100"/>
      <c r="AK128" s="100"/>
      <c r="AL128" s="100"/>
      <c r="AM128" s="100"/>
      <c r="AN128" s="100"/>
      <c r="AO128" s="100"/>
      <c r="AP128" s="100"/>
      <c r="AQ128" s="100"/>
      <c r="AR128" s="100"/>
      <c r="AS128" s="100"/>
      <c r="AT128" s="100"/>
      <c r="AU128" s="100"/>
      <c r="AV128" s="100"/>
      <c r="AW128" s="100"/>
      <c r="AX128" s="100"/>
      <c r="AY128" s="100"/>
      <c r="AZ128" s="100"/>
      <c r="BA128" s="100"/>
      <c r="BB128" s="100"/>
      <c r="BC128" s="100"/>
      <c r="BD128" s="100"/>
      <c r="BE128" s="100"/>
    </row>
    <row r="129" spans="10:57" ht="15.75">
      <c r="V129" s="45"/>
      <c r="W129" s="100"/>
      <c r="X129" s="100"/>
      <c r="Y129" s="100"/>
      <c r="Z129" s="100"/>
      <c r="AA129" s="100"/>
      <c r="AB129" s="100"/>
      <c r="AC129" s="100"/>
      <c r="AD129" s="100"/>
      <c r="AE129" s="100"/>
      <c r="AF129" s="100"/>
      <c r="AG129" s="100"/>
      <c r="AH129" s="100"/>
      <c r="AI129" s="100"/>
      <c r="AJ129" s="100"/>
      <c r="AK129" s="100"/>
      <c r="AL129" s="100"/>
      <c r="AM129" s="100"/>
      <c r="AN129" s="100"/>
      <c r="AO129" s="100"/>
      <c r="AP129" s="100"/>
      <c r="AQ129" s="100"/>
      <c r="AR129" s="100"/>
      <c r="AS129" s="100"/>
      <c r="AT129" s="100"/>
      <c r="AU129" s="100"/>
      <c r="AV129" s="100"/>
      <c r="AW129" s="100"/>
      <c r="AX129" s="100"/>
      <c r="AY129" s="100"/>
      <c r="AZ129" s="100"/>
      <c r="BA129" s="100"/>
      <c r="BB129" s="100"/>
      <c r="BC129" s="100"/>
      <c r="BD129" s="100"/>
      <c r="BE129" s="100"/>
    </row>
    <row r="130" spans="10:57" ht="18.75">
      <c r="V130" s="45"/>
      <c r="W130" s="100"/>
      <c r="X130" s="253" t="s">
        <v>205</v>
      </c>
      <c r="Y130" s="254"/>
      <c r="Z130" s="254"/>
      <c r="AA130" s="254"/>
      <c r="AB130" s="254"/>
      <c r="AC130" s="254"/>
      <c r="AD130" s="254"/>
      <c r="AE130" s="254"/>
      <c r="AF130" s="254"/>
      <c r="AG130" s="254"/>
      <c r="AH130" s="254"/>
      <c r="AI130" s="254"/>
      <c r="AJ130" s="254"/>
      <c r="AK130" s="254"/>
      <c r="AL130" s="254"/>
      <c r="AM130" s="254"/>
      <c r="AN130" s="254"/>
      <c r="AO130" s="254"/>
      <c r="AP130" s="254"/>
      <c r="AQ130" s="254"/>
      <c r="AR130" s="254"/>
      <c r="AS130" s="254"/>
      <c r="AT130" s="254"/>
      <c r="AU130" s="254"/>
      <c r="AV130" s="254"/>
      <c r="AW130" s="254"/>
      <c r="AX130" s="254"/>
      <c r="AY130" s="254"/>
      <c r="AZ130" s="254"/>
      <c r="BA130" s="254"/>
      <c r="BB130" s="254"/>
      <c r="BC130" s="254"/>
      <c r="BD130" s="254"/>
      <c r="BE130" s="254"/>
    </row>
    <row r="131" spans="10:57" ht="15.75">
      <c r="V131" s="45"/>
      <c r="W131" s="100"/>
      <c r="X131" s="100"/>
      <c r="Y131" s="100"/>
      <c r="Z131" s="100"/>
      <c r="AA131" s="100"/>
      <c r="AB131" s="100"/>
      <c r="AC131" s="100"/>
      <c r="AD131" s="100"/>
      <c r="AE131" s="100"/>
      <c r="AF131" s="100"/>
      <c r="AG131" s="100"/>
      <c r="AH131" s="100"/>
      <c r="AI131" s="100"/>
      <c r="AJ131" s="100"/>
      <c r="AK131" s="100"/>
      <c r="AL131" s="100"/>
      <c r="AM131" s="100"/>
      <c r="AN131" s="100"/>
      <c r="AO131" s="100"/>
      <c r="AP131" s="100"/>
      <c r="AQ131" s="100"/>
      <c r="AR131" s="100"/>
      <c r="AS131" s="100"/>
      <c r="AT131" s="100"/>
      <c r="AU131" s="100"/>
      <c r="AV131" s="100"/>
      <c r="AW131" s="100"/>
      <c r="AX131" s="100"/>
      <c r="AY131" s="100"/>
      <c r="AZ131" s="100"/>
      <c r="BA131" s="100"/>
      <c r="BB131" s="100"/>
      <c r="BC131" s="100"/>
      <c r="BD131" s="100"/>
      <c r="BE131" s="100"/>
    </row>
    <row r="132" spans="10:57" ht="17.25">
      <c r="V132" s="45"/>
      <c r="W132" s="100"/>
      <c r="X132" s="151" t="s">
        <v>206</v>
      </c>
      <c r="Y132" s="152"/>
      <c r="Z132" s="152"/>
      <c r="AA132" s="152"/>
      <c r="AB132" s="152"/>
      <c r="AC132" s="152"/>
      <c r="AD132" s="152"/>
      <c r="AE132" s="100"/>
      <c r="AF132" s="100"/>
      <c r="AG132" s="100"/>
      <c r="AH132" s="100"/>
      <c r="AI132" s="100"/>
      <c r="AJ132" s="100"/>
      <c r="AK132" s="100"/>
      <c r="AL132" s="100"/>
      <c r="AM132" s="100"/>
      <c r="AN132" s="100"/>
      <c r="AO132" s="100"/>
      <c r="AP132" s="100"/>
      <c r="AQ132" s="100"/>
      <c r="AR132" s="100"/>
      <c r="AS132" s="100"/>
      <c r="AT132" s="100"/>
      <c r="AU132" s="100"/>
      <c r="AV132" s="100"/>
      <c r="AW132" s="100"/>
      <c r="AX132" s="100"/>
      <c r="AY132" s="100"/>
      <c r="AZ132" s="100"/>
      <c r="BA132" s="100"/>
      <c r="BB132" s="100"/>
      <c r="BC132" s="100"/>
      <c r="BD132" s="100"/>
      <c r="BE132" s="100"/>
    </row>
    <row r="133" spans="10:57" ht="17.25">
      <c r="V133" s="45"/>
      <c r="W133" s="100"/>
      <c r="X133" s="153" t="s">
        <v>207</v>
      </c>
      <c r="Y133" s="152"/>
      <c r="Z133" s="152"/>
      <c r="AA133" s="152"/>
      <c r="AB133" s="152"/>
      <c r="AC133" s="152"/>
      <c r="AD133" s="152"/>
      <c r="AE133" s="100"/>
      <c r="AF133" s="100"/>
      <c r="AG133" s="100"/>
      <c r="AH133" s="100"/>
      <c r="AI133" s="100"/>
      <c r="AJ133" s="100"/>
      <c r="AK133" s="100"/>
      <c r="AL133" s="100"/>
      <c r="AM133" s="100"/>
      <c r="AN133" s="100"/>
      <c r="AO133" s="100"/>
      <c r="AP133" s="100"/>
      <c r="AQ133" s="100"/>
      <c r="AR133" s="100"/>
      <c r="AS133" s="100"/>
      <c r="AT133" s="100"/>
      <c r="AU133" s="100"/>
      <c r="AV133" s="100"/>
      <c r="AW133" s="100"/>
      <c r="AX133" s="100"/>
      <c r="AY133" s="100"/>
      <c r="AZ133" s="100"/>
      <c r="BA133" s="100"/>
      <c r="BB133" s="100"/>
      <c r="BC133" s="100"/>
      <c r="BD133" s="100"/>
      <c r="BE133" s="100"/>
    </row>
    <row r="134" spans="10:57" ht="17.25">
      <c r="V134" s="45"/>
      <c r="W134" s="100"/>
      <c r="X134" s="152"/>
      <c r="Y134" s="152"/>
      <c r="Z134" s="152"/>
      <c r="AA134" s="152"/>
      <c r="AB134" s="152"/>
      <c r="AC134" s="152"/>
      <c r="AD134" s="152"/>
      <c r="AE134" s="100"/>
      <c r="AF134" s="100"/>
      <c r="AG134" s="100"/>
      <c r="AH134" s="100"/>
      <c r="AI134" s="100"/>
      <c r="AJ134" s="100"/>
      <c r="AK134" s="100"/>
      <c r="AL134" s="100"/>
      <c r="AM134" s="100"/>
      <c r="AN134" s="100"/>
      <c r="AO134" s="100"/>
      <c r="AP134" s="100"/>
      <c r="AQ134" s="100"/>
      <c r="AR134" s="100"/>
      <c r="AS134" s="100"/>
      <c r="AT134" s="100"/>
      <c r="AU134" s="100"/>
      <c r="AV134" s="100"/>
      <c r="AW134" s="100"/>
      <c r="AX134" s="100"/>
      <c r="AY134" s="100"/>
      <c r="AZ134" s="100"/>
      <c r="BA134" s="100"/>
      <c r="BB134" s="100"/>
      <c r="BC134" s="100"/>
      <c r="BD134" s="100"/>
      <c r="BE134" s="100"/>
    </row>
    <row r="135" spans="10:57" ht="17.25" customHeight="1">
      <c r="J135" s="45"/>
      <c r="K135" s="45"/>
      <c r="L135" s="45"/>
      <c r="M135" s="45"/>
      <c r="N135" s="45"/>
      <c r="O135" s="49"/>
      <c r="P135" s="45"/>
      <c r="Q135" s="45"/>
      <c r="R135" s="45"/>
      <c r="S135" s="45"/>
      <c r="T135" s="45"/>
      <c r="U135" s="45"/>
      <c r="V135" s="45"/>
      <c r="W135" s="100"/>
      <c r="X135" s="257" t="s">
        <v>208</v>
      </c>
      <c r="Y135" s="257"/>
      <c r="Z135" s="257"/>
      <c r="AA135" s="257"/>
      <c r="AB135" s="257"/>
      <c r="AC135" s="257"/>
      <c r="AD135" s="257"/>
      <c r="AE135" s="257"/>
      <c r="AF135" s="257"/>
      <c r="AG135" s="257"/>
      <c r="AH135" s="257"/>
      <c r="AI135" s="257"/>
      <c r="AJ135" s="257"/>
      <c r="AK135" s="257"/>
      <c r="AL135" s="257"/>
      <c r="AM135" s="257"/>
      <c r="AN135" s="257"/>
      <c r="AO135" s="257"/>
      <c r="AP135" s="257"/>
      <c r="AQ135" s="257"/>
      <c r="AR135" s="257"/>
      <c r="AS135" s="257"/>
      <c r="AT135" s="257"/>
      <c r="AU135" s="257"/>
      <c r="AV135" s="257"/>
      <c r="AW135" s="257"/>
      <c r="AX135" s="257"/>
      <c r="AY135" s="257"/>
      <c r="AZ135" s="257"/>
      <c r="BA135" s="257"/>
      <c r="BB135" s="257"/>
      <c r="BC135" s="257"/>
      <c r="BD135" s="257"/>
      <c r="BE135" s="154"/>
    </row>
    <row r="136" spans="10:57" ht="17.25" customHeight="1">
      <c r="W136" s="100"/>
      <c r="X136" s="258" t="s">
        <v>209</v>
      </c>
      <c r="Y136" s="258"/>
      <c r="Z136" s="258"/>
      <c r="AA136" s="258"/>
      <c r="AB136" s="258"/>
      <c r="AC136" s="258"/>
      <c r="AD136" s="258"/>
      <c r="AE136" s="258"/>
      <c r="AF136" s="258"/>
      <c r="AG136" s="258"/>
      <c r="AH136" s="258"/>
      <c r="AI136" s="258"/>
      <c r="AJ136" s="258"/>
      <c r="AK136" s="258"/>
      <c r="AL136" s="258"/>
      <c r="AM136" s="258"/>
      <c r="AN136" s="258"/>
      <c r="AO136" s="258"/>
      <c r="AP136" s="258"/>
      <c r="AQ136" s="258"/>
      <c r="AR136" s="258"/>
      <c r="AS136" s="258"/>
      <c r="AT136" s="258"/>
      <c r="AU136" s="258"/>
      <c r="AV136" s="258"/>
      <c r="AW136" s="258"/>
      <c r="AX136" s="258"/>
      <c r="AY136" s="258"/>
      <c r="AZ136" s="258"/>
      <c r="BA136" s="258"/>
      <c r="BB136" s="258"/>
      <c r="BC136" s="258"/>
      <c r="BD136" s="258"/>
      <c r="BE136" s="154"/>
    </row>
    <row r="137" spans="10:57" ht="17.25">
      <c r="W137" s="100"/>
      <c r="X137" s="258"/>
      <c r="Y137" s="258"/>
      <c r="Z137" s="258"/>
      <c r="AA137" s="258"/>
      <c r="AB137" s="258"/>
      <c r="AC137" s="258"/>
      <c r="AD137" s="258"/>
      <c r="AE137" s="258"/>
      <c r="AF137" s="258"/>
      <c r="AG137" s="258"/>
      <c r="AH137" s="258"/>
      <c r="AI137" s="258"/>
      <c r="AJ137" s="258"/>
      <c r="AK137" s="258"/>
      <c r="AL137" s="258"/>
      <c r="AM137" s="258"/>
      <c r="AN137" s="258"/>
      <c r="AO137" s="258"/>
      <c r="AP137" s="258"/>
      <c r="AQ137" s="258"/>
      <c r="AR137" s="258"/>
      <c r="AS137" s="258"/>
      <c r="AT137" s="258"/>
      <c r="AU137" s="258"/>
      <c r="AV137" s="258"/>
      <c r="AW137" s="258"/>
      <c r="AX137" s="258"/>
      <c r="AY137" s="258"/>
      <c r="AZ137" s="258"/>
      <c r="BA137" s="258"/>
      <c r="BB137" s="258"/>
      <c r="BC137" s="258"/>
      <c r="BD137" s="258"/>
      <c r="BE137" s="154"/>
    </row>
    <row r="138" spans="10:57" ht="17.25">
      <c r="W138" s="100"/>
      <c r="X138" s="258"/>
      <c r="Y138" s="258"/>
      <c r="Z138" s="258"/>
      <c r="AA138" s="258"/>
      <c r="AB138" s="258"/>
      <c r="AC138" s="258"/>
      <c r="AD138" s="258"/>
      <c r="AE138" s="258"/>
      <c r="AF138" s="258"/>
      <c r="AG138" s="258"/>
      <c r="AH138" s="258"/>
      <c r="AI138" s="258"/>
      <c r="AJ138" s="258"/>
      <c r="AK138" s="258"/>
      <c r="AL138" s="258"/>
      <c r="AM138" s="258"/>
      <c r="AN138" s="258"/>
      <c r="AO138" s="258"/>
      <c r="AP138" s="258"/>
      <c r="AQ138" s="258"/>
      <c r="AR138" s="258"/>
      <c r="AS138" s="258"/>
      <c r="AT138" s="258"/>
      <c r="AU138" s="258"/>
      <c r="AV138" s="258"/>
      <c r="AW138" s="258"/>
      <c r="AX138" s="258"/>
      <c r="AY138" s="258"/>
      <c r="AZ138" s="258"/>
      <c r="BA138" s="258"/>
      <c r="BB138" s="258"/>
      <c r="BC138" s="258"/>
      <c r="BD138" s="258"/>
      <c r="BE138" s="154"/>
    </row>
    <row r="139" spans="10:57" ht="17.25">
      <c r="W139" s="100"/>
      <c r="X139" s="258"/>
      <c r="Y139" s="258"/>
      <c r="Z139" s="258"/>
      <c r="AA139" s="258"/>
      <c r="AB139" s="258"/>
      <c r="AC139" s="258"/>
      <c r="AD139" s="258"/>
      <c r="AE139" s="258"/>
      <c r="AF139" s="258"/>
      <c r="AG139" s="258"/>
      <c r="AH139" s="258"/>
      <c r="AI139" s="258"/>
      <c r="AJ139" s="258"/>
      <c r="AK139" s="258"/>
      <c r="AL139" s="258"/>
      <c r="AM139" s="258"/>
      <c r="AN139" s="258"/>
      <c r="AO139" s="258"/>
      <c r="AP139" s="258"/>
      <c r="AQ139" s="258"/>
      <c r="AR139" s="258"/>
      <c r="AS139" s="258"/>
      <c r="AT139" s="258"/>
      <c r="AU139" s="258"/>
      <c r="AV139" s="258"/>
      <c r="AW139" s="258"/>
      <c r="AX139" s="258"/>
      <c r="AY139" s="258"/>
      <c r="AZ139" s="258"/>
      <c r="BA139" s="258"/>
      <c r="BB139" s="258"/>
      <c r="BC139" s="258"/>
      <c r="BD139" s="258"/>
      <c r="BE139" s="155"/>
    </row>
    <row r="140" spans="10:57" ht="17.25">
      <c r="W140" s="100"/>
      <c r="X140" s="152"/>
      <c r="Y140" s="156" t="s">
        <v>210</v>
      </c>
      <c r="Z140" s="152"/>
      <c r="AA140" s="152"/>
      <c r="AB140" s="152"/>
      <c r="AC140" s="152"/>
      <c r="AD140" s="152"/>
      <c r="AE140" s="100"/>
      <c r="AF140" s="100"/>
      <c r="AG140" s="100"/>
      <c r="AH140" s="100"/>
      <c r="AI140" s="100"/>
      <c r="AJ140" s="100"/>
      <c r="AK140" s="100"/>
      <c r="AL140" s="100"/>
      <c r="AM140" s="100"/>
      <c r="AN140" s="100"/>
      <c r="AO140" s="100"/>
      <c r="AP140" s="100"/>
      <c r="AQ140" s="100"/>
      <c r="AR140" s="100"/>
      <c r="AS140" s="100"/>
      <c r="AT140" s="100"/>
      <c r="AU140" s="100"/>
      <c r="AV140" s="100"/>
      <c r="AW140" s="100"/>
      <c r="AX140" s="100"/>
      <c r="AY140" s="100"/>
      <c r="AZ140" s="100"/>
      <c r="BA140" s="100"/>
      <c r="BB140" s="100"/>
      <c r="BC140" s="100"/>
      <c r="BD140" s="100"/>
      <c r="BE140" s="100"/>
    </row>
    <row r="141" spans="10:57" ht="17.25">
      <c r="W141" s="100"/>
      <c r="X141" s="152"/>
      <c r="Y141" s="152"/>
      <c r="Z141" s="152"/>
      <c r="AA141" s="152"/>
      <c r="AB141" s="152"/>
      <c r="AC141" s="152"/>
      <c r="AD141" s="152"/>
      <c r="AE141" s="100"/>
      <c r="AF141" s="100"/>
      <c r="AG141" s="100"/>
      <c r="AH141" s="100"/>
      <c r="AI141" s="100"/>
      <c r="AJ141" s="100"/>
      <c r="AK141" s="100"/>
      <c r="AL141" s="100"/>
      <c r="AM141" s="100"/>
      <c r="AN141" s="100"/>
      <c r="AO141" s="100"/>
      <c r="AP141" s="100"/>
      <c r="AQ141" s="100"/>
      <c r="AR141" s="100"/>
      <c r="AS141" s="100"/>
      <c r="AT141" s="100"/>
      <c r="AU141" s="100"/>
      <c r="AV141" s="100"/>
      <c r="AW141" s="100"/>
      <c r="AX141" s="100"/>
      <c r="AY141" s="100"/>
      <c r="AZ141" s="100"/>
      <c r="BA141" s="100"/>
      <c r="BB141" s="100"/>
      <c r="BC141" s="100"/>
      <c r="BD141" s="100"/>
      <c r="BE141" s="100"/>
    </row>
    <row r="142" spans="10:57" ht="18" thickBot="1">
      <c r="W142" s="100"/>
      <c r="X142" s="157" t="s">
        <v>211</v>
      </c>
      <c r="Y142" s="152"/>
      <c r="Z142" s="152"/>
      <c r="AA142" s="259"/>
      <c r="AB142" s="259"/>
      <c r="AC142" s="259"/>
      <c r="AD142" s="152"/>
      <c r="AE142" s="100"/>
      <c r="AF142" s="100"/>
      <c r="AG142" s="100"/>
      <c r="AH142" s="100"/>
      <c r="AI142" s="100"/>
      <c r="AJ142" s="100"/>
      <c r="AK142" s="100"/>
      <c r="AL142" s="100"/>
      <c r="AM142" s="100"/>
      <c r="AN142" s="100"/>
      <c r="AO142" s="100"/>
      <c r="AP142" s="100"/>
      <c r="AQ142" s="100"/>
      <c r="AR142" s="100"/>
      <c r="AS142" s="100"/>
      <c r="AT142" s="100"/>
      <c r="AU142" s="100"/>
      <c r="AV142" s="100"/>
      <c r="AW142" s="100"/>
      <c r="AX142" s="100"/>
      <c r="AY142" s="100"/>
      <c r="AZ142" s="100"/>
      <c r="BA142" s="100"/>
      <c r="BB142" s="100"/>
      <c r="BC142" s="100"/>
      <c r="BD142" s="100"/>
      <c r="BE142" s="100"/>
    </row>
    <row r="143" spans="10:57" ht="18" thickBot="1">
      <c r="W143" s="100"/>
      <c r="X143" s="157" t="s">
        <v>212</v>
      </c>
      <c r="Y143" s="152"/>
      <c r="Z143" s="152"/>
      <c r="AA143" s="300"/>
      <c r="AB143" s="300"/>
      <c r="AC143" s="300"/>
      <c r="AD143" s="152"/>
      <c r="AE143" s="100"/>
      <c r="AF143" s="100"/>
      <c r="AG143" s="100"/>
      <c r="AH143" s="100"/>
      <c r="AI143" s="100"/>
      <c r="AJ143" s="100"/>
      <c r="AK143" s="100"/>
      <c r="AL143" s="100"/>
      <c r="AM143" s="100"/>
      <c r="AN143" s="100"/>
      <c r="AO143" s="100"/>
      <c r="AP143" s="100"/>
      <c r="AQ143" s="100"/>
      <c r="AR143" s="100"/>
      <c r="AS143" s="100"/>
      <c r="AT143" s="100"/>
      <c r="AU143" s="100"/>
      <c r="AV143" s="100"/>
      <c r="AW143" s="100"/>
      <c r="AX143" s="100"/>
      <c r="AY143" s="100"/>
      <c r="AZ143" s="100"/>
      <c r="BA143" s="100"/>
      <c r="BB143" s="100"/>
      <c r="BC143" s="100"/>
      <c r="BD143" s="100"/>
      <c r="BE143" s="100"/>
    </row>
    <row r="144" spans="10:57" ht="18" thickBot="1">
      <c r="W144" s="100"/>
      <c r="X144" s="157" t="s">
        <v>213</v>
      </c>
      <c r="Y144" s="152"/>
      <c r="Z144" s="152"/>
      <c r="AA144" s="300"/>
      <c r="AB144" s="300"/>
      <c r="AC144" s="300"/>
      <c r="AD144" s="152"/>
      <c r="AE144" s="100"/>
      <c r="AF144" s="100"/>
      <c r="AG144" s="100"/>
      <c r="AH144" s="100"/>
      <c r="AI144" s="100"/>
      <c r="AJ144" s="100"/>
      <c r="AK144" s="100"/>
      <c r="AL144" s="100"/>
      <c r="AM144" s="100"/>
      <c r="AN144" s="100"/>
      <c r="AO144" s="100"/>
      <c r="AP144" s="100"/>
      <c r="AQ144" s="100"/>
      <c r="AR144" s="100"/>
      <c r="AS144" s="100"/>
      <c r="AT144" s="100"/>
      <c r="AU144" s="100"/>
      <c r="AV144" s="100"/>
      <c r="AW144" s="100"/>
      <c r="AX144" s="100"/>
      <c r="AY144" s="100"/>
      <c r="AZ144" s="100"/>
      <c r="BA144" s="100"/>
      <c r="BB144" s="100"/>
      <c r="BC144" s="100"/>
      <c r="BD144" s="100"/>
      <c r="BE144" s="100"/>
    </row>
    <row r="145" spans="23:57" ht="18" thickBot="1">
      <c r="W145" s="100"/>
      <c r="X145" s="157" t="s">
        <v>214</v>
      </c>
      <c r="Y145" s="152"/>
      <c r="Z145" s="152"/>
      <c r="AA145" s="300"/>
      <c r="AB145" s="300"/>
      <c r="AC145" s="300"/>
      <c r="AD145" s="152"/>
      <c r="AE145" s="100"/>
      <c r="AF145" s="100"/>
      <c r="AG145" s="100"/>
      <c r="AH145" s="100"/>
      <c r="AI145" s="100"/>
      <c r="AJ145" s="100"/>
      <c r="AK145" s="100"/>
      <c r="AL145" s="100"/>
      <c r="AM145" s="100"/>
      <c r="AN145" s="100"/>
      <c r="AO145" s="100"/>
      <c r="AP145" s="100"/>
      <c r="AQ145" s="100"/>
      <c r="AR145" s="100"/>
      <c r="AS145" s="100"/>
      <c r="AT145" s="100"/>
      <c r="AU145" s="100"/>
      <c r="AV145" s="100"/>
      <c r="AW145" s="100"/>
      <c r="AX145" s="100"/>
      <c r="AY145" s="100"/>
      <c r="AZ145" s="100"/>
      <c r="BA145" s="100"/>
      <c r="BB145" s="100"/>
      <c r="BC145" s="100"/>
      <c r="BD145" s="100"/>
      <c r="BE145" s="100"/>
    </row>
    <row r="146" spans="23:57" ht="15.75">
      <c r="W146" s="100"/>
      <c r="X146" s="158"/>
      <c r="Y146" s="100"/>
      <c r="Z146" s="100"/>
      <c r="AA146" s="109"/>
      <c r="AB146" s="109"/>
      <c r="AC146" s="109"/>
      <c r="AD146" s="100"/>
      <c r="AE146" s="100"/>
      <c r="AF146" s="100"/>
      <c r="AG146" s="100"/>
      <c r="AH146" s="100"/>
      <c r="AI146" s="100"/>
      <c r="AJ146" s="100"/>
      <c r="AK146" s="100"/>
      <c r="AL146" s="100"/>
      <c r="AM146" s="100"/>
      <c r="AN146" s="100"/>
      <c r="AO146" s="100"/>
      <c r="AP146" s="100"/>
      <c r="AQ146" s="100"/>
      <c r="AR146" s="100"/>
      <c r="AS146" s="100"/>
      <c r="AT146" s="100"/>
      <c r="AU146" s="100"/>
      <c r="AV146" s="100"/>
      <c r="AW146" s="100"/>
      <c r="AX146" s="100"/>
      <c r="AY146" s="100"/>
      <c r="AZ146" s="100"/>
      <c r="BA146" s="100"/>
      <c r="BB146" s="100"/>
      <c r="BC146" s="100"/>
      <c r="BD146" s="100"/>
      <c r="BE146" s="100"/>
    </row>
    <row r="147" spans="23:57" ht="18.75">
      <c r="W147" s="100"/>
      <c r="X147" s="253" t="s">
        <v>215</v>
      </c>
      <c r="Y147" s="254"/>
      <c r="Z147" s="254"/>
      <c r="AA147" s="254"/>
      <c r="AB147" s="254"/>
      <c r="AC147" s="254"/>
      <c r="AD147" s="254"/>
      <c r="AE147" s="254"/>
      <c r="AF147" s="254"/>
      <c r="AG147" s="254"/>
      <c r="AH147" s="254"/>
      <c r="AI147" s="254"/>
      <c r="AJ147" s="254"/>
      <c r="AK147" s="254"/>
      <c r="AL147" s="254"/>
      <c r="AM147" s="254"/>
      <c r="AN147" s="254"/>
      <c r="AO147" s="254"/>
      <c r="AP147" s="254"/>
      <c r="AQ147" s="254"/>
      <c r="AR147" s="254"/>
      <c r="AS147" s="254"/>
      <c r="AT147" s="254"/>
      <c r="AU147" s="254"/>
      <c r="AV147" s="254"/>
      <c r="AW147" s="254"/>
      <c r="AX147" s="254"/>
      <c r="AY147" s="254"/>
      <c r="AZ147" s="254"/>
      <c r="BA147" s="254"/>
      <c r="BB147" s="254"/>
      <c r="BC147" s="254"/>
      <c r="BD147" s="254"/>
      <c r="BE147" s="159"/>
    </row>
    <row r="148" spans="23:57" ht="15.75">
      <c r="W148" s="100"/>
      <c r="X148" s="160"/>
      <c r="Y148" s="161"/>
      <c r="Z148" s="161"/>
      <c r="AA148" s="161"/>
      <c r="AB148" s="161"/>
      <c r="AC148" s="161"/>
      <c r="AD148" s="161"/>
      <c r="AE148" s="161"/>
      <c r="AF148" s="161"/>
      <c r="AG148" s="161"/>
      <c r="AH148" s="161"/>
      <c r="AI148" s="161"/>
      <c r="AJ148" s="161"/>
      <c r="AK148" s="161"/>
      <c r="AL148" s="161"/>
      <c r="AM148" s="161"/>
      <c r="AN148" s="161"/>
      <c r="AO148" s="161"/>
      <c r="AP148" s="161"/>
      <c r="AQ148" s="161"/>
      <c r="AR148" s="161"/>
      <c r="AS148" s="161"/>
      <c r="AT148" s="161"/>
      <c r="AU148" s="161"/>
      <c r="AV148" s="161"/>
      <c r="AW148" s="161"/>
      <c r="AX148" s="161"/>
      <c r="AY148" s="161"/>
      <c r="AZ148" s="161"/>
      <c r="BA148" s="161"/>
      <c r="BB148" s="161"/>
      <c r="BC148" s="161"/>
      <c r="BD148" s="161"/>
      <c r="BE148" s="161"/>
    </row>
    <row r="149" spans="23:57" ht="17.25">
      <c r="W149" s="100"/>
      <c r="X149" s="152"/>
      <c r="Y149" s="152" t="s">
        <v>216</v>
      </c>
      <c r="Z149" s="100"/>
      <c r="AA149" s="100"/>
      <c r="AB149" s="100"/>
      <c r="AC149" s="100"/>
      <c r="AD149" s="100"/>
      <c r="AE149" s="100"/>
      <c r="AF149" s="100"/>
      <c r="AG149" s="100"/>
      <c r="AH149" s="100"/>
      <c r="AI149" s="100"/>
      <c r="AJ149" s="100"/>
      <c r="AK149" s="100"/>
      <c r="AL149" s="100"/>
      <c r="AM149" s="100"/>
      <c r="AN149" s="100"/>
      <c r="AO149" s="100"/>
      <c r="AP149" s="100"/>
      <c r="AQ149" s="100"/>
      <c r="AR149" s="100"/>
      <c r="AS149" s="100"/>
      <c r="AT149" s="100"/>
      <c r="AU149" s="100"/>
      <c r="AV149" s="100"/>
      <c r="AW149" s="100"/>
      <c r="AX149" s="100"/>
      <c r="AY149" s="100"/>
      <c r="AZ149" s="100"/>
      <c r="BA149" s="100"/>
      <c r="BB149" s="100"/>
      <c r="BC149" s="100"/>
      <c r="BD149" s="100"/>
      <c r="BE149" s="100"/>
    </row>
    <row r="150" spans="23:57" ht="17.25">
      <c r="W150" s="100"/>
      <c r="X150" s="162" t="s">
        <v>217</v>
      </c>
      <c r="Y150" s="152"/>
      <c r="Z150" s="100"/>
      <c r="AA150" s="100"/>
      <c r="AB150" s="100"/>
      <c r="AC150" s="100"/>
      <c r="AD150" s="100"/>
      <c r="AE150" s="100"/>
      <c r="AF150" s="100"/>
      <c r="AG150" s="100"/>
      <c r="AH150" s="100"/>
      <c r="AI150" s="100"/>
      <c r="AJ150" s="100"/>
      <c r="AK150" s="100"/>
      <c r="AL150" s="100"/>
      <c r="AM150" s="100"/>
      <c r="AN150" s="100"/>
      <c r="AO150" s="100"/>
      <c r="AP150" s="100"/>
      <c r="AQ150" s="100"/>
      <c r="AR150" s="100"/>
      <c r="AS150" s="100"/>
      <c r="AT150" s="100"/>
      <c r="AU150" s="100"/>
      <c r="AV150" s="100"/>
      <c r="AW150" s="100"/>
      <c r="AX150" s="100"/>
      <c r="AY150" s="100"/>
      <c r="AZ150" s="100"/>
      <c r="BA150" s="100"/>
      <c r="BB150" s="100"/>
      <c r="BC150" s="100"/>
      <c r="BD150" s="100"/>
      <c r="BE150" s="100"/>
    </row>
    <row r="151" spans="23:57" ht="19.5" thickBot="1">
      <c r="W151" s="100"/>
      <c r="X151" s="162" t="s">
        <v>218</v>
      </c>
      <c r="Y151" s="152"/>
      <c r="Z151" s="100"/>
      <c r="AA151" s="100"/>
      <c r="AB151" s="100"/>
      <c r="AC151" s="136"/>
      <c r="AD151" s="255">
        <f>AN102</f>
        <v>2766.1672151776716</v>
      </c>
      <c r="AE151" s="255"/>
      <c r="AF151" s="255"/>
      <c r="AG151" s="255"/>
      <c r="AH151" s="298" t="s">
        <v>219</v>
      </c>
      <c r="AI151" s="298"/>
      <c r="AJ151" s="298"/>
      <c r="AK151" s="298"/>
      <c r="AL151" s="181">
        <f>AB102</f>
        <v>24</v>
      </c>
      <c r="AM151" s="163" t="s">
        <v>220</v>
      </c>
      <c r="AQ151" s="100"/>
      <c r="AR151" s="100"/>
      <c r="AS151" s="100"/>
      <c r="AT151" s="100"/>
      <c r="AU151" s="299">
        <f>AW83</f>
        <v>66388.013164264121</v>
      </c>
      <c r="AV151" s="299"/>
      <c r="AW151" s="299"/>
      <c r="AX151" s="299"/>
      <c r="AY151" s="299"/>
      <c r="AZ151" s="163" t="s">
        <v>221</v>
      </c>
      <c r="BA151" s="164"/>
      <c r="BB151" s="164"/>
      <c r="BC151" s="164"/>
      <c r="BE151" s="100"/>
    </row>
    <row r="152" spans="23:57" ht="17.25">
      <c r="W152" s="100"/>
      <c r="X152" s="152"/>
      <c r="Y152" s="156" t="s">
        <v>222</v>
      </c>
      <c r="Z152" s="100"/>
      <c r="AA152" s="100"/>
      <c r="AB152" s="100"/>
      <c r="AC152" s="100"/>
      <c r="AD152" s="100"/>
      <c r="AE152" s="100"/>
      <c r="AF152" s="100"/>
      <c r="AG152" s="100"/>
      <c r="AH152" s="100"/>
      <c r="AI152" s="100"/>
      <c r="AJ152" s="100"/>
      <c r="AK152" s="100"/>
      <c r="AL152" s="100"/>
      <c r="AM152" s="100"/>
      <c r="AN152" s="100"/>
      <c r="AO152" s="100"/>
      <c r="AP152" s="100"/>
      <c r="AQ152" s="100"/>
      <c r="AR152" s="100"/>
      <c r="AS152" s="100"/>
      <c r="AT152" s="100"/>
      <c r="AU152" s="100"/>
      <c r="AV152" s="100"/>
      <c r="AW152" s="100"/>
      <c r="AX152" s="100"/>
      <c r="AY152" s="100"/>
      <c r="AZ152" s="100"/>
      <c r="BA152" s="100"/>
      <c r="BB152" s="100"/>
      <c r="BC152" s="100"/>
      <c r="BD152" s="100"/>
      <c r="BE152" s="100"/>
    </row>
    <row r="153" spans="23:57" ht="17.25">
      <c r="W153" s="100"/>
      <c r="X153" s="156" t="s">
        <v>223</v>
      </c>
      <c r="Y153" s="152"/>
      <c r="Z153" s="100"/>
      <c r="AA153" s="100"/>
      <c r="AB153" s="100"/>
      <c r="AC153" s="100"/>
      <c r="AD153" s="100"/>
      <c r="AE153" s="100"/>
      <c r="AF153" s="100"/>
      <c r="AG153" s="100"/>
      <c r="AH153" s="100"/>
      <c r="AI153" s="100"/>
      <c r="AJ153" s="100"/>
      <c r="AK153" s="100"/>
      <c r="AL153" s="100"/>
      <c r="AM153" s="100"/>
      <c r="AN153" s="100"/>
      <c r="AO153" s="100"/>
      <c r="AP153" s="100"/>
      <c r="AQ153" s="100"/>
      <c r="AR153" s="100"/>
      <c r="AS153" s="100"/>
      <c r="AT153" s="100"/>
      <c r="AU153" s="100"/>
      <c r="AV153" s="100"/>
      <c r="AW153" s="100"/>
      <c r="AX153" s="100"/>
      <c r="AY153" s="100"/>
      <c r="AZ153" s="100"/>
      <c r="BA153" s="100"/>
      <c r="BB153" s="100"/>
      <c r="BC153" s="100"/>
      <c r="BD153" s="100"/>
      <c r="BE153" s="100"/>
    </row>
    <row r="154" spans="23:57" ht="15.75">
      <c r="W154" s="100"/>
      <c r="X154" s="100"/>
      <c r="Y154" s="100"/>
      <c r="Z154" s="100"/>
      <c r="AA154" s="100"/>
      <c r="AB154" s="100"/>
      <c r="AC154" s="100"/>
      <c r="AD154" s="100"/>
      <c r="AE154" s="100"/>
      <c r="AF154" s="100"/>
      <c r="AG154" s="100"/>
      <c r="AH154" s="100"/>
      <c r="AI154" s="100"/>
      <c r="AJ154" s="100"/>
      <c r="AK154" s="100"/>
      <c r="AL154" s="100"/>
      <c r="AM154" s="100"/>
      <c r="AN154" s="100"/>
      <c r="AO154" s="100"/>
      <c r="AP154" s="100"/>
      <c r="AQ154" s="100"/>
      <c r="AR154" s="100"/>
      <c r="AS154" s="100"/>
      <c r="AT154" s="100"/>
      <c r="AU154" s="100"/>
      <c r="AV154" s="100"/>
      <c r="AW154" s="100"/>
      <c r="AX154" s="100"/>
      <c r="AY154" s="100"/>
      <c r="AZ154" s="100"/>
      <c r="BA154" s="100"/>
      <c r="BB154" s="100"/>
      <c r="BC154" s="100"/>
      <c r="BD154" s="100"/>
      <c r="BE154" s="100"/>
    </row>
    <row r="155" spans="23:57" ht="19.5" thickBot="1">
      <c r="W155" s="100"/>
      <c r="X155" s="100"/>
      <c r="Y155" s="100"/>
      <c r="Z155" s="100"/>
      <c r="AA155" s="100"/>
      <c r="AB155" s="100"/>
      <c r="AC155" s="100"/>
      <c r="AD155" s="100"/>
      <c r="AE155" s="100"/>
      <c r="AF155" s="100"/>
      <c r="AG155" s="100"/>
      <c r="AH155" s="100"/>
      <c r="AI155" s="395" t="str">
        <f>Z123</f>
        <v>MARY ANN ELVEÑA MENDEZ</v>
      </c>
      <c r="AJ155" s="395"/>
      <c r="AK155" s="395"/>
      <c r="AL155" s="395"/>
      <c r="AM155" s="395"/>
      <c r="AN155" s="395"/>
      <c r="AO155" s="395"/>
      <c r="AP155" s="395"/>
      <c r="AQ155" s="395"/>
      <c r="AR155" s="395"/>
      <c r="AS155" s="395"/>
      <c r="AT155" s="175"/>
      <c r="AU155" s="175"/>
      <c r="AV155" s="100"/>
      <c r="AW155" s="100"/>
      <c r="AX155" s="100"/>
      <c r="AY155" s="100"/>
      <c r="AZ155" s="100"/>
      <c r="BA155" s="100"/>
      <c r="BB155" s="100"/>
      <c r="BC155" s="100"/>
      <c r="BD155" s="100"/>
      <c r="BE155" s="100"/>
    </row>
    <row r="156" spans="23:57" ht="15.75">
      <c r="W156" s="100"/>
      <c r="X156" s="252" t="s">
        <v>224</v>
      </c>
      <c r="Y156" s="252"/>
      <c r="Z156" s="252"/>
      <c r="AA156" s="252"/>
      <c r="AB156" s="252"/>
      <c r="AC156" s="252"/>
      <c r="AD156" s="252"/>
      <c r="AE156" s="252"/>
      <c r="AF156" s="252"/>
      <c r="AG156" s="252"/>
      <c r="AH156" s="252"/>
      <c r="AI156" s="252"/>
      <c r="AJ156" s="252"/>
      <c r="AK156" s="252"/>
      <c r="AL156" s="252"/>
      <c r="AM156" s="252"/>
      <c r="AN156" s="252"/>
      <c r="AO156" s="252"/>
      <c r="AP156" s="252"/>
      <c r="AQ156" s="252"/>
      <c r="AR156" s="252"/>
      <c r="AS156" s="252"/>
      <c r="AT156" s="252"/>
      <c r="AU156" s="252"/>
      <c r="AV156" s="252"/>
      <c r="AW156" s="252"/>
      <c r="AX156" s="252"/>
      <c r="AY156" s="252"/>
      <c r="AZ156" s="252"/>
      <c r="BA156" s="252"/>
      <c r="BB156" s="252"/>
      <c r="BC156" s="252"/>
      <c r="BD156" s="252"/>
      <c r="BE156" s="102"/>
    </row>
    <row r="157" spans="23:57" ht="15.75">
      <c r="W157" s="100"/>
      <c r="X157" s="143"/>
      <c r="Y157" s="143"/>
      <c r="Z157" s="143"/>
      <c r="AA157" s="143"/>
      <c r="AB157" s="143"/>
      <c r="AC157" s="143"/>
      <c r="AD157" s="143"/>
      <c r="AE157" s="143"/>
      <c r="AF157" s="143"/>
      <c r="AG157" s="143"/>
      <c r="AH157" s="143"/>
      <c r="AI157" s="143"/>
      <c r="AJ157" s="143"/>
      <c r="AK157" s="143"/>
      <c r="AL157" s="143"/>
      <c r="AM157" s="143"/>
      <c r="AN157" s="143"/>
      <c r="AO157" s="143"/>
      <c r="AP157" s="143"/>
      <c r="AQ157" s="143"/>
      <c r="AR157" s="143"/>
      <c r="AS157" s="143"/>
      <c r="AT157" s="143"/>
      <c r="AU157" s="143"/>
      <c r="AV157" s="143"/>
      <c r="AW157" s="143"/>
      <c r="AX157" s="143"/>
      <c r="AY157" s="143"/>
      <c r="AZ157" s="143"/>
      <c r="BA157" s="143"/>
      <c r="BB157" s="143"/>
      <c r="BC157" s="143"/>
      <c r="BD157" s="143"/>
      <c r="BE157" s="135"/>
    </row>
    <row r="158" spans="23:57" ht="18.75">
      <c r="W158" s="100"/>
      <c r="X158" s="253" t="s">
        <v>158</v>
      </c>
      <c r="Y158" s="254"/>
      <c r="Z158" s="254"/>
      <c r="AA158" s="254"/>
      <c r="AB158" s="254"/>
      <c r="AC158" s="254"/>
      <c r="AD158" s="254"/>
      <c r="AE158" s="254"/>
      <c r="AF158" s="254"/>
      <c r="AG158" s="254"/>
      <c r="AH158" s="254"/>
      <c r="AI158" s="254"/>
      <c r="AJ158" s="254"/>
      <c r="AK158" s="254"/>
      <c r="AL158" s="254"/>
      <c r="AM158" s="254"/>
      <c r="AN158" s="254"/>
      <c r="AO158" s="254"/>
      <c r="AP158" s="254"/>
      <c r="AQ158" s="254"/>
      <c r="AR158" s="254"/>
      <c r="AS158" s="254"/>
      <c r="AT158" s="254"/>
      <c r="AU158" s="254"/>
      <c r="AV158" s="254"/>
      <c r="AW158" s="254"/>
      <c r="AX158" s="254"/>
      <c r="AY158" s="254"/>
      <c r="AZ158" s="254"/>
      <c r="BA158" s="254"/>
      <c r="BB158" s="254"/>
      <c r="BC158" s="254"/>
      <c r="BD158" s="254"/>
      <c r="BE158" s="159"/>
    </row>
    <row r="159" spans="23:57" ht="15.75">
      <c r="W159" s="100"/>
      <c r="X159" s="100"/>
      <c r="Y159" s="100"/>
      <c r="Z159" s="100"/>
      <c r="AA159" s="100"/>
      <c r="AB159" s="100"/>
      <c r="AC159" s="100"/>
      <c r="AD159" s="100"/>
      <c r="AE159" s="100"/>
      <c r="AF159" s="100"/>
      <c r="AG159" s="100"/>
      <c r="AH159" s="100"/>
      <c r="AI159" s="100"/>
      <c r="AJ159" s="100"/>
      <c r="AK159" s="100"/>
      <c r="AL159" s="100"/>
      <c r="AM159" s="100"/>
      <c r="AN159" s="100"/>
      <c r="AO159" s="100"/>
      <c r="AP159" s="100"/>
      <c r="AQ159" s="100"/>
      <c r="AR159" s="100"/>
      <c r="AS159" s="100"/>
      <c r="AT159" s="100"/>
      <c r="AU159" s="100"/>
      <c r="AV159" s="100"/>
      <c r="AW159" s="100"/>
      <c r="AX159" s="100"/>
      <c r="AY159" s="100"/>
      <c r="AZ159" s="100"/>
      <c r="BA159" s="100"/>
      <c r="BB159" s="100"/>
      <c r="BC159" s="100"/>
      <c r="BD159" s="100"/>
      <c r="BE159" s="100"/>
    </row>
    <row r="160" spans="23:57" ht="17.25">
      <c r="W160" s="100"/>
      <c r="X160" s="152"/>
      <c r="Y160" s="156" t="s">
        <v>225</v>
      </c>
      <c r="Z160" s="100"/>
      <c r="AA160" s="100"/>
      <c r="AB160" s="100"/>
      <c r="AC160" s="100"/>
      <c r="AD160" s="100"/>
      <c r="AE160" s="100"/>
      <c r="AF160" s="100"/>
      <c r="AG160" s="100"/>
      <c r="AH160" s="100"/>
      <c r="AI160" s="100"/>
      <c r="AJ160" s="100"/>
      <c r="AK160" s="100"/>
      <c r="AL160" s="100"/>
      <c r="AM160" s="100"/>
      <c r="AN160" s="100"/>
      <c r="AO160" s="100"/>
      <c r="AP160" s="100"/>
      <c r="AQ160" s="100"/>
      <c r="AR160" s="100"/>
      <c r="AS160" s="100"/>
      <c r="AT160" s="100"/>
      <c r="AU160" s="100"/>
      <c r="AV160" s="100"/>
      <c r="AW160" s="100"/>
      <c r="AX160" s="100"/>
      <c r="AY160" s="100"/>
      <c r="AZ160" s="100"/>
      <c r="BA160" s="100"/>
      <c r="BB160" s="100"/>
      <c r="BC160" s="100"/>
      <c r="BD160" s="100"/>
      <c r="BE160" s="100"/>
    </row>
    <row r="161" spans="23:57" ht="17.25">
      <c r="W161" s="100"/>
      <c r="X161" s="156" t="s">
        <v>226</v>
      </c>
      <c r="Y161" s="152"/>
      <c r="Z161" s="100"/>
      <c r="AA161" s="100"/>
      <c r="AB161" s="100"/>
      <c r="AC161" s="100"/>
      <c r="AD161" s="100"/>
      <c r="AE161" s="100"/>
      <c r="AF161" s="100"/>
      <c r="AG161" s="100"/>
      <c r="AH161" s="100"/>
      <c r="AI161" s="100"/>
      <c r="AJ161" s="100"/>
      <c r="AK161" s="100"/>
      <c r="AL161" s="100"/>
      <c r="AM161" s="100"/>
      <c r="AN161" s="100"/>
      <c r="AO161" s="100"/>
      <c r="AP161" s="100"/>
      <c r="AQ161" s="100"/>
      <c r="AR161" s="100"/>
      <c r="AS161" s="100"/>
      <c r="AT161" s="100"/>
      <c r="AU161" s="100"/>
      <c r="AV161" s="100"/>
      <c r="AW161" s="100"/>
      <c r="AX161" s="100"/>
      <c r="AY161" s="100"/>
      <c r="AZ161" s="100"/>
      <c r="BA161" s="100"/>
      <c r="BB161" s="100"/>
      <c r="BC161" s="100"/>
      <c r="BD161" s="100"/>
      <c r="BE161" s="100"/>
    </row>
    <row r="162" spans="23:57" ht="17.25">
      <c r="W162" s="100"/>
      <c r="X162" s="156" t="s">
        <v>227</v>
      </c>
      <c r="Y162" s="152"/>
      <c r="Z162" s="100"/>
      <c r="AA162" s="100"/>
      <c r="AB162" s="100"/>
      <c r="AC162" s="100"/>
      <c r="AD162" s="100"/>
      <c r="AE162" s="100"/>
      <c r="AF162" s="100"/>
      <c r="AG162" s="100"/>
      <c r="AH162" s="100"/>
      <c r="AI162" s="100"/>
      <c r="AJ162" s="100"/>
      <c r="AK162" s="100"/>
      <c r="AL162" s="100"/>
      <c r="AM162" s="100"/>
      <c r="AN162" s="100"/>
      <c r="AO162" s="100"/>
      <c r="AP162" s="100"/>
      <c r="AQ162" s="100"/>
      <c r="AR162" s="100"/>
      <c r="AS162" s="100"/>
      <c r="AT162" s="100"/>
      <c r="AU162" s="100"/>
      <c r="AV162" s="100"/>
      <c r="AW162" s="100"/>
      <c r="AX162" s="100"/>
      <c r="AY162" s="100"/>
      <c r="AZ162" s="100"/>
      <c r="BA162" s="100"/>
      <c r="BB162" s="100"/>
      <c r="BC162" s="100"/>
      <c r="BD162" s="100"/>
      <c r="BE162" s="100"/>
    </row>
    <row r="163" spans="23:57" ht="17.25">
      <c r="W163" s="100"/>
      <c r="X163" s="156"/>
      <c r="Y163" s="152"/>
      <c r="Z163" s="100"/>
      <c r="AA163" s="100"/>
      <c r="AB163" s="100"/>
      <c r="AC163" s="100"/>
      <c r="AD163" s="100"/>
      <c r="AE163" s="100"/>
      <c r="AF163" s="100"/>
      <c r="AG163" s="100"/>
      <c r="AH163" s="100"/>
      <c r="AI163" s="100"/>
      <c r="AJ163" s="100"/>
      <c r="AK163" s="100"/>
      <c r="AL163" s="100"/>
      <c r="AM163" s="100"/>
      <c r="AN163" s="100"/>
      <c r="AO163" s="100"/>
      <c r="AP163" s="100"/>
      <c r="AQ163" s="100"/>
      <c r="AR163" s="100"/>
      <c r="AS163" s="100"/>
      <c r="AT163" s="100"/>
      <c r="AU163" s="100"/>
      <c r="AV163" s="100"/>
      <c r="AW163" s="100"/>
      <c r="AX163" s="100"/>
      <c r="AY163" s="100"/>
      <c r="AZ163" s="100"/>
      <c r="BA163" s="100"/>
      <c r="BB163" s="100"/>
      <c r="BC163" s="100"/>
      <c r="BD163" s="100"/>
      <c r="BE163" s="100"/>
    </row>
    <row r="164" spans="23:57" ht="17.25">
      <c r="W164" s="100"/>
      <c r="X164" s="156"/>
      <c r="Y164" s="152"/>
      <c r="Z164" s="100"/>
      <c r="AA164" s="100"/>
      <c r="AB164" s="100"/>
      <c r="AC164" s="100"/>
      <c r="AD164" s="100"/>
      <c r="AE164" s="100"/>
      <c r="AF164" s="100"/>
      <c r="AG164" s="100"/>
      <c r="AH164" s="100"/>
      <c r="AI164" s="100"/>
      <c r="AJ164" s="100"/>
      <c r="AK164" s="100"/>
      <c r="AL164" s="100"/>
      <c r="AM164" s="100"/>
      <c r="AN164" s="100"/>
      <c r="AO164" s="100"/>
      <c r="AP164" s="100"/>
      <c r="AQ164" s="100"/>
      <c r="AR164" s="100"/>
      <c r="AS164" s="100"/>
      <c r="AT164" s="100"/>
      <c r="AU164" s="100"/>
      <c r="AV164" s="100"/>
      <c r="AW164" s="100"/>
      <c r="AX164" s="100"/>
      <c r="AY164" s="100"/>
      <c r="AZ164" s="100"/>
      <c r="BA164" s="100"/>
      <c r="BB164" s="100"/>
      <c r="BC164" s="100"/>
      <c r="BD164" s="100"/>
      <c r="BE164" s="100"/>
    </row>
    <row r="165" spans="23:57" ht="16.5" thickBot="1">
      <c r="W165" s="100"/>
      <c r="X165" s="100"/>
      <c r="Y165" s="100"/>
      <c r="Z165" s="100"/>
      <c r="AA165" s="100"/>
      <c r="AB165" s="100"/>
      <c r="AC165" s="100"/>
      <c r="AD165" s="100"/>
      <c r="AE165" s="100"/>
      <c r="AF165" s="102"/>
      <c r="AG165" s="102"/>
      <c r="AH165" s="102"/>
      <c r="AI165" s="212"/>
      <c r="AJ165" s="212"/>
      <c r="AK165" s="212"/>
      <c r="AL165" s="212"/>
      <c r="AM165" s="212"/>
      <c r="AN165" s="212"/>
      <c r="AO165" s="212"/>
      <c r="AP165" s="212"/>
      <c r="AQ165" s="212"/>
      <c r="AR165" s="212"/>
      <c r="AS165" s="212"/>
      <c r="AT165" s="212"/>
      <c r="AU165" s="212"/>
      <c r="AV165" s="102"/>
      <c r="AW165" s="102"/>
      <c r="AX165" s="102"/>
      <c r="AZ165" s="100"/>
      <c r="BA165" s="100"/>
      <c r="BB165" s="100"/>
      <c r="BC165" s="100"/>
      <c r="BD165" s="100"/>
      <c r="BE165" s="100"/>
    </row>
    <row r="166" spans="23:57" ht="15.75">
      <c r="W166" s="100"/>
      <c r="Z166" s="102"/>
      <c r="AA166" s="102"/>
      <c r="AB166" s="102"/>
      <c r="AC166" s="102"/>
      <c r="AD166" s="102"/>
      <c r="AE166" s="102"/>
      <c r="AF166" s="252" t="s">
        <v>228</v>
      </c>
      <c r="AG166" s="252"/>
      <c r="AH166" s="252"/>
      <c r="AI166" s="252"/>
      <c r="AJ166" s="252"/>
      <c r="AK166" s="252"/>
      <c r="AL166" s="252"/>
      <c r="AM166" s="252"/>
      <c r="AN166" s="252"/>
      <c r="AO166" s="252"/>
      <c r="AP166" s="252"/>
      <c r="AQ166" s="252"/>
      <c r="AR166" s="252"/>
      <c r="AS166" s="252"/>
      <c r="AT166" s="252"/>
      <c r="AU166" s="252"/>
      <c r="AV166" s="252"/>
      <c r="AW166" s="252"/>
      <c r="AX166" s="252"/>
      <c r="AY166" s="102"/>
      <c r="AZ166" s="102"/>
      <c r="BA166" s="102"/>
      <c r="BB166" s="102"/>
      <c r="BC166" s="102"/>
      <c r="BD166" s="102"/>
      <c r="BE166" s="102"/>
    </row>
    <row r="167" spans="23:57" ht="15.75">
      <c r="W167" s="100"/>
      <c r="X167" s="100"/>
      <c r="Y167" s="100"/>
      <c r="Z167" s="100"/>
      <c r="AA167" s="100"/>
      <c r="AB167" s="102"/>
      <c r="AC167" s="100"/>
      <c r="AD167" s="100"/>
      <c r="AE167" s="100"/>
      <c r="AF167" s="100"/>
      <c r="AG167" s="100"/>
      <c r="AH167" s="100"/>
      <c r="AI167" s="100"/>
      <c r="AJ167" s="100"/>
      <c r="AK167" s="100"/>
      <c r="AL167" s="100"/>
      <c r="AM167" s="100"/>
      <c r="AN167" s="100"/>
      <c r="AO167" s="100"/>
      <c r="AP167" s="100"/>
      <c r="AQ167" s="100"/>
      <c r="AR167" s="100"/>
      <c r="AS167" s="100"/>
      <c r="AT167" s="100"/>
      <c r="AU167" s="100"/>
      <c r="AV167" s="100"/>
      <c r="AW167" s="100"/>
      <c r="AX167" s="100"/>
      <c r="AY167" s="100"/>
      <c r="AZ167" s="100"/>
      <c r="BA167" s="100"/>
      <c r="BB167" s="100"/>
      <c r="BC167" s="100"/>
      <c r="BD167" s="100"/>
      <c r="BE167" s="100"/>
    </row>
  </sheetData>
  <protectedRanges>
    <protectedRange sqref="E25" name="Range20"/>
    <protectedRange sqref="G24" name="Range19"/>
    <protectedRange sqref="G24" name="Range15"/>
    <protectedRange sqref="C1" name="Range12"/>
    <protectedRange sqref="C3:C9" name="Range11"/>
    <protectedRange sqref="C10:BF10 BI10:CT10" name="Range21"/>
    <protectedRange sqref="B28:C87" name="Range23"/>
    <protectedRange sqref="D22" name="Range13_2"/>
    <protectedRange sqref="D23" name="Range17_2"/>
    <protectedRange sqref="E24" name="Range18_2"/>
  </protectedRanges>
  <mergeCells count="210">
    <mergeCell ref="S29:T29"/>
    <mergeCell ref="X29:BD29"/>
    <mergeCell ref="S30:T30"/>
    <mergeCell ref="AU30:AV30"/>
    <mergeCell ref="C20:H21"/>
    <mergeCell ref="D22:F22"/>
    <mergeCell ref="C24:C27"/>
    <mergeCell ref="K24:T24"/>
    <mergeCell ref="K25:T25"/>
    <mergeCell ref="X25:BD25"/>
    <mergeCell ref="X26:BD26"/>
    <mergeCell ref="K27:T27"/>
    <mergeCell ref="X27:BD27"/>
    <mergeCell ref="F23:H23"/>
    <mergeCell ref="N34:S34"/>
    <mergeCell ref="Y34:AD34"/>
    <mergeCell ref="AF34:AL34"/>
    <mergeCell ref="AU34:BD34"/>
    <mergeCell ref="Y35:AD35"/>
    <mergeCell ref="AF35:AL35"/>
    <mergeCell ref="AW35:BA35"/>
    <mergeCell ref="N32:S32"/>
    <mergeCell ref="X32:AD32"/>
    <mergeCell ref="AE32:AL32"/>
    <mergeCell ref="AM32:AS32"/>
    <mergeCell ref="AT32:BD32"/>
    <mergeCell ref="N33:S33"/>
    <mergeCell ref="Y33:AD33"/>
    <mergeCell ref="AF33:AL33"/>
    <mergeCell ref="AU33:BD33"/>
    <mergeCell ref="R38:T38"/>
    <mergeCell ref="X38:AD38"/>
    <mergeCell ref="AH38:AL38"/>
    <mergeCell ref="AP38:AT38"/>
    <mergeCell ref="R39:T39"/>
    <mergeCell ref="AB39:AM40"/>
    <mergeCell ref="AT39:BD40"/>
    <mergeCell ref="R40:T40"/>
    <mergeCell ref="R36:T36"/>
    <mergeCell ref="Y36:AD36"/>
    <mergeCell ref="AF36:AL36"/>
    <mergeCell ref="R37:T37"/>
    <mergeCell ref="Y37:AD37"/>
    <mergeCell ref="AF37:AL37"/>
    <mergeCell ref="R41:T41"/>
    <mergeCell ref="X41:Y41"/>
    <mergeCell ref="Z41:AE41"/>
    <mergeCell ref="AJ41:AQ41"/>
    <mergeCell ref="AV41:BD41"/>
    <mergeCell ref="R42:T42"/>
    <mergeCell ref="X42:Y43"/>
    <mergeCell ref="Z42:AE43"/>
    <mergeCell ref="AS42:AU42"/>
    <mergeCell ref="R43:T43"/>
    <mergeCell ref="R48:S48"/>
    <mergeCell ref="AD48:AH48"/>
    <mergeCell ref="AI48:AN48"/>
    <mergeCell ref="AS43:AU43"/>
    <mergeCell ref="R44:T44"/>
    <mergeCell ref="X44:BD44"/>
    <mergeCell ref="X47:AC47"/>
    <mergeCell ref="AD47:AH47"/>
    <mergeCell ref="AI47:AN47"/>
    <mergeCell ref="AO47:AV47"/>
    <mergeCell ref="AW47:BD47"/>
    <mergeCell ref="R52:T52"/>
    <mergeCell ref="X52:AD52"/>
    <mergeCell ref="AE52:AL52"/>
    <mergeCell ref="AR52:AS52"/>
    <mergeCell ref="AU52:AW52"/>
    <mergeCell ref="AX52:BD52"/>
    <mergeCell ref="R49:T49"/>
    <mergeCell ref="R50:T50"/>
    <mergeCell ref="R51:T51"/>
    <mergeCell ref="AK51:AL51"/>
    <mergeCell ref="AM51:AP52"/>
    <mergeCell ref="AR51:AS51"/>
    <mergeCell ref="AU51:AW51"/>
    <mergeCell ref="AX51:BD51"/>
    <mergeCell ref="X56:AF56"/>
    <mergeCell ref="AG56:AS56"/>
    <mergeCell ref="AB57:BD57"/>
    <mergeCell ref="X58:BD58"/>
    <mergeCell ref="K60:M60"/>
    <mergeCell ref="R60:T60"/>
    <mergeCell ref="R53:T53"/>
    <mergeCell ref="X53:AD53"/>
    <mergeCell ref="AE53:AT53"/>
    <mergeCell ref="X54:AD54"/>
    <mergeCell ref="AE54:AW54"/>
    <mergeCell ref="AX54:BD54"/>
    <mergeCell ref="AJ55:AS55"/>
    <mergeCell ref="X71:AE71"/>
    <mergeCell ref="AG71:AM71"/>
    <mergeCell ref="AP71:AV71"/>
    <mergeCell ref="X72:AE72"/>
    <mergeCell ref="AG72:AM72"/>
    <mergeCell ref="AP72:AV72"/>
    <mergeCell ref="R61:T61"/>
    <mergeCell ref="AU64:BC64"/>
    <mergeCell ref="AU65:BC65"/>
    <mergeCell ref="X66:BD66"/>
    <mergeCell ref="R70:S70"/>
    <mergeCell ref="AX72:BD72"/>
    <mergeCell ref="X73:AE73"/>
    <mergeCell ref="X74:BD74"/>
    <mergeCell ref="X75:Z75"/>
    <mergeCell ref="AA75:AD75"/>
    <mergeCell ref="AE75:AI75"/>
    <mergeCell ref="AJ75:AL75"/>
    <mergeCell ref="AM75:AQ75"/>
    <mergeCell ref="AR75:AT75"/>
    <mergeCell ref="AU75:AY75"/>
    <mergeCell ref="AZ75:BD75"/>
    <mergeCell ref="X76:Z76"/>
    <mergeCell ref="AA76:AD76"/>
    <mergeCell ref="AE76:AI76"/>
    <mergeCell ref="AJ76:AL76"/>
    <mergeCell ref="AM76:AQ76"/>
    <mergeCell ref="AR76:AT76"/>
    <mergeCell ref="AU76:AY76"/>
    <mergeCell ref="AZ76:BD76"/>
    <mergeCell ref="AU77:AY77"/>
    <mergeCell ref="AZ77:BD77"/>
    <mergeCell ref="X78:Z78"/>
    <mergeCell ref="AA78:AD78"/>
    <mergeCell ref="AE78:AI78"/>
    <mergeCell ref="AJ78:AL78"/>
    <mergeCell ref="AM78:AQ78"/>
    <mergeCell ref="AR78:AT78"/>
    <mergeCell ref="AU78:AY78"/>
    <mergeCell ref="AZ78:BD78"/>
    <mergeCell ref="X77:Z77"/>
    <mergeCell ref="AA77:AD77"/>
    <mergeCell ref="AE77:AI77"/>
    <mergeCell ref="AJ77:AL77"/>
    <mergeCell ref="AM77:AQ77"/>
    <mergeCell ref="AR77:AT77"/>
    <mergeCell ref="AU79:AY79"/>
    <mergeCell ref="AZ79:BD79"/>
    <mergeCell ref="X81:BD81"/>
    <mergeCell ref="X82:AB82"/>
    <mergeCell ref="AC82:AF82"/>
    <mergeCell ref="AG82:AJ82"/>
    <mergeCell ref="AK82:AQ82"/>
    <mergeCell ref="AR82:AV82"/>
    <mergeCell ref="AW82:BD82"/>
    <mergeCell ref="X79:Z79"/>
    <mergeCell ref="AA79:AD79"/>
    <mergeCell ref="AE79:AI79"/>
    <mergeCell ref="AJ79:AL79"/>
    <mergeCell ref="AM79:AQ79"/>
    <mergeCell ref="AR79:AT79"/>
    <mergeCell ref="X84:BD84"/>
    <mergeCell ref="AJ86:AS86"/>
    <mergeCell ref="W87:BE87"/>
    <mergeCell ref="X90:AN90"/>
    <mergeCell ref="AO90:BD90"/>
    <mergeCell ref="AB92:AJ92"/>
    <mergeCell ref="X83:AB83"/>
    <mergeCell ref="AC83:AF83"/>
    <mergeCell ref="AG83:AJ83"/>
    <mergeCell ref="AK83:AQ83"/>
    <mergeCell ref="AR83:AV83"/>
    <mergeCell ref="AW83:BD83"/>
    <mergeCell ref="AR92:BA92"/>
    <mergeCell ref="X93:AN93"/>
    <mergeCell ref="AO93:BD93"/>
    <mergeCell ref="X100:AK100"/>
    <mergeCell ref="Y101:AX101"/>
    <mergeCell ref="AY101:BD101"/>
    <mergeCell ref="X102:Z102"/>
    <mergeCell ref="AC102:AM102"/>
    <mergeCell ref="AN102:AQ102"/>
    <mergeCell ref="AR102:BD102"/>
    <mergeCell ref="AT120:AX126"/>
    <mergeCell ref="AZ120:BD126"/>
    <mergeCell ref="X124:AJ124"/>
    <mergeCell ref="AT127:AX127"/>
    <mergeCell ref="AZ127:BD127"/>
    <mergeCell ref="X103:AA103"/>
    <mergeCell ref="AB103:BD103"/>
    <mergeCell ref="X104:BD104"/>
    <mergeCell ref="X105:BD107"/>
    <mergeCell ref="X108:BD110"/>
    <mergeCell ref="X111:BD115"/>
    <mergeCell ref="K61:M61"/>
    <mergeCell ref="AX71:BD71"/>
    <mergeCell ref="Z123:AH123"/>
    <mergeCell ref="AO123:AQ123"/>
    <mergeCell ref="Z126:AI126"/>
    <mergeCell ref="AB127:AI127"/>
    <mergeCell ref="AI155:AS155"/>
    <mergeCell ref="AF166:AX166"/>
    <mergeCell ref="Q69:T69"/>
    <mergeCell ref="K69:M69"/>
    <mergeCell ref="X158:BD158"/>
    <mergeCell ref="AA145:AC145"/>
    <mergeCell ref="X147:BD147"/>
    <mergeCell ref="AD151:AG151"/>
    <mergeCell ref="AH151:AK151"/>
    <mergeCell ref="AU151:AY151"/>
    <mergeCell ref="X156:BD156"/>
    <mergeCell ref="X130:BE130"/>
    <mergeCell ref="X135:BD135"/>
    <mergeCell ref="X136:BD139"/>
    <mergeCell ref="AA142:AC142"/>
    <mergeCell ref="AA143:AC143"/>
    <mergeCell ref="AA144:AC144"/>
    <mergeCell ref="X116:BD119"/>
  </mergeCells>
  <printOptions horizontalCentered="1" verticalCentered="1"/>
  <pageMargins left="0" right="0" top="0" bottom="0" header="0" footer="0"/>
  <pageSetup scale="62" orientation="portrait" horizontalDpi="0" verticalDpi="0"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6B4C4-4599-43B7-8048-B3E2A66D0BAF}">
  <sheetPr>
    <pageSetUpPr fitToPage="1"/>
  </sheetPr>
  <dimension ref="B1:CT167"/>
  <sheetViews>
    <sheetView zoomScale="70" zoomScaleNormal="70" workbookViewId="0">
      <selection activeCell="J9" sqref="J9"/>
    </sheetView>
  </sheetViews>
  <sheetFormatPr defaultColWidth="8.85546875" defaultRowHeight="15"/>
  <cols>
    <col min="1" max="1" width="2.85546875" customWidth="1"/>
    <col min="2" max="2" width="27.28515625" customWidth="1"/>
    <col min="3" max="3" width="13.42578125" customWidth="1"/>
    <col min="4" max="9" width="15.7109375" customWidth="1"/>
    <col min="10" max="10" width="4.7109375" customWidth="1"/>
    <col min="11" max="20" width="10.7109375" customWidth="1"/>
    <col min="21" max="21" width="4.7109375" customWidth="1"/>
    <col min="22" max="22" width="15.7109375" customWidth="1"/>
    <col min="23" max="57" width="4.85546875" customWidth="1"/>
    <col min="58" max="98" width="15.7109375" customWidth="1"/>
  </cols>
  <sheetData>
    <row r="1" spans="2:98">
      <c r="B1" t="s">
        <v>32</v>
      </c>
      <c r="C1" s="28">
        <f>'Data Entry'!E14</f>
        <v>1971.7742067051774</v>
      </c>
      <c r="T1" t="s">
        <v>33</v>
      </c>
    </row>
    <row r="2" spans="2:98">
      <c r="B2" s="32" t="s">
        <v>34</v>
      </c>
      <c r="C2" s="33">
        <v>0</v>
      </c>
      <c r="D2" s="33">
        <v>1</v>
      </c>
      <c r="E2" s="33">
        <v>2</v>
      </c>
      <c r="F2" s="33">
        <v>3</v>
      </c>
      <c r="G2" s="33">
        <v>4</v>
      </c>
      <c r="H2" s="33">
        <v>5</v>
      </c>
      <c r="I2" s="33">
        <v>6</v>
      </c>
      <c r="J2" s="33">
        <v>7</v>
      </c>
      <c r="K2" s="33">
        <v>8</v>
      </c>
      <c r="L2" s="33">
        <v>9</v>
      </c>
      <c r="M2" s="33">
        <v>10</v>
      </c>
      <c r="N2" s="33">
        <v>11</v>
      </c>
      <c r="O2" s="33">
        <v>12</v>
      </c>
      <c r="P2" s="33">
        <v>13</v>
      </c>
      <c r="Q2" s="33">
        <v>14</v>
      </c>
      <c r="R2" s="33">
        <v>15</v>
      </c>
      <c r="S2" s="33">
        <v>16</v>
      </c>
      <c r="T2" s="33">
        <v>17</v>
      </c>
      <c r="U2" s="33">
        <v>18</v>
      </c>
      <c r="V2" s="33">
        <v>19</v>
      </c>
      <c r="W2" s="33">
        <v>20</v>
      </c>
      <c r="X2" s="33">
        <v>21</v>
      </c>
      <c r="Y2" s="33">
        <v>22</v>
      </c>
      <c r="Z2" s="33">
        <v>23</v>
      </c>
      <c r="AA2" s="33">
        <v>24</v>
      </c>
      <c r="AB2" s="33">
        <v>25</v>
      </c>
      <c r="AC2" s="33">
        <v>26</v>
      </c>
      <c r="AD2" s="33">
        <v>27</v>
      </c>
      <c r="AE2" s="33">
        <v>28</v>
      </c>
      <c r="AF2" s="33">
        <v>29</v>
      </c>
      <c r="AG2" s="33">
        <v>30</v>
      </c>
      <c r="AH2" s="33">
        <v>31</v>
      </c>
      <c r="AI2" s="33">
        <v>32</v>
      </c>
      <c r="AJ2" s="33">
        <v>33</v>
      </c>
      <c r="AK2" s="33">
        <v>34</v>
      </c>
      <c r="AL2" s="33">
        <v>35</v>
      </c>
      <c r="AM2" s="33">
        <v>36</v>
      </c>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27"/>
      <c r="BV2" s="27"/>
      <c r="BW2" s="27"/>
      <c r="BX2" s="27"/>
      <c r="BY2" s="27"/>
      <c r="BZ2" s="27"/>
      <c r="CA2" s="27"/>
      <c r="CB2" s="27"/>
      <c r="CC2" s="27"/>
      <c r="CD2" s="27"/>
      <c r="CE2" s="27"/>
      <c r="CF2" s="27"/>
      <c r="CG2" s="27"/>
      <c r="CH2" s="27"/>
      <c r="CI2" s="27"/>
      <c r="CJ2" s="27"/>
      <c r="CK2" s="27"/>
      <c r="CL2" s="27"/>
      <c r="CM2" s="27"/>
      <c r="CN2" s="27"/>
      <c r="CO2" s="27"/>
      <c r="CP2" s="27"/>
      <c r="CQ2" s="27"/>
      <c r="CR2" s="27"/>
      <c r="CS2" s="27"/>
      <c r="CT2" s="27"/>
    </row>
    <row r="3" spans="2:98">
      <c r="B3" s="32" t="s">
        <v>3</v>
      </c>
      <c r="C3" s="2">
        <f>'Data Entry'!E3</f>
        <v>70983.871441386393</v>
      </c>
      <c r="D3" s="2"/>
      <c r="E3" s="2"/>
      <c r="F3" s="2"/>
      <c r="G3" s="2"/>
      <c r="H3" s="2"/>
      <c r="I3" s="2"/>
      <c r="J3" s="2"/>
      <c r="K3" s="2"/>
      <c r="L3" s="2"/>
      <c r="M3" s="2"/>
      <c r="N3" s="2"/>
      <c r="O3" s="2"/>
      <c r="P3" s="95"/>
      <c r="Q3" s="95"/>
      <c r="R3" s="95"/>
      <c r="S3" s="95"/>
      <c r="T3" s="95"/>
      <c r="U3" s="95"/>
      <c r="V3" s="95"/>
      <c r="W3" s="95"/>
      <c r="X3" s="95"/>
      <c r="Y3" s="95"/>
      <c r="Z3" s="95"/>
      <c r="AA3" s="95"/>
      <c r="AB3" s="95"/>
      <c r="AC3" s="95"/>
      <c r="AD3" s="95"/>
      <c r="AE3" s="95"/>
      <c r="AF3" s="95"/>
      <c r="AG3" s="95"/>
      <c r="AH3" s="95"/>
      <c r="AI3" s="95"/>
      <c r="AJ3" s="95"/>
      <c r="AK3" s="95"/>
      <c r="AL3" s="95"/>
      <c r="AM3" s="95"/>
      <c r="AN3" s="95"/>
      <c r="AO3" s="95"/>
      <c r="AP3" s="95"/>
      <c r="AQ3" s="95"/>
      <c r="AR3" s="95"/>
      <c r="AS3" s="95"/>
      <c r="AT3" s="95"/>
      <c r="AU3" s="95"/>
      <c r="AV3" s="95"/>
      <c r="AW3" s="95"/>
      <c r="AX3" s="95"/>
      <c r="AY3" s="95"/>
      <c r="AZ3" s="95"/>
      <c r="BA3" s="95"/>
      <c r="BB3" s="95"/>
      <c r="BC3" s="95"/>
      <c r="BD3" s="95"/>
      <c r="BE3" s="95"/>
      <c r="BF3" s="95"/>
      <c r="BG3" s="95"/>
      <c r="BH3" s="95"/>
      <c r="BI3" s="95"/>
      <c r="BJ3" s="95"/>
      <c r="BK3" s="95"/>
      <c r="BL3" s="95"/>
      <c r="BM3" s="95"/>
      <c r="BN3" s="95"/>
      <c r="BO3" s="95"/>
      <c r="BP3" s="95"/>
      <c r="BQ3" s="95"/>
      <c r="BR3" s="95"/>
      <c r="BS3" s="95"/>
      <c r="BT3" s="95"/>
      <c r="BU3" s="95"/>
      <c r="BV3" s="95"/>
      <c r="BW3" s="95"/>
      <c r="BX3" s="95"/>
      <c r="BY3" s="95"/>
      <c r="BZ3" s="95"/>
      <c r="CA3" s="95"/>
      <c r="CB3" s="95"/>
      <c r="CC3" s="95"/>
      <c r="CD3" s="95"/>
      <c r="CE3" s="95"/>
      <c r="CF3" s="95"/>
      <c r="CG3" s="95"/>
      <c r="CH3" s="95"/>
      <c r="CI3" s="95"/>
      <c r="CJ3" s="95"/>
      <c r="CK3" s="95"/>
      <c r="CL3" s="95"/>
      <c r="CM3" s="95"/>
      <c r="CN3" s="95"/>
      <c r="CO3" s="95"/>
      <c r="CP3" s="95"/>
      <c r="CQ3" s="95"/>
      <c r="CR3" s="95"/>
      <c r="CS3" s="95"/>
      <c r="CT3" s="95"/>
    </row>
    <row r="4" spans="2:98">
      <c r="B4" s="32" t="s">
        <v>11</v>
      </c>
      <c r="C4" s="2">
        <f>'Data Entry'!E11</f>
        <v>62645.833333333336</v>
      </c>
      <c r="D4" s="2"/>
      <c r="E4" s="2"/>
      <c r="F4" s="2"/>
      <c r="G4" s="2"/>
      <c r="H4" s="2"/>
      <c r="I4" s="2"/>
      <c r="J4" s="2"/>
      <c r="K4" s="2"/>
      <c r="L4" s="2"/>
      <c r="M4" s="2"/>
      <c r="N4" s="2"/>
      <c r="O4" s="2"/>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5"/>
      <c r="AZ4" s="95"/>
      <c r="BA4" s="95"/>
      <c r="BB4" s="95"/>
      <c r="BC4" s="95"/>
      <c r="BD4" s="95"/>
      <c r="BE4" s="95"/>
      <c r="BF4" s="95"/>
      <c r="BG4" s="95"/>
      <c r="BH4" s="95"/>
      <c r="BI4" s="95"/>
      <c r="BJ4" s="95"/>
      <c r="BK4" s="95"/>
      <c r="BL4" s="95"/>
      <c r="BM4" s="95"/>
      <c r="BN4" s="95"/>
      <c r="BO4" s="95"/>
      <c r="BP4" s="95"/>
      <c r="BQ4" s="95"/>
      <c r="BR4" s="95"/>
      <c r="BS4" s="95"/>
      <c r="BT4" s="95"/>
      <c r="BU4" s="95"/>
      <c r="BV4" s="95"/>
      <c r="BW4" s="95"/>
      <c r="BX4" s="95"/>
      <c r="BY4" s="95"/>
      <c r="BZ4" s="95"/>
      <c r="CA4" s="95"/>
      <c r="CB4" s="95"/>
      <c r="CC4" s="95"/>
      <c r="CD4" s="95"/>
      <c r="CE4" s="95"/>
      <c r="CF4" s="95"/>
      <c r="CG4" s="95"/>
      <c r="CH4" s="95"/>
      <c r="CI4" s="95"/>
      <c r="CJ4" s="95"/>
      <c r="CK4" s="95"/>
      <c r="CL4" s="95"/>
      <c r="CM4" s="95"/>
      <c r="CN4" s="95"/>
      <c r="CO4" s="95"/>
      <c r="CP4" s="95"/>
      <c r="CQ4" s="95"/>
      <c r="CR4" s="95"/>
      <c r="CS4" s="95"/>
      <c r="CT4" s="95"/>
    </row>
    <row r="5" spans="2:98">
      <c r="B5" s="32" t="s">
        <v>6</v>
      </c>
      <c r="C5" s="2">
        <f>'Data Entry'!E6</f>
        <v>5500</v>
      </c>
      <c r="D5" s="2"/>
      <c r="E5" s="2"/>
      <c r="F5" s="2"/>
      <c r="G5" s="2"/>
      <c r="H5" s="2"/>
      <c r="I5" s="2"/>
      <c r="J5" s="2"/>
      <c r="K5" s="2"/>
      <c r="L5" s="2"/>
      <c r="M5" s="2"/>
      <c r="N5" s="2"/>
      <c r="O5" s="2"/>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c r="BP5" s="95"/>
      <c r="BQ5" s="95"/>
      <c r="BR5" s="95"/>
      <c r="BS5" s="95"/>
      <c r="BT5" s="95"/>
      <c r="BU5" s="95"/>
      <c r="BV5" s="95"/>
      <c r="BW5" s="95"/>
      <c r="BX5" s="95"/>
      <c r="BY5" s="95"/>
      <c r="BZ5" s="95"/>
      <c r="CA5" s="95"/>
      <c r="CB5" s="95"/>
      <c r="CC5" s="95"/>
      <c r="CD5" s="95"/>
      <c r="CE5" s="95"/>
      <c r="CF5" s="95"/>
      <c r="CG5" s="95"/>
      <c r="CH5" s="95"/>
      <c r="CI5" s="95"/>
      <c r="CJ5" s="95"/>
      <c r="CK5" s="95"/>
      <c r="CL5" s="95"/>
      <c r="CM5" s="95"/>
      <c r="CN5" s="95"/>
      <c r="CO5" s="95"/>
      <c r="CP5" s="95"/>
      <c r="CQ5" s="95"/>
      <c r="CR5" s="95"/>
      <c r="CS5" s="95"/>
      <c r="CT5" s="95"/>
    </row>
    <row r="6" spans="2:98">
      <c r="B6" s="32" t="s">
        <v>7</v>
      </c>
      <c r="C6" s="2">
        <f>'Data Entry'!E7</f>
        <v>1800</v>
      </c>
      <c r="D6" s="2"/>
      <c r="E6" s="2"/>
      <c r="F6" s="2"/>
      <c r="G6" s="2"/>
      <c r="H6" s="2"/>
      <c r="I6" s="2"/>
      <c r="J6" s="2"/>
      <c r="K6" s="2"/>
      <c r="L6" s="2"/>
      <c r="M6" s="2"/>
      <c r="N6" s="2"/>
      <c r="O6" s="2"/>
      <c r="P6" s="95"/>
      <c r="Q6" s="95"/>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5"/>
      <c r="AT6" s="95"/>
      <c r="AU6" s="95"/>
      <c r="AV6" s="95"/>
      <c r="AW6" s="95"/>
      <c r="AX6" s="95"/>
      <c r="AY6" s="95"/>
      <c r="AZ6" s="95"/>
      <c r="BA6" s="95"/>
      <c r="BB6" s="95"/>
      <c r="BC6" s="95"/>
      <c r="BD6" s="95"/>
      <c r="BE6" s="95"/>
      <c r="BF6" s="95"/>
      <c r="BG6" s="95"/>
      <c r="BH6" s="95"/>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row>
    <row r="7" spans="2:98">
      <c r="B7" s="32" t="s">
        <v>8</v>
      </c>
      <c r="C7" s="2">
        <f>'Data Entry'!E8</f>
        <v>5000</v>
      </c>
      <c r="D7" s="2"/>
      <c r="E7" s="2"/>
      <c r="F7" s="2"/>
      <c r="G7" s="2"/>
      <c r="H7" s="2"/>
      <c r="I7" s="2"/>
      <c r="J7" s="2"/>
      <c r="K7" s="2"/>
      <c r="L7" s="2"/>
      <c r="M7" s="2"/>
      <c r="N7" s="2"/>
      <c r="O7" s="2"/>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95"/>
      <c r="AY7" s="95"/>
      <c r="AZ7" s="95"/>
      <c r="BA7" s="95"/>
      <c r="BB7" s="95"/>
      <c r="BC7" s="95"/>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row>
    <row r="8" spans="2:98">
      <c r="B8" s="32" t="s">
        <v>9</v>
      </c>
      <c r="C8" s="2">
        <f>'Data Entry'!E9</f>
        <v>0</v>
      </c>
      <c r="D8" s="2"/>
      <c r="E8" s="2"/>
      <c r="F8" s="2"/>
      <c r="G8" s="2"/>
      <c r="H8" s="2"/>
      <c r="I8" s="2"/>
      <c r="J8" s="2"/>
      <c r="K8" s="2"/>
      <c r="L8" s="2"/>
      <c r="M8" s="2"/>
      <c r="N8" s="2"/>
      <c r="O8" s="2"/>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5"/>
      <c r="BI8" s="95"/>
      <c r="BJ8" s="95"/>
      <c r="BK8" s="95"/>
      <c r="BL8" s="95"/>
      <c r="BM8" s="95"/>
      <c r="BN8" s="95"/>
      <c r="BO8" s="95"/>
      <c r="BP8" s="95"/>
      <c r="BQ8" s="95"/>
      <c r="BR8" s="95"/>
      <c r="BS8" s="95"/>
      <c r="BT8" s="95"/>
      <c r="BU8" s="95"/>
      <c r="BV8" s="95"/>
      <c r="BW8" s="95"/>
      <c r="BX8" s="95"/>
      <c r="BY8" s="95"/>
      <c r="BZ8" s="95"/>
      <c r="CA8" s="95"/>
      <c r="CB8" s="95"/>
      <c r="CC8" s="95"/>
      <c r="CD8" s="95"/>
      <c r="CE8" s="95"/>
      <c r="CF8" s="95"/>
      <c r="CG8" s="95"/>
      <c r="CH8" s="95"/>
      <c r="CI8" s="95"/>
      <c r="CJ8" s="95"/>
      <c r="CK8" s="95"/>
      <c r="CL8" s="95"/>
      <c r="CM8" s="95"/>
      <c r="CN8" s="95"/>
      <c r="CO8" s="95"/>
      <c r="CP8" s="95"/>
      <c r="CQ8" s="95"/>
      <c r="CR8" s="95"/>
      <c r="CS8" s="95"/>
      <c r="CT8" s="95"/>
    </row>
    <row r="9" spans="2:98">
      <c r="B9" s="32" t="s">
        <v>10</v>
      </c>
      <c r="C9" s="2">
        <f>'Data Entry'!E10</f>
        <v>345.83333333333337</v>
      </c>
      <c r="D9" s="2"/>
      <c r="E9" s="2"/>
      <c r="F9" s="2"/>
      <c r="G9" s="2"/>
      <c r="H9" s="2"/>
      <c r="I9" s="2"/>
      <c r="J9" s="2"/>
      <c r="K9" s="2"/>
      <c r="L9" s="2"/>
      <c r="M9" s="2"/>
      <c r="N9" s="2"/>
      <c r="O9" s="2"/>
      <c r="P9" s="95"/>
      <c r="Q9" s="95"/>
      <c r="R9" s="95"/>
      <c r="S9" s="95"/>
      <c r="T9" s="95"/>
      <c r="U9" s="95"/>
      <c r="V9" s="9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5"/>
      <c r="AY9" s="95"/>
      <c r="AZ9" s="95"/>
      <c r="BA9" s="95"/>
      <c r="BB9" s="95"/>
      <c r="BC9" s="95"/>
      <c r="BD9" s="95"/>
      <c r="BE9" s="95"/>
      <c r="BF9" s="95"/>
      <c r="BG9" s="95"/>
      <c r="BH9" s="95"/>
      <c r="BI9" s="95"/>
      <c r="BJ9" s="95"/>
      <c r="BK9" s="95"/>
      <c r="BL9" s="95"/>
      <c r="BM9" s="95"/>
      <c r="BN9" s="95"/>
      <c r="BO9" s="95"/>
      <c r="BP9" s="95"/>
      <c r="BQ9" s="95"/>
      <c r="BR9" s="95"/>
      <c r="BS9" s="95"/>
      <c r="BT9" s="95"/>
      <c r="BU9" s="95"/>
      <c r="BV9" s="95"/>
      <c r="BW9" s="95"/>
      <c r="BX9" s="95"/>
      <c r="BY9" s="95"/>
      <c r="BZ9" s="95"/>
      <c r="CA9" s="95"/>
      <c r="CB9" s="95"/>
      <c r="CC9" s="95"/>
      <c r="CD9" s="95"/>
      <c r="CE9" s="95"/>
      <c r="CF9" s="95"/>
      <c r="CG9" s="95"/>
      <c r="CH9" s="95"/>
      <c r="CI9" s="95"/>
      <c r="CJ9" s="95"/>
      <c r="CK9" s="95"/>
      <c r="CL9" s="95"/>
      <c r="CM9" s="95"/>
      <c r="CN9" s="95"/>
      <c r="CO9" s="95"/>
      <c r="CP9" s="95"/>
      <c r="CQ9" s="95"/>
      <c r="CR9" s="95"/>
      <c r="CS9" s="95"/>
      <c r="CT9" s="95"/>
    </row>
    <row r="10" spans="2:98">
      <c r="B10" s="34" t="s">
        <v>35</v>
      </c>
      <c r="C10" s="35">
        <f>C4-C5-C6-C7-C8-C9</f>
        <v>50000</v>
      </c>
      <c r="D10" s="35">
        <f t="shared" ref="D10:AM10" si="0">-$C1</f>
        <v>-1971.7742067051774</v>
      </c>
      <c r="E10" s="35">
        <f t="shared" si="0"/>
        <v>-1971.7742067051774</v>
      </c>
      <c r="F10" s="35">
        <f t="shared" si="0"/>
        <v>-1971.7742067051774</v>
      </c>
      <c r="G10" s="35">
        <f t="shared" si="0"/>
        <v>-1971.7742067051774</v>
      </c>
      <c r="H10" s="35">
        <f t="shared" si="0"/>
        <v>-1971.7742067051774</v>
      </c>
      <c r="I10" s="35">
        <f t="shared" si="0"/>
        <v>-1971.7742067051774</v>
      </c>
      <c r="J10" s="35">
        <f t="shared" si="0"/>
        <v>-1971.7742067051774</v>
      </c>
      <c r="K10" s="35">
        <f t="shared" si="0"/>
        <v>-1971.7742067051774</v>
      </c>
      <c r="L10" s="35">
        <f t="shared" si="0"/>
        <v>-1971.7742067051774</v>
      </c>
      <c r="M10" s="35">
        <f t="shared" si="0"/>
        <v>-1971.7742067051774</v>
      </c>
      <c r="N10" s="35">
        <f t="shared" si="0"/>
        <v>-1971.7742067051774</v>
      </c>
      <c r="O10" s="35">
        <f t="shared" si="0"/>
        <v>-1971.7742067051774</v>
      </c>
      <c r="P10" s="35">
        <f t="shared" si="0"/>
        <v>-1971.7742067051774</v>
      </c>
      <c r="Q10" s="35">
        <f t="shared" si="0"/>
        <v>-1971.7742067051774</v>
      </c>
      <c r="R10" s="35">
        <f t="shared" si="0"/>
        <v>-1971.7742067051774</v>
      </c>
      <c r="S10" s="35">
        <f t="shared" si="0"/>
        <v>-1971.7742067051774</v>
      </c>
      <c r="T10" s="35">
        <f t="shared" si="0"/>
        <v>-1971.7742067051774</v>
      </c>
      <c r="U10" s="35">
        <f t="shared" si="0"/>
        <v>-1971.7742067051774</v>
      </c>
      <c r="V10" s="35">
        <f t="shared" si="0"/>
        <v>-1971.7742067051774</v>
      </c>
      <c r="W10" s="35">
        <f t="shared" si="0"/>
        <v>-1971.7742067051774</v>
      </c>
      <c r="X10" s="35">
        <f t="shared" si="0"/>
        <v>-1971.7742067051774</v>
      </c>
      <c r="Y10" s="35">
        <f t="shared" si="0"/>
        <v>-1971.7742067051774</v>
      </c>
      <c r="Z10" s="35">
        <f t="shared" si="0"/>
        <v>-1971.7742067051774</v>
      </c>
      <c r="AA10" s="35">
        <f t="shared" si="0"/>
        <v>-1971.7742067051774</v>
      </c>
      <c r="AB10" s="35">
        <f t="shared" si="0"/>
        <v>-1971.7742067051774</v>
      </c>
      <c r="AC10" s="35">
        <f t="shared" si="0"/>
        <v>-1971.7742067051774</v>
      </c>
      <c r="AD10" s="35">
        <f t="shared" si="0"/>
        <v>-1971.7742067051774</v>
      </c>
      <c r="AE10" s="35">
        <f t="shared" si="0"/>
        <v>-1971.7742067051774</v>
      </c>
      <c r="AF10" s="35">
        <f t="shared" si="0"/>
        <v>-1971.7742067051774</v>
      </c>
      <c r="AG10" s="35">
        <f t="shared" si="0"/>
        <v>-1971.7742067051774</v>
      </c>
      <c r="AH10" s="35">
        <f t="shared" si="0"/>
        <v>-1971.7742067051774</v>
      </c>
      <c r="AI10" s="35">
        <f t="shared" si="0"/>
        <v>-1971.7742067051774</v>
      </c>
      <c r="AJ10" s="35">
        <f t="shared" si="0"/>
        <v>-1971.7742067051774</v>
      </c>
      <c r="AK10" s="35">
        <f t="shared" si="0"/>
        <v>-1971.7742067051774</v>
      </c>
      <c r="AL10" s="35">
        <f t="shared" si="0"/>
        <v>-1971.7742067051774</v>
      </c>
      <c r="AM10" s="35">
        <f t="shared" si="0"/>
        <v>-1971.7742067051774</v>
      </c>
      <c r="AN10" s="95"/>
      <c r="AO10" s="95"/>
      <c r="AP10" s="95"/>
      <c r="AQ10" s="95"/>
      <c r="AR10" s="95"/>
      <c r="AS10" s="95"/>
      <c r="AT10" s="95"/>
      <c r="AU10" s="95"/>
      <c r="AV10" s="95"/>
      <c r="AW10" s="95"/>
      <c r="AX10" s="95"/>
      <c r="AY10" s="95"/>
      <c r="AZ10" s="95"/>
      <c r="BA10" s="95"/>
      <c r="BB10" s="95"/>
      <c r="BC10" s="95"/>
      <c r="BD10" s="95"/>
      <c r="BE10" s="95"/>
      <c r="BF10" s="95"/>
      <c r="BG10" s="95"/>
      <c r="BH10" s="95"/>
      <c r="BI10" s="95"/>
      <c r="BJ10" s="95"/>
      <c r="BK10" s="95"/>
      <c r="BL10" s="95"/>
      <c r="BM10" s="95"/>
      <c r="BN10" s="95"/>
      <c r="BO10" s="95"/>
      <c r="BP10" s="95"/>
      <c r="BQ10" s="95"/>
      <c r="BR10" s="95"/>
      <c r="BS10" s="95"/>
      <c r="BT10" s="95"/>
      <c r="BU10" s="95"/>
      <c r="BV10" s="95"/>
      <c r="BW10" s="95"/>
      <c r="BX10" s="95"/>
      <c r="BY10" s="95"/>
      <c r="BZ10" s="95"/>
      <c r="CA10" s="95"/>
      <c r="CB10" s="95"/>
      <c r="CC10" s="95"/>
      <c r="CD10" s="95"/>
      <c r="CE10" s="95"/>
      <c r="CF10" s="95"/>
      <c r="CG10" s="95"/>
      <c r="CH10" s="95"/>
      <c r="CI10" s="95"/>
      <c r="CJ10" s="95"/>
      <c r="CK10" s="95"/>
      <c r="CL10" s="95"/>
      <c r="CM10" s="95"/>
      <c r="CN10" s="95"/>
      <c r="CO10" s="95"/>
      <c r="CP10" s="95"/>
      <c r="CQ10" s="95"/>
      <c r="CR10" s="95"/>
      <c r="CS10" s="95"/>
      <c r="CT10" s="95"/>
    </row>
    <row r="12" spans="2:98">
      <c r="B12" t="s">
        <v>36</v>
      </c>
      <c r="C12" s="11">
        <f>IRR(C10:AM10)</f>
        <v>2.0321150752037775E-2</v>
      </c>
      <c r="D12">
        <f>C12/5</f>
        <v>4.0642301504075547E-3</v>
      </c>
    </row>
    <row r="13" spans="2:98">
      <c r="C13" s="36"/>
    </row>
    <row r="14" spans="2:98">
      <c r="B14" t="s">
        <v>37</v>
      </c>
      <c r="C14" s="37"/>
    </row>
    <row r="15" spans="2:98">
      <c r="B15" t="s">
        <v>28</v>
      </c>
      <c r="C15" s="17">
        <f>'Data Entry'!D12/12</f>
        <v>7.0833333333333338E-3</v>
      </c>
    </row>
    <row r="16" spans="2:98">
      <c r="B16" t="s">
        <v>13</v>
      </c>
      <c r="C16" s="38">
        <f>'Data Entry'!D13</f>
        <v>8.855359027416676E-2</v>
      </c>
    </row>
    <row r="17" spans="2:57">
      <c r="B17" t="s">
        <v>170</v>
      </c>
      <c r="C17">
        <v>36</v>
      </c>
    </row>
    <row r="19" spans="2:57" ht="15.75" thickBot="1">
      <c r="H19" s="5"/>
    </row>
    <row r="20" spans="2:57" ht="15.75">
      <c r="B20" s="28"/>
      <c r="C20" s="470" t="s">
        <v>38</v>
      </c>
      <c r="D20" s="471"/>
      <c r="E20" s="471"/>
      <c r="F20" s="471"/>
      <c r="G20" s="471"/>
      <c r="H20" s="472"/>
      <c r="I20" s="39"/>
      <c r="J20" s="40"/>
      <c r="K20" s="41"/>
      <c r="L20" s="41"/>
      <c r="M20" s="41"/>
      <c r="N20" s="41"/>
      <c r="O20" s="42"/>
      <c r="P20" s="41"/>
      <c r="Q20" s="41"/>
      <c r="R20" s="41"/>
      <c r="S20" s="41"/>
      <c r="T20" s="41"/>
      <c r="U20" s="43"/>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00"/>
      <c r="BB20" s="100"/>
      <c r="BC20" s="100"/>
      <c r="BD20" s="100"/>
      <c r="BE20" s="100"/>
    </row>
    <row r="21" spans="2:57" ht="15.75">
      <c r="C21" s="473"/>
      <c r="D21" s="474"/>
      <c r="E21" s="474"/>
      <c r="F21" s="474"/>
      <c r="G21" s="474"/>
      <c r="H21" s="475"/>
      <c r="J21" s="44"/>
      <c r="K21" s="45"/>
      <c r="L21" s="45"/>
      <c r="M21" s="45"/>
      <c r="N21" s="45"/>
      <c r="O21" s="46"/>
      <c r="P21" s="45"/>
      <c r="Q21" s="45"/>
      <c r="R21" s="45"/>
      <c r="S21" s="45"/>
      <c r="T21" s="45"/>
      <c r="U21" s="47"/>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c r="BD21" s="100"/>
      <c r="BE21" s="100"/>
    </row>
    <row r="22" spans="2:57" ht="15.75">
      <c r="C22" s="211" t="s">
        <v>39</v>
      </c>
      <c r="D22" s="476" t="s">
        <v>282</v>
      </c>
      <c r="E22" s="477"/>
      <c r="F22" s="478"/>
      <c r="G22" s="184" t="s">
        <v>40</v>
      </c>
      <c r="H22" s="218" t="s">
        <v>283</v>
      </c>
      <c r="J22" s="44"/>
      <c r="K22" s="45"/>
      <c r="L22" s="45"/>
      <c r="M22" s="45"/>
      <c r="N22" s="45"/>
      <c r="O22" s="49"/>
      <c r="P22" s="45"/>
      <c r="Q22" s="45"/>
      <c r="R22" s="45"/>
      <c r="S22" s="45"/>
      <c r="T22" s="45"/>
      <c r="U22" s="47"/>
      <c r="W22" s="100"/>
      <c r="X22" s="100"/>
      <c r="Y22" s="100"/>
      <c r="Z22" s="100"/>
      <c r="AA22" s="100"/>
      <c r="AB22" s="100"/>
      <c r="AC22" s="100"/>
      <c r="AD22" s="100"/>
      <c r="AE22" s="100"/>
      <c r="AF22" s="100"/>
      <c r="AG22" s="100"/>
      <c r="AH22" s="100"/>
      <c r="AI22" s="100"/>
      <c r="AJ22" s="100"/>
      <c r="AK22" s="100"/>
      <c r="AL22" s="100"/>
      <c r="AM22" s="100"/>
      <c r="AN22" s="100"/>
      <c r="AO22" s="100"/>
      <c r="AP22" s="100"/>
      <c r="AQ22" s="100"/>
      <c r="AR22" s="100"/>
      <c r="AS22" s="100"/>
      <c r="AT22" s="100"/>
      <c r="AU22" s="100"/>
      <c r="AV22" s="100"/>
      <c r="AW22" s="100"/>
      <c r="AX22" s="100"/>
      <c r="AY22" s="100"/>
      <c r="AZ22" s="100"/>
      <c r="BA22" s="100"/>
      <c r="BB22" s="100"/>
      <c r="BC22" s="100"/>
      <c r="BD22" s="100"/>
      <c r="BE22" s="100"/>
    </row>
    <row r="23" spans="2:57" ht="15.75" customHeight="1">
      <c r="C23" s="50" t="s">
        <v>41</v>
      </c>
      <c r="D23" s="94" t="s">
        <v>284</v>
      </c>
      <c r="E23" s="51" t="s">
        <v>42</v>
      </c>
      <c r="F23" s="465" t="s">
        <v>285</v>
      </c>
      <c r="G23" s="466"/>
      <c r="H23" s="481"/>
      <c r="J23" s="179"/>
      <c r="K23" s="183"/>
      <c r="L23" s="183"/>
      <c r="M23" s="183"/>
      <c r="N23" s="183"/>
      <c r="O23" s="183"/>
      <c r="P23" s="183"/>
      <c r="Q23" s="183"/>
      <c r="R23" s="183"/>
      <c r="S23" s="183"/>
      <c r="T23" s="183"/>
      <c r="U23" s="180"/>
      <c r="V23" s="178"/>
      <c r="W23" s="183"/>
      <c r="X23" s="183"/>
      <c r="Y23" s="183"/>
      <c r="Z23" s="183"/>
      <c r="AA23" s="183"/>
      <c r="AB23" s="183"/>
      <c r="AC23" s="183"/>
      <c r="AD23" s="183"/>
      <c r="AE23" s="183"/>
      <c r="AF23" s="183"/>
      <c r="AG23" s="183"/>
      <c r="AH23" s="183"/>
      <c r="AI23" s="100"/>
      <c r="AJ23" s="100"/>
      <c r="AK23" s="100"/>
      <c r="AL23" s="100"/>
      <c r="AM23" s="100"/>
      <c r="AN23" s="100"/>
      <c r="AO23" s="100"/>
      <c r="AP23" s="100"/>
      <c r="AQ23" s="100"/>
      <c r="AR23" s="100"/>
      <c r="AS23" s="100"/>
      <c r="AT23" s="100"/>
      <c r="AU23" s="100"/>
      <c r="AV23" s="100"/>
      <c r="AW23" s="100"/>
      <c r="AX23" s="100"/>
      <c r="AY23" s="100"/>
      <c r="AZ23" s="100"/>
      <c r="BA23" s="100"/>
      <c r="BB23" s="100"/>
      <c r="BC23" s="100"/>
      <c r="BD23" s="100"/>
      <c r="BE23" s="100"/>
    </row>
    <row r="24" spans="2:57" ht="21">
      <c r="C24" s="479" t="s">
        <v>44</v>
      </c>
      <c r="D24" s="48" t="s">
        <v>45</v>
      </c>
      <c r="E24" s="52">
        <v>45754</v>
      </c>
      <c r="F24" s="32" t="s">
        <v>46</v>
      </c>
      <c r="G24" s="53">
        <f>B51</f>
        <v>46484</v>
      </c>
      <c r="H24" s="54"/>
      <c r="J24" s="44"/>
      <c r="K24" s="390" t="s">
        <v>47</v>
      </c>
      <c r="L24" s="390"/>
      <c r="M24" s="390"/>
      <c r="N24" s="390"/>
      <c r="O24" s="390"/>
      <c r="P24" s="390"/>
      <c r="Q24" s="390"/>
      <c r="R24" s="390"/>
      <c r="S24" s="390"/>
      <c r="T24" s="390"/>
      <c r="U24" s="47"/>
      <c r="W24" s="100"/>
      <c r="X24" s="100"/>
      <c r="Y24" s="100"/>
      <c r="Z24" s="100"/>
      <c r="AA24" s="100"/>
      <c r="AB24" s="100"/>
      <c r="AC24" s="100"/>
      <c r="AD24" s="100"/>
      <c r="AE24" s="100"/>
      <c r="AF24" s="100"/>
      <c r="AG24" s="100"/>
      <c r="AH24" s="100"/>
      <c r="AI24" s="100"/>
      <c r="AJ24" s="100"/>
      <c r="AK24" s="100"/>
      <c r="AL24" s="100"/>
      <c r="AM24" s="100"/>
      <c r="AN24" s="100"/>
      <c r="AO24" s="100"/>
      <c r="AP24" s="100"/>
      <c r="AQ24" s="100"/>
      <c r="AR24" s="100"/>
      <c r="AS24" s="100"/>
      <c r="AT24" s="100"/>
      <c r="AU24" s="100"/>
      <c r="AV24" s="100"/>
      <c r="AW24" s="100"/>
      <c r="AX24" s="100"/>
      <c r="AY24" s="100"/>
      <c r="AZ24" s="100"/>
      <c r="BA24" s="100"/>
      <c r="BB24" s="100"/>
      <c r="BC24" s="100"/>
      <c r="BD24" s="100"/>
      <c r="BE24" s="100"/>
    </row>
    <row r="25" spans="2:57" ht="15.75">
      <c r="C25" s="479"/>
      <c r="D25" s="32" t="s">
        <v>48</v>
      </c>
      <c r="E25" s="32">
        <v>36</v>
      </c>
      <c r="F25" s="32" t="s">
        <v>49</v>
      </c>
      <c r="G25" s="32"/>
      <c r="H25" s="54"/>
      <c r="J25" s="44"/>
      <c r="K25" s="391" t="s">
        <v>50</v>
      </c>
      <c r="L25" s="391"/>
      <c r="M25" s="391"/>
      <c r="N25" s="391"/>
      <c r="O25" s="391"/>
      <c r="P25" s="391"/>
      <c r="Q25" s="391"/>
      <c r="R25" s="391"/>
      <c r="S25" s="391"/>
      <c r="T25" s="391"/>
      <c r="U25" s="47"/>
      <c r="W25" s="100"/>
      <c r="X25" s="293" t="s">
        <v>86</v>
      </c>
      <c r="Y25" s="293"/>
      <c r="Z25" s="293"/>
      <c r="AA25" s="293"/>
      <c r="AB25" s="293"/>
      <c r="AC25" s="293"/>
      <c r="AD25" s="293"/>
      <c r="AE25" s="293"/>
      <c r="AF25" s="293"/>
      <c r="AG25" s="293"/>
      <c r="AH25" s="293"/>
      <c r="AI25" s="293"/>
      <c r="AJ25" s="293"/>
      <c r="AK25" s="293"/>
      <c r="AL25" s="293"/>
      <c r="AM25" s="293"/>
      <c r="AN25" s="293"/>
      <c r="AO25" s="293"/>
      <c r="AP25" s="293"/>
      <c r="AQ25" s="293"/>
      <c r="AR25" s="293"/>
      <c r="AS25" s="293"/>
      <c r="AT25" s="293"/>
      <c r="AU25" s="293"/>
      <c r="AV25" s="293"/>
      <c r="AW25" s="293"/>
      <c r="AX25" s="293"/>
      <c r="AY25" s="293"/>
      <c r="AZ25" s="293"/>
      <c r="BA25" s="293"/>
      <c r="BB25" s="293"/>
      <c r="BC25" s="293"/>
      <c r="BD25" s="293"/>
      <c r="BE25" s="100"/>
    </row>
    <row r="26" spans="2:57" ht="15.75">
      <c r="C26" s="479"/>
      <c r="D26" s="32" t="s">
        <v>51</v>
      </c>
      <c r="E26" s="55" t="s">
        <v>52</v>
      </c>
      <c r="F26" s="55" t="s">
        <v>53</v>
      </c>
      <c r="G26" s="55" t="s">
        <v>54</v>
      </c>
      <c r="H26" s="56" t="s">
        <v>55</v>
      </c>
      <c r="J26" s="44"/>
      <c r="K26" s="45"/>
      <c r="L26" s="45"/>
      <c r="M26" s="45"/>
      <c r="N26" s="45"/>
      <c r="O26" s="49"/>
      <c r="P26" s="45"/>
      <c r="Q26" s="45"/>
      <c r="R26" s="45"/>
      <c r="S26" s="45"/>
      <c r="T26" s="45"/>
      <c r="U26" s="47"/>
      <c r="W26" s="100"/>
      <c r="X26" s="293" t="s">
        <v>87</v>
      </c>
      <c r="Y26" s="293"/>
      <c r="Z26" s="293"/>
      <c r="AA26" s="293"/>
      <c r="AB26" s="293"/>
      <c r="AC26" s="293"/>
      <c r="AD26" s="293"/>
      <c r="AE26" s="293"/>
      <c r="AF26" s="293"/>
      <c r="AG26" s="293"/>
      <c r="AH26" s="293"/>
      <c r="AI26" s="293"/>
      <c r="AJ26" s="293"/>
      <c r="AK26" s="293"/>
      <c r="AL26" s="293"/>
      <c r="AM26" s="293"/>
      <c r="AN26" s="293"/>
      <c r="AO26" s="293"/>
      <c r="AP26" s="293"/>
      <c r="AQ26" s="293"/>
      <c r="AR26" s="293"/>
      <c r="AS26" s="293"/>
      <c r="AT26" s="293"/>
      <c r="AU26" s="293"/>
      <c r="AV26" s="293"/>
      <c r="AW26" s="293"/>
      <c r="AX26" s="293"/>
      <c r="AY26" s="293"/>
      <c r="AZ26" s="293"/>
      <c r="BA26" s="293"/>
      <c r="BB26" s="293"/>
      <c r="BC26" s="293"/>
      <c r="BD26" s="293"/>
      <c r="BE26" s="100"/>
    </row>
    <row r="27" spans="2:57" ht="18.75" thickBot="1">
      <c r="C27" s="480"/>
      <c r="D27" s="96" t="s">
        <v>56</v>
      </c>
      <c r="E27" s="96"/>
      <c r="F27" s="96"/>
      <c r="G27" s="96"/>
      <c r="H27" s="169">
        <f>C10</f>
        <v>50000</v>
      </c>
      <c r="J27" s="44"/>
      <c r="K27" s="392" t="s">
        <v>57</v>
      </c>
      <c r="L27" s="392"/>
      <c r="M27" s="392"/>
      <c r="N27" s="392"/>
      <c r="O27" s="392"/>
      <c r="P27" s="392"/>
      <c r="Q27" s="392"/>
      <c r="R27" s="392"/>
      <c r="S27" s="392"/>
      <c r="T27" s="392"/>
      <c r="U27" s="47"/>
      <c r="W27" s="100"/>
      <c r="X27" s="293" t="s">
        <v>88</v>
      </c>
      <c r="Y27" s="293"/>
      <c r="Z27" s="293"/>
      <c r="AA27" s="293"/>
      <c r="AB27" s="293"/>
      <c r="AC27" s="293"/>
      <c r="AD27" s="293"/>
      <c r="AE27" s="293"/>
      <c r="AF27" s="293"/>
      <c r="AG27" s="293"/>
      <c r="AH27" s="293"/>
      <c r="AI27" s="293"/>
      <c r="AJ27" s="293"/>
      <c r="AK27" s="293"/>
      <c r="AL27" s="293"/>
      <c r="AM27" s="293"/>
      <c r="AN27" s="293"/>
      <c r="AO27" s="293"/>
      <c r="AP27" s="293"/>
      <c r="AQ27" s="293"/>
      <c r="AR27" s="293"/>
      <c r="AS27" s="293"/>
      <c r="AT27" s="293"/>
      <c r="AU27" s="293"/>
      <c r="AV27" s="293"/>
      <c r="AW27" s="293"/>
      <c r="AX27" s="293"/>
      <c r="AY27" s="293"/>
      <c r="AZ27" s="293"/>
      <c r="BA27" s="293"/>
      <c r="BB27" s="293"/>
      <c r="BC27" s="293"/>
      <c r="BD27" s="293"/>
      <c r="BE27" s="100"/>
    </row>
    <row r="28" spans="2:57" ht="15.75">
      <c r="B28" s="58">
        <f>DATE(YEAR(E$24),MONTH(E$24)+D28+0,DAY(E$24))</f>
        <v>45784</v>
      </c>
      <c r="C28" s="188" t="str">
        <f t="shared" ref="C28:C51" si="1">TEXT(B28,"mmm-yyyy")</f>
        <v>May-2025</v>
      </c>
      <c r="D28" s="189">
        <v>1</v>
      </c>
      <c r="E28" s="190">
        <f t="shared" ref="E28:E51" si="2">C$1</f>
        <v>1971.7742067051774</v>
      </c>
      <c r="F28" s="191">
        <f>E28-G28</f>
        <v>955.71666910328872</v>
      </c>
      <c r="G28" s="192">
        <f t="shared" ref="G28:G51" si="3">H27*C$12</f>
        <v>1016.0575376018887</v>
      </c>
      <c r="H28" s="193">
        <f>H27-F28</f>
        <v>49044.283330896709</v>
      </c>
      <c r="J28" s="44"/>
      <c r="K28" s="63"/>
      <c r="L28" s="63"/>
      <c r="M28" s="63"/>
      <c r="N28" s="63"/>
      <c r="O28" s="46"/>
      <c r="P28" s="63"/>
      <c r="Q28" s="45"/>
      <c r="R28" s="45"/>
      <c r="S28" s="45"/>
      <c r="T28" s="45"/>
      <c r="U28" s="47"/>
      <c r="W28" s="100"/>
      <c r="X28" s="100"/>
      <c r="Y28" s="100"/>
      <c r="Z28" s="100"/>
      <c r="AA28" s="100"/>
      <c r="AB28" s="100"/>
      <c r="AC28" s="100"/>
      <c r="AD28" s="100"/>
      <c r="AE28" s="101"/>
      <c r="AF28" s="101"/>
      <c r="AG28" s="101"/>
      <c r="AH28" s="101"/>
      <c r="AI28" s="100"/>
      <c r="AJ28" s="100"/>
      <c r="AK28" s="100"/>
      <c r="AL28" s="100"/>
      <c r="AM28" s="100"/>
      <c r="AN28" s="100"/>
      <c r="AO28" s="100"/>
      <c r="AP28" s="100"/>
      <c r="AQ28" s="100"/>
      <c r="AR28" s="100"/>
      <c r="AS28" s="100"/>
      <c r="AT28" s="100"/>
      <c r="AU28" s="100"/>
      <c r="AV28" s="100"/>
      <c r="AW28" s="100"/>
      <c r="AX28" s="100"/>
      <c r="AY28" s="100"/>
      <c r="AZ28" s="100"/>
      <c r="BA28" s="100"/>
      <c r="BB28" s="100"/>
      <c r="BC28" s="100"/>
      <c r="BD28" s="100"/>
      <c r="BE28" s="100"/>
    </row>
    <row r="29" spans="2:57" ht="15.75">
      <c r="B29" s="58">
        <f t="shared" ref="B29:B63" si="4">DATE(YEAR(E$24),MONTH(E$24)+D29+0,DAY(E$24))</f>
        <v>45815</v>
      </c>
      <c r="C29" s="65" t="str">
        <f t="shared" si="1"/>
        <v>Jun-2025</v>
      </c>
      <c r="D29" s="32">
        <v>2</v>
      </c>
      <c r="E29" s="194">
        <f t="shared" si="2"/>
        <v>1971.7742067051774</v>
      </c>
      <c r="F29" s="195">
        <f t="shared" ref="F29:F51" si="5">E29-G29</f>
        <v>975.13793161237209</v>
      </c>
      <c r="G29" s="196">
        <f t="shared" si="3"/>
        <v>996.63627509280536</v>
      </c>
      <c r="H29" s="57">
        <f t="shared" ref="H29:H51" si="6">H28-F29</f>
        <v>48069.145399284338</v>
      </c>
      <c r="J29" s="44"/>
      <c r="K29" s="63"/>
      <c r="L29" s="63"/>
      <c r="M29" s="63"/>
      <c r="N29" s="63"/>
      <c r="O29" s="46"/>
      <c r="P29" s="63"/>
      <c r="Q29" s="45"/>
      <c r="R29" s="64" t="s">
        <v>58</v>
      </c>
      <c r="S29" s="393">
        <f>E24</f>
        <v>45754</v>
      </c>
      <c r="T29" s="393"/>
      <c r="U29" s="47"/>
      <c r="W29" s="102"/>
      <c r="X29" s="294" t="s">
        <v>89</v>
      </c>
      <c r="Y29" s="295"/>
      <c r="Z29" s="295"/>
      <c r="AA29" s="295"/>
      <c r="AB29" s="295"/>
      <c r="AC29" s="295"/>
      <c r="AD29" s="295"/>
      <c r="AE29" s="295"/>
      <c r="AF29" s="295"/>
      <c r="AG29" s="295"/>
      <c r="AH29" s="295"/>
      <c r="AI29" s="295"/>
      <c r="AJ29" s="295"/>
      <c r="AK29" s="295"/>
      <c r="AL29" s="295"/>
      <c r="AM29" s="295"/>
      <c r="AN29" s="295"/>
      <c r="AO29" s="295"/>
      <c r="AP29" s="295"/>
      <c r="AQ29" s="295"/>
      <c r="AR29" s="295"/>
      <c r="AS29" s="295"/>
      <c r="AT29" s="295"/>
      <c r="AU29" s="295"/>
      <c r="AV29" s="295"/>
      <c r="AW29" s="295"/>
      <c r="AX29" s="295"/>
      <c r="AY29" s="295"/>
      <c r="AZ29" s="295"/>
      <c r="BA29" s="295"/>
      <c r="BB29" s="295"/>
      <c r="BC29" s="295"/>
      <c r="BD29" s="296"/>
      <c r="BE29" s="100"/>
    </row>
    <row r="30" spans="2:57" ht="15.75">
      <c r="B30" s="58">
        <f t="shared" si="4"/>
        <v>45845</v>
      </c>
      <c r="C30" s="65" t="str">
        <f t="shared" si="1"/>
        <v>Jul-2025</v>
      </c>
      <c r="D30" s="32">
        <v>3</v>
      </c>
      <c r="E30" s="194">
        <f t="shared" si="2"/>
        <v>1971.7742067051774</v>
      </c>
      <c r="F30" s="195">
        <f t="shared" si="5"/>
        <v>994.95385652469736</v>
      </c>
      <c r="G30" s="196">
        <f t="shared" si="3"/>
        <v>976.82035018048009</v>
      </c>
      <c r="H30" s="57">
        <f t="shared" si="6"/>
        <v>47074.19154275964</v>
      </c>
      <c r="J30" s="44"/>
      <c r="K30" s="63"/>
      <c r="L30" s="63"/>
      <c r="M30" s="63"/>
      <c r="N30" s="63"/>
      <c r="O30" s="46"/>
      <c r="P30" s="63"/>
      <c r="Q30" s="45"/>
      <c r="R30" s="64" t="s">
        <v>59</v>
      </c>
      <c r="S30" s="377" t="str">
        <f>H22</f>
        <v>CDEA-005</v>
      </c>
      <c r="T30" s="377"/>
      <c r="U30" s="47"/>
      <c r="W30" s="100"/>
      <c r="X30" s="100"/>
      <c r="Y30" s="100"/>
      <c r="Z30" s="100"/>
      <c r="AA30" s="100"/>
      <c r="AB30" s="100"/>
      <c r="AC30" s="100"/>
      <c r="AD30" s="100"/>
      <c r="AE30" s="100"/>
      <c r="AF30" s="100"/>
      <c r="AG30" s="100"/>
      <c r="AH30" s="100"/>
      <c r="AI30" s="100"/>
      <c r="AJ30" s="100"/>
      <c r="AK30" s="100"/>
      <c r="AL30" s="100"/>
      <c r="AM30" s="100"/>
      <c r="AN30" s="100"/>
      <c r="AO30" s="100"/>
      <c r="AP30" s="100"/>
      <c r="AQ30" s="100"/>
      <c r="AR30" s="100"/>
      <c r="AS30" s="100"/>
      <c r="AT30" s="100"/>
      <c r="AU30" s="297" t="s">
        <v>58</v>
      </c>
      <c r="AV30" s="297"/>
      <c r="AW30" s="103">
        <v>0</v>
      </c>
      <c r="AX30" s="104">
        <v>4</v>
      </c>
      <c r="AY30" s="104">
        <v>0</v>
      </c>
      <c r="AZ30" s="104">
        <v>7</v>
      </c>
      <c r="BA30" s="104">
        <v>2</v>
      </c>
      <c r="BB30" s="104">
        <v>0</v>
      </c>
      <c r="BC30" s="104">
        <v>2</v>
      </c>
      <c r="BD30" s="105">
        <v>5</v>
      </c>
      <c r="BE30" s="100"/>
    </row>
    <row r="31" spans="2:57" ht="15.75">
      <c r="B31" s="58">
        <f t="shared" si="4"/>
        <v>45876</v>
      </c>
      <c r="C31" s="65" t="str">
        <f t="shared" si="1"/>
        <v>Aug-2025</v>
      </c>
      <c r="D31" s="66">
        <v>4</v>
      </c>
      <c r="E31" s="194">
        <f t="shared" si="2"/>
        <v>1971.7742067051774</v>
      </c>
      <c r="F31" s="195">
        <f t="shared" si="5"/>
        <v>1015.1724638344571</v>
      </c>
      <c r="G31" s="196">
        <f t="shared" si="3"/>
        <v>956.60174287072039</v>
      </c>
      <c r="H31" s="57">
        <f t="shared" si="6"/>
        <v>46059.019078925179</v>
      </c>
      <c r="J31" s="44"/>
      <c r="K31" s="63"/>
      <c r="L31" s="63"/>
      <c r="M31" s="63"/>
      <c r="N31" s="63"/>
      <c r="O31" s="46"/>
      <c r="P31" s="63"/>
      <c r="Q31" s="45"/>
      <c r="R31" s="64"/>
      <c r="S31" s="67"/>
      <c r="T31" s="45"/>
      <c r="U31" s="47"/>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6" t="s">
        <v>90</v>
      </c>
      <c r="AX31" s="106" t="s">
        <v>90</v>
      </c>
      <c r="AY31" s="106" t="s">
        <v>91</v>
      </c>
      <c r="AZ31" s="106" t="s">
        <v>91</v>
      </c>
      <c r="BA31" s="106" t="s">
        <v>92</v>
      </c>
      <c r="BB31" s="106" t="s">
        <v>92</v>
      </c>
      <c r="BC31" s="106" t="s">
        <v>92</v>
      </c>
      <c r="BD31" s="106" t="s">
        <v>92</v>
      </c>
      <c r="BE31" s="100"/>
    </row>
    <row r="32" spans="2:57" ht="15.75">
      <c r="B32" s="58">
        <f t="shared" si="4"/>
        <v>45907</v>
      </c>
      <c r="C32" s="65" t="str">
        <f t="shared" si="1"/>
        <v>Sep-2025</v>
      </c>
      <c r="D32" s="32">
        <v>5</v>
      </c>
      <c r="E32" s="194">
        <f t="shared" si="2"/>
        <v>1971.7742067051774</v>
      </c>
      <c r="F32" s="195">
        <f t="shared" si="5"/>
        <v>1035.8019365113548</v>
      </c>
      <c r="G32" s="196">
        <f t="shared" si="3"/>
        <v>935.97227019382262</v>
      </c>
      <c r="H32" s="57">
        <f t="shared" si="6"/>
        <v>45023.217142413821</v>
      </c>
      <c r="J32" s="68"/>
      <c r="K32" s="64" t="s">
        <v>60</v>
      </c>
      <c r="L32" s="64"/>
      <c r="M32" s="64"/>
      <c r="N32" s="378" t="str">
        <f>D22</f>
        <v>KELVIN ART T OFRECIO</v>
      </c>
      <c r="O32" s="378"/>
      <c r="P32" s="378"/>
      <c r="Q32" s="378"/>
      <c r="R32" s="378"/>
      <c r="S32" s="378"/>
      <c r="T32" s="69"/>
      <c r="U32" s="70"/>
      <c r="W32" s="100"/>
      <c r="X32" s="279" t="s">
        <v>93</v>
      </c>
      <c r="Y32" s="279"/>
      <c r="Z32" s="279"/>
      <c r="AA32" s="279"/>
      <c r="AB32" s="279"/>
      <c r="AC32" s="279"/>
      <c r="AD32" s="279"/>
      <c r="AE32" s="279" t="s">
        <v>94</v>
      </c>
      <c r="AF32" s="279"/>
      <c r="AG32" s="279"/>
      <c r="AH32" s="279"/>
      <c r="AI32" s="279"/>
      <c r="AJ32" s="279"/>
      <c r="AK32" s="279"/>
      <c r="AL32" s="279"/>
      <c r="AM32" s="279" t="s">
        <v>95</v>
      </c>
      <c r="AN32" s="279"/>
      <c r="AO32" s="279"/>
      <c r="AP32" s="279"/>
      <c r="AQ32" s="279"/>
      <c r="AR32" s="279"/>
      <c r="AS32" s="279"/>
      <c r="AT32" s="279" t="s">
        <v>96</v>
      </c>
      <c r="AU32" s="279"/>
      <c r="AV32" s="279"/>
      <c r="AW32" s="279"/>
      <c r="AX32" s="279"/>
      <c r="AY32" s="279"/>
      <c r="AZ32" s="279"/>
      <c r="BA32" s="279"/>
      <c r="BB32" s="279"/>
      <c r="BC32" s="279"/>
      <c r="BD32" s="279"/>
      <c r="BE32" s="102"/>
    </row>
    <row r="33" spans="2:57" ht="15.75">
      <c r="B33" s="58">
        <f t="shared" si="4"/>
        <v>45937</v>
      </c>
      <c r="C33" s="65" t="str">
        <f t="shared" si="1"/>
        <v>Oct-2025</v>
      </c>
      <c r="D33" s="32">
        <v>6</v>
      </c>
      <c r="E33" s="194">
        <f t="shared" si="2"/>
        <v>1971.7742067051774</v>
      </c>
      <c r="F33" s="195">
        <f t="shared" si="5"/>
        <v>1056.8506238124546</v>
      </c>
      <c r="G33" s="196">
        <f t="shared" si="3"/>
        <v>914.92358289272272</v>
      </c>
      <c r="H33" s="57">
        <f t="shared" si="6"/>
        <v>43966.366518601368</v>
      </c>
      <c r="J33" s="68"/>
      <c r="K33" s="64" t="s">
        <v>61</v>
      </c>
      <c r="L33" s="64"/>
      <c r="M33" s="64"/>
      <c r="N33" s="379" t="str">
        <f>D23</f>
        <v>2012-015</v>
      </c>
      <c r="O33" s="379"/>
      <c r="P33" s="379"/>
      <c r="Q33" s="379"/>
      <c r="R33" s="379"/>
      <c r="S33" s="379"/>
      <c r="T33" s="69"/>
      <c r="U33" s="70"/>
      <c r="W33" s="100"/>
      <c r="X33" s="108"/>
      <c r="Y33" s="279" t="s">
        <v>97</v>
      </c>
      <c r="Z33" s="279"/>
      <c r="AA33" s="279"/>
      <c r="AB33" s="279"/>
      <c r="AC33" s="279"/>
      <c r="AD33" s="279"/>
      <c r="AE33" s="108"/>
      <c r="AF33" s="279" t="s">
        <v>98</v>
      </c>
      <c r="AG33" s="279"/>
      <c r="AH33" s="279"/>
      <c r="AI33" s="279"/>
      <c r="AJ33" s="279"/>
      <c r="AK33" s="279"/>
      <c r="AL33" s="279"/>
      <c r="AM33" s="108"/>
      <c r="AN33" s="102" t="s">
        <v>99</v>
      </c>
      <c r="AO33" s="100"/>
      <c r="AP33" s="100"/>
      <c r="AQ33" s="100"/>
      <c r="AR33" s="100"/>
      <c r="AS33" s="100"/>
      <c r="AT33" s="108"/>
      <c r="AU33" s="279" t="s">
        <v>100</v>
      </c>
      <c r="AV33" s="279"/>
      <c r="AW33" s="279"/>
      <c r="AX33" s="279"/>
      <c r="AY33" s="279"/>
      <c r="AZ33" s="279"/>
      <c r="BA33" s="279"/>
      <c r="BB33" s="279"/>
      <c r="BC33" s="279"/>
      <c r="BD33" s="279"/>
      <c r="BE33" s="100"/>
    </row>
    <row r="34" spans="2:57" ht="15.75">
      <c r="B34" s="58">
        <f t="shared" si="4"/>
        <v>45968</v>
      </c>
      <c r="C34" s="65" t="str">
        <f t="shared" si="1"/>
        <v>Nov-2025</v>
      </c>
      <c r="D34" s="32">
        <v>7</v>
      </c>
      <c r="E34" s="194">
        <f t="shared" si="2"/>
        <v>1971.7742067051774</v>
      </c>
      <c r="F34" s="195">
        <f t="shared" si="5"/>
        <v>1078.3270446613328</v>
      </c>
      <c r="G34" s="196">
        <f t="shared" si="3"/>
        <v>893.44716204384463</v>
      </c>
      <c r="H34" s="57">
        <f t="shared" si="6"/>
        <v>42888.039473940036</v>
      </c>
      <c r="J34" s="68"/>
      <c r="K34" s="64" t="s">
        <v>42</v>
      </c>
      <c r="L34" s="64"/>
      <c r="M34" s="64"/>
      <c r="N34" s="380" t="str">
        <f>F23</f>
        <v>BLK 8, LOT 36, PHASE O, FRANCISCO HOMES- NARRA, CSJDM, BULACAN</v>
      </c>
      <c r="O34" s="381"/>
      <c r="P34" s="381"/>
      <c r="Q34" s="381"/>
      <c r="R34" s="381"/>
      <c r="S34" s="381"/>
      <c r="T34" s="69"/>
      <c r="U34" s="70"/>
      <c r="W34" s="100"/>
      <c r="X34" s="108"/>
      <c r="Y34" s="279" t="s">
        <v>101</v>
      </c>
      <c r="Z34" s="279"/>
      <c r="AA34" s="279"/>
      <c r="AB34" s="279"/>
      <c r="AC34" s="279"/>
      <c r="AD34" s="279"/>
      <c r="AE34" s="108"/>
      <c r="AF34" s="279" t="s">
        <v>102</v>
      </c>
      <c r="AG34" s="279"/>
      <c r="AH34" s="279"/>
      <c r="AI34" s="279"/>
      <c r="AJ34" s="279"/>
      <c r="AK34" s="279"/>
      <c r="AL34" s="279"/>
      <c r="AM34" s="108"/>
      <c r="AN34" s="102" t="s">
        <v>103</v>
      </c>
      <c r="AO34" s="100"/>
      <c r="AP34" s="100"/>
      <c r="AQ34" s="100"/>
      <c r="AR34" s="100"/>
      <c r="AS34" s="100"/>
      <c r="AT34" s="108"/>
      <c r="AU34" s="279" t="s">
        <v>104</v>
      </c>
      <c r="AV34" s="279"/>
      <c r="AW34" s="279"/>
      <c r="AX34" s="279"/>
      <c r="AY34" s="279"/>
      <c r="AZ34" s="279"/>
      <c r="BA34" s="279"/>
      <c r="BB34" s="279"/>
      <c r="BC34" s="279"/>
      <c r="BD34" s="279"/>
      <c r="BE34" s="100"/>
    </row>
    <row r="35" spans="2:57" ht="16.5" thickBot="1">
      <c r="B35" s="58">
        <f t="shared" si="4"/>
        <v>45998</v>
      </c>
      <c r="C35" s="65" t="str">
        <f t="shared" si="1"/>
        <v>Dec-2025</v>
      </c>
      <c r="D35" s="32">
        <v>8</v>
      </c>
      <c r="E35" s="194">
        <f t="shared" si="2"/>
        <v>1971.7742067051774</v>
      </c>
      <c r="F35" s="195">
        <f t="shared" si="5"/>
        <v>1100.239891095895</v>
      </c>
      <c r="G35" s="196">
        <f t="shared" si="3"/>
        <v>871.53431560928232</v>
      </c>
      <c r="H35" s="57">
        <f t="shared" si="6"/>
        <v>41787.799582844142</v>
      </c>
      <c r="J35" s="44"/>
      <c r="K35" s="63"/>
      <c r="L35" s="63"/>
      <c r="M35" s="63"/>
      <c r="N35" s="71"/>
      <c r="O35" s="69"/>
      <c r="P35" s="69"/>
      <c r="Q35" s="45"/>
      <c r="R35" s="45"/>
      <c r="S35" s="45"/>
      <c r="T35" s="45"/>
      <c r="U35" s="47"/>
      <c r="W35" s="100"/>
      <c r="X35" s="108"/>
      <c r="Y35" s="279" t="s">
        <v>105</v>
      </c>
      <c r="Z35" s="279"/>
      <c r="AA35" s="279"/>
      <c r="AB35" s="279"/>
      <c r="AC35" s="279"/>
      <c r="AD35" s="279"/>
      <c r="AE35" s="108"/>
      <c r="AF35" s="279" t="s">
        <v>106</v>
      </c>
      <c r="AG35" s="279"/>
      <c r="AH35" s="279"/>
      <c r="AI35" s="279"/>
      <c r="AJ35" s="279"/>
      <c r="AK35" s="279"/>
      <c r="AL35" s="279"/>
      <c r="AM35" s="108"/>
      <c r="AN35" s="102" t="s">
        <v>107</v>
      </c>
      <c r="AO35" s="100"/>
      <c r="AP35" s="100"/>
      <c r="AQ35" s="100"/>
      <c r="AR35" s="100"/>
      <c r="AS35" s="100"/>
      <c r="AT35" s="108"/>
      <c r="AU35" s="102" t="s">
        <v>108</v>
      </c>
      <c r="AV35" s="102"/>
      <c r="AW35" s="360"/>
      <c r="AX35" s="360"/>
      <c r="AY35" s="360"/>
      <c r="AZ35" s="360"/>
      <c r="BA35" s="360"/>
      <c r="BB35" s="102"/>
      <c r="BC35" s="102"/>
      <c r="BD35" s="102"/>
      <c r="BE35" s="100"/>
    </row>
    <row r="36" spans="2:57" ht="15.75">
      <c r="B36" s="58">
        <f t="shared" si="4"/>
        <v>46029</v>
      </c>
      <c r="C36" s="65" t="str">
        <f t="shared" si="1"/>
        <v>Jan-2026</v>
      </c>
      <c r="D36" s="32">
        <v>9</v>
      </c>
      <c r="E36" s="194">
        <f t="shared" si="2"/>
        <v>1971.7742067051774</v>
      </c>
      <c r="F36" s="195">
        <f t="shared" si="5"/>
        <v>1122.5980317862604</v>
      </c>
      <c r="G36" s="196">
        <f t="shared" si="3"/>
        <v>849.17617491891701</v>
      </c>
      <c r="H36" s="57">
        <f t="shared" si="6"/>
        <v>40665.201551057879</v>
      </c>
      <c r="J36" s="44"/>
      <c r="K36" s="63"/>
      <c r="L36" s="64" t="s">
        <v>62</v>
      </c>
      <c r="M36" s="63"/>
      <c r="N36" s="63"/>
      <c r="O36" s="46"/>
      <c r="P36" s="63"/>
      <c r="Q36" s="72"/>
      <c r="R36" s="372">
        <f>C4</f>
        <v>62645.833333333336</v>
      </c>
      <c r="S36" s="372"/>
      <c r="T36" s="372"/>
      <c r="U36" s="47"/>
      <c r="W36" s="100"/>
      <c r="X36" s="108"/>
      <c r="Y36" s="279" t="s">
        <v>109</v>
      </c>
      <c r="Z36" s="279"/>
      <c r="AA36" s="279"/>
      <c r="AB36" s="279"/>
      <c r="AC36" s="279"/>
      <c r="AD36" s="279"/>
      <c r="AE36" s="108"/>
      <c r="AF36" s="279" t="s">
        <v>110</v>
      </c>
      <c r="AG36" s="279"/>
      <c r="AH36" s="279"/>
      <c r="AI36" s="279"/>
      <c r="AJ36" s="279"/>
      <c r="AK36" s="279"/>
      <c r="AL36" s="279"/>
      <c r="AM36" s="108"/>
      <c r="AN36" s="102" t="s">
        <v>111</v>
      </c>
      <c r="AO36" s="100"/>
      <c r="AP36" s="100"/>
      <c r="AQ36" s="100"/>
      <c r="AR36" s="100"/>
      <c r="AS36" s="100"/>
      <c r="AT36" s="100"/>
      <c r="AU36" s="100"/>
      <c r="AV36" s="100"/>
      <c r="AW36" s="100"/>
      <c r="AX36" s="100"/>
      <c r="AY36" s="100"/>
      <c r="AZ36" s="100"/>
      <c r="BA36" s="100"/>
      <c r="BB36" s="100"/>
      <c r="BC36" s="100"/>
      <c r="BD36" s="100"/>
      <c r="BE36" s="100"/>
    </row>
    <row r="37" spans="2:57" ht="15.75">
      <c r="B37" s="58">
        <f t="shared" si="4"/>
        <v>46060</v>
      </c>
      <c r="C37" s="65" t="str">
        <f t="shared" si="1"/>
        <v>Feb-2026</v>
      </c>
      <c r="D37" s="32">
        <v>10</v>
      </c>
      <c r="E37" s="194">
        <f t="shared" si="2"/>
        <v>1971.7742067051774</v>
      </c>
      <c r="F37" s="195">
        <f t="shared" si="5"/>
        <v>1145.4105156241299</v>
      </c>
      <c r="G37" s="196">
        <f t="shared" si="3"/>
        <v>826.36369108104748</v>
      </c>
      <c r="H37" s="57">
        <f t="shared" si="6"/>
        <v>39519.791035433751</v>
      </c>
      <c r="J37" s="44"/>
      <c r="K37" s="63"/>
      <c r="L37" s="64"/>
      <c r="M37" s="63"/>
      <c r="N37" s="63"/>
      <c r="O37" s="46"/>
      <c r="P37" s="63"/>
      <c r="Q37" s="72"/>
      <c r="R37" s="382"/>
      <c r="S37" s="382"/>
      <c r="T37" s="382"/>
      <c r="U37" s="47"/>
      <c r="W37" s="100"/>
      <c r="X37" s="108"/>
      <c r="Y37" s="279" t="s">
        <v>112</v>
      </c>
      <c r="Z37" s="279"/>
      <c r="AA37" s="279"/>
      <c r="AB37" s="279"/>
      <c r="AC37" s="279"/>
      <c r="AD37" s="279"/>
      <c r="AE37" s="108"/>
      <c r="AF37" s="279" t="s">
        <v>113</v>
      </c>
      <c r="AG37" s="279"/>
      <c r="AH37" s="279"/>
      <c r="AI37" s="279"/>
      <c r="AJ37" s="279"/>
      <c r="AK37" s="279"/>
      <c r="AL37" s="279"/>
      <c r="AM37" s="108"/>
      <c r="AN37" s="102" t="s">
        <v>114</v>
      </c>
      <c r="AO37" s="100"/>
      <c r="AP37" s="100"/>
      <c r="AQ37" s="100"/>
      <c r="AR37" s="100"/>
      <c r="AS37" s="100"/>
      <c r="AT37" s="100"/>
      <c r="AU37" s="100"/>
      <c r="AV37" s="100"/>
      <c r="AW37" s="100"/>
      <c r="AX37" s="100"/>
      <c r="AY37" s="100"/>
      <c r="AZ37" s="100"/>
      <c r="BA37" s="100"/>
      <c r="BB37" s="100"/>
      <c r="BC37" s="100"/>
      <c r="BD37" s="100"/>
      <c r="BE37" s="100"/>
    </row>
    <row r="38" spans="2:57" ht="16.5" thickBot="1">
      <c r="B38" s="58">
        <f t="shared" si="4"/>
        <v>46088</v>
      </c>
      <c r="C38" s="65" t="str">
        <f t="shared" si="1"/>
        <v>Mar-2026</v>
      </c>
      <c r="D38" s="32">
        <v>11</v>
      </c>
      <c r="E38" s="194">
        <f t="shared" si="2"/>
        <v>1971.7742067051774</v>
      </c>
      <c r="F38" s="195">
        <f t="shared" si="5"/>
        <v>1168.6865753850971</v>
      </c>
      <c r="G38" s="196">
        <f t="shared" si="3"/>
        <v>803.08763132008028</v>
      </c>
      <c r="H38" s="57">
        <f t="shared" si="6"/>
        <v>38351.104460048657</v>
      </c>
      <c r="J38" s="73"/>
      <c r="K38" s="74"/>
      <c r="L38" s="75" t="s">
        <v>63</v>
      </c>
      <c r="M38" s="74" t="s">
        <v>64</v>
      </c>
      <c r="N38" s="74"/>
      <c r="O38" s="76"/>
      <c r="P38" s="74"/>
      <c r="Q38" s="71"/>
      <c r="R38" s="372">
        <f>-C14</f>
        <v>0</v>
      </c>
      <c r="S38" s="372"/>
      <c r="T38" s="372"/>
      <c r="U38" s="77"/>
      <c r="W38" s="100"/>
      <c r="X38" s="346"/>
      <c r="Y38" s="346"/>
      <c r="Z38" s="346"/>
      <c r="AA38" s="346"/>
      <c r="AB38" s="346"/>
      <c r="AC38" s="346"/>
      <c r="AD38" s="346"/>
      <c r="AE38" s="110"/>
      <c r="AF38" s="102" t="s">
        <v>115</v>
      </c>
      <c r="AG38" s="102"/>
      <c r="AH38" s="321"/>
      <c r="AI38" s="321"/>
      <c r="AJ38" s="321"/>
      <c r="AK38" s="321"/>
      <c r="AL38" s="347"/>
      <c r="AM38" s="110"/>
      <c r="AN38" s="102" t="s">
        <v>108</v>
      </c>
      <c r="AO38" s="100"/>
      <c r="AP38" s="354"/>
      <c r="AQ38" s="354"/>
      <c r="AR38" s="354"/>
      <c r="AS38" s="354"/>
      <c r="AT38" s="354"/>
      <c r="AU38" s="100"/>
      <c r="AV38" s="100"/>
      <c r="AW38" s="100"/>
      <c r="AX38" s="100"/>
      <c r="AY38" s="100"/>
      <c r="AZ38" s="100"/>
      <c r="BA38" s="100"/>
      <c r="BB38" s="100"/>
      <c r="BC38" s="100"/>
      <c r="BD38" s="100"/>
      <c r="BE38" s="100"/>
    </row>
    <row r="39" spans="2:57" ht="16.5" thickBot="1">
      <c r="B39" s="58">
        <f t="shared" si="4"/>
        <v>46119</v>
      </c>
      <c r="C39" s="165" t="str">
        <f t="shared" si="1"/>
        <v>Apr-2026</v>
      </c>
      <c r="D39" s="89">
        <v>12</v>
      </c>
      <c r="E39" s="197">
        <f t="shared" si="2"/>
        <v>1971.7742067051774</v>
      </c>
      <c r="F39" s="198">
        <f t="shared" si="5"/>
        <v>1192.4356314653805</v>
      </c>
      <c r="G39" s="199">
        <f t="shared" si="3"/>
        <v>779.33857523979702</v>
      </c>
      <c r="H39" s="200">
        <f t="shared" si="6"/>
        <v>37158.668828583279</v>
      </c>
      <c r="J39" s="73"/>
      <c r="K39" s="74"/>
      <c r="L39" s="75" t="s">
        <v>63</v>
      </c>
      <c r="M39" s="74" t="s">
        <v>65</v>
      </c>
      <c r="N39" s="74"/>
      <c r="O39" s="76"/>
      <c r="P39" s="74"/>
      <c r="Q39" s="71"/>
      <c r="R39" s="372">
        <f>-C8</f>
        <v>0</v>
      </c>
      <c r="S39" s="372"/>
      <c r="T39" s="372"/>
      <c r="U39" s="77"/>
      <c r="W39" s="100"/>
      <c r="X39" s="111" t="s">
        <v>116</v>
      </c>
      <c r="Y39" s="112"/>
      <c r="Z39" s="112"/>
      <c r="AA39" s="112"/>
      <c r="AB39" s="355">
        <f>'Data Entry'!E4</f>
        <v>50000</v>
      </c>
      <c r="AC39" s="355"/>
      <c r="AD39" s="355"/>
      <c r="AE39" s="355"/>
      <c r="AF39" s="355"/>
      <c r="AG39" s="355"/>
      <c r="AH39" s="356"/>
      <c r="AI39" s="356"/>
      <c r="AJ39" s="356"/>
      <c r="AK39" s="356"/>
      <c r="AL39" s="356"/>
      <c r="AM39" s="357"/>
      <c r="AN39" s="111" t="s">
        <v>117</v>
      </c>
      <c r="AO39" s="112"/>
      <c r="AP39" s="113"/>
      <c r="AQ39" s="113"/>
      <c r="AR39" s="113"/>
      <c r="AS39" s="113"/>
      <c r="AT39" s="356">
        <f>R49</f>
        <v>1971.7742067051774</v>
      </c>
      <c r="AU39" s="355"/>
      <c r="AV39" s="355"/>
      <c r="AW39" s="355"/>
      <c r="AX39" s="355"/>
      <c r="AY39" s="355"/>
      <c r="AZ39" s="355"/>
      <c r="BA39" s="355"/>
      <c r="BB39" s="355"/>
      <c r="BC39" s="355"/>
      <c r="BD39" s="357"/>
      <c r="BE39" s="100"/>
    </row>
    <row r="40" spans="2:57" ht="16.5" thickBot="1">
      <c r="B40" s="58">
        <f t="shared" si="4"/>
        <v>46149</v>
      </c>
      <c r="C40" s="165" t="str">
        <f t="shared" si="1"/>
        <v>May-2026</v>
      </c>
      <c r="D40" s="89">
        <v>13</v>
      </c>
      <c r="E40" s="197">
        <f t="shared" si="2"/>
        <v>1971.7742067051774</v>
      </c>
      <c r="F40" s="198">
        <f t="shared" si="5"/>
        <v>1216.6672956944897</v>
      </c>
      <c r="G40" s="199">
        <f t="shared" si="3"/>
        <v>755.10691101068778</v>
      </c>
      <c r="H40" s="200">
        <f t="shared" si="6"/>
        <v>35942.001532888789</v>
      </c>
      <c r="J40" s="73"/>
      <c r="K40" s="74"/>
      <c r="L40" s="75" t="s">
        <v>63</v>
      </c>
      <c r="M40" s="74" t="s">
        <v>66</v>
      </c>
      <c r="N40" s="74"/>
      <c r="O40" s="76"/>
      <c r="P40" s="74"/>
      <c r="Q40" s="71"/>
      <c r="R40" s="376">
        <f>-C7</f>
        <v>-5000</v>
      </c>
      <c r="S40" s="376"/>
      <c r="T40" s="376"/>
      <c r="U40" s="77"/>
      <c r="W40" s="100"/>
      <c r="X40" s="114"/>
      <c r="Y40" s="115"/>
      <c r="Z40" s="115"/>
      <c r="AA40" s="115"/>
      <c r="AB40" s="246"/>
      <c r="AC40" s="246"/>
      <c r="AD40" s="246"/>
      <c r="AE40" s="246"/>
      <c r="AF40" s="246"/>
      <c r="AG40" s="246"/>
      <c r="AH40" s="246"/>
      <c r="AI40" s="246"/>
      <c r="AJ40" s="246"/>
      <c r="AK40" s="246"/>
      <c r="AL40" s="246"/>
      <c r="AM40" s="247"/>
      <c r="AN40" s="114"/>
      <c r="AO40" s="115"/>
      <c r="AP40" s="115"/>
      <c r="AQ40" s="115"/>
      <c r="AR40" s="115"/>
      <c r="AS40" s="115"/>
      <c r="AT40" s="246"/>
      <c r="AU40" s="246"/>
      <c r="AV40" s="246"/>
      <c r="AW40" s="246"/>
      <c r="AX40" s="246"/>
      <c r="AY40" s="246"/>
      <c r="AZ40" s="246"/>
      <c r="BA40" s="246"/>
      <c r="BB40" s="246"/>
      <c r="BC40" s="246"/>
      <c r="BD40" s="247"/>
      <c r="BE40" s="100"/>
    </row>
    <row r="41" spans="2:57" ht="16.5" thickBot="1">
      <c r="B41" s="58">
        <f t="shared" si="4"/>
        <v>46180</v>
      </c>
      <c r="C41" s="165" t="str">
        <f t="shared" si="1"/>
        <v>Jun-2026</v>
      </c>
      <c r="D41" s="89">
        <v>14</v>
      </c>
      <c r="E41" s="197">
        <f t="shared" si="2"/>
        <v>1971.7742067051774</v>
      </c>
      <c r="F41" s="198">
        <f t="shared" si="5"/>
        <v>1241.3913752253716</v>
      </c>
      <c r="G41" s="199">
        <f t="shared" si="3"/>
        <v>730.38283147980587</v>
      </c>
      <c r="H41" s="200">
        <f t="shared" si="6"/>
        <v>34700.610157663417</v>
      </c>
      <c r="J41" s="73"/>
      <c r="K41" s="74"/>
      <c r="L41" s="75" t="s">
        <v>63</v>
      </c>
      <c r="M41" s="74" t="s">
        <v>6</v>
      </c>
      <c r="N41" s="74"/>
      <c r="O41" s="76"/>
      <c r="P41" s="74"/>
      <c r="Q41" s="71"/>
      <c r="R41" s="376">
        <f>-C5</f>
        <v>-5500</v>
      </c>
      <c r="S41" s="376"/>
      <c r="T41" s="376"/>
      <c r="U41" s="77"/>
      <c r="W41" s="100"/>
      <c r="X41" s="337" t="s">
        <v>118</v>
      </c>
      <c r="Y41" s="338"/>
      <c r="Z41" s="358" t="str">
        <f>S30</f>
        <v>CDEA-005</v>
      </c>
      <c r="AA41" s="343"/>
      <c r="AB41" s="343"/>
      <c r="AC41" s="343"/>
      <c r="AD41" s="343"/>
      <c r="AE41" s="344"/>
      <c r="AF41" s="117" t="s">
        <v>119</v>
      </c>
      <c r="AG41" s="115"/>
      <c r="AH41" s="115"/>
      <c r="AI41" s="115"/>
      <c r="AJ41" s="361"/>
      <c r="AK41" s="361"/>
      <c r="AL41" s="361"/>
      <c r="AM41" s="361"/>
      <c r="AN41" s="361"/>
      <c r="AO41" s="361"/>
      <c r="AP41" s="361"/>
      <c r="AQ41" s="362"/>
      <c r="AR41" s="118" t="s">
        <v>120</v>
      </c>
      <c r="AS41" s="119"/>
      <c r="AT41" s="119"/>
      <c r="AU41" s="119"/>
      <c r="AV41" s="361"/>
      <c r="AW41" s="361"/>
      <c r="AX41" s="361"/>
      <c r="AY41" s="361"/>
      <c r="AZ41" s="361"/>
      <c r="BA41" s="361"/>
      <c r="BB41" s="361"/>
      <c r="BC41" s="361"/>
      <c r="BD41" s="362"/>
      <c r="BE41" s="100"/>
    </row>
    <row r="42" spans="2:57" ht="16.5" thickBot="1">
      <c r="B42" s="58">
        <f t="shared" si="4"/>
        <v>46210</v>
      </c>
      <c r="C42" s="165" t="str">
        <f t="shared" si="1"/>
        <v>Jul-2026</v>
      </c>
      <c r="D42" s="89">
        <v>15</v>
      </c>
      <c r="E42" s="197">
        <f t="shared" si="2"/>
        <v>1971.7742067051774</v>
      </c>
      <c r="F42" s="198">
        <f t="shared" si="5"/>
        <v>1266.6178765036057</v>
      </c>
      <c r="G42" s="199">
        <f t="shared" si="3"/>
        <v>705.15633020157168</v>
      </c>
      <c r="H42" s="200">
        <f t="shared" si="6"/>
        <v>33433.992281159808</v>
      </c>
      <c r="J42" s="73"/>
      <c r="K42" s="74"/>
      <c r="L42" s="75" t="s">
        <v>63</v>
      </c>
      <c r="M42" s="74" t="s">
        <v>67</v>
      </c>
      <c r="N42" s="74"/>
      <c r="O42" s="76"/>
      <c r="P42" s="74"/>
      <c r="Q42" s="71"/>
      <c r="R42" s="376">
        <f>-C6</f>
        <v>-1800</v>
      </c>
      <c r="S42" s="376"/>
      <c r="T42" s="376"/>
      <c r="U42" s="77"/>
      <c r="W42" s="100"/>
      <c r="X42" s="335" t="s">
        <v>121</v>
      </c>
      <c r="Y42" s="336"/>
      <c r="Z42" s="339"/>
      <c r="AA42" s="340"/>
      <c r="AB42" s="340"/>
      <c r="AC42" s="340"/>
      <c r="AD42" s="340"/>
      <c r="AE42" s="341"/>
      <c r="AF42" s="121"/>
      <c r="AG42" s="120" t="s">
        <v>122</v>
      </c>
      <c r="AH42" s="122"/>
      <c r="AI42" s="122"/>
      <c r="AJ42" s="122"/>
      <c r="AK42" s="122"/>
      <c r="AL42" s="122"/>
      <c r="AM42" s="122"/>
      <c r="AN42" s="122"/>
      <c r="AO42" s="122"/>
      <c r="AP42" s="122"/>
      <c r="AQ42" s="123"/>
      <c r="AR42" s="124"/>
      <c r="AS42" s="335" t="s">
        <v>123</v>
      </c>
      <c r="AT42" s="345"/>
      <c r="AU42" s="345"/>
      <c r="AV42" s="122"/>
      <c r="AW42" s="122"/>
      <c r="AX42" s="122"/>
      <c r="AY42" s="122"/>
      <c r="AZ42" s="122"/>
      <c r="BA42" s="122"/>
      <c r="BB42" s="122"/>
      <c r="BC42" s="122"/>
      <c r="BD42" s="123"/>
      <c r="BE42" s="100"/>
    </row>
    <row r="43" spans="2:57" ht="16.5" thickBot="1">
      <c r="B43" s="58">
        <f t="shared" si="4"/>
        <v>46241</v>
      </c>
      <c r="C43" s="165" t="str">
        <f t="shared" si="1"/>
        <v>Aug-2026</v>
      </c>
      <c r="D43" s="89">
        <v>16</v>
      </c>
      <c r="E43" s="197">
        <f t="shared" si="2"/>
        <v>1971.7742067051774</v>
      </c>
      <c r="F43" s="198">
        <f t="shared" si="5"/>
        <v>1292.3570093172616</v>
      </c>
      <c r="G43" s="199">
        <f t="shared" si="3"/>
        <v>679.41719738791585</v>
      </c>
      <c r="H43" s="200">
        <f t="shared" si="6"/>
        <v>32141.635271842548</v>
      </c>
      <c r="J43" s="50"/>
      <c r="L43" s="75" t="s">
        <v>63</v>
      </c>
      <c r="M43" s="74" t="s">
        <v>10</v>
      </c>
      <c r="R43" s="376">
        <f>-C9</f>
        <v>-345.83333333333337</v>
      </c>
      <c r="S43" s="376"/>
      <c r="T43" s="376"/>
      <c r="U43" s="78"/>
      <c r="W43" s="100"/>
      <c r="X43" s="337"/>
      <c r="Y43" s="338"/>
      <c r="Z43" s="342"/>
      <c r="AA43" s="343"/>
      <c r="AB43" s="343"/>
      <c r="AC43" s="343"/>
      <c r="AD43" s="343"/>
      <c r="AE43" s="344"/>
      <c r="AF43" s="108"/>
      <c r="AG43" s="116" t="s">
        <v>124</v>
      </c>
      <c r="AH43" s="125"/>
      <c r="AI43" s="125"/>
      <c r="AJ43" s="125"/>
      <c r="AK43" s="125"/>
      <c r="AL43" s="125"/>
      <c r="AM43" s="125"/>
      <c r="AN43" s="125"/>
      <c r="AO43" s="125"/>
      <c r="AP43" s="125"/>
      <c r="AQ43" s="126"/>
      <c r="AR43" s="108"/>
      <c r="AS43" s="337" t="s">
        <v>125</v>
      </c>
      <c r="AT43" s="363"/>
      <c r="AU43" s="363"/>
      <c r="AV43" s="125"/>
      <c r="AW43" s="125"/>
      <c r="AX43" s="125"/>
      <c r="AY43" s="125"/>
      <c r="AZ43" s="125"/>
      <c r="BA43" s="125"/>
      <c r="BB43" s="125"/>
      <c r="BC43" s="125"/>
      <c r="BD43" s="126"/>
      <c r="BE43" s="100"/>
    </row>
    <row r="44" spans="2:57" ht="16.5" thickBot="1">
      <c r="B44" s="58">
        <f t="shared" si="4"/>
        <v>46272</v>
      </c>
      <c r="C44" s="165" t="str">
        <f t="shared" si="1"/>
        <v>Sep-2026</v>
      </c>
      <c r="D44" s="89">
        <v>17</v>
      </c>
      <c r="E44" s="197">
        <f t="shared" si="2"/>
        <v>1971.7742067051774</v>
      </c>
      <c r="F44" s="198">
        <f t="shared" si="5"/>
        <v>1318.6191909290503</v>
      </c>
      <c r="G44" s="199">
        <f t="shared" si="3"/>
        <v>653.15501577612713</v>
      </c>
      <c r="H44" s="200">
        <f t="shared" si="6"/>
        <v>30823.016080913498</v>
      </c>
      <c r="J44" s="44"/>
      <c r="K44" s="63"/>
      <c r="L44" s="64" t="s">
        <v>68</v>
      </c>
      <c r="M44" s="63"/>
      <c r="N44" s="63"/>
      <c r="O44" s="46"/>
      <c r="P44" s="63"/>
      <c r="Q44" s="45"/>
      <c r="R44" s="372">
        <f>SUM(R36:T43)</f>
        <v>50000</v>
      </c>
      <c r="S44" s="372"/>
      <c r="T44" s="372"/>
      <c r="U44" s="47"/>
      <c r="W44" s="100"/>
      <c r="X44" s="294" t="s">
        <v>126</v>
      </c>
      <c r="Y44" s="295"/>
      <c r="Z44" s="295"/>
      <c r="AA44" s="295"/>
      <c r="AB44" s="295"/>
      <c r="AC44" s="295"/>
      <c r="AD44" s="295"/>
      <c r="AE44" s="295"/>
      <c r="AF44" s="295"/>
      <c r="AG44" s="295"/>
      <c r="AH44" s="295"/>
      <c r="AI44" s="295"/>
      <c r="AJ44" s="295"/>
      <c r="AK44" s="295"/>
      <c r="AL44" s="295"/>
      <c r="AM44" s="295"/>
      <c r="AN44" s="295"/>
      <c r="AO44" s="295"/>
      <c r="AP44" s="295"/>
      <c r="AQ44" s="295"/>
      <c r="AR44" s="295"/>
      <c r="AS44" s="295"/>
      <c r="AT44" s="295"/>
      <c r="AU44" s="295"/>
      <c r="AV44" s="295"/>
      <c r="AW44" s="295"/>
      <c r="AX44" s="295"/>
      <c r="AY44" s="295"/>
      <c r="AZ44" s="295"/>
      <c r="BA44" s="295"/>
      <c r="BB44" s="295"/>
      <c r="BC44" s="295"/>
      <c r="BD44" s="296"/>
      <c r="BE44" s="100"/>
    </row>
    <row r="45" spans="2:57" ht="16.5" thickBot="1">
      <c r="B45" s="58">
        <f t="shared" si="4"/>
        <v>46302</v>
      </c>
      <c r="C45" s="165" t="str">
        <f t="shared" si="1"/>
        <v>Oct-2026</v>
      </c>
      <c r="D45" s="89">
        <v>18</v>
      </c>
      <c r="E45" s="197">
        <f t="shared" si="2"/>
        <v>1971.7742067051774</v>
      </c>
      <c r="F45" s="198">
        <f t="shared" si="5"/>
        <v>1345.4150502924497</v>
      </c>
      <c r="G45" s="199">
        <f t="shared" si="3"/>
        <v>626.35915641272777</v>
      </c>
      <c r="H45" s="200">
        <f t="shared" si="6"/>
        <v>29477.601030621048</v>
      </c>
      <c r="J45" s="44"/>
      <c r="K45" s="45"/>
      <c r="L45" s="45"/>
      <c r="M45" s="45"/>
      <c r="N45" s="45"/>
      <c r="O45" s="49"/>
      <c r="P45" s="45"/>
      <c r="Q45" s="45"/>
      <c r="R45" s="45"/>
      <c r="S45" s="45"/>
      <c r="T45" s="45"/>
      <c r="U45" s="47"/>
      <c r="W45" s="100"/>
      <c r="X45" s="396" t="s">
        <v>290</v>
      </c>
      <c r="Y45" s="396"/>
      <c r="Z45" s="396"/>
      <c r="AA45" s="396"/>
      <c r="AB45" s="396"/>
      <c r="AC45" s="396"/>
      <c r="AD45" s="396" t="s">
        <v>291</v>
      </c>
      <c r="AE45" s="396"/>
      <c r="AF45" s="396"/>
      <c r="AG45" s="396"/>
      <c r="AH45" s="396"/>
      <c r="AI45" s="396"/>
      <c r="AJ45" s="396"/>
      <c r="AK45" s="396"/>
      <c r="AL45" s="396"/>
      <c r="AM45" s="396"/>
      <c r="AN45" s="396" t="s">
        <v>292</v>
      </c>
      <c r="AO45" s="396"/>
      <c r="AP45" s="396"/>
      <c r="AQ45" s="396"/>
      <c r="AR45" s="396"/>
      <c r="AS45" s="396"/>
      <c r="AT45" s="396"/>
      <c r="AU45" s="396"/>
      <c r="AV45" s="396"/>
      <c r="AW45" s="396"/>
      <c r="AX45" s="396"/>
      <c r="AY45" s="396"/>
      <c r="AZ45" s="397"/>
      <c r="BA45" s="397"/>
      <c r="BB45" s="113"/>
      <c r="BC45" s="113"/>
      <c r="BD45" s="113"/>
      <c r="BE45" s="100"/>
    </row>
    <row r="46" spans="2:57" ht="16.5" thickBot="1">
      <c r="B46" s="58">
        <f t="shared" si="4"/>
        <v>46333</v>
      </c>
      <c r="C46" s="165" t="str">
        <f t="shared" si="1"/>
        <v>Nov-2026</v>
      </c>
      <c r="D46" s="89">
        <v>19</v>
      </c>
      <c r="E46" s="197">
        <f t="shared" si="2"/>
        <v>1971.7742067051774</v>
      </c>
      <c r="F46" s="198">
        <f t="shared" si="5"/>
        <v>1372.755432353503</v>
      </c>
      <c r="G46" s="199">
        <f t="shared" si="3"/>
        <v>599.01877435167444</v>
      </c>
      <c r="H46" s="200">
        <f t="shared" si="6"/>
        <v>28104.845598267544</v>
      </c>
      <c r="J46" s="44"/>
      <c r="K46" s="79" t="s">
        <v>69</v>
      </c>
      <c r="L46" s="79"/>
      <c r="M46" s="79"/>
      <c r="N46" s="79"/>
      <c r="O46" s="79"/>
      <c r="P46" s="79"/>
      <c r="Q46" s="79"/>
      <c r="R46" s="79"/>
      <c r="S46" s="79"/>
      <c r="T46" s="79"/>
      <c r="U46" s="47"/>
      <c r="W46" s="100"/>
      <c r="X46" s="102" t="s">
        <v>127</v>
      </c>
      <c r="Y46" s="107"/>
      <c r="Z46" s="107"/>
      <c r="AA46" s="102"/>
      <c r="AB46" s="102"/>
      <c r="AC46" s="102"/>
      <c r="AD46" s="102" t="s">
        <v>128</v>
      </c>
      <c r="AE46" s="102"/>
      <c r="AF46" s="102"/>
      <c r="AG46" s="102"/>
      <c r="AH46" s="102"/>
      <c r="AI46" s="102"/>
      <c r="AJ46" s="102"/>
      <c r="AK46" s="102"/>
      <c r="AL46" s="100"/>
      <c r="AM46" s="102"/>
      <c r="AN46" s="102" t="s">
        <v>129</v>
      </c>
      <c r="AO46" s="102"/>
      <c r="AP46" s="102"/>
      <c r="AQ46" s="102"/>
      <c r="AR46" s="102"/>
      <c r="AS46" s="100"/>
      <c r="AT46" s="102"/>
      <c r="AU46" s="102"/>
      <c r="AV46" s="102"/>
      <c r="AW46" s="102"/>
      <c r="AX46" s="100"/>
      <c r="AY46" s="102"/>
      <c r="AZ46" s="102" t="s">
        <v>130</v>
      </c>
      <c r="BA46" s="102"/>
      <c r="BB46" s="128"/>
      <c r="BC46" s="129"/>
      <c r="BD46" s="129"/>
      <c r="BE46" s="100"/>
    </row>
    <row r="47" spans="2:57" ht="16.5" thickBot="1">
      <c r="B47" s="58">
        <f t="shared" si="4"/>
        <v>46363</v>
      </c>
      <c r="C47" s="165" t="str">
        <f t="shared" si="1"/>
        <v>Dec-2026</v>
      </c>
      <c r="D47" s="89">
        <v>20</v>
      </c>
      <c r="E47" s="197">
        <f t="shared" si="2"/>
        <v>1971.7742067051774</v>
      </c>
      <c r="F47" s="198">
        <f t="shared" si="5"/>
        <v>1400.6514024400374</v>
      </c>
      <c r="G47" s="199">
        <f t="shared" si="3"/>
        <v>571.12280426514008</v>
      </c>
      <c r="H47" s="200">
        <f t="shared" si="6"/>
        <v>26704.194195827506</v>
      </c>
      <c r="J47" s="44"/>
      <c r="K47" s="45"/>
      <c r="L47" s="45"/>
      <c r="M47" s="45"/>
      <c r="N47" s="45"/>
      <c r="O47" s="49"/>
      <c r="P47" s="45"/>
      <c r="Q47" s="45"/>
      <c r="R47" s="45"/>
      <c r="S47" s="45"/>
      <c r="T47" s="45"/>
      <c r="U47" s="47"/>
      <c r="W47" s="100"/>
      <c r="X47" s="348" t="s">
        <v>131</v>
      </c>
      <c r="Y47" s="349"/>
      <c r="Z47" s="349"/>
      <c r="AA47" s="349"/>
      <c r="AB47" s="349"/>
      <c r="AC47" s="350"/>
      <c r="AD47" s="348" t="s">
        <v>61</v>
      </c>
      <c r="AE47" s="349"/>
      <c r="AF47" s="349"/>
      <c r="AG47" s="349"/>
      <c r="AH47" s="350"/>
      <c r="AI47" s="348" t="s">
        <v>132</v>
      </c>
      <c r="AJ47" s="349"/>
      <c r="AK47" s="349"/>
      <c r="AL47" s="349"/>
      <c r="AM47" s="349"/>
      <c r="AN47" s="350"/>
      <c r="AO47" s="351" t="s">
        <v>133</v>
      </c>
      <c r="AP47" s="352"/>
      <c r="AQ47" s="352"/>
      <c r="AR47" s="352"/>
      <c r="AS47" s="352"/>
      <c r="AT47" s="352"/>
      <c r="AU47" s="352"/>
      <c r="AV47" s="352"/>
      <c r="AW47" s="351" t="s">
        <v>134</v>
      </c>
      <c r="AX47" s="352"/>
      <c r="AY47" s="352"/>
      <c r="AZ47" s="352"/>
      <c r="BA47" s="352"/>
      <c r="BB47" s="352"/>
      <c r="BC47" s="352"/>
      <c r="BD47" s="353"/>
      <c r="BE47" s="100"/>
    </row>
    <row r="48" spans="2:57" ht="16.5" thickBot="1">
      <c r="B48" s="58">
        <f t="shared" si="4"/>
        <v>46394</v>
      </c>
      <c r="C48" s="165" t="str">
        <f t="shared" si="1"/>
        <v>Jan-2027</v>
      </c>
      <c r="D48" s="89">
        <v>21</v>
      </c>
      <c r="E48" s="197">
        <f t="shared" si="2"/>
        <v>1971.7742067051774</v>
      </c>
      <c r="F48" s="198">
        <f t="shared" si="5"/>
        <v>1429.1142507400746</v>
      </c>
      <c r="G48" s="199">
        <f t="shared" si="3"/>
        <v>542.65995596510288</v>
      </c>
      <c r="H48" s="200">
        <f t="shared" si="6"/>
        <v>25275.079945087433</v>
      </c>
      <c r="J48" s="44"/>
      <c r="K48" s="45"/>
      <c r="L48" s="80" t="s">
        <v>70</v>
      </c>
      <c r="M48" s="74"/>
      <c r="N48" s="74"/>
      <c r="O48" s="74"/>
      <c r="P48" s="74"/>
      <c r="Q48" s="74"/>
      <c r="R48" s="373">
        <f>E25</f>
        <v>36</v>
      </c>
      <c r="S48" s="373"/>
      <c r="T48" s="81" t="s">
        <v>71</v>
      </c>
      <c r="U48" s="47"/>
      <c r="W48" s="100"/>
      <c r="X48" s="329" t="s">
        <v>288</v>
      </c>
      <c r="Y48" s="330"/>
      <c r="Z48" s="330"/>
      <c r="AA48" s="330"/>
      <c r="AB48" s="330"/>
      <c r="AC48" s="331"/>
      <c r="AD48" s="332" t="str">
        <f>D23</f>
        <v>2012-015</v>
      </c>
      <c r="AE48" s="333"/>
      <c r="AF48" s="333"/>
      <c r="AG48" s="333"/>
      <c r="AH48" s="334"/>
      <c r="AI48" s="329" t="s">
        <v>232</v>
      </c>
      <c r="AJ48" s="330"/>
      <c r="AK48" s="330"/>
      <c r="AL48" s="330"/>
      <c r="AM48" s="330"/>
      <c r="AN48" s="331"/>
      <c r="AO48" s="103">
        <v>0</v>
      </c>
      <c r="AP48" s="104">
        <v>1</v>
      </c>
      <c r="AQ48" s="104">
        <v>0</v>
      </c>
      <c r="AR48" s="104">
        <v>2</v>
      </c>
      <c r="AS48" s="104">
        <v>2</v>
      </c>
      <c r="AT48" s="104">
        <v>0</v>
      </c>
      <c r="AU48" s="104">
        <v>1</v>
      </c>
      <c r="AV48" s="105">
        <v>2</v>
      </c>
      <c r="AW48" s="103"/>
      <c r="AX48" s="104"/>
      <c r="AY48" s="104"/>
      <c r="AZ48" s="104"/>
      <c r="BA48" s="104"/>
      <c r="BB48" s="104"/>
      <c r="BC48" s="104"/>
      <c r="BD48" s="105"/>
      <c r="BE48" s="100"/>
    </row>
    <row r="49" spans="2:57" ht="16.5" thickBot="1">
      <c r="B49" s="58">
        <f t="shared" si="4"/>
        <v>46425</v>
      </c>
      <c r="C49" s="165" t="str">
        <f t="shared" si="1"/>
        <v>Feb-2027</v>
      </c>
      <c r="D49" s="89">
        <v>22</v>
      </c>
      <c r="E49" s="197">
        <f t="shared" si="2"/>
        <v>1971.7742067051774</v>
      </c>
      <c r="F49" s="198">
        <f t="shared" si="5"/>
        <v>1458.1554968712489</v>
      </c>
      <c r="G49" s="199">
        <f t="shared" si="3"/>
        <v>513.61870983392839</v>
      </c>
      <c r="H49" s="200">
        <f t="shared" si="6"/>
        <v>23816.924448216185</v>
      </c>
      <c r="J49" s="44"/>
      <c r="K49" s="45"/>
      <c r="L49" s="74" t="s">
        <v>72</v>
      </c>
      <c r="M49" s="74"/>
      <c r="N49" s="74"/>
      <c r="O49" s="74"/>
      <c r="P49" s="74"/>
      <c r="Q49" s="74"/>
      <c r="R49" s="374">
        <f>C1</f>
        <v>1971.7742067051774</v>
      </c>
      <c r="S49" s="374"/>
      <c r="T49" s="374"/>
      <c r="U49" s="47"/>
      <c r="W49" s="100"/>
      <c r="X49" s="100"/>
      <c r="Y49" s="100"/>
      <c r="Z49" s="100"/>
      <c r="AA49" s="100"/>
      <c r="AB49" s="100"/>
      <c r="AC49" s="100"/>
      <c r="AD49" s="100"/>
      <c r="AE49" s="100"/>
      <c r="AF49" s="100"/>
      <c r="AG49" s="100"/>
      <c r="AH49" s="100"/>
      <c r="AI49" s="100"/>
      <c r="AJ49" s="100"/>
      <c r="AK49" s="100"/>
      <c r="AL49" s="100"/>
      <c r="AM49" s="100"/>
      <c r="AN49" s="100"/>
      <c r="AO49" s="130" t="s">
        <v>90</v>
      </c>
      <c r="AP49" s="130" t="s">
        <v>90</v>
      </c>
      <c r="AQ49" s="130" t="s">
        <v>91</v>
      </c>
      <c r="AR49" s="130" t="s">
        <v>91</v>
      </c>
      <c r="AS49" s="130" t="s">
        <v>92</v>
      </c>
      <c r="AT49" s="130" t="s">
        <v>92</v>
      </c>
      <c r="AU49" s="130" t="s">
        <v>92</v>
      </c>
      <c r="AV49" s="130" t="s">
        <v>92</v>
      </c>
      <c r="AW49" s="130" t="s">
        <v>90</v>
      </c>
      <c r="AX49" s="130" t="s">
        <v>90</v>
      </c>
      <c r="AY49" s="130" t="s">
        <v>91</v>
      </c>
      <c r="AZ49" s="130" t="s">
        <v>91</v>
      </c>
      <c r="BA49" s="130" t="s">
        <v>92</v>
      </c>
      <c r="BB49" s="130" t="s">
        <v>92</v>
      </c>
      <c r="BC49" s="130" t="s">
        <v>92</v>
      </c>
      <c r="BD49" s="130" t="s">
        <v>92</v>
      </c>
      <c r="BE49" s="100"/>
    </row>
    <row r="50" spans="2:57" ht="16.5" thickBot="1">
      <c r="B50" s="58">
        <f t="shared" si="4"/>
        <v>46453</v>
      </c>
      <c r="C50" s="165" t="str">
        <f t="shared" si="1"/>
        <v>Mar-2027</v>
      </c>
      <c r="D50" s="89">
        <v>23</v>
      </c>
      <c r="E50" s="197">
        <f t="shared" si="2"/>
        <v>1971.7742067051774</v>
      </c>
      <c r="F50" s="198">
        <f t="shared" si="5"/>
        <v>1487.7868945430823</v>
      </c>
      <c r="G50" s="199">
        <f t="shared" si="3"/>
        <v>483.98731216209518</v>
      </c>
      <c r="H50" s="200">
        <f t="shared" si="6"/>
        <v>22329.137553673103</v>
      </c>
      <c r="J50" s="44"/>
      <c r="K50" s="45"/>
      <c r="L50" s="74" t="s">
        <v>73</v>
      </c>
      <c r="M50" s="74"/>
      <c r="N50" s="74"/>
      <c r="O50" s="74"/>
      <c r="P50" s="74"/>
      <c r="Q50" s="74"/>
      <c r="R50" s="375">
        <f>B28</f>
        <v>45784</v>
      </c>
      <c r="S50" s="375"/>
      <c r="T50" s="375"/>
      <c r="U50" s="47"/>
      <c r="W50" s="100"/>
      <c r="X50" s="100"/>
      <c r="Y50" s="100"/>
      <c r="Z50" s="100"/>
      <c r="AA50" s="100"/>
      <c r="AB50" s="100"/>
      <c r="AC50" s="100"/>
      <c r="AD50" s="100"/>
      <c r="AE50" s="100"/>
      <c r="AF50" s="100"/>
      <c r="AG50" s="100"/>
      <c r="AH50" s="100"/>
      <c r="AI50" s="100"/>
      <c r="AJ50" s="100"/>
      <c r="AK50" s="100"/>
      <c r="AL50" s="100"/>
      <c r="AM50" s="100"/>
      <c r="AN50" s="100"/>
      <c r="AO50" s="100"/>
      <c r="AP50" s="100"/>
      <c r="AQ50" s="100"/>
      <c r="AR50" s="100"/>
      <c r="AS50" s="100"/>
      <c r="AT50" s="100"/>
      <c r="AU50" s="100"/>
      <c r="AV50" s="100"/>
      <c r="AW50" s="100"/>
      <c r="AX50" s="100"/>
      <c r="AY50" s="100"/>
      <c r="AZ50" s="100"/>
      <c r="BA50" s="100"/>
      <c r="BB50" s="100"/>
      <c r="BC50" s="100"/>
      <c r="BD50" s="100"/>
      <c r="BE50" s="100"/>
    </row>
    <row r="51" spans="2:57" ht="16.5" thickBot="1">
      <c r="B51" s="58">
        <f t="shared" si="4"/>
        <v>46484</v>
      </c>
      <c r="C51" s="165" t="str">
        <f t="shared" si="1"/>
        <v>Apr-2027</v>
      </c>
      <c r="D51" s="89">
        <v>24</v>
      </c>
      <c r="E51" s="201">
        <f t="shared" si="2"/>
        <v>1971.7742067051774</v>
      </c>
      <c r="F51" s="202">
        <f t="shared" si="5"/>
        <v>1518.0204363139983</v>
      </c>
      <c r="G51" s="203">
        <f t="shared" si="3"/>
        <v>453.7537703911791</v>
      </c>
      <c r="H51" s="169">
        <f t="shared" si="6"/>
        <v>20811.117117359106</v>
      </c>
      <c r="J51" s="44"/>
      <c r="K51" s="45"/>
      <c r="L51" s="74" t="s">
        <v>74</v>
      </c>
      <c r="M51" s="74"/>
      <c r="N51" s="74"/>
      <c r="O51" s="74"/>
      <c r="P51" s="74"/>
      <c r="Q51" s="74"/>
      <c r="R51" s="375">
        <f>B63</f>
        <v>46850</v>
      </c>
      <c r="S51" s="375"/>
      <c r="T51" s="375"/>
      <c r="U51" s="47"/>
      <c r="W51" s="100"/>
      <c r="X51" s="102" t="s">
        <v>135</v>
      </c>
      <c r="Y51" s="102"/>
      <c r="Z51" s="102"/>
      <c r="AA51" s="102"/>
      <c r="AB51" s="102"/>
      <c r="AC51" s="102"/>
      <c r="AD51" s="102"/>
      <c r="AE51" s="102" t="s">
        <v>136</v>
      </c>
      <c r="AF51" s="102"/>
      <c r="AG51" s="102"/>
      <c r="AH51" s="102"/>
      <c r="AI51" s="100"/>
      <c r="AJ51" s="131" t="s">
        <v>137</v>
      </c>
      <c r="AK51" s="364">
        <v>42</v>
      </c>
      <c r="AL51" s="362"/>
      <c r="AM51" s="365" t="s">
        <v>138</v>
      </c>
      <c r="AN51" s="365"/>
      <c r="AO51" s="365"/>
      <c r="AP51" s="365"/>
      <c r="AQ51" s="132"/>
      <c r="AR51" s="279" t="s">
        <v>139</v>
      </c>
      <c r="AS51" s="279"/>
      <c r="AT51" s="132"/>
      <c r="AU51" s="279" t="s">
        <v>140</v>
      </c>
      <c r="AV51" s="279"/>
      <c r="AW51" s="279"/>
      <c r="AX51" s="279" t="s">
        <v>141</v>
      </c>
      <c r="AY51" s="279"/>
      <c r="AZ51" s="279"/>
      <c r="BA51" s="279"/>
      <c r="BB51" s="279"/>
      <c r="BC51" s="279"/>
      <c r="BD51" s="279"/>
      <c r="BE51" s="100"/>
    </row>
    <row r="52" spans="2:57" ht="16.5" thickBot="1">
      <c r="B52" s="58">
        <f t="shared" si="4"/>
        <v>46514</v>
      </c>
      <c r="C52" s="165" t="str">
        <f t="shared" ref="C52:C63" si="7">TEXT(B52,"mmm-yyyy")</f>
        <v>May-2027</v>
      </c>
      <c r="D52" s="89">
        <v>25</v>
      </c>
      <c r="E52" s="201">
        <f t="shared" ref="E52:E63" si="8">C$1</f>
        <v>1971.7742067051774</v>
      </c>
      <c r="F52" s="202">
        <f t="shared" ref="F52:F63" si="9">E52-G52</f>
        <v>1548.8683584450091</v>
      </c>
      <c r="G52" s="203">
        <f t="shared" ref="G52:G63" si="10">H51*C$12</f>
        <v>422.90584826016823</v>
      </c>
      <c r="H52" s="169">
        <f t="shared" ref="H52:H63" si="11">H51-F52</f>
        <v>19262.248758914098</v>
      </c>
      <c r="J52" s="44"/>
      <c r="K52" s="45"/>
      <c r="L52" s="74" t="s">
        <v>75</v>
      </c>
      <c r="M52" s="74"/>
      <c r="N52" s="74"/>
      <c r="O52" s="74"/>
      <c r="P52" s="74"/>
      <c r="Q52" s="74"/>
      <c r="R52" s="369">
        <f>C16</f>
        <v>8.855359027416676E-2</v>
      </c>
      <c r="S52" s="369"/>
      <c r="T52" s="369"/>
      <c r="U52" s="47"/>
      <c r="W52" s="100"/>
      <c r="X52" s="266" t="s">
        <v>287</v>
      </c>
      <c r="Y52" s="267"/>
      <c r="Z52" s="267"/>
      <c r="AA52" s="267"/>
      <c r="AB52" s="267"/>
      <c r="AC52" s="267"/>
      <c r="AD52" s="268"/>
      <c r="AE52" s="469">
        <v>30361</v>
      </c>
      <c r="AF52" s="361"/>
      <c r="AG52" s="361"/>
      <c r="AH52" s="361"/>
      <c r="AI52" s="361"/>
      <c r="AJ52" s="361"/>
      <c r="AK52" s="361"/>
      <c r="AL52" s="362"/>
      <c r="AM52" s="365"/>
      <c r="AN52" s="365"/>
      <c r="AO52" s="365"/>
      <c r="AP52" s="365"/>
      <c r="AQ52" s="132"/>
      <c r="AR52" s="279" t="s">
        <v>142</v>
      </c>
      <c r="AS52" s="279"/>
      <c r="AT52" s="132"/>
      <c r="AU52" s="279" t="s">
        <v>143</v>
      </c>
      <c r="AV52" s="279"/>
      <c r="AW52" s="279"/>
      <c r="AX52" s="366" t="s">
        <v>289</v>
      </c>
      <c r="AY52" s="367"/>
      <c r="AZ52" s="367"/>
      <c r="BA52" s="367"/>
      <c r="BB52" s="367"/>
      <c r="BC52" s="367"/>
      <c r="BD52" s="368"/>
      <c r="BE52" s="100"/>
    </row>
    <row r="53" spans="2:57" ht="16.5" thickBot="1">
      <c r="B53" s="58">
        <f t="shared" si="4"/>
        <v>46545</v>
      </c>
      <c r="C53" s="165" t="str">
        <f t="shared" si="7"/>
        <v>Jun-2027</v>
      </c>
      <c r="D53" s="89">
        <v>26</v>
      </c>
      <c r="E53" s="201">
        <f t="shared" si="8"/>
        <v>1971.7742067051774</v>
      </c>
      <c r="F53" s="202">
        <f t="shared" si="9"/>
        <v>1580.3431458520315</v>
      </c>
      <c r="G53" s="203">
        <f t="shared" si="10"/>
        <v>391.43106085314594</v>
      </c>
      <c r="H53" s="169">
        <f t="shared" si="11"/>
        <v>17681.905613062067</v>
      </c>
      <c r="J53" s="44"/>
      <c r="K53" s="45"/>
      <c r="L53" s="74" t="s">
        <v>76</v>
      </c>
      <c r="M53" s="74"/>
      <c r="N53" s="74"/>
      <c r="O53" s="74"/>
      <c r="P53" s="74"/>
      <c r="Q53" s="74"/>
      <c r="R53" s="369">
        <f>'[2]Data Entry'!E12/12</f>
        <v>6.9166666666666673E-3</v>
      </c>
      <c r="S53" s="369"/>
      <c r="T53" s="369"/>
      <c r="U53" s="47"/>
      <c r="W53" s="100"/>
      <c r="X53" s="272" t="s">
        <v>144</v>
      </c>
      <c r="Y53" s="272"/>
      <c r="Z53" s="272"/>
      <c r="AA53" s="272"/>
      <c r="AB53" s="272"/>
      <c r="AC53" s="272"/>
      <c r="AD53" s="272"/>
      <c r="AE53" s="272" t="s">
        <v>145</v>
      </c>
      <c r="AF53" s="272"/>
      <c r="AG53" s="272"/>
      <c r="AH53" s="272"/>
      <c r="AI53" s="272"/>
      <c r="AJ53" s="272"/>
      <c r="AK53" s="272"/>
      <c r="AL53" s="272"/>
      <c r="AM53" s="272"/>
      <c r="AN53" s="272"/>
      <c r="AO53" s="272"/>
      <c r="AP53" s="272"/>
      <c r="AQ53" s="272"/>
      <c r="AR53" s="272"/>
      <c r="AS53" s="272"/>
      <c r="AT53" s="272"/>
      <c r="AU53" s="100"/>
      <c r="AV53" s="113"/>
      <c r="AW53" s="113"/>
      <c r="AX53" s="113" t="s">
        <v>146</v>
      </c>
      <c r="AY53" s="113"/>
      <c r="AZ53" s="113"/>
      <c r="BA53" s="113"/>
      <c r="BB53" s="113"/>
      <c r="BC53" s="113"/>
      <c r="BD53" s="113"/>
      <c r="BE53" s="100"/>
    </row>
    <row r="54" spans="2:57" ht="16.5" thickBot="1">
      <c r="B54" s="58">
        <f t="shared" si="4"/>
        <v>46575</v>
      </c>
      <c r="C54" s="165" t="str">
        <f t="shared" si="7"/>
        <v>Jul-2027</v>
      </c>
      <c r="D54" s="89">
        <v>27</v>
      </c>
      <c r="E54" s="201">
        <f t="shared" si="8"/>
        <v>1971.7742067051774</v>
      </c>
      <c r="F54" s="202">
        <f t="shared" si="9"/>
        <v>1612.4575371588403</v>
      </c>
      <c r="G54" s="203">
        <f t="shared" si="10"/>
        <v>359.31666954633715</v>
      </c>
      <c r="H54" s="169">
        <f t="shared" si="11"/>
        <v>16069.448075903227</v>
      </c>
      <c r="J54" s="44"/>
      <c r="K54" s="82"/>
      <c r="L54" s="82"/>
      <c r="M54" s="82"/>
      <c r="N54" s="82"/>
      <c r="O54" s="83"/>
      <c r="P54" s="82"/>
      <c r="Q54" s="82"/>
      <c r="R54" s="82"/>
      <c r="S54" s="82"/>
      <c r="T54" s="82"/>
      <c r="U54" s="47"/>
      <c r="W54" s="100"/>
      <c r="X54" s="290" t="s">
        <v>232</v>
      </c>
      <c r="Y54" s="291"/>
      <c r="Z54" s="291"/>
      <c r="AA54" s="291"/>
      <c r="AB54" s="291"/>
      <c r="AC54" s="291"/>
      <c r="AD54" s="292"/>
      <c r="AE54" s="273" t="s">
        <v>233</v>
      </c>
      <c r="AF54" s="274"/>
      <c r="AG54" s="274"/>
      <c r="AH54" s="274"/>
      <c r="AI54" s="274"/>
      <c r="AJ54" s="274"/>
      <c r="AK54" s="274"/>
      <c r="AL54" s="274"/>
      <c r="AM54" s="274"/>
      <c r="AN54" s="274"/>
      <c r="AO54" s="274"/>
      <c r="AP54" s="274"/>
      <c r="AQ54" s="274"/>
      <c r="AR54" s="274"/>
      <c r="AS54" s="274"/>
      <c r="AT54" s="274"/>
      <c r="AU54" s="274"/>
      <c r="AV54" s="274"/>
      <c r="AW54" s="275"/>
      <c r="AX54" s="276">
        <v>89115061</v>
      </c>
      <c r="AY54" s="277"/>
      <c r="AZ54" s="277"/>
      <c r="BA54" s="277"/>
      <c r="BB54" s="277"/>
      <c r="BC54" s="277"/>
      <c r="BD54" s="278"/>
      <c r="BE54" s="100"/>
    </row>
    <row r="55" spans="2:57" ht="16.5" thickBot="1">
      <c r="B55" s="58">
        <f t="shared" si="4"/>
        <v>46606</v>
      </c>
      <c r="C55" s="165" t="str">
        <f t="shared" si="7"/>
        <v>Aug-2027</v>
      </c>
      <c r="D55" s="89">
        <v>28</v>
      </c>
      <c r="E55" s="201">
        <f t="shared" si="8"/>
        <v>1971.7742067051774</v>
      </c>
      <c r="F55" s="202">
        <f t="shared" si="9"/>
        <v>1645.2245298527046</v>
      </c>
      <c r="G55" s="203">
        <f t="shared" si="10"/>
        <v>326.54967685247283</v>
      </c>
      <c r="H55" s="169">
        <f t="shared" si="11"/>
        <v>14424.223546050522</v>
      </c>
      <c r="J55" s="44"/>
      <c r="K55" s="45"/>
      <c r="L55" s="45"/>
      <c r="M55" s="45"/>
      <c r="N55" s="45"/>
      <c r="O55" s="49"/>
      <c r="P55" s="45"/>
      <c r="Q55" s="45"/>
      <c r="R55" s="45"/>
      <c r="S55" s="45"/>
      <c r="T55" s="45"/>
      <c r="U55" s="47"/>
      <c r="W55" s="100"/>
      <c r="X55" s="102" t="s">
        <v>147</v>
      </c>
      <c r="Y55" s="102"/>
      <c r="Z55" s="102"/>
      <c r="AA55" s="102"/>
      <c r="AB55" s="102"/>
      <c r="AC55" s="102"/>
      <c r="AD55" s="102"/>
      <c r="AE55" s="100"/>
      <c r="AF55" s="102"/>
      <c r="AG55" s="113" t="s">
        <v>148</v>
      </c>
      <c r="AH55" s="100"/>
      <c r="AI55" s="100"/>
      <c r="AJ55" s="100"/>
      <c r="AK55" s="113"/>
      <c r="AL55" s="113"/>
      <c r="AM55" s="113"/>
      <c r="AN55" s="113"/>
      <c r="AO55" s="113"/>
      <c r="AP55" s="113"/>
      <c r="AQ55" s="113"/>
      <c r="AR55" s="113"/>
      <c r="AS55" s="113"/>
      <c r="AT55" s="279" t="s">
        <v>149</v>
      </c>
      <c r="AU55" s="279"/>
      <c r="AV55" s="279"/>
      <c r="AW55" s="279"/>
      <c r="AX55" s="279"/>
      <c r="AY55" s="279"/>
      <c r="AZ55" s="279"/>
      <c r="BA55" s="279"/>
      <c r="BB55" s="279"/>
      <c r="BC55" s="279"/>
      <c r="BD55" s="279"/>
      <c r="BE55" s="100"/>
    </row>
    <row r="56" spans="2:57" ht="16.5" thickBot="1">
      <c r="B56" s="58">
        <f t="shared" si="4"/>
        <v>46637</v>
      </c>
      <c r="C56" s="165" t="str">
        <f t="shared" si="7"/>
        <v>Sep-2027</v>
      </c>
      <c r="D56" s="89">
        <v>29</v>
      </c>
      <c r="E56" s="201">
        <f t="shared" si="8"/>
        <v>1971.7742067051774</v>
      </c>
      <c r="F56" s="202">
        <f t="shared" si="9"/>
        <v>1678.6573855447919</v>
      </c>
      <c r="G56" s="203">
        <f t="shared" si="10"/>
        <v>293.11682116038554</v>
      </c>
      <c r="H56" s="169">
        <f t="shared" si="11"/>
        <v>12745.56616050573</v>
      </c>
      <c r="J56" s="44"/>
      <c r="K56" s="45" t="s">
        <v>77</v>
      </c>
      <c r="L56" s="45"/>
      <c r="M56" s="45"/>
      <c r="O56" s="45"/>
      <c r="P56" s="45"/>
      <c r="R56" s="45" t="s">
        <v>78</v>
      </c>
      <c r="S56" s="45"/>
      <c r="T56" s="45"/>
      <c r="U56" s="47"/>
      <c r="W56" s="100"/>
      <c r="X56" s="468" t="str">
        <f>AD48</f>
        <v>2012-015</v>
      </c>
      <c r="Y56" s="274"/>
      <c r="Z56" s="274"/>
      <c r="AA56" s="274"/>
      <c r="AB56" s="274"/>
      <c r="AC56" s="274"/>
      <c r="AD56" s="274"/>
      <c r="AE56" s="274"/>
      <c r="AF56" s="275"/>
      <c r="AG56" s="284" t="s">
        <v>286</v>
      </c>
      <c r="AH56" s="285"/>
      <c r="AI56" s="285"/>
      <c r="AJ56" s="285"/>
      <c r="AK56" s="285"/>
      <c r="AL56" s="285"/>
      <c r="AM56" s="285"/>
      <c r="AN56" s="285"/>
      <c r="AO56" s="285"/>
      <c r="AP56" s="285"/>
      <c r="AQ56" s="285"/>
      <c r="AR56" s="285"/>
      <c r="AS56" s="286"/>
      <c r="AT56" s="219">
        <v>2</v>
      </c>
      <c r="AU56" s="220">
        <v>6</v>
      </c>
      <c r="AV56" s="220">
        <v>2</v>
      </c>
      <c r="AW56" s="133" t="s">
        <v>150</v>
      </c>
      <c r="AX56" s="220">
        <v>8</v>
      </c>
      <c r="AY56" s="220">
        <v>6</v>
      </c>
      <c r="AZ56" s="220">
        <v>1</v>
      </c>
      <c r="BA56" s="133" t="s">
        <v>150</v>
      </c>
      <c r="BB56" s="220">
        <v>9</v>
      </c>
      <c r="BC56" s="220">
        <v>5</v>
      </c>
      <c r="BD56" s="220">
        <v>8</v>
      </c>
      <c r="BE56" s="100"/>
    </row>
    <row r="57" spans="2:57" ht="16.5" customHeight="1" thickBot="1">
      <c r="B57" s="58">
        <f t="shared" si="4"/>
        <v>46667</v>
      </c>
      <c r="C57" s="165" t="str">
        <f t="shared" si="7"/>
        <v>Oct-2027</v>
      </c>
      <c r="D57" s="89">
        <v>30</v>
      </c>
      <c r="E57" s="201">
        <f t="shared" si="8"/>
        <v>1971.7742067051774</v>
      </c>
      <c r="F57" s="202">
        <f t="shared" si="9"/>
        <v>1712.7696353374693</v>
      </c>
      <c r="G57" s="203">
        <f t="shared" si="10"/>
        <v>259.00457136770825</v>
      </c>
      <c r="H57" s="169">
        <f t="shared" si="11"/>
        <v>11032.796525168262</v>
      </c>
      <c r="J57" s="44"/>
      <c r="K57" s="45"/>
      <c r="L57" s="45"/>
      <c r="M57" s="45"/>
      <c r="N57" s="45"/>
      <c r="O57" s="45"/>
      <c r="P57" s="45"/>
      <c r="Q57" s="45"/>
      <c r="R57" s="45"/>
      <c r="S57" s="45"/>
      <c r="T57" s="45"/>
      <c r="U57" s="47"/>
      <c r="W57" s="100"/>
      <c r="X57" s="134" t="s">
        <v>151</v>
      </c>
      <c r="Y57" s="113"/>
      <c r="Z57" s="113"/>
      <c r="AA57" s="113"/>
      <c r="AB57" s="428" t="s">
        <v>285</v>
      </c>
      <c r="AC57" s="288"/>
      <c r="AD57" s="288"/>
      <c r="AE57" s="288"/>
      <c r="AF57" s="288"/>
      <c r="AG57" s="288"/>
      <c r="AH57" s="288"/>
      <c r="AI57" s="288"/>
      <c r="AJ57" s="288"/>
      <c r="AK57" s="288"/>
      <c r="AL57" s="288"/>
      <c r="AM57" s="288"/>
      <c r="AN57" s="288"/>
      <c r="AO57" s="288"/>
      <c r="AP57" s="288"/>
      <c r="AQ57" s="288"/>
      <c r="AR57" s="288"/>
      <c r="AS57" s="288"/>
      <c r="AT57" s="288"/>
      <c r="AU57" s="288"/>
      <c r="AV57" s="288"/>
      <c r="AW57" s="288"/>
      <c r="AX57" s="288"/>
      <c r="AY57" s="288"/>
      <c r="AZ57" s="288"/>
      <c r="BA57" s="288"/>
      <c r="BB57" s="288"/>
      <c r="BC57" s="288"/>
      <c r="BD57" s="289"/>
      <c r="BE57" s="100"/>
    </row>
    <row r="58" spans="2:57" ht="15.6" customHeight="1" thickBot="1">
      <c r="B58" s="58">
        <f t="shared" si="4"/>
        <v>46698</v>
      </c>
      <c r="C58" s="165" t="str">
        <f t="shared" si="7"/>
        <v>Nov-2027</v>
      </c>
      <c r="D58" s="89">
        <v>31</v>
      </c>
      <c r="E58" s="201">
        <f t="shared" si="8"/>
        <v>1971.7742067051774</v>
      </c>
      <c r="F58" s="202">
        <f t="shared" si="9"/>
        <v>1747.5750853006746</v>
      </c>
      <c r="G58" s="203">
        <f t="shared" si="10"/>
        <v>224.19912140450279</v>
      </c>
      <c r="H58" s="169">
        <f t="shared" si="11"/>
        <v>9285.2214398675878</v>
      </c>
      <c r="J58" s="50"/>
      <c r="U58" s="78"/>
      <c r="W58" s="100"/>
      <c r="X58" s="280" t="s">
        <v>152</v>
      </c>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c r="BA58" s="281"/>
      <c r="BB58" s="281"/>
      <c r="BC58" s="281"/>
      <c r="BD58" s="282"/>
      <c r="BE58" s="100"/>
    </row>
    <row r="59" spans="2:57" ht="16.5" thickBot="1">
      <c r="B59" s="58">
        <f t="shared" si="4"/>
        <v>46728</v>
      </c>
      <c r="C59" s="165" t="str">
        <f t="shared" si="7"/>
        <v>Dec-2027</v>
      </c>
      <c r="D59" s="89">
        <v>32</v>
      </c>
      <c r="E59" s="201">
        <f t="shared" si="8"/>
        <v>1971.7742067051774</v>
      </c>
      <c r="F59" s="202">
        <f t="shared" si="9"/>
        <v>1783.087822059575</v>
      </c>
      <c r="G59" s="203">
        <f t="shared" si="10"/>
        <v>188.68638464560252</v>
      </c>
      <c r="H59" s="169">
        <f t="shared" si="11"/>
        <v>7502.1336178080128</v>
      </c>
      <c r="J59" s="50"/>
      <c r="U59" s="78"/>
      <c r="W59" s="100"/>
      <c r="X59" s="100"/>
      <c r="Y59" s="100"/>
      <c r="Z59" s="100"/>
      <c r="AA59" s="100"/>
      <c r="AB59" s="100"/>
      <c r="AC59" s="100"/>
      <c r="AD59" s="100"/>
      <c r="AE59" s="100"/>
      <c r="AF59" s="100"/>
      <c r="AG59" s="100"/>
      <c r="AH59" s="100"/>
      <c r="AI59" s="100"/>
      <c r="AJ59" s="100"/>
      <c r="AK59" s="100"/>
      <c r="AL59" s="100"/>
      <c r="AM59" s="100"/>
      <c r="AN59" s="100"/>
      <c r="AO59" s="100"/>
      <c r="AP59" s="100"/>
      <c r="AQ59" s="100"/>
      <c r="AR59" s="100"/>
      <c r="AS59" s="100"/>
      <c r="AT59" s="100"/>
      <c r="AU59" s="100"/>
      <c r="AV59" s="100"/>
      <c r="AW59" s="100"/>
      <c r="AX59" s="100"/>
      <c r="AY59" s="100"/>
      <c r="AZ59" s="100"/>
      <c r="BA59" s="100"/>
      <c r="BB59" s="100"/>
      <c r="BC59" s="100"/>
      <c r="BD59" s="100"/>
      <c r="BE59" s="100"/>
    </row>
    <row r="60" spans="2:57" ht="16.5" thickBot="1">
      <c r="B60" s="58">
        <f t="shared" si="4"/>
        <v>46759</v>
      </c>
      <c r="C60" s="165" t="str">
        <f t="shared" si="7"/>
        <v>Jan-2028</v>
      </c>
      <c r="D60" s="89">
        <v>33</v>
      </c>
      <c r="E60" s="201">
        <f t="shared" si="8"/>
        <v>1971.7742067051774</v>
      </c>
      <c r="F60" s="202">
        <f t="shared" si="9"/>
        <v>1819.3222184957704</v>
      </c>
      <c r="G60" s="203">
        <f t="shared" si="10"/>
        <v>152.45198820940718</v>
      </c>
      <c r="H60" s="169">
        <f t="shared" si="11"/>
        <v>5682.8113993122424</v>
      </c>
      <c r="J60" s="44"/>
      <c r="K60" s="370" t="s">
        <v>238</v>
      </c>
      <c r="L60" s="370"/>
      <c r="M60" s="370"/>
      <c r="N60" s="63"/>
      <c r="O60" s="63"/>
      <c r="P60" s="63"/>
      <c r="R60" s="359" t="s">
        <v>266</v>
      </c>
      <c r="S60" s="359"/>
      <c r="T60" s="359"/>
      <c r="U60" s="47"/>
      <c r="W60" s="100"/>
      <c r="X60" s="100"/>
      <c r="Y60" s="100" t="s">
        <v>153</v>
      </c>
      <c r="Z60" s="100"/>
      <c r="AA60" s="100"/>
      <c r="AB60" s="100"/>
      <c r="AC60" s="100"/>
      <c r="AD60" s="100"/>
      <c r="AE60" s="100"/>
      <c r="AF60" s="100"/>
      <c r="AG60" s="100"/>
      <c r="AH60" s="100"/>
      <c r="AI60" s="100"/>
      <c r="AJ60" s="100"/>
      <c r="AK60" s="100"/>
      <c r="AL60" s="100"/>
      <c r="AM60" s="100"/>
      <c r="AN60" s="100"/>
      <c r="AO60" s="100"/>
      <c r="AP60" s="100"/>
      <c r="AQ60" s="100"/>
      <c r="AR60" s="100"/>
      <c r="AS60" s="100"/>
      <c r="AT60" s="100"/>
      <c r="AU60" s="100"/>
      <c r="AV60" s="100"/>
      <c r="AW60" s="100"/>
      <c r="AX60" s="100"/>
      <c r="AY60" s="100"/>
      <c r="AZ60" s="100"/>
      <c r="BA60" s="100"/>
      <c r="BB60" s="100"/>
      <c r="BC60" s="100"/>
      <c r="BD60" s="100"/>
      <c r="BE60" s="100"/>
    </row>
    <row r="61" spans="2:57" ht="16.5" thickBot="1">
      <c r="B61" s="58">
        <f t="shared" si="4"/>
        <v>46790</v>
      </c>
      <c r="C61" s="165" t="str">
        <f t="shared" si="7"/>
        <v>Feb-2028</v>
      </c>
      <c r="D61" s="89">
        <v>34</v>
      </c>
      <c r="E61" s="201">
        <f t="shared" si="8"/>
        <v>1971.7742067051774</v>
      </c>
      <c r="F61" s="202">
        <f t="shared" si="9"/>
        <v>1856.2929395643546</v>
      </c>
      <c r="G61" s="203">
        <f t="shared" si="10"/>
        <v>115.48126714082282</v>
      </c>
      <c r="H61" s="169">
        <f t="shared" si="11"/>
        <v>3826.5184597478878</v>
      </c>
      <c r="J61" s="44"/>
      <c r="K61" s="371" t="s">
        <v>79</v>
      </c>
      <c r="L61" s="371"/>
      <c r="M61" s="371"/>
      <c r="N61" s="45"/>
      <c r="O61" s="49"/>
      <c r="P61" s="45"/>
      <c r="R61" s="371" t="s">
        <v>80</v>
      </c>
      <c r="S61" s="371"/>
      <c r="T61" s="371"/>
      <c r="U61" s="47"/>
      <c r="W61" s="100"/>
      <c r="X61" s="100" t="s">
        <v>154</v>
      </c>
      <c r="Y61" s="100"/>
      <c r="Z61" s="100"/>
      <c r="AA61" s="100"/>
      <c r="AB61" s="100"/>
      <c r="AC61" s="100"/>
      <c r="AD61" s="100"/>
      <c r="AE61" s="100"/>
      <c r="AF61" s="100"/>
      <c r="AG61" s="100"/>
      <c r="AH61" s="100"/>
      <c r="AI61" s="100"/>
      <c r="AJ61" s="100"/>
      <c r="AK61" s="100"/>
      <c r="AL61" s="100"/>
      <c r="AM61" s="100"/>
      <c r="AN61" s="100"/>
      <c r="AO61" s="100"/>
      <c r="AP61" s="100"/>
      <c r="AQ61" s="100"/>
      <c r="AR61" s="100"/>
      <c r="AS61" s="100"/>
      <c r="AT61" s="100"/>
      <c r="AU61" s="100"/>
      <c r="AV61" s="100"/>
      <c r="AW61" s="100"/>
      <c r="AX61" s="100"/>
      <c r="AY61" s="100"/>
      <c r="AZ61" s="100"/>
      <c r="BA61" s="100"/>
      <c r="BB61" s="100"/>
      <c r="BC61" s="100"/>
      <c r="BD61" s="100"/>
      <c r="BE61" s="100"/>
    </row>
    <row r="62" spans="2:57" ht="16.5" thickBot="1">
      <c r="B62" s="58">
        <f t="shared" si="4"/>
        <v>46819</v>
      </c>
      <c r="C62" s="165" t="str">
        <f t="shared" si="7"/>
        <v>Mar-2028</v>
      </c>
      <c r="D62" s="89">
        <v>35</v>
      </c>
      <c r="E62" s="201">
        <f t="shared" si="8"/>
        <v>1971.7742067051774</v>
      </c>
      <c r="F62" s="202">
        <f t="shared" si="9"/>
        <v>1894.0149482291852</v>
      </c>
      <c r="G62" s="203">
        <f>H61*C$12</f>
        <v>77.759258475992226</v>
      </c>
      <c r="H62" s="169">
        <f t="shared" si="11"/>
        <v>1932.5035115187027</v>
      </c>
      <c r="J62" s="50"/>
      <c r="U62" s="78"/>
      <c r="W62" s="100"/>
      <c r="X62" s="100" t="s">
        <v>155</v>
      </c>
      <c r="Y62" s="100"/>
      <c r="Z62" s="100"/>
      <c r="AA62" s="100"/>
      <c r="AB62" s="100"/>
      <c r="AC62" s="100"/>
      <c r="AD62" s="100"/>
      <c r="AE62" s="100"/>
      <c r="AF62" s="100"/>
      <c r="AG62" s="100"/>
      <c r="AH62" s="100"/>
      <c r="AI62" s="100"/>
      <c r="AJ62" s="100"/>
      <c r="AK62" s="100"/>
      <c r="AL62" s="100"/>
      <c r="AM62" s="100"/>
      <c r="AN62" s="100"/>
      <c r="AO62" s="100"/>
      <c r="AP62" s="100"/>
      <c r="AQ62" s="100"/>
      <c r="AR62" s="100"/>
      <c r="AS62" s="100"/>
      <c r="AT62" s="100"/>
      <c r="AU62" s="100"/>
      <c r="AV62" s="100"/>
      <c r="AW62" s="100"/>
      <c r="AX62" s="100"/>
      <c r="AY62" s="100"/>
      <c r="AZ62" s="100"/>
      <c r="BA62" s="100"/>
      <c r="BB62" s="100"/>
      <c r="BC62" s="100"/>
      <c r="BD62" s="100"/>
      <c r="BE62" s="100"/>
    </row>
    <row r="63" spans="2:57" ht="16.5" thickBot="1">
      <c r="B63" s="58">
        <f t="shared" si="4"/>
        <v>46850</v>
      </c>
      <c r="C63" s="165" t="str">
        <f t="shared" si="7"/>
        <v>Apr-2028</v>
      </c>
      <c r="D63" s="89">
        <v>36</v>
      </c>
      <c r="E63" s="197">
        <f t="shared" si="8"/>
        <v>1971.7742067051774</v>
      </c>
      <c r="F63" s="198">
        <f t="shared" si="9"/>
        <v>1932.5035115187636</v>
      </c>
      <c r="G63" s="199">
        <f t="shared" si="10"/>
        <v>39.270695186413924</v>
      </c>
      <c r="H63" s="200">
        <f t="shared" si="11"/>
        <v>-6.0936145018786192E-11</v>
      </c>
      <c r="J63" s="50"/>
      <c r="U63" s="78"/>
      <c r="W63" s="100"/>
      <c r="X63" s="100" t="s">
        <v>156</v>
      </c>
      <c r="Y63" s="100"/>
      <c r="Z63" s="100"/>
      <c r="AA63" s="100"/>
      <c r="AB63" s="100"/>
      <c r="AC63" s="100"/>
      <c r="AD63" s="100"/>
      <c r="AE63" s="100"/>
      <c r="AF63" s="100"/>
      <c r="AG63" s="100"/>
      <c r="AH63" s="100"/>
      <c r="AI63" s="100"/>
      <c r="AJ63" s="100"/>
      <c r="AK63" s="100"/>
      <c r="AL63" s="100"/>
      <c r="AM63" s="100"/>
      <c r="AN63" s="100"/>
      <c r="AO63" s="100"/>
      <c r="AP63" s="100"/>
      <c r="AQ63" s="100"/>
      <c r="AR63" s="100"/>
      <c r="AS63" s="100"/>
      <c r="AT63" s="100"/>
      <c r="AU63" s="100"/>
      <c r="AV63" s="100"/>
      <c r="AW63" s="100"/>
      <c r="AX63" s="100"/>
      <c r="AY63" s="100"/>
      <c r="AZ63" s="100"/>
      <c r="BA63" s="100"/>
      <c r="BB63" s="100"/>
      <c r="BC63" s="100"/>
      <c r="BD63" s="100"/>
      <c r="BE63" s="100"/>
    </row>
    <row r="64" spans="2:57" ht="16.5" thickBot="1">
      <c r="B64" s="58"/>
      <c r="C64" s="97"/>
      <c r="E64" s="28"/>
      <c r="F64" s="98"/>
      <c r="G64" s="99"/>
      <c r="H64" s="98"/>
      <c r="J64" s="50"/>
      <c r="U64" s="78"/>
      <c r="W64" s="100"/>
      <c r="X64" s="100"/>
      <c r="Y64" s="100"/>
      <c r="Z64" s="100"/>
      <c r="AA64" s="100"/>
      <c r="AB64" s="100"/>
      <c r="AC64" s="100"/>
      <c r="AD64" s="100"/>
      <c r="AE64" s="100"/>
      <c r="AF64" s="100"/>
      <c r="AG64" s="100"/>
      <c r="AH64" s="100"/>
      <c r="AI64" s="100"/>
      <c r="AJ64" s="100"/>
      <c r="AK64" s="100"/>
      <c r="AL64" s="100"/>
      <c r="AM64" s="100"/>
      <c r="AN64" s="100"/>
      <c r="AO64" s="100"/>
      <c r="AP64" s="100"/>
      <c r="AQ64" s="100"/>
      <c r="AR64" s="100"/>
      <c r="AS64" s="100"/>
      <c r="AT64" s="100"/>
      <c r="AU64" s="244" t="str">
        <f>N32</f>
        <v>KELVIN ART T OFRECIO</v>
      </c>
      <c r="AV64" s="244"/>
      <c r="AW64" s="244"/>
      <c r="AX64" s="244"/>
      <c r="AY64" s="244"/>
      <c r="AZ64" s="244"/>
      <c r="BA64" s="244"/>
      <c r="BB64" s="244"/>
      <c r="BC64" s="244"/>
      <c r="BD64" s="100"/>
      <c r="BE64" s="100"/>
    </row>
    <row r="65" spans="2:57" ht="15.75">
      <c r="B65" s="58"/>
      <c r="C65" s="97"/>
      <c r="E65" s="28"/>
      <c r="F65" s="98"/>
      <c r="G65" s="99"/>
      <c r="H65" s="98"/>
      <c r="J65" s="44"/>
      <c r="K65" s="45"/>
      <c r="L65" s="45"/>
      <c r="M65" s="45"/>
      <c r="N65" s="45"/>
      <c r="O65" s="49"/>
      <c r="P65" s="45"/>
      <c r="Q65" s="45"/>
      <c r="R65" s="45"/>
      <c r="S65" s="45"/>
      <c r="T65" s="45"/>
      <c r="U65" s="47"/>
      <c r="W65" s="100"/>
      <c r="X65" s="100"/>
      <c r="Y65" s="100"/>
      <c r="Z65" s="100"/>
      <c r="AA65" s="100"/>
      <c r="AB65" s="100"/>
      <c r="AC65" s="100"/>
      <c r="AD65" s="100"/>
      <c r="AE65" s="100"/>
      <c r="AF65" s="100"/>
      <c r="AG65" s="100"/>
      <c r="AH65" s="100"/>
      <c r="AI65" s="100"/>
      <c r="AJ65" s="100"/>
      <c r="AK65" s="100"/>
      <c r="AL65" s="100"/>
      <c r="AM65" s="100"/>
      <c r="AN65" s="100"/>
      <c r="AO65" s="100"/>
      <c r="AP65" s="100"/>
      <c r="AQ65" s="100"/>
      <c r="AR65" s="100"/>
      <c r="AS65" s="100"/>
      <c r="AT65" s="100"/>
      <c r="AU65" s="252" t="s">
        <v>157</v>
      </c>
      <c r="AV65" s="346"/>
      <c r="AW65" s="346"/>
      <c r="AX65" s="346"/>
      <c r="AY65" s="346"/>
      <c r="AZ65" s="346"/>
      <c r="BA65" s="346"/>
      <c r="BB65" s="346"/>
      <c r="BC65" s="346"/>
      <c r="BD65" s="100"/>
      <c r="BE65" s="100"/>
    </row>
    <row r="66" spans="2:57" ht="15.75">
      <c r="B66" s="58"/>
      <c r="C66" s="97"/>
      <c r="E66" s="28"/>
      <c r="F66" s="98"/>
      <c r="G66" s="99"/>
      <c r="H66" s="98"/>
      <c r="J66" s="44"/>
      <c r="K66" s="45" t="s">
        <v>81</v>
      </c>
      <c r="L66" s="45"/>
      <c r="M66" s="45"/>
      <c r="N66" s="45"/>
      <c r="O66" s="49"/>
      <c r="P66" s="45"/>
      <c r="Q66" s="45"/>
      <c r="R66" s="45" t="s">
        <v>82</v>
      </c>
      <c r="S66" s="45"/>
      <c r="T66" s="45"/>
      <c r="U66" s="47"/>
      <c r="W66" s="100"/>
      <c r="X66" s="280" t="s">
        <v>158</v>
      </c>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c r="BA66" s="281"/>
      <c r="BB66" s="281"/>
      <c r="BC66" s="281"/>
      <c r="BD66" s="282"/>
      <c r="BE66" s="100"/>
    </row>
    <row r="67" spans="2:57" ht="15.75">
      <c r="B67" s="58"/>
      <c r="C67" s="97"/>
      <c r="E67" s="28"/>
      <c r="F67" s="98"/>
      <c r="G67" s="99"/>
      <c r="H67" s="98"/>
      <c r="J67" s="44"/>
      <c r="K67" s="45"/>
      <c r="L67" s="45"/>
      <c r="M67" s="45"/>
      <c r="N67" s="45"/>
      <c r="O67" s="49"/>
      <c r="P67" s="45"/>
      <c r="Q67" s="45"/>
      <c r="R67" s="45"/>
      <c r="S67" s="45"/>
      <c r="T67" s="45"/>
      <c r="U67" s="47"/>
      <c r="W67" s="100"/>
      <c r="X67" s="100"/>
      <c r="Y67" s="100"/>
      <c r="Z67" s="100"/>
      <c r="AA67" s="100"/>
      <c r="AB67" s="100"/>
      <c r="AC67" s="100"/>
      <c r="AD67" s="100"/>
      <c r="AE67" s="100"/>
      <c r="AF67" s="100"/>
      <c r="AG67" s="100"/>
      <c r="AH67" s="100"/>
      <c r="AI67" s="100"/>
      <c r="AJ67" s="100"/>
      <c r="AK67" s="100"/>
      <c r="AL67" s="100"/>
      <c r="AM67" s="100"/>
      <c r="AN67" s="100"/>
      <c r="AO67" s="100"/>
      <c r="AP67" s="100"/>
      <c r="AQ67" s="100"/>
      <c r="AR67" s="100"/>
      <c r="AS67" s="100"/>
      <c r="AT67" s="100"/>
      <c r="AU67" s="100"/>
      <c r="AV67" s="100"/>
      <c r="AW67" s="100"/>
      <c r="AX67" s="100"/>
      <c r="AY67" s="100"/>
      <c r="AZ67" s="100"/>
      <c r="BA67" s="100"/>
      <c r="BB67" s="100"/>
      <c r="BC67" s="100"/>
      <c r="BD67" s="100"/>
      <c r="BE67" s="100"/>
    </row>
    <row r="68" spans="2:57" ht="15.75">
      <c r="B68" s="58"/>
      <c r="C68" s="97"/>
      <c r="E68" s="91">
        <f>SUM(E28:E51)</f>
        <v>47322.580960924271</v>
      </c>
      <c r="F68" s="91">
        <f>SUM(F28:F51)</f>
        <v>29188.882882640894</v>
      </c>
      <c r="G68" s="91">
        <f>SUM(G28:G51)</f>
        <v>18133.698078283367</v>
      </c>
      <c r="H68" s="98"/>
      <c r="J68" s="50"/>
      <c r="U68" s="78"/>
      <c r="W68" s="100"/>
      <c r="X68" s="100"/>
      <c r="Y68" s="100" t="s">
        <v>159</v>
      </c>
      <c r="Z68" s="100"/>
      <c r="AA68" s="100"/>
      <c r="AB68" s="100"/>
      <c r="AC68" s="100"/>
      <c r="AD68" s="100"/>
      <c r="AE68" s="100"/>
      <c r="AF68" s="100"/>
      <c r="AG68" s="100"/>
      <c r="AH68" s="100"/>
      <c r="AI68" s="100"/>
      <c r="AJ68" s="100"/>
      <c r="AK68" s="100"/>
      <c r="AL68" s="100"/>
      <c r="AM68" s="100"/>
      <c r="AN68" s="100"/>
      <c r="AO68" s="100"/>
      <c r="AP68" s="100"/>
      <c r="AQ68" s="100"/>
      <c r="AR68" s="100"/>
      <c r="AS68" s="100"/>
      <c r="AT68" s="100"/>
      <c r="AU68" s="100"/>
      <c r="AV68" s="100"/>
      <c r="AW68" s="100"/>
      <c r="AX68" s="100"/>
      <c r="AY68" s="100"/>
      <c r="AZ68" s="100"/>
      <c r="BA68" s="100"/>
      <c r="BB68" s="100"/>
      <c r="BC68" s="100"/>
      <c r="BD68" s="100"/>
      <c r="BE68" s="100"/>
    </row>
    <row r="69" spans="2:57" ht="16.5" thickBot="1">
      <c r="B69" s="58"/>
      <c r="C69" s="97"/>
      <c r="E69" s="28"/>
      <c r="F69" s="98"/>
      <c r="G69" s="99"/>
      <c r="H69" s="98"/>
      <c r="J69" s="50"/>
      <c r="P69" s="359" t="s">
        <v>265</v>
      </c>
      <c r="Q69" s="359"/>
      <c r="R69" s="359"/>
      <c r="S69" s="359"/>
      <c r="T69" s="359"/>
      <c r="U69" s="187"/>
      <c r="W69" s="100"/>
      <c r="X69" s="100" t="s">
        <v>160</v>
      </c>
      <c r="Y69" s="100"/>
      <c r="Z69" s="100"/>
      <c r="AA69" s="100"/>
      <c r="AB69" s="100"/>
      <c r="AC69" s="100"/>
      <c r="AD69" s="100"/>
      <c r="AE69" s="100"/>
      <c r="AF69" s="100"/>
      <c r="AG69" s="100"/>
      <c r="AH69" s="100"/>
      <c r="AI69" s="100"/>
      <c r="AJ69" s="100"/>
      <c r="AK69" s="100"/>
      <c r="AL69" s="100"/>
      <c r="AM69" s="100"/>
      <c r="AN69" s="100"/>
      <c r="AO69" s="100"/>
      <c r="AP69" s="100"/>
      <c r="AQ69" s="100"/>
      <c r="AR69" s="100"/>
      <c r="AS69" s="100"/>
      <c r="AT69" s="100"/>
      <c r="AU69" s="100"/>
      <c r="AV69" s="100"/>
      <c r="AW69" s="100"/>
      <c r="AX69" s="100"/>
      <c r="AY69" s="100"/>
      <c r="AZ69" s="100"/>
      <c r="BA69" s="100"/>
      <c r="BB69" s="100"/>
      <c r="BC69" s="100"/>
      <c r="BD69" s="100"/>
      <c r="BE69" s="100"/>
    </row>
    <row r="70" spans="2:57" ht="15.75">
      <c r="B70" s="58"/>
      <c r="C70" s="97"/>
      <c r="E70" s="28"/>
      <c r="F70" s="98"/>
      <c r="G70" s="99"/>
      <c r="H70" s="98"/>
      <c r="J70" s="44"/>
      <c r="K70" s="84" t="s">
        <v>83</v>
      </c>
      <c r="L70" s="84"/>
      <c r="M70" s="84"/>
      <c r="N70" s="45"/>
      <c r="O70" s="49"/>
      <c r="P70" s="45"/>
      <c r="Q70" s="45"/>
      <c r="R70" s="63" t="s">
        <v>84</v>
      </c>
      <c r="S70" s="63"/>
      <c r="T70" s="45"/>
      <c r="U70" s="47"/>
      <c r="W70" s="100"/>
      <c r="X70" s="100"/>
      <c r="Y70" s="100"/>
      <c r="Z70" s="100"/>
      <c r="AA70" s="100"/>
      <c r="AB70" s="100"/>
      <c r="AC70" s="100"/>
      <c r="AD70" s="100"/>
      <c r="AE70" s="100"/>
      <c r="AF70" s="100"/>
      <c r="AG70" s="100"/>
      <c r="AH70" s="100"/>
      <c r="AI70" s="100"/>
      <c r="AJ70" s="100"/>
      <c r="AK70" s="100"/>
      <c r="AL70" s="100"/>
      <c r="AM70" s="100"/>
      <c r="AN70" s="100"/>
      <c r="AO70" s="100"/>
      <c r="AP70" s="100"/>
      <c r="AQ70" s="100"/>
      <c r="AR70" s="100"/>
      <c r="AS70" s="100"/>
      <c r="AT70" s="100"/>
      <c r="AU70" s="100"/>
      <c r="AV70" s="100"/>
      <c r="AW70" s="100"/>
      <c r="AX70" s="100"/>
      <c r="AY70" s="100"/>
      <c r="AZ70" s="100"/>
      <c r="BA70" s="100"/>
      <c r="BB70" s="100"/>
      <c r="BC70" s="100"/>
      <c r="BD70" s="100"/>
      <c r="BE70" s="100"/>
    </row>
    <row r="71" spans="2:57" ht="16.5" thickBot="1">
      <c r="B71" s="58"/>
      <c r="C71" s="97"/>
      <c r="E71" s="28"/>
      <c r="F71" s="98"/>
      <c r="G71" s="99"/>
      <c r="H71" s="98"/>
      <c r="J71" s="85"/>
      <c r="K71" s="86"/>
      <c r="L71" s="86"/>
      <c r="M71" s="86"/>
      <c r="N71" s="86"/>
      <c r="O71" s="87"/>
      <c r="P71" s="86"/>
      <c r="Q71" s="86"/>
      <c r="R71" s="86"/>
      <c r="S71" s="86"/>
      <c r="T71" s="86"/>
      <c r="U71" s="88"/>
      <c r="W71" s="100"/>
      <c r="X71" s="244" t="s">
        <v>242</v>
      </c>
      <c r="Y71" s="244"/>
      <c r="Z71" s="244"/>
      <c r="AA71" s="244"/>
      <c r="AB71" s="244"/>
      <c r="AC71" s="244"/>
      <c r="AD71" s="244"/>
      <c r="AE71" s="244"/>
      <c r="AF71" s="100"/>
      <c r="AG71" s="244" t="s">
        <v>243</v>
      </c>
      <c r="AH71" s="244"/>
      <c r="AI71" s="244"/>
      <c r="AJ71" s="244"/>
      <c r="AK71" s="244"/>
      <c r="AL71" s="244"/>
      <c r="AM71" s="244"/>
      <c r="AN71" s="100"/>
      <c r="AO71" s="100"/>
      <c r="AP71" s="244" t="s">
        <v>244</v>
      </c>
      <c r="AQ71" s="244"/>
      <c r="AR71" s="244"/>
      <c r="AS71" s="244"/>
      <c r="AT71" s="244"/>
      <c r="AU71" s="244"/>
      <c r="AV71" s="244"/>
      <c r="AW71" s="100"/>
      <c r="AX71" s="398" t="s">
        <v>239</v>
      </c>
      <c r="AY71" s="398"/>
      <c r="AZ71" s="398"/>
      <c r="BA71" s="398"/>
      <c r="BB71" s="398"/>
      <c r="BC71" s="398"/>
      <c r="BD71" s="398"/>
      <c r="BE71" s="100"/>
    </row>
    <row r="72" spans="2:57" ht="15.75">
      <c r="B72" s="58"/>
      <c r="C72" s="97"/>
      <c r="E72" s="28"/>
      <c r="F72" s="98"/>
      <c r="G72" s="99"/>
      <c r="H72" s="98"/>
      <c r="W72" s="100"/>
      <c r="X72" s="252" t="s">
        <v>161</v>
      </c>
      <c r="Y72" s="252"/>
      <c r="Z72" s="252"/>
      <c r="AA72" s="252"/>
      <c r="AB72" s="252"/>
      <c r="AC72" s="252"/>
      <c r="AD72" s="252"/>
      <c r="AE72" s="252"/>
      <c r="AF72" s="100"/>
      <c r="AG72" s="252" t="s">
        <v>162</v>
      </c>
      <c r="AH72" s="252"/>
      <c r="AI72" s="252"/>
      <c r="AJ72" s="252"/>
      <c r="AK72" s="252"/>
      <c r="AL72" s="252"/>
      <c r="AM72" s="252"/>
      <c r="AN72" s="100"/>
      <c r="AO72" s="100"/>
      <c r="AP72" s="252" t="s">
        <v>163</v>
      </c>
      <c r="AQ72" s="252"/>
      <c r="AR72" s="252"/>
      <c r="AS72" s="252"/>
      <c r="AT72" s="252"/>
      <c r="AU72" s="252"/>
      <c r="AV72" s="252"/>
      <c r="AW72" s="100"/>
      <c r="AX72" s="252" t="s">
        <v>164</v>
      </c>
      <c r="AY72" s="252"/>
      <c r="AZ72" s="252"/>
      <c r="BA72" s="252"/>
      <c r="BB72" s="252"/>
      <c r="BC72" s="252"/>
      <c r="BD72" s="252"/>
      <c r="BE72" s="100"/>
    </row>
    <row r="73" spans="2:57" ht="15.75">
      <c r="B73" s="58"/>
      <c r="C73" s="97"/>
      <c r="E73" s="28"/>
      <c r="F73" s="98"/>
      <c r="G73" s="99"/>
      <c r="H73" s="98"/>
      <c r="W73" s="100"/>
      <c r="X73" s="252" t="s">
        <v>165</v>
      </c>
      <c r="Y73" s="252"/>
      <c r="Z73" s="252"/>
      <c r="AA73" s="252"/>
      <c r="AB73" s="252"/>
      <c r="AC73" s="252"/>
      <c r="AD73" s="252"/>
      <c r="AE73" s="252"/>
      <c r="AF73" s="100"/>
      <c r="AG73" s="100"/>
      <c r="AH73" s="100"/>
      <c r="AI73" s="100"/>
      <c r="AJ73" s="100"/>
      <c r="AK73" s="100"/>
      <c r="AL73" s="100"/>
      <c r="AM73" s="100"/>
      <c r="AN73" s="100"/>
      <c r="AO73" s="100"/>
      <c r="AP73" s="100"/>
      <c r="AQ73" s="100"/>
      <c r="AR73" s="100"/>
      <c r="AS73" s="100"/>
      <c r="AT73" s="100"/>
      <c r="AU73" s="100"/>
      <c r="AV73" s="100"/>
      <c r="AW73" s="100"/>
      <c r="AX73" s="100"/>
      <c r="AY73" s="100"/>
      <c r="AZ73" s="100"/>
      <c r="BA73" s="100"/>
      <c r="BB73" s="100"/>
      <c r="BC73" s="100"/>
      <c r="BD73" s="100"/>
      <c r="BE73" s="100"/>
    </row>
    <row r="74" spans="2:57" ht="15.75">
      <c r="B74" s="58"/>
      <c r="C74" s="97"/>
      <c r="E74" s="28"/>
      <c r="F74" s="98"/>
      <c r="G74" s="99"/>
      <c r="H74" s="98"/>
      <c r="W74" s="100"/>
      <c r="X74" s="280" t="s">
        <v>166</v>
      </c>
      <c r="Y74" s="410"/>
      <c r="Z74" s="410"/>
      <c r="AA74" s="410"/>
      <c r="AB74" s="410"/>
      <c r="AC74" s="410"/>
      <c r="AD74" s="410"/>
      <c r="AE74" s="410"/>
      <c r="AF74" s="410"/>
      <c r="AG74" s="410"/>
      <c r="AH74" s="410"/>
      <c r="AI74" s="410"/>
      <c r="AJ74" s="410"/>
      <c r="AK74" s="410"/>
      <c r="AL74" s="410"/>
      <c r="AM74" s="410"/>
      <c r="AN74" s="410"/>
      <c r="AO74" s="410"/>
      <c r="AP74" s="410"/>
      <c r="AQ74" s="410"/>
      <c r="AR74" s="410"/>
      <c r="AS74" s="410"/>
      <c r="AT74" s="410"/>
      <c r="AU74" s="410"/>
      <c r="AV74" s="410"/>
      <c r="AW74" s="410"/>
      <c r="AX74" s="410"/>
      <c r="AY74" s="410"/>
      <c r="AZ74" s="410"/>
      <c r="BA74" s="410"/>
      <c r="BB74" s="410"/>
      <c r="BC74" s="410"/>
      <c r="BD74" s="411"/>
      <c r="BE74" s="100"/>
    </row>
    <row r="75" spans="2:57" ht="15.75">
      <c r="B75" s="58"/>
      <c r="C75" s="97"/>
      <c r="E75" s="28"/>
      <c r="F75" s="98"/>
      <c r="G75" s="99"/>
      <c r="H75" s="98"/>
      <c r="W75" s="100"/>
      <c r="X75" s="328" t="s">
        <v>167</v>
      </c>
      <c r="Y75" s="328"/>
      <c r="Z75" s="328"/>
      <c r="AA75" s="328" t="s">
        <v>168</v>
      </c>
      <c r="AB75" s="328"/>
      <c r="AC75" s="328"/>
      <c r="AD75" s="328"/>
      <c r="AE75" s="328" t="s">
        <v>169</v>
      </c>
      <c r="AF75" s="328"/>
      <c r="AG75" s="328"/>
      <c r="AH75" s="328"/>
      <c r="AI75" s="328"/>
      <c r="AJ75" s="328" t="s">
        <v>170</v>
      </c>
      <c r="AK75" s="328"/>
      <c r="AL75" s="328"/>
      <c r="AM75" s="328" t="s">
        <v>46</v>
      </c>
      <c r="AN75" s="328"/>
      <c r="AO75" s="328"/>
      <c r="AP75" s="328"/>
      <c r="AQ75" s="328"/>
      <c r="AR75" s="328" t="s">
        <v>171</v>
      </c>
      <c r="AS75" s="328"/>
      <c r="AT75" s="328"/>
      <c r="AU75" s="328" t="s">
        <v>172</v>
      </c>
      <c r="AV75" s="328"/>
      <c r="AW75" s="328"/>
      <c r="AX75" s="328"/>
      <c r="AY75" s="328"/>
      <c r="AZ75" s="328" t="s">
        <v>173</v>
      </c>
      <c r="BA75" s="328"/>
      <c r="BB75" s="328"/>
      <c r="BC75" s="328"/>
      <c r="BD75" s="328"/>
      <c r="BE75" s="100"/>
    </row>
    <row r="76" spans="2:57" ht="15.75">
      <c r="B76" s="58"/>
      <c r="C76" s="97"/>
      <c r="E76" s="28"/>
      <c r="F76" s="98"/>
      <c r="G76" s="99"/>
      <c r="H76" s="98"/>
      <c r="W76" s="100"/>
      <c r="X76" s="402"/>
      <c r="Y76" s="402"/>
      <c r="Z76" s="402"/>
      <c r="AA76" s="403"/>
      <c r="AB76" s="402"/>
      <c r="AC76" s="402"/>
      <c r="AD76" s="402"/>
      <c r="AE76" s="404"/>
      <c r="AF76" s="404"/>
      <c r="AG76" s="404"/>
      <c r="AH76" s="404"/>
      <c r="AI76" s="404"/>
      <c r="AJ76" s="405"/>
      <c r="AK76" s="402"/>
      <c r="AL76" s="402"/>
      <c r="AM76" s="406"/>
      <c r="AN76" s="407"/>
      <c r="AO76" s="407"/>
      <c r="AP76" s="407"/>
      <c r="AQ76" s="408"/>
      <c r="AR76" s="409"/>
      <c r="AS76" s="409"/>
      <c r="AT76" s="409"/>
      <c r="AU76" s="402"/>
      <c r="AV76" s="402"/>
      <c r="AW76" s="402"/>
      <c r="AX76" s="402"/>
      <c r="AY76" s="402"/>
      <c r="AZ76" s="404"/>
      <c r="BA76" s="404"/>
      <c r="BB76" s="404"/>
      <c r="BC76" s="404"/>
      <c r="BD76" s="404"/>
      <c r="BE76" s="100"/>
    </row>
    <row r="77" spans="2:57" ht="15.75">
      <c r="B77" s="58"/>
      <c r="C77" s="97"/>
      <c r="E77" s="28"/>
      <c r="F77" s="98"/>
      <c r="G77" s="99"/>
      <c r="H77" s="98"/>
      <c r="W77" s="100"/>
      <c r="X77" s="320"/>
      <c r="Y77" s="320"/>
      <c r="Z77" s="320"/>
      <c r="AA77" s="320"/>
      <c r="AB77" s="320"/>
      <c r="AC77" s="320"/>
      <c r="AD77" s="320"/>
      <c r="AE77" s="320"/>
      <c r="AF77" s="320"/>
      <c r="AG77" s="320"/>
      <c r="AH77" s="320"/>
      <c r="AI77" s="320"/>
      <c r="AJ77" s="320"/>
      <c r="AK77" s="320"/>
      <c r="AL77" s="320"/>
      <c r="AM77" s="320"/>
      <c r="AN77" s="320"/>
      <c r="AO77" s="320"/>
      <c r="AP77" s="320"/>
      <c r="AQ77" s="320"/>
      <c r="AR77" s="320"/>
      <c r="AS77" s="320"/>
      <c r="AT77" s="320"/>
      <c r="AU77" s="320"/>
      <c r="AV77" s="320"/>
      <c r="AW77" s="320"/>
      <c r="AX77" s="320"/>
      <c r="AY77" s="320"/>
      <c r="AZ77" s="320"/>
      <c r="BA77" s="320"/>
      <c r="BB77" s="320"/>
      <c r="BC77" s="320"/>
      <c r="BD77" s="320"/>
      <c r="BE77" s="100"/>
    </row>
    <row r="78" spans="2:57" ht="15.75">
      <c r="B78" s="58"/>
      <c r="C78" s="97"/>
      <c r="E78" s="28"/>
      <c r="F78" s="98"/>
      <c r="G78" s="99"/>
      <c r="H78" s="98"/>
      <c r="W78" s="100"/>
      <c r="X78" s="320"/>
      <c r="Y78" s="320"/>
      <c r="Z78" s="320"/>
      <c r="AA78" s="320"/>
      <c r="AB78" s="320"/>
      <c r="AC78" s="320"/>
      <c r="AD78" s="320"/>
      <c r="AE78" s="320"/>
      <c r="AF78" s="320"/>
      <c r="AG78" s="320"/>
      <c r="AH78" s="320"/>
      <c r="AI78" s="320"/>
      <c r="AJ78" s="320"/>
      <c r="AK78" s="320"/>
      <c r="AL78" s="320"/>
      <c r="AM78" s="320"/>
      <c r="AN78" s="320"/>
      <c r="AO78" s="320"/>
      <c r="AP78" s="320"/>
      <c r="AQ78" s="320"/>
      <c r="AR78" s="320"/>
      <c r="AS78" s="320"/>
      <c r="AT78" s="320"/>
      <c r="AU78" s="320"/>
      <c r="AV78" s="320"/>
      <c r="AW78" s="320"/>
      <c r="AX78" s="320"/>
      <c r="AY78" s="320"/>
      <c r="AZ78" s="320"/>
      <c r="BA78" s="320"/>
      <c r="BB78" s="320"/>
      <c r="BC78" s="320"/>
      <c r="BD78" s="320"/>
      <c r="BE78" s="100"/>
    </row>
    <row r="79" spans="2:57" ht="15.75">
      <c r="B79" s="58"/>
      <c r="C79" s="97"/>
      <c r="E79" s="28"/>
      <c r="F79" s="98"/>
      <c r="G79" s="99"/>
      <c r="H79" s="98"/>
      <c r="W79" s="100"/>
      <c r="X79" s="320"/>
      <c r="Y79" s="320"/>
      <c r="Z79" s="320"/>
      <c r="AA79" s="320"/>
      <c r="AB79" s="320"/>
      <c r="AC79" s="320"/>
      <c r="AD79" s="320"/>
      <c r="AE79" s="320"/>
      <c r="AF79" s="320"/>
      <c r="AG79" s="320"/>
      <c r="AH79" s="320"/>
      <c r="AI79" s="320"/>
      <c r="AJ79" s="320"/>
      <c r="AK79" s="320"/>
      <c r="AL79" s="320"/>
      <c r="AM79" s="320"/>
      <c r="AN79" s="320"/>
      <c r="AO79" s="320"/>
      <c r="AP79" s="320"/>
      <c r="AQ79" s="320"/>
      <c r="AR79" s="320"/>
      <c r="AS79" s="320"/>
      <c r="AT79" s="320"/>
      <c r="AU79" s="320"/>
      <c r="AV79" s="320"/>
      <c r="AW79" s="320"/>
      <c r="AX79" s="320"/>
      <c r="AY79" s="320"/>
      <c r="AZ79" s="320"/>
      <c r="BA79" s="320"/>
      <c r="BB79" s="320"/>
      <c r="BC79" s="320"/>
      <c r="BD79" s="320"/>
      <c r="BE79" s="100"/>
    </row>
    <row r="80" spans="2:57" ht="15.75">
      <c r="B80" s="58"/>
      <c r="C80" s="97"/>
      <c r="E80" s="28"/>
      <c r="F80" s="98"/>
      <c r="G80" s="99"/>
      <c r="H80" s="98"/>
      <c r="W80" s="100"/>
      <c r="X80" s="100"/>
      <c r="Y80" s="100"/>
      <c r="Z80" s="100"/>
      <c r="AA80" s="100"/>
      <c r="AB80" s="100"/>
      <c r="AC80" s="100"/>
      <c r="AD80" s="100"/>
      <c r="AE80" s="100"/>
      <c r="AF80" s="100"/>
      <c r="AG80" s="100"/>
      <c r="AH80" s="100"/>
      <c r="AI80" s="100"/>
      <c r="AJ80" s="100"/>
      <c r="AK80" s="100"/>
      <c r="AL80" s="100"/>
      <c r="AM80" s="100"/>
      <c r="AN80" s="100"/>
      <c r="AO80" s="100"/>
      <c r="AP80" s="100"/>
      <c r="AQ80" s="100"/>
      <c r="AR80" s="100"/>
      <c r="AS80" s="100"/>
      <c r="AT80" s="100"/>
      <c r="AU80" s="100"/>
      <c r="AV80" s="100"/>
      <c r="AW80" s="100"/>
      <c r="AX80" s="100"/>
      <c r="AY80" s="100"/>
      <c r="AZ80" s="100"/>
      <c r="BA80" s="100"/>
      <c r="BB80" s="100"/>
      <c r="BC80" s="100"/>
      <c r="BD80" s="100"/>
      <c r="BE80" s="100"/>
    </row>
    <row r="81" spans="2:57" ht="15.75">
      <c r="B81" s="58"/>
      <c r="C81" s="97"/>
      <c r="E81" s="28"/>
      <c r="F81" s="98"/>
      <c r="G81" s="99"/>
      <c r="H81" s="98"/>
      <c r="W81" s="100"/>
      <c r="X81" s="280" t="s">
        <v>174</v>
      </c>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c r="BA81" s="281"/>
      <c r="BB81" s="281"/>
      <c r="BC81" s="281"/>
      <c r="BD81" s="282"/>
      <c r="BE81" s="100"/>
    </row>
    <row r="82" spans="2:57" ht="15.75">
      <c r="B82" s="58"/>
      <c r="C82" s="97"/>
      <c r="E82" s="28"/>
      <c r="F82" s="98"/>
      <c r="G82" s="99"/>
      <c r="H82" s="98"/>
      <c r="W82" s="100"/>
      <c r="X82" s="325" t="s">
        <v>175</v>
      </c>
      <c r="Y82" s="326"/>
      <c r="Z82" s="326"/>
      <c r="AA82" s="326"/>
      <c r="AB82" s="327"/>
      <c r="AC82" s="325" t="s">
        <v>176</v>
      </c>
      <c r="AD82" s="326"/>
      <c r="AE82" s="326"/>
      <c r="AF82" s="327"/>
      <c r="AG82" s="325" t="s">
        <v>48</v>
      </c>
      <c r="AH82" s="326"/>
      <c r="AI82" s="326"/>
      <c r="AJ82" s="327"/>
      <c r="AK82" s="325" t="s">
        <v>177</v>
      </c>
      <c r="AL82" s="326"/>
      <c r="AM82" s="326"/>
      <c r="AN82" s="326"/>
      <c r="AO82" s="326"/>
      <c r="AP82" s="326"/>
      <c r="AQ82" s="327"/>
      <c r="AR82" s="325" t="s">
        <v>178</v>
      </c>
      <c r="AS82" s="326"/>
      <c r="AT82" s="326"/>
      <c r="AU82" s="326"/>
      <c r="AV82" s="327"/>
      <c r="AW82" s="325" t="s">
        <v>179</v>
      </c>
      <c r="AX82" s="326"/>
      <c r="AY82" s="326"/>
      <c r="AZ82" s="326"/>
      <c r="BA82" s="326"/>
      <c r="BB82" s="326"/>
      <c r="BC82" s="326"/>
      <c r="BD82" s="327"/>
      <c r="BE82" s="100"/>
    </row>
    <row r="83" spans="2:57" ht="15.75">
      <c r="B83" s="58"/>
      <c r="C83" s="97"/>
      <c r="E83" s="28"/>
      <c r="F83" s="98"/>
      <c r="G83" s="99"/>
      <c r="H83" s="98"/>
      <c r="W83" s="100"/>
      <c r="X83" s="245">
        <f>'Data Entry'!E11</f>
        <v>62645.833333333336</v>
      </c>
      <c r="Y83" s="246"/>
      <c r="Z83" s="246"/>
      <c r="AA83" s="246"/>
      <c r="AB83" s="247"/>
      <c r="AC83" s="245">
        <f>AT39</f>
        <v>1971.7742067051774</v>
      </c>
      <c r="AD83" s="246"/>
      <c r="AE83" s="246"/>
      <c r="AF83" s="247"/>
      <c r="AG83" s="248" t="str">
        <f>AN35</f>
        <v>36 Months</v>
      </c>
      <c r="AH83" s="249"/>
      <c r="AI83" s="249"/>
      <c r="AJ83" s="250"/>
      <c r="AK83" s="245">
        <v>5000</v>
      </c>
      <c r="AL83" s="246"/>
      <c r="AM83" s="246"/>
      <c r="AN83" s="246"/>
      <c r="AO83" s="246"/>
      <c r="AP83" s="246"/>
      <c r="AQ83" s="247"/>
      <c r="AR83" s="251">
        <f>15707.33-(AC83+AK83)</f>
        <v>8735.5557932948213</v>
      </c>
      <c r="AS83" s="249"/>
      <c r="AT83" s="249"/>
      <c r="AU83" s="249"/>
      <c r="AV83" s="250"/>
      <c r="AW83" s="245">
        <f>'Data Entry'!E3</f>
        <v>70983.871441386393</v>
      </c>
      <c r="AX83" s="246"/>
      <c r="AY83" s="246"/>
      <c r="AZ83" s="246"/>
      <c r="BA83" s="246"/>
      <c r="BB83" s="246"/>
      <c r="BC83" s="246"/>
      <c r="BD83" s="247"/>
      <c r="BE83" s="100"/>
    </row>
    <row r="84" spans="2:57" ht="15.75">
      <c r="B84" s="58"/>
      <c r="C84" s="97"/>
      <c r="E84" s="28"/>
      <c r="F84" s="98"/>
      <c r="G84" s="99"/>
      <c r="H84" s="98"/>
      <c r="W84" s="100"/>
      <c r="X84" s="241" t="s">
        <v>180</v>
      </c>
      <c r="Y84" s="241"/>
      <c r="Z84" s="241"/>
      <c r="AA84" s="241"/>
      <c r="AB84" s="241"/>
      <c r="AC84" s="241"/>
      <c r="AD84" s="241"/>
      <c r="AE84" s="241"/>
      <c r="AF84" s="241"/>
      <c r="AG84" s="241"/>
      <c r="AH84" s="241"/>
      <c r="AI84" s="241"/>
      <c r="AJ84" s="241"/>
      <c r="AK84" s="241"/>
      <c r="AL84" s="241"/>
      <c r="AM84" s="241"/>
      <c r="AN84" s="241"/>
      <c r="AO84" s="241"/>
      <c r="AP84" s="241"/>
      <c r="AQ84" s="241"/>
      <c r="AR84" s="241"/>
      <c r="AS84" s="241"/>
      <c r="AT84" s="241"/>
      <c r="AU84" s="241"/>
      <c r="AV84" s="241"/>
      <c r="AW84" s="241"/>
      <c r="AX84" s="241"/>
      <c r="AY84" s="241"/>
      <c r="AZ84" s="241"/>
      <c r="BA84" s="241"/>
      <c r="BB84" s="241"/>
      <c r="BC84" s="241"/>
      <c r="BD84" s="241"/>
      <c r="BE84" s="100"/>
    </row>
    <row r="85" spans="2:57" ht="15.75">
      <c r="B85" s="58"/>
      <c r="C85" s="97"/>
      <c r="E85" s="28"/>
      <c r="F85" s="98"/>
      <c r="G85" s="99"/>
      <c r="H85" s="98"/>
      <c r="W85" s="100"/>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02"/>
      <c r="BE85" s="100"/>
    </row>
    <row r="86" spans="2:57" ht="16.5" thickBot="1">
      <c r="B86" s="58"/>
      <c r="C86" s="97"/>
      <c r="E86" s="28"/>
      <c r="F86" s="98"/>
      <c r="G86" s="99"/>
      <c r="H86" s="98"/>
      <c r="W86" s="100"/>
      <c r="X86" s="102"/>
      <c r="Y86" s="102"/>
      <c r="Z86" s="102"/>
      <c r="AA86" s="102"/>
      <c r="AB86" s="102"/>
      <c r="AC86" s="102"/>
      <c r="AD86" s="102"/>
      <c r="AE86" s="102"/>
      <c r="AF86" s="102"/>
      <c r="AG86" s="102"/>
      <c r="AH86" s="102"/>
      <c r="AI86" s="102"/>
      <c r="AJ86" s="321" t="s">
        <v>238</v>
      </c>
      <c r="AK86" s="321"/>
      <c r="AL86" s="321"/>
      <c r="AM86" s="321"/>
      <c r="AN86" s="321"/>
      <c r="AO86" s="321"/>
      <c r="AP86" s="321"/>
      <c r="AQ86" s="321"/>
      <c r="AR86" s="321"/>
      <c r="AS86" s="321"/>
      <c r="AT86" s="102"/>
      <c r="AU86" s="102"/>
      <c r="AV86" s="102"/>
      <c r="AW86" s="102"/>
      <c r="AX86" s="102"/>
      <c r="AY86" s="102"/>
      <c r="AZ86" s="102"/>
      <c r="BA86" s="102"/>
      <c r="BB86" s="102"/>
      <c r="BC86" s="102"/>
      <c r="BD86" s="102"/>
      <c r="BE86" s="100"/>
    </row>
    <row r="87" spans="2:57" ht="15.75">
      <c r="B87" s="58"/>
      <c r="C87" s="97"/>
      <c r="E87" s="28"/>
      <c r="F87" s="98"/>
      <c r="G87" s="99"/>
      <c r="H87" s="98"/>
      <c r="W87" s="252" t="s">
        <v>182</v>
      </c>
      <c r="X87" s="252"/>
      <c r="Y87" s="252"/>
      <c r="Z87" s="252"/>
      <c r="AA87" s="252"/>
      <c r="AB87" s="252"/>
      <c r="AC87" s="252"/>
      <c r="AD87" s="252"/>
      <c r="AE87" s="252"/>
      <c r="AF87" s="252"/>
      <c r="AG87" s="252"/>
      <c r="AH87" s="252"/>
      <c r="AI87" s="252"/>
      <c r="AJ87" s="252"/>
      <c r="AK87" s="252"/>
      <c r="AL87" s="252"/>
      <c r="AM87" s="252"/>
      <c r="AN87" s="252"/>
      <c r="AO87" s="252"/>
      <c r="AP87" s="252"/>
      <c r="AQ87" s="252"/>
      <c r="AR87" s="252"/>
      <c r="AS87" s="252"/>
      <c r="AT87" s="252"/>
      <c r="AU87" s="252"/>
      <c r="AV87" s="252"/>
      <c r="AW87" s="252"/>
      <c r="AX87" s="252"/>
      <c r="AY87" s="252"/>
      <c r="AZ87" s="252"/>
      <c r="BA87" s="252"/>
      <c r="BB87" s="252"/>
      <c r="BC87" s="252"/>
      <c r="BD87" s="252"/>
      <c r="BE87" s="252"/>
    </row>
    <row r="88" spans="2:57" ht="15.75">
      <c r="C88" s="90"/>
      <c r="D88" s="91"/>
      <c r="H88" s="92"/>
      <c r="I88" s="93"/>
      <c r="J88" s="93"/>
      <c r="W88" s="100"/>
      <c r="X88" s="100"/>
      <c r="Y88" s="100"/>
      <c r="Z88" s="100"/>
      <c r="AA88" s="100"/>
      <c r="AB88" s="100"/>
      <c r="AC88" s="100"/>
      <c r="AD88" s="100"/>
      <c r="AE88" s="100"/>
      <c r="AF88" s="100"/>
      <c r="AG88" s="100"/>
      <c r="AH88" s="100"/>
      <c r="AI88" s="100"/>
      <c r="AJ88" s="100"/>
      <c r="AK88" s="100"/>
      <c r="AL88" s="100"/>
      <c r="AM88" s="100"/>
      <c r="AN88" s="100"/>
      <c r="AO88" s="100"/>
      <c r="AP88" s="100"/>
      <c r="AQ88" s="100"/>
      <c r="AR88" s="100"/>
      <c r="AS88" s="100"/>
      <c r="AT88" s="100"/>
      <c r="AU88" s="100"/>
      <c r="AV88" s="100"/>
      <c r="AW88" s="100"/>
      <c r="AX88" s="100"/>
      <c r="AY88" s="100"/>
      <c r="AZ88" s="100"/>
      <c r="BA88" s="100"/>
      <c r="BB88" s="100"/>
      <c r="BC88" s="100"/>
      <c r="BD88" s="100"/>
      <c r="BE88" s="100"/>
    </row>
    <row r="89" spans="2:57" ht="15.75">
      <c r="W89" s="100"/>
      <c r="X89" s="100"/>
      <c r="Y89" s="100"/>
      <c r="Z89" s="100"/>
      <c r="AA89" s="100"/>
      <c r="AB89" s="100"/>
      <c r="AC89" s="100"/>
      <c r="AD89" s="100"/>
      <c r="AE89" s="100"/>
      <c r="AF89" s="100"/>
      <c r="AG89" s="100"/>
      <c r="AH89" s="100"/>
      <c r="AI89" s="100"/>
      <c r="AJ89" s="100"/>
      <c r="AK89" s="100"/>
      <c r="AL89" s="100"/>
      <c r="AM89" s="100"/>
      <c r="AN89" s="100"/>
      <c r="AO89" s="100"/>
      <c r="AP89" s="100"/>
      <c r="AQ89" s="100"/>
      <c r="AR89" s="100"/>
      <c r="AS89" s="100"/>
      <c r="AT89" s="100"/>
      <c r="AU89" s="100"/>
      <c r="AV89" s="100"/>
      <c r="AW89" s="100"/>
      <c r="AX89" s="100"/>
      <c r="AY89" s="100"/>
      <c r="AZ89" s="100"/>
      <c r="BA89" s="100"/>
      <c r="BB89" s="100"/>
      <c r="BC89" s="100"/>
      <c r="BD89" s="100"/>
      <c r="BE89" s="100"/>
    </row>
    <row r="90" spans="2:57" ht="15.75">
      <c r="W90" s="100"/>
      <c r="X90" s="240" t="s">
        <v>183</v>
      </c>
      <c r="Y90" s="241"/>
      <c r="Z90" s="241"/>
      <c r="AA90" s="241"/>
      <c r="AB90" s="241"/>
      <c r="AC90" s="241"/>
      <c r="AD90" s="241"/>
      <c r="AE90" s="241"/>
      <c r="AF90" s="241"/>
      <c r="AG90" s="241"/>
      <c r="AH90" s="241"/>
      <c r="AI90" s="241"/>
      <c r="AJ90" s="241"/>
      <c r="AK90" s="241"/>
      <c r="AL90" s="241"/>
      <c r="AM90" s="241"/>
      <c r="AN90" s="242"/>
      <c r="AO90" s="240" t="s">
        <v>184</v>
      </c>
      <c r="AP90" s="241"/>
      <c r="AQ90" s="241"/>
      <c r="AR90" s="241"/>
      <c r="AS90" s="241"/>
      <c r="AT90" s="241"/>
      <c r="AU90" s="241"/>
      <c r="AV90" s="241"/>
      <c r="AW90" s="241"/>
      <c r="AX90" s="241"/>
      <c r="AY90" s="241"/>
      <c r="AZ90" s="241"/>
      <c r="BA90" s="241"/>
      <c r="BB90" s="241"/>
      <c r="BC90" s="241"/>
      <c r="BD90" s="242"/>
      <c r="BE90" s="100"/>
    </row>
    <row r="91" spans="2:57" ht="15.75">
      <c r="V91" s="45"/>
      <c r="W91" s="100"/>
      <c r="X91" s="137"/>
      <c r="Y91" s="135"/>
      <c r="Z91" s="135"/>
      <c r="AA91" s="135"/>
      <c r="AB91" s="135"/>
      <c r="AC91" s="135"/>
      <c r="AD91" s="135"/>
      <c r="AE91" s="135"/>
      <c r="AF91" s="135"/>
      <c r="AG91" s="135"/>
      <c r="AH91" s="135"/>
      <c r="AI91" s="135"/>
      <c r="AJ91" s="135"/>
      <c r="AK91" s="135"/>
      <c r="AL91" s="135"/>
      <c r="AM91" s="135"/>
      <c r="AN91" s="138"/>
      <c r="AO91" s="137"/>
      <c r="AP91" s="135"/>
      <c r="AQ91" s="135"/>
      <c r="AR91" s="135"/>
      <c r="AS91" s="135"/>
      <c r="AT91" s="135"/>
      <c r="AU91" s="135"/>
      <c r="AV91" s="135"/>
      <c r="AW91" s="135"/>
      <c r="AX91" s="135"/>
      <c r="AY91" s="135"/>
      <c r="AZ91" s="135"/>
      <c r="BA91" s="135"/>
      <c r="BB91" s="135"/>
      <c r="BC91" s="135"/>
      <c r="BD91" s="138"/>
      <c r="BE91" s="100"/>
    </row>
    <row r="92" spans="2:57" ht="16.5" thickBot="1">
      <c r="V92" s="45"/>
      <c r="W92" s="100"/>
      <c r="X92" s="139"/>
      <c r="Y92" s="109"/>
      <c r="Z92" s="109"/>
      <c r="AA92" s="140"/>
      <c r="AB92" s="243" t="s">
        <v>266</v>
      </c>
      <c r="AC92" s="243"/>
      <c r="AD92" s="243"/>
      <c r="AE92" s="243"/>
      <c r="AF92" s="243"/>
      <c r="AG92" s="243"/>
      <c r="AH92" s="243"/>
      <c r="AI92" s="243"/>
      <c r="AJ92" s="243"/>
      <c r="AK92" s="140"/>
      <c r="AL92" s="140"/>
      <c r="AM92" s="140"/>
      <c r="AN92" s="141"/>
      <c r="AO92" s="139"/>
      <c r="AP92" s="100"/>
      <c r="AQ92" s="100"/>
      <c r="AR92" s="100"/>
      <c r="AS92" s="244" t="s">
        <v>236</v>
      </c>
      <c r="AT92" s="244"/>
      <c r="AU92" s="244"/>
      <c r="AV92" s="244"/>
      <c r="AW92" s="244"/>
      <c r="AX92" s="244"/>
      <c r="AY92" s="244"/>
      <c r="AZ92" s="244"/>
      <c r="BA92" s="100"/>
      <c r="BB92" s="100"/>
      <c r="BC92" s="100"/>
      <c r="BD92" s="142"/>
      <c r="BE92" s="100"/>
    </row>
    <row r="93" spans="2:57" ht="16.149999999999999" customHeight="1">
      <c r="V93" s="45"/>
      <c r="W93" s="100"/>
      <c r="X93" s="322" t="s">
        <v>182</v>
      </c>
      <c r="Y93" s="323"/>
      <c r="Z93" s="323"/>
      <c r="AA93" s="323"/>
      <c r="AB93" s="323"/>
      <c r="AC93" s="323"/>
      <c r="AD93" s="323"/>
      <c r="AE93" s="323"/>
      <c r="AF93" s="323"/>
      <c r="AG93" s="323"/>
      <c r="AH93" s="323"/>
      <c r="AI93" s="323"/>
      <c r="AJ93" s="323"/>
      <c r="AK93" s="323"/>
      <c r="AL93" s="323"/>
      <c r="AM93" s="323"/>
      <c r="AN93" s="324"/>
      <c r="AO93" s="322" t="s">
        <v>182</v>
      </c>
      <c r="AP93" s="323"/>
      <c r="AQ93" s="323"/>
      <c r="AR93" s="323"/>
      <c r="AS93" s="323"/>
      <c r="AT93" s="323"/>
      <c r="AU93" s="323"/>
      <c r="AV93" s="323"/>
      <c r="AW93" s="323"/>
      <c r="AX93" s="323"/>
      <c r="AY93" s="323"/>
      <c r="AZ93" s="323"/>
      <c r="BA93" s="323"/>
      <c r="BB93" s="323"/>
      <c r="BC93" s="323"/>
      <c r="BD93" s="324"/>
      <c r="BE93" s="100"/>
    </row>
    <row r="94" spans="2:57" ht="15.75">
      <c r="V94" s="45"/>
      <c r="W94" s="100"/>
      <c r="X94" s="100"/>
      <c r="Y94" s="100"/>
      <c r="Z94" s="100"/>
      <c r="AA94" s="100"/>
      <c r="AB94" s="100"/>
      <c r="AC94" s="100"/>
      <c r="AD94" s="100"/>
      <c r="AE94" s="100"/>
      <c r="AF94" s="100"/>
      <c r="AG94" s="100"/>
      <c r="AH94" s="100"/>
      <c r="AI94" s="100"/>
      <c r="AJ94" s="100"/>
      <c r="AK94" s="100"/>
      <c r="AL94" s="100"/>
      <c r="AM94" s="100"/>
      <c r="AN94" s="100"/>
      <c r="AO94" s="100"/>
      <c r="AP94" s="100"/>
      <c r="AQ94" s="100"/>
      <c r="AR94" s="100"/>
      <c r="AS94" s="100"/>
      <c r="AT94" s="100"/>
      <c r="AU94" s="100"/>
      <c r="AV94" s="100"/>
      <c r="AW94" s="100"/>
      <c r="AX94" s="100"/>
      <c r="AY94" s="100"/>
      <c r="AZ94" s="100"/>
      <c r="BA94" s="100"/>
      <c r="BB94" s="100"/>
      <c r="BC94" s="100"/>
      <c r="BD94" s="100"/>
      <c r="BE94" s="100"/>
    </row>
    <row r="95" spans="2:57" ht="15.75">
      <c r="V95" s="45"/>
      <c r="W95" s="100"/>
      <c r="X95" s="100"/>
      <c r="Y95" s="100"/>
      <c r="Z95" s="100"/>
      <c r="AA95" s="100"/>
      <c r="AB95" s="100"/>
      <c r="AC95" s="100"/>
      <c r="AD95" s="100"/>
      <c r="AE95" s="100"/>
      <c r="AF95" s="100"/>
      <c r="AG95" s="100"/>
      <c r="AH95" s="100"/>
      <c r="AI95" s="100"/>
      <c r="AJ95" s="100"/>
      <c r="AK95" s="100"/>
      <c r="AL95" s="100"/>
      <c r="AM95" s="100"/>
      <c r="AN95" s="100"/>
      <c r="AO95" s="100"/>
      <c r="AP95" s="100"/>
      <c r="AQ95" s="100"/>
      <c r="AR95" s="100"/>
      <c r="AS95" s="100"/>
      <c r="AT95" s="100"/>
      <c r="AU95" s="100"/>
      <c r="AV95" s="100"/>
      <c r="AW95" s="100"/>
      <c r="AX95" s="100"/>
      <c r="AY95" s="100"/>
      <c r="AZ95" s="100"/>
      <c r="BA95" s="100"/>
      <c r="BB95" s="100"/>
      <c r="BC95" s="100"/>
      <c r="BD95" s="100"/>
      <c r="BE95" s="100"/>
    </row>
    <row r="96" spans="2:57">
      <c r="V96" s="45"/>
    </row>
    <row r="97" spans="22:57">
      <c r="V97" s="45"/>
    </row>
    <row r="98" spans="22:57">
      <c r="V98" s="45"/>
    </row>
    <row r="99" spans="22:57" ht="18.75">
      <c r="V99" s="45"/>
      <c r="W99" s="100"/>
      <c r="X99" s="100"/>
      <c r="Y99" s="100"/>
      <c r="Z99" s="100"/>
      <c r="AA99" s="100"/>
      <c r="AB99" s="100"/>
      <c r="AC99" s="100"/>
      <c r="AD99" s="100"/>
      <c r="AE99" s="100"/>
      <c r="AF99" s="100"/>
      <c r="AG99" s="100"/>
      <c r="AH99" s="100"/>
      <c r="AI99" s="100"/>
      <c r="AJ99" s="100"/>
      <c r="AK99" s="100"/>
      <c r="AL99" s="100"/>
      <c r="AM99" s="100"/>
      <c r="AN99" s="100"/>
      <c r="AO99" s="100"/>
      <c r="AP99" s="100"/>
      <c r="AQ99" s="100"/>
      <c r="AR99" s="144"/>
      <c r="AS99" s="100"/>
      <c r="AT99" s="100"/>
      <c r="AU99" s="100"/>
      <c r="AV99" s="100"/>
      <c r="AW99" s="100"/>
      <c r="AX99" s="100"/>
      <c r="AY99" s="100"/>
      <c r="AZ99" s="100"/>
      <c r="BA99" s="100"/>
      <c r="BB99" s="100"/>
      <c r="BC99" s="100"/>
      <c r="BD99" s="100"/>
      <c r="BE99" s="100"/>
    </row>
    <row r="100" spans="22:57" ht="18.75">
      <c r="V100" s="45"/>
      <c r="W100" s="100"/>
      <c r="X100" s="253" t="s">
        <v>186</v>
      </c>
      <c r="Y100" s="254"/>
      <c r="Z100" s="254"/>
      <c r="AA100" s="254"/>
      <c r="AB100" s="254"/>
      <c r="AC100" s="254"/>
      <c r="AD100" s="254"/>
      <c r="AE100" s="254"/>
      <c r="AF100" s="254"/>
      <c r="AG100" s="254"/>
      <c r="AH100" s="254"/>
      <c r="AI100" s="254"/>
      <c r="AJ100" s="254"/>
      <c r="AK100" s="254"/>
      <c r="AL100" s="100"/>
      <c r="AM100" s="100"/>
      <c r="AN100" s="100"/>
      <c r="AO100" s="100"/>
      <c r="AP100" s="100"/>
      <c r="AQ100" s="100"/>
      <c r="AR100" s="100"/>
      <c r="AS100" s="100"/>
      <c r="AT100" s="100"/>
      <c r="AU100" s="100"/>
      <c r="AV100" s="100"/>
      <c r="AW100" s="100"/>
      <c r="AX100" s="100"/>
      <c r="AY100" s="100"/>
    </row>
    <row r="101" spans="22:57" ht="18.75">
      <c r="V101" s="45"/>
      <c r="W101" s="100"/>
      <c r="X101" s="100"/>
      <c r="Y101" s="264" t="s">
        <v>187</v>
      </c>
      <c r="Z101" s="264"/>
      <c r="AA101" s="264"/>
      <c r="AB101" s="264"/>
      <c r="AC101" s="264"/>
      <c r="AD101" s="264"/>
      <c r="AE101" s="264"/>
      <c r="AF101" s="264"/>
      <c r="AG101" s="264"/>
      <c r="AH101" s="264"/>
      <c r="AI101" s="264"/>
      <c r="AJ101" s="264"/>
      <c r="AK101" s="264"/>
      <c r="AL101" s="264"/>
      <c r="AM101" s="264"/>
      <c r="AN101" s="264"/>
      <c r="AO101" s="264"/>
      <c r="AP101" s="264"/>
      <c r="AQ101" s="264"/>
      <c r="AR101" s="264"/>
      <c r="AS101" s="264"/>
      <c r="AT101" s="264"/>
      <c r="AU101" s="264"/>
      <c r="AV101" s="264"/>
      <c r="AW101" s="264"/>
      <c r="AX101" s="264"/>
      <c r="AY101" s="260">
        <f>AW83</f>
        <v>70983.871441386393</v>
      </c>
      <c r="AZ101" s="261"/>
      <c r="BA101" s="261"/>
      <c r="BB101" s="261"/>
      <c r="BC101" s="261"/>
      <c r="BD101" s="261"/>
      <c r="BE101" s="144"/>
    </row>
    <row r="102" spans="22:57" ht="18" customHeight="1">
      <c r="V102" s="45"/>
      <c r="W102" s="100"/>
      <c r="X102" s="262"/>
      <c r="Y102" s="263"/>
      <c r="Z102" s="263"/>
      <c r="AA102" s="145" t="s">
        <v>188</v>
      </c>
      <c r="AB102" s="146">
        <v>36</v>
      </c>
      <c r="AC102" s="264" t="s">
        <v>189</v>
      </c>
      <c r="AD102" s="264"/>
      <c r="AE102" s="264"/>
      <c r="AF102" s="264"/>
      <c r="AG102" s="264"/>
      <c r="AH102" s="264"/>
      <c r="AI102" s="264"/>
      <c r="AJ102" s="264"/>
      <c r="AK102" s="264"/>
      <c r="AL102" s="264"/>
      <c r="AM102" s="264"/>
      <c r="AN102" s="263">
        <f>AC83</f>
        <v>1971.7742067051774</v>
      </c>
      <c r="AO102" s="263"/>
      <c r="AP102" s="263"/>
      <c r="AQ102" s="263"/>
      <c r="AR102" s="264" t="s">
        <v>190</v>
      </c>
      <c r="AS102" s="264"/>
      <c r="AT102" s="264"/>
      <c r="AU102" s="264"/>
      <c r="AV102" s="264"/>
      <c r="AW102" s="264"/>
      <c r="AX102" s="264"/>
      <c r="AY102" s="264"/>
      <c r="AZ102" s="264"/>
      <c r="BA102" s="264"/>
      <c r="BB102" s="264"/>
      <c r="BC102" s="264"/>
      <c r="BD102" s="264"/>
      <c r="BE102" s="144"/>
    </row>
    <row r="103" spans="22:57" ht="18" customHeight="1">
      <c r="V103" s="69"/>
      <c r="W103" s="100"/>
      <c r="X103" s="265">
        <f>B28</f>
        <v>45784</v>
      </c>
      <c r="Y103" s="265"/>
      <c r="Z103" s="265"/>
      <c r="AA103" s="265"/>
      <c r="AB103" s="239" t="s">
        <v>191</v>
      </c>
      <c r="AC103" s="239"/>
      <c r="AD103" s="239"/>
      <c r="AE103" s="239"/>
      <c r="AF103" s="239"/>
      <c r="AG103" s="239"/>
      <c r="AH103" s="239"/>
      <c r="AI103" s="239"/>
      <c r="AJ103" s="239"/>
      <c r="AK103" s="239"/>
      <c r="AL103" s="239"/>
      <c r="AM103" s="239"/>
      <c r="AN103" s="239"/>
      <c r="AO103" s="239"/>
      <c r="AP103" s="239"/>
      <c r="AQ103" s="239"/>
      <c r="AR103" s="239"/>
      <c r="AS103" s="239"/>
      <c r="AT103" s="239"/>
      <c r="AU103" s="239"/>
      <c r="AV103" s="239"/>
      <c r="AW103" s="239"/>
      <c r="AX103" s="239"/>
      <c r="AY103" s="239"/>
      <c r="AZ103" s="239"/>
      <c r="BA103" s="239"/>
      <c r="BB103" s="239"/>
      <c r="BC103" s="239"/>
      <c r="BD103" s="239"/>
      <c r="BE103" s="144"/>
    </row>
    <row r="104" spans="22:57" ht="18" customHeight="1">
      <c r="V104" s="69"/>
      <c r="W104" s="100"/>
      <c r="X104" s="239" t="s">
        <v>192</v>
      </c>
      <c r="Y104" s="239"/>
      <c r="Z104" s="239"/>
      <c r="AA104" s="239"/>
      <c r="AB104" s="239"/>
      <c r="AC104" s="239"/>
      <c r="AD104" s="239"/>
      <c r="AE104" s="239"/>
      <c r="AF104" s="239"/>
      <c r="AG104" s="239"/>
      <c r="AH104" s="239"/>
      <c r="AI104" s="239"/>
      <c r="AJ104" s="239"/>
      <c r="AK104" s="239"/>
      <c r="AL104" s="239"/>
      <c r="AM104" s="239"/>
      <c r="AN104" s="239"/>
      <c r="AO104" s="239"/>
      <c r="AP104" s="239"/>
      <c r="AQ104" s="239"/>
      <c r="AR104" s="239"/>
      <c r="AS104" s="239"/>
      <c r="AT104" s="239"/>
      <c r="AU104" s="239"/>
      <c r="AV104" s="239"/>
      <c r="AW104" s="239"/>
      <c r="AX104" s="239"/>
      <c r="AY104" s="239"/>
      <c r="AZ104" s="239"/>
      <c r="BA104" s="239"/>
      <c r="BB104" s="239"/>
      <c r="BC104" s="239"/>
      <c r="BD104" s="239"/>
      <c r="BE104" s="144"/>
    </row>
    <row r="105" spans="22:57" ht="18" customHeight="1">
      <c r="V105" s="69"/>
      <c r="W105" s="100"/>
      <c r="X105" s="239" t="s">
        <v>193</v>
      </c>
      <c r="Y105" s="239"/>
      <c r="Z105" s="239"/>
      <c r="AA105" s="239"/>
      <c r="AB105" s="239"/>
      <c r="AC105" s="239"/>
      <c r="AD105" s="239"/>
      <c r="AE105" s="239"/>
      <c r="AF105" s="239"/>
      <c r="AG105" s="239"/>
      <c r="AH105" s="239"/>
      <c r="AI105" s="239"/>
      <c r="AJ105" s="239"/>
      <c r="AK105" s="239"/>
      <c r="AL105" s="239"/>
      <c r="AM105" s="239"/>
      <c r="AN105" s="239"/>
      <c r="AO105" s="239"/>
      <c r="AP105" s="239"/>
      <c r="AQ105" s="239"/>
      <c r="AR105" s="239"/>
      <c r="AS105" s="239"/>
      <c r="AT105" s="239"/>
      <c r="AU105" s="239"/>
      <c r="AV105" s="239"/>
      <c r="AW105" s="239"/>
      <c r="AX105" s="239"/>
      <c r="AY105" s="239"/>
      <c r="AZ105" s="239"/>
      <c r="BA105" s="239"/>
      <c r="BB105" s="239"/>
      <c r="BC105" s="239"/>
      <c r="BD105" s="239"/>
      <c r="BE105" s="144"/>
    </row>
    <row r="106" spans="22:57" ht="18" customHeight="1">
      <c r="V106" s="45"/>
      <c r="W106" s="100"/>
      <c r="X106" s="239"/>
      <c r="Y106" s="239"/>
      <c r="Z106" s="239"/>
      <c r="AA106" s="239"/>
      <c r="AB106" s="239"/>
      <c r="AC106" s="239"/>
      <c r="AD106" s="239"/>
      <c r="AE106" s="239"/>
      <c r="AF106" s="239"/>
      <c r="AG106" s="239"/>
      <c r="AH106" s="239"/>
      <c r="AI106" s="239"/>
      <c r="AJ106" s="239"/>
      <c r="AK106" s="239"/>
      <c r="AL106" s="239"/>
      <c r="AM106" s="239"/>
      <c r="AN106" s="239"/>
      <c r="AO106" s="239"/>
      <c r="AP106" s="239"/>
      <c r="AQ106" s="239"/>
      <c r="AR106" s="239"/>
      <c r="AS106" s="239"/>
      <c r="AT106" s="239"/>
      <c r="AU106" s="239"/>
      <c r="AV106" s="239"/>
      <c r="AW106" s="239"/>
      <c r="AX106" s="239"/>
      <c r="AY106" s="239"/>
      <c r="AZ106" s="239"/>
      <c r="BA106" s="239"/>
      <c r="BB106" s="239"/>
      <c r="BC106" s="239"/>
      <c r="BD106" s="239"/>
      <c r="BE106" s="144"/>
    </row>
    <row r="107" spans="22:57" ht="18.75">
      <c r="V107" s="45"/>
      <c r="W107" s="100"/>
      <c r="X107" s="239"/>
      <c r="Y107" s="239"/>
      <c r="Z107" s="239"/>
      <c r="AA107" s="239"/>
      <c r="AB107" s="239"/>
      <c r="AC107" s="239"/>
      <c r="AD107" s="239"/>
      <c r="AE107" s="239"/>
      <c r="AF107" s="239"/>
      <c r="AG107" s="239"/>
      <c r="AH107" s="239"/>
      <c r="AI107" s="239"/>
      <c r="AJ107" s="239"/>
      <c r="AK107" s="239"/>
      <c r="AL107" s="239"/>
      <c r="AM107" s="239"/>
      <c r="AN107" s="239"/>
      <c r="AO107" s="239"/>
      <c r="AP107" s="239"/>
      <c r="AQ107" s="239"/>
      <c r="AR107" s="239"/>
      <c r="AS107" s="239"/>
      <c r="AT107" s="239"/>
      <c r="AU107" s="239"/>
      <c r="AV107" s="239"/>
      <c r="AW107" s="239"/>
      <c r="AX107" s="239"/>
      <c r="AY107" s="239"/>
      <c r="AZ107" s="239"/>
      <c r="BA107" s="239"/>
      <c r="BB107" s="239"/>
      <c r="BC107" s="239"/>
      <c r="BD107" s="239"/>
      <c r="BE107" s="144"/>
    </row>
    <row r="108" spans="22:57" ht="18.75">
      <c r="V108" s="45"/>
      <c r="W108" s="100"/>
      <c r="X108" s="239" t="s">
        <v>194</v>
      </c>
      <c r="Y108" s="239"/>
      <c r="Z108" s="239"/>
      <c r="AA108" s="239"/>
      <c r="AB108" s="239"/>
      <c r="AC108" s="239"/>
      <c r="AD108" s="239"/>
      <c r="AE108" s="239"/>
      <c r="AF108" s="239"/>
      <c r="AG108" s="239"/>
      <c r="AH108" s="239"/>
      <c r="AI108" s="239"/>
      <c r="AJ108" s="239"/>
      <c r="AK108" s="239"/>
      <c r="AL108" s="239"/>
      <c r="AM108" s="239"/>
      <c r="AN108" s="239"/>
      <c r="AO108" s="239"/>
      <c r="AP108" s="239"/>
      <c r="AQ108" s="239"/>
      <c r="AR108" s="239"/>
      <c r="AS108" s="239"/>
      <c r="AT108" s="239"/>
      <c r="AU108" s="239"/>
      <c r="AV108" s="239"/>
      <c r="AW108" s="239"/>
      <c r="AX108" s="239"/>
      <c r="AY108" s="239"/>
      <c r="AZ108" s="239"/>
      <c r="BA108" s="239"/>
      <c r="BB108" s="239"/>
      <c r="BC108" s="239"/>
      <c r="BD108" s="239"/>
      <c r="BE108" s="144"/>
    </row>
    <row r="109" spans="22:57" ht="18" customHeight="1">
      <c r="V109" s="71"/>
      <c r="W109" s="100"/>
      <c r="X109" s="239"/>
      <c r="Y109" s="239"/>
      <c r="Z109" s="239"/>
      <c r="AA109" s="239"/>
      <c r="AB109" s="239"/>
      <c r="AC109" s="239"/>
      <c r="AD109" s="239"/>
      <c r="AE109" s="239"/>
      <c r="AF109" s="239"/>
      <c r="AG109" s="239"/>
      <c r="AH109" s="239"/>
      <c r="AI109" s="239"/>
      <c r="AJ109" s="239"/>
      <c r="AK109" s="239"/>
      <c r="AL109" s="239"/>
      <c r="AM109" s="239"/>
      <c r="AN109" s="239"/>
      <c r="AO109" s="239"/>
      <c r="AP109" s="239"/>
      <c r="AQ109" s="239"/>
      <c r="AR109" s="239"/>
      <c r="AS109" s="239"/>
      <c r="AT109" s="239"/>
      <c r="AU109" s="239"/>
      <c r="AV109" s="239"/>
      <c r="AW109" s="239"/>
      <c r="AX109" s="239"/>
      <c r="AY109" s="239"/>
      <c r="AZ109" s="239"/>
      <c r="BA109" s="239"/>
      <c r="BB109" s="239"/>
      <c r="BC109" s="239"/>
      <c r="BD109" s="239"/>
      <c r="BE109" s="144"/>
    </row>
    <row r="110" spans="22:57" ht="18.75">
      <c r="V110" s="71"/>
      <c r="W110" s="100"/>
      <c r="X110" s="239"/>
      <c r="Y110" s="239"/>
      <c r="Z110" s="239"/>
      <c r="AA110" s="239"/>
      <c r="AB110" s="239"/>
      <c r="AC110" s="239"/>
      <c r="AD110" s="239"/>
      <c r="AE110" s="239"/>
      <c r="AF110" s="239"/>
      <c r="AG110" s="239"/>
      <c r="AH110" s="239"/>
      <c r="AI110" s="239"/>
      <c r="AJ110" s="239"/>
      <c r="AK110" s="239"/>
      <c r="AL110" s="239"/>
      <c r="AM110" s="239"/>
      <c r="AN110" s="239"/>
      <c r="AO110" s="239"/>
      <c r="AP110" s="239"/>
      <c r="AQ110" s="239"/>
      <c r="AR110" s="239"/>
      <c r="AS110" s="239"/>
      <c r="AT110" s="239"/>
      <c r="AU110" s="239"/>
      <c r="AV110" s="239"/>
      <c r="AW110" s="239"/>
      <c r="AX110" s="239"/>
      <c r="AY110" s="239"/>
      <c r="AZ110" s="239"/>
      <c r="BA110" s="239"/>
      <c r="BB110" s="239"/>
      <c r="BC110" s="239"/>
      <c r="BD110" s="239"/>
      <c r="BE110" s="144"/>
    </row>
    <row r="111" spans="22:57" ht="18.75">
      <c r="V111" s="71"/>
      <c r="W111" s="100"/>
      <c r="X111" s="239" t="s">
        <v>195</v>
      </c>
      <c r="Y111" s="239"/>
      <c r="Z111" s="239"/>
      <c r="AA111" s="239"/>
      <c r="AB111" s="239"/>
      <c r="AC111" s="239"/>
      <c r="AD111" s="239"/>
      <c r="AE111" s="239"/>
      <c r="AF111" s="239"/>
      <c r="AG111" s="239"/>
      <c r="AH111" s="239"/>
      <c r="AI111" s="239"/>
      <c r="AJ111" s="239"/>
      <c r="AK111" s="239"/>
      <c r="AL111" s="239"/>
      <c r="AM111" s="239"/>
      <c r="AN111" s="239"/>
      <c r="AO111" s="239"/>
      <c r="AP111" s="239"/>
      <c r="AQ111" s="239"/>
      <c r="AR111" s="239"/>
      <c r="AS111" s="239"/>
      <c r="AT111" s="239"/>
      <c r="AU111" s="239"/>
      <c r="AV111" s="239"/>
      <c r="AW111" s="239"/>
      <c r="AX111" s="239"/>
      <c r="AY111" s="239"/>
      <c r="AZ111" s="239"/>
      <c r="BA111" s="239"/>
      <c r="BB111" s="239"/>
      <c r="BC111" s="239"/>
      <c r="BD111" s="239"/>
      <c r="BE111" s="144"/>
    </row>
    <row r="112" spans="22:57" ht="18" customHeight="1">
      <c r="V112" s="71"/>
      <c r="W112" s="100"/>
      <c r="X112" s="239"/>
      <c r="Y112" s="239"/>
      <c r="Z112" s="239"/>
      <c r="AA112" s="239"/>
      <c r="AB112" s="239"/>
      <c r="AC112" s="239"/>
      <c r="AD112" s="239"/>
      <c r="AE112" s="239"/>
      <c r="AF112" s="239"/>
      <c r="AG112" s="239"/>
      <c r="AH112" s="239"/>
      <c r="AI112" s="239"/>
      <c r="AJ112" s="239"/>
      <c r="AK112" s="239"/>
      <c r="AL112" s="239"/>
      <c r="AM112" s="239"/>
      <c r="AN112" s="239"/>
      <c r="AO112" s="239"/>
      <c r="AP112" s="239"/>
      <c r="AQ112" s="239"/>
      <c r="AR112" s="239"/>
      <c r="AS112" s="239"/>
      <c r="AT112" s="239"/>
      <c r="AU112" s="239"/>
      <c r="AV112" s="239"/>
      <c r="AW112" s="239"/>
      <c r="AX112" s="239"/>
      <c r="AY112" s="239"/>
      <c r="AZ112" s="239"/>
      <c r="BA112" s="239"/>
      <c r="BB112" s="239"/>
      <c r="BC112" s="239"/>
      <c r="BD112" s="239"/>
      <c r="BE112" s="144"/>
    </row>
    <row r="113" spans="22:57" ht="18.75">
      <c r="V113" s="71"/>
      <c r="W113" s="100"/>
      <c r="X113" s="239"/>
      <c r="Y113" s="239"/>
      <c r="Z113" s="239"/>
      <c r="AA113" s="239"/>
      <c r="AB113" s="239"/>
      <c r="AC113" s="239"/>
      <c r="AD113" s="239"/>
      <c r="AE113" s="239"/>
      <c r="AF113" s="239"/>
      <c r="AG113" s="239"/>
      <c r="AH113" s="239"/>
      <c r="AI113" s="239"/>
      <c r="AJ113" s="239"/>
      <c r="AK113" s="239"/>
      <c r="AL113" s="239"/>
      <c r="AM113" s="239"/>
      <c r="AN113" s="239"/>
      <c r="AO113" s="239"/>
      <c r="AP113" s="239"/>
      <c r="AQ113" s="239"/>
      <c r="AR113" s="239"/>
      <c r="AS113" s="239"/>
      <c r="AT113" s="239"/>
      <c r="AU113" s="239"/>
      <c r="AV113" s="239"/>
      <c r="AW113" s="239"/>
      <c r="AX113" s="239"/>
      <c r="AY113" s="239"/>
      <c r="AZ113" s="239"/>
      <c r="BA113" s="239"/>
      <c r="BB113" s="239"/>
      <c r="BC113" s="239"/>
      <c r="BD113" s="239"/>
      <c r="BE113" s="144"/>
    </row>
    <row r="114" spans="22:57" ht="18.75">
      <c r="V114" s="45"/>
      <c r="W114" s="100"/>
      <c r="X114" s="239"/>
      <c r="Y114" s="239"/>
      <c r="Z114" s="239"/>
      <c r="AA114" s="239"/>
      <c r="AB114" s="239"/>
      <c r="AC114" s="239"/>
      <c r="AD114" s="239"/>
      <c r="AE114" s="239"/>
      <c r="AF114" s="239"/>
      <c r="AG114" s="239"/>
      <c r="AH114" s="239"/>
      <c r="AI114" s="239"/>
      <c r="AJ114" s="239"/>
      <c r="AK114" s="239"/>
      <c r="AL114" s="239"/>
      <c r="AM114" s="239"/>
      <c r="AN114" s="239"/>
      <c r="AO114" s="239"/>
      <c r="AP114" s="239"/>
      <c r="AQ114" s="239"/>
      <c r="AR114" s="239"/>
      <c r="AS114" s="239"/>
      <c r="AT114" s="239"/>
      <c r="AU114" s="239"/>
      <c r="AV114" s="239"/>
      <c r="AW114" s="239"/>
      <c r="AX114" s="239"/>
      <c r="AY114" s="239"/>
      <c r="AZ114" s="239"/>
      <c r="BA114" s="239"/>
      <c r="BB114" s="239"/>
      <c r="BC114" s="239"/>
      <c r="BD114" s="239"/>
      <c r="BE114" s="144"/>
    </row>
    <row r="115" spans="22:57" ht="18.75">
      <c r="V115" s="45"/>
      <c r="W115" s="100"/>
      <c r="X115" s="239"/>
      <c r="Y115" s="239"/>
      <c r="Z115" s="239"/>
      <c r="AA115" s="239"/>
      <c r="AB115" s="239"/>
      <c r="AC115" s="239"/>
      <c r="AD115" s="239"/>
      <c r="AE115" s="239"/>
      <c r="AF115" s="239"/>
      <c r="AG115" s="239"/>
      <c r="AH115" s="239"/>
      <c r="AI115" s="239"/>
      <c r="AJ115" s="239"/>
      <c r="AK115" s="239"/>
      <c r="AL115" s="239"/>
      <c r="AM115" s="239"/>
      <c r="AN115" s="239"/>
      <c r="AO115" s="239"/>
      <c r="AP115" s="239"/>
      <c r="AQ115" s="239"/>
      <c r="AR115" s="239"/>
      <c r="AS115" s="239"/>
      <c r="AT115" s="239"/>
      <c r="AU115" s="239"/>
      <c r="AV115" s="239"/>
      <c r="AW115" s="239"/>
      <c r="AX115" s="239"/>
      <c r="AY115" s="239"/>
      <c r="AZ115" s="239"/>
      <c r="BA115" s="239"/>
      <c r="BB115" s="239"/>
      <c r="BC115" s="239"/>
      <c r="BD115" s="239"/>
      <c r="BE115" s="144"/>
    </row>
    <row r="116" spans="22:57" ht="18.75">
      <c r="V116" s="45"/>
      <c r="W116" s="100"/>
      <c r="X116" s="239" t="s">
        <v>196</v>
      </c>
      <c r="Y116" s="239"/>
      <c r="Z116" s="239"/>
      <c r="AA116" s="239"/>
      <c r="AB116" s="239"/>
      <c r="AC116" s="239"/>
      <c r="AD116" s="239"/>
      <c r="AE116" s="239"/>
      <c r="AF116" s="239"/>
      <c r="AG116" s="239"/>
      <c r="AH116" s="239"/>
      <c r="AI116" s="239"/>
      <c r="AJ116" s="239"/>
      <c r="AK116" s="239"/>
      <c r="AL116" s="239"/>
      <c r="AM116" s="239"/>
      <c r="AN116" s="239"/>
      <c r="AO116" s="239"/>
      <c r="AP116" s="239"/>
      <c r="AQ116" s="239"/>
      <c r="AR116" s="239"/>
      <c r="AS116" s="239"/>
      <c r="AT116" s="239"/>
      <c r="AU116" s="239"/>
      <c r="AV116" s="239"/>
      <c r="AW116" s="239"/>
      <c r="AX116" s="239"/>
      <c r="AY116" s="239"/>
      <c r="AZ116" s="239"/>
      <c r="BA116" s="239"/>
      <c r="BB116" s="239"/>
      <c r="BC116" s="239"/>
      <c r="BD116" s="239"/>
      <c r="BE116" s="144"/>
    </row>
    <row r="117" spans="22:57" ht="18" customHeight="1">
      <c r="V117" s="45"/>
      <c r="W117" s="100"/>
      <c r="X117" s="239"/>
      <c r="Y117" s="239"/>
      <c r="Z117" s="239"/>
      <c r="AA117" s="239"/>
      <c r="AB117" s="239"/>
      <c r="AC117" s="239"/>
      <c r="AD117" s="239"/>
      <c r="AE117" s="239"/>
      <c r="AF117" s="239"/>
      <c r="AG117" s="239"/>
      <c r="AH117" s="239"/>
      <c r="AI117" s="239"/>
      <c r="AJ117" s="239"/>
      <c r="AK117" s="239"/>
      <c r="AL117" s="239"/>
      <c r="AM117" s="239"/>
      <c r="AN117" s="239"/>
      <c r="AO117" s="239"/>
      <c r="AP117" s="239"/>
      <c r="AQ117" s="239"/>
      <c r="AR117" s="239"/>
      <c r="AS117" s="239"/>
      <c r="AT117" s="239"/>
      <c r="AU117" s="239"/>
      <c r="AV117" s="239"/>
      <c r="AW117" s="239"/>
      <c r="AX117" s="239"/>
      <c r="AY117" s="239"/>
      <c r="AZ117" s="239"/>
      <c r="BA117" s="239"/>
      <c r="BB117" s="239"/>
      <c r="BC117" s="239"/>
      <c r="BD117" s="239"/>
      <c r="BE117" s="144"/>
    </row>
    <row r="118" spans="22:57" ht="18.75">
      <c r="V118" s="45"/>
      <c r="W118" s="100"/>
      <c r="X118" s="239"/>
      <c r="Y118" s="239"/>
      <c r="Z118" s="239"/>
      <c r="AA118" s="239"/>
      <c r="AB118" s="239"/>
      <c r="AC118" s="239"/>
      <c r="AD118" s="239"/>
      <c r="AE118" s="239"/>
      <c r="AF118" s="239"/>
      <c r="AG118" s="239"/>
      <c r="AH118" s="239"/>
      <c r="AI118" s="239"/>
      <c r="AJ118" s="239"/>
      <c r="AK118" s="239"/>
      <c r="AL118" s="239"/>
      <c r="AM118" s="239"/>
      <c r="AN118" s="239"/>
      <c r="AO118" s="239"/>
      <c r="AP118" s="239"/>
      <c r="AQ118" s="239"/>
      <c r="AR118" s="239"/>
      <c r="AS118" s="239"/>
      <c r="AT118" s="239"/>
      <c r="AU118" s="239"/>
      <c r="AV118" s="239"/>
      <c r="AW118" s="239"/>
      <c r="AX118" s="239"/>
      <c r="AY118" s="239"/>
      <c r="AZ118" s="239"/>
      <c r="BA118" s="239"/>
      <c r="BB118" s="239"/>
      <c r="BC118" s="239"/>
      <c r="BD118" s="239"/>
      <c r="BE118" s="144"/>
    </row>
    <row r="119" spans="22:57" ht="19.5" thickBot="1">
      <c r="V119" s="45"/>
      <c r="W119" s="100"/>
      <c r="X119" s="239"/>
      <c r="Y119" s="239"/>
      <c r="Z119" s="239"/>
      <c r="AA119" s="239"/>
      <c r="AB119" s="239"/>
      <c r="AC119" s="239"/>
      <c r="AD119" s="239"/>
      <c r="AE119" s="239"/>
      <c r="AF119" s="239"/>
      <c r="AG119" s="239"/>
      <c r="AH119" s="239"/>
      <c r="AI119" s="239"/>
      <c r="AJ119" s="239"/>
      <c r="AK119" s="239"/>
      <c r="AL119" s="239"/>
      <c r="AM119" s="239"/>
      <c r="AN119" s="239"/>
      <c r="AO119" s="239"/>
      <c r="AP119" s="239"/>
      <c r="AQ119" s="239"/>
      <c r="AR119" s="239"/>
      <c r="AS119" s="239"/>
      <c r="AT119" s="239"/>
      <c r="AU119" s="239"/>
      <c r="AV119" s="239"/>
      <c r="AW119" s="239"/>
      <c r="AX119" s="239"/>
      <c r="AY119" s="239"/>
      <c r="AZ119" s="239"/>
      <c r="BA119" s="239"/>
      <c r="BB119" s="239"/>
      <c r="BC119" s="239"/>
      <c r="BD119" s="239"/>
      <c r="BE119" s="144"/>
    </row>
    <row r="120" spans="22:57" ht="15.75">
      <c r="V120" s="45"/>
      <c r="W120" s="100"/>
      <c r="X120" s="147"/>
      <c r="Y120" s="147"/>
      <c r="Z120" s="147"/>
      <c r="AA120" s="147"/>
      <c r="AB120" s="147"/>
      <c r="AC120" s="147"/>
      <c r="AD120" s="147"/>
      <c r="AE120" s="147"/>
      <c r="AF120" s="147"/>
      <c r="AG120" s="147"/>
      <c r="AH120" s="147"/>
      <c r="AI120" s="147"/>
      <c r="AJ120" s="147"/>
      <c r="AK120" s="147"/>
      <c r="AL120" s="108"/>
      <c r="AM120" s="100" t="s">
        <v>197</v>
      </c>
      <c r="AN120" s="100"/>
      <c r="AO120" s="148"/>
      <c r="AP120" s="100"/>
      <c r="AQ120" s="100"/>
      <c r="AR120" s="147"/>
      <c r="AS120" s="147"/>
      <c r="AT120" s="301"/>
      <c r="AU120" s="302"/>
      <c r="AV120" s="302"/>
      <c r="AW120" s="302"/>
      <c r="AX120" s="303"/>
      <c r="AY120" s="149"/>
      <c r="AZ120" s="310"/>
      <c r="BA120" s="311"/>
      <c r="BB120" s="311"/>
      <c r="BC120" s="311"/>
      <c r="BD120" s="312"/>
      <c r="BE120" s="147"/>
    </row>
    <row r="121" spans="22:57" ht="15.75">
      <c r="V121" s="45"/>
      <c r="W121" s="100"/>
      <c r="X121" s="100"/>
      <c r="Y121" s="100"/>
      <c r="Z121" s="100"/>
      <c r="AA121" s="100"/>
      <c r="AB121" s="100"/>
      <c r="AC121" s="100"/>
      <c r="AD121" s="100"/>
      <c r="AE121" s="100"/>
      <c r="AF121" s="100"/>
      <c r="AG121" s="100"/>
      <c r="AH121" s="100"/>
      <c r="AI121" s="100"/>
      <c r="AJ121" s="100"/>
      <c r="AK121" s="100"/>
      <c r="AL121" s="108"/>
      <c r="AM121" s="100" t="s">
        <v>198</v>
      </c>
      <c r="AN121" s="100"/>
      <c r="AO121" s="100"/>
      <c r="AP121" s="100"/>
      <c r="AQ121" s="100"/>
      <c r="AR121" s="100"/>
      <c r="AS121" s="100"/>
      <c r="AT121" s="304"/>
      <c r="AU121" s="305"/>
      <c r="AV121" s="305"/>
      <c r="AW121" s="305"/>
      <c r="AX121" s="306"/>
      <c r="AY121" s="147"/>
      <c r="AZ121" s="313"/>
      <c r="BA121" s="314"/>
      <c r="BB121" s="314"/>
      <c r="BC121" s="314"/>
      <c r="BD121" s="315"/>
      <c r="BE121" s="147"/>
    </row>
    <row r="122" spans="22:57" ht="15.75">
      <c r="V122" s="45"/>
      <c r="W122" s="100"/>
      <c r="X122" s="100"/>
      <c r="Y122" s="100"/>
      <c r="Z122" s="100"/>
      <c r="AA122" s="100"/>
      <c r="AB122" s="100"/>
      <c r="AC122" s="100"/>
      <c r="AD122" s="100"/>
      <c r="AE122" s="100"/>
      <c r="AF122" s="100"/>
      <c r="AG122" s="100"/>
      <c r="AH122" s="100"/>
      <c r="AI122" s="100"/>
      <c r="AJ122" s="100"/>
      <c r="AK122" s="100"/>
      <c r="AL122" s="108"/>
      <c r="AM122" s="100" t="s">
        <v>199</v>
      </c>
      <c r="AN122" s="100"/>
      <c r="AO122" s="100"/>
      <c r="AP122" s="100"/>
      <c r="AQ122" s="100"/>
      <c r="AR122" s="100"/>
      <c r="AS122" s="100"/>
      <c r="AT122" s="304"/>
      <c r="AU122" s="305"/>
      <c r="AV122" s="305"/>
      <c r="AW122" s="305"/>
      <c r="AX122" s="306"/>
      <c r="AY122" s="147"/>
      <c r="AZ122" s="313"/>
      <c r="BA122" s="314"/>
      <c r="BB122" s="314"/>
      <c r="BC122" s="314"/>
      <c r="BD122" s="315"/>
      <c r="BE122" s="147"/>
    </row>
    <row r="123" spans="22:57" ht="16.5" thickBot="1">
      <c r="V123" s="45"/>
      <c r="W123" s="100"/>
      <c r="X123" s="100"/>
      <c r="Y123" s="100"/>
      <c r="Z123" s="399" t="str">
        <f>AU64</f>
        <v>KELVIN ART T OFRECIO</v>
      </c>
      <c r="AA123" s="399"/>
      <c r="AB123" s="399"/>
      <c r="AC123" s="399"/>
      <c r="AD123" s="399"/>
      <c r="AE123" s="399"/>
      <c r="AF123" s="399"/>
      <c r="AG123" s="399"/>
      <c r="AH123" s="399"/>
      <c r="AI123" s="100"/>
      <c r="AJ123" s="100"/>
      <c r="AK123" s="100"/>
      <c r="AL123" s="108"/>
      <c r="AM123" s="100" t="s">
        <v>108</v>
      </c>
      <c r="AN123" s="100"/>
      <c r="AO123" s="244"/>
      <c r="AP123" s="244"/>
      <c r="AQ123" s="244"/>
      <c r="AR123" s="100"/>
      <c r="AS123" s="100"/>
      <c r="AT123" s="304"/>
      <c r="AU123" s="305"/>
      <c r="AV123" s="305"/>
      <c r="AW123" s="305"/>
      <c r="AX123" s="306"/>
      <c r="AY123" s="147"/>
      <c r="AZ123" s="313"/>
      <c r="BA123" s="314"/>
      <c r="BB123" s="314"/>
      <c r="BC123" s="314"/>
      <c r="BD123" s="315"/>
      <c r="BE123" s="147"/>
    </row>
    <row r="124" spans="22:57" ht="15.75">
      <c r="V124" s="45"/>
      <c r="W124" s="100"/>
      <c r="X124" s="319" t="s">
        <v>200</v>
      </c>
      <c r="Y124" s="319"/>
      <c r="Z124" s="319"/>
      <c r="AA124" s="319"/>
      <c r="AB124" s="319"/>
      <c r="AC124" s="319"/>
      <c r="AD124" s="319"/>
      <c r="AE124" s="319"/>
      <c r="AF124" s="319"/>
      <c r="AG124" s="319"/>
      <c r="AH124" s="319"/>
      <c r="AI124" s="319"/>
      <c r="AJ124" s="319"/>
      <c r="AK124" s="100"/>
      <c r="AL124" s="100"/>
      <c r="AM124" s="100"/>
      <c r="AN124" s="100"/>
      <c r="AO124" s="100"/>
      <c r="AP124" s="100"/>
      <c r="AQ124" s="100"/>
      <c r="AR124" s="100"/>
      <c r="AS124" s="100"/>
      <c r="AT124" s="304"/>
      <c r="AU124" s="305"/>
      <c r="AV124" s="305"/>
      <c r="AW124" s="305"/>
      <c r="AX124" s="306"/>
      <c r="AY124" s="147"/>
      <c r="AZ124" s="313"/>
      <c r="BA124" s="314"/>
      <c r="BB124" s="314"/>
      <c r="BC124" s="314"/>
      <c r="BD124" s="315"/>
      <c r="BE124" s="147"/>
    </row>
    <row r="125" spans="22:57" ht="15.75">
      <c r="V125" s="45"/>
      <c r="W125" s="100"/>
      <c r="X125" s="102"/>
      <c r="Y125" s="100"/>
      <c r="Z125" s="100"/>
      <c r="AA125" s="100"/>
      <c r="AB125" s="100"/>
      <c r="AC125" s="100"/>
      <c r="AD125" s="100"/>
      <c r="AE125" s="100"/>
      <c r="AF125" s="100"/>
      <c r="AG125" s="100"/>
      <c r="AH125" s="100"/>
      <c r="AI125" s="100"/>
      <c r="AJ125" s="100"/>
      <c r="AK125" s="100"/>
      <c r="AL125" s="100"/>
      <c r="AM125" s="100"/>
      <c r="AN125" s="100"/>
      <c r="AO125" s="100"/>
      <c r="AP125" s="100"/>
      <c r="AQ125" s="100"/>
      <c r="AR125" s="100"/>
      <c r="AS125" s="100"/>
      <c r="AT125" s="304"/>
      <c r="AU125" s="305"/>
      <c r="AV125" s="305"/>
      <c r="AW125" s="305"/>
      <c r="AX125" s="306"/>
      <c r="AY125" s="147"/>
      <c r="AZ125" s="313"/>
      <c r="BA125" s="314"/>
      <c r="BB125" s="314"/>
      <c r="BC125" s="314"/>
      <c r="BD125" s="315"/>
      <c r="BE125" s="147"/>
    </row>
    <row r="126" spans="22:57" ht="16.5" thickBot="1">
      <c r="V126" s="45"/>
      <c r="W126" s="100"/>
      <c r="X126" s="100" t="s">
        <v>201</v>
      </c>
      <c r="Y126" s="100"/>
      <c r="Z126" s="244"/>
      <c r="AA126" s="244"/>
      <c r="AB126" s="244"/>
      <c r="AC126" s="244"/>
      <c r="AD126" s="244"/>
      <c r="AE126" s="244"/>
      <c r="AF126" s="244"/>
      <c r="AG126" s="244"/>
      <c r="AH126" s="244"/>
      <c r="AI126" s="244"/>
      <c r="AJ126" s="100"/>
      <c r="AK126" s="100"/>
      <c r="AL126" s="100"/>
      <c r="AM126" s="100"/>
      <c r="AN126" s="100"/>
      <c r="AO126" s="100"/>
      <c r="AP126" s="100"/>
      <c r="AQ126" s="100"/>
      <c r="AR126" s="100"/>
      <c r="AS126" s="100"/>
      <c r="AT126" s="307"/>
      <c r="AU126" s="308"/>
      <c r="AV126" s="308"/>
      <c r="AW126" s="308"/>
      <c r="AX126" s="309"/>
      <c r="AY126" s="150"/>
      <c r="AZ126" s="316"/>
      <c r="BA126" s="317"/>
      <c r="BB126" s="317"/>
      <c r="BC126" s="317"/>
      <c r="BD126" s="318"/>
      <c r="BE126" s="147"/>
    </row>
    <row r="127" spans="22:57" ht="16.5" thickBot="1">
      <c r="V127" s="45"/>
      <c r="W127" s="100"/>
      <c r="X127" s="100" t="s">
        <v>202</v>
      </c>
      <c r="Y127" s="100"/>
      <c r="Z127" s="100"/>
      <c r="AA127" s="100"/>
      <c r="AB127" s="401"/>
      <c r="AC127" s="401"/>
      <c r="AD127" s="401"/>
      <c r="AE127" s="401"/>
      <c r="AF127" s="401"/>
      <c r="AG127" s="401"/>
      <c r="AH127" s="401"/>
      <c r="AI127" s="401"/>
      <c r="AJ127" s="100"/>
      <c r="AK127" s="100"/>
      <c r="AL127" s="100"/>
      <c r="AM127" s="100"/>
      <c r="AN127" s="100"/>
      <c r="AO127" s="100"/>
      <c r="AP127" s="100"/>
      <c r="AQ127" s="100"/>
      <c r="AR127" s="100"/>
      <c r="AS127" s="100"/>
      <c r="AT127" s="256" t="s">
        <v>203</v>
      </c>
      <c r="AU127" s="256"/>
      <c r="AV127" s="256"/>
      <c r="AW127" s="256"/>
      <c r="AX127" s="256"/>
      <c r="AY127" s="112"/>
      <c r="AZ127" s="256" t="s">
        <v>204</v>
      </c>
      <c r="BA127" s="256"/>
      <c r="BB127" s="256"/>
      <c r="BC127" s="256"/>
      <c r="BD127" s="256"/>
      <c r="BE127" s="113"/>
    </row>
    <row r="128" spans="22:57" ht="15.75">
      <c r="V128" s="45"/>
      <c r="W128" s="100"/>
      <c r="X128" s="100"/>
      <c r="Y128" s="100"/>
      <c r="Z128" s="100"/>
      <c r="AA128" s="100"/>
      <c r="AB128" s="100"/>
      <c r="AC128" s="100"/>
      <c r="AD128" s="100"/>
      <c r="AE128" s="100"/>
      <c r="AF128" s="100"/>
      <c r="AG128" s="100"/>
      <c r="AH128" s="100"/>
      <c r="AI128" s="100"/>
      <c r="AJ128" s="100"/>
      <c r="AK128" s="100"/>
      <c r="AL128" s="100"/>
      <c r="AM128" s="100"/>
      <c r="AN128" s="100"/>
      <c r="AO128" s="100"/>
      <c r="AP128" s="100"/>
      <c r="AQ128" s="100"/>
      <c r="AR128" s="100"/>
      <c r="AS128" s="100"/>
      <c r="AT128" s="100"/>
      <c r="AU128" s="100"/>
      <c r="AV128" s="100"/>
      <c r="AW128" s="100"/>
      <c r="AX128" s="100"/>
      <c r="AY128" s="100"/>
      <c r="AZ128" s="100"/>
      <c r="BA128" s="100"/>
      <c r="BB128" s="100"/>
      <c r="BC128" s="100"/>
      <c r="BD128" s="100"/>
      <c r="BE128" s="100"/>
    </row>
    <row r="129" spans="10:57" ht="15.75">
      <c r="V129" s="45"/>
      <c r="W129" s="100"/>
      <c r="X129" s="100"/>
      <c r="Y129" s="100"/>
      <c r="Z129" s="100"/>
      <c r="AA129" s="100"/>
      <c r="AB129" s="100"/>
      <c r="AC129" s="100"/>
      <c r="AD129" s="100"/>
      <c r="AE129" s="100"/>
      <c r="AF129" s="100"/>
      <c r="AG129" s="100"/>
      <c r="AH129" s="100"/>
      <c r="AI129" s="100"/>
      <c r="AJ129" s="100"/>
      <c r="AK129" s="100"/>
      <c r="AL129" s="100"/>
      <c r="AM129" s="100"/>
      <c r="AN129" s="100"/>
      <c r="AO129" s="100"/>
      <c r="AP129" s="100"/>
      <c r="AQ129" s="100"/>
      <c r="AR129" s="100"/>
      <c r="AS129" s="100"/>
      <c r="AT129" s="100"/>
      <c r="AU129" s="100"/>
      <c r="AV129" s="100"/>
      <c r="AW129" s="100"/>
      <c r="AX129" s="100"/>
      <c r="AY129" s="100"/>
      <c r="AZ129" s="100"/>
      <c r="BA129" s="100"/>
      <c r="BB129" s="100"/>
      <c r="BC129" s="100"/>
      <c r="BD129" s="100"/>
      <c r="BE129" s="100"/>
    </row>
    <row r="130" spans="10:57" ht="18.75">
      <c r="V130" s="45"/>
      <c r="W130" s="100"/>
      <c r="X130" s="253" t="s">
        <v>205</v>
      </c>
      <c r="Y130" s="254"/>
      <c r="Z130" s="254"/>
      <c r="AA130" s="254"/>
      <c r="AB130" s="254"/>
      <c r="AC130" s="254"/>
      <c r="AD130" s="254"/>
      <c r="AE130" s="254"/>
      <c r="AF130" s="254"/>
      <c r="AG130" s="254"/>
      <c r="AH130" s="254"/>
      <c r="AI130" s="254"/>
      <c r="AJ130" s="254"/>
      <c r="AK130" s="254"/>
      <c r="AL130" s="254"/>
      <c r="AM130" s="254"/>
      <c r="AN130" s="254"/>
      <c r="AO130" s="254"/>
      <c r="AP130" s="254"/>
      <c r="AQ130" s="254"/>
      <c r="AR130" s="254"/>
      <c r="AS130" s="254"/>
      <c r="AT130" s="254"/>
      <c r="AU130" s="254"/>
      <c r="AV130" s="254"/>
      <c r="AW130" s="254"/>
      <c r="AX130" s="254"/>
      <c r="AY130" s="254"/>
      <c r="AZ130" s="254"/>
      <c r="BA130" s="254"/>
      <c r="BB130" s="254"/>
      <c r="BC130" s="254"/>
      <c r="BD130" s="254"/>
      <c r="BE130" s="254"/>
    </row>
    <row r="131" spans="10:57" ht="15.75">
      <c r="V131" s="45"/>
      <c r="W131" s="100"/>
      <c r="X131" s="100"/>
      <c r="Y131" s="100"/>
      <c r="Z131" s="100"/>
      <c r="AA131" s="100"/>
      <c r="AB131" s="100"/>
      <c r="AC131" s="100"/>
      <c r="AD131" s="100"/>
      <c r="AE131" s="100"/>
      <c r="AF131" s="100"/>
      <c r="AG131" s="100"/>
      <c r="AH131" s="100"/>
      <c r="AI131" s="100"/>
      <c r="AJ131" s="100"/>
      <c r="AK131" s="100"/>
      <c r="AL131" s="100"/>
      <c r="AM131" s="100"/>
      <c r="AN131" s="100"/>
      <c r="AO131" s="100"/>
      <c r="AP131" s="100"/>
      <c r="AQ131" s="100"/>
      <c r="AR131" s="100"/>
      <c r="AS131" s="100"/>
      <c r="AT131" s="100"/>
      <c r="AU131" s="100"/>
      <c r="AV131" s="100"/>
      <c r="AW131" s="100"/>
      <c r="AX131" s="100"/>
      <c r="AY131" s="100"/>
      <c r="AZ131" s="100"/>
      <c r="BA131" s="100"/>
      <c r="BB131" s="100"/>
      <c r="BC131" s="100"/>
      <c r="BD131" s="100"/>
      <c r="BE131" s="100"/>
    </row>
    <row r="132" spans="10:57" ht="17.25">
      <c r="V132" s="45"/>
      <c r="W132" s="100"/>
      <c r="X132" s="151" t="s">
        <v>206</v>
      </c>
      <c r="Y132" s="152"/>
      <c r="Z132" s="152"/>
      <c r="AA132" s="152"/>
      <c r="AB132" s="152"/>
      <c r="AC132" s="152"/>
      <c r="AD132" s="152"/>
      <c r="AE132" s="100"/>
      <c r="AF132" s="100"/>
      <c r="AG132" s="100"/>
      <c r="AH132" s="100"/>
      <c r="AI132" s="100"/>
      <c r="AJ132" s="100"/>
      <c r="AK132" s="100"/>
      <c r="AL132" s="100"/>
      <c r="AM132" s="100"/>
      <c r="AN132" s="100"/>
      <c r="AO132" s="100"/>
      <c r="AP132" s="100"/>
      <c r="AQ132" s="100"/>
      <c r="AR132" s="100"/>
      <c r="AS132" s="100"/>
      <c r="AT132" s="100"/>
      <c r="AU132" s="100"/>
      <c r="AV132" s="100"/>
      <c r="AW132" s="100"/>
      <c r="AX132" s="100"/>
      <c r="AY132" s="100"/>
      <c r="AZ132" s="100"/>
      <c r="BA132" s="100"/>
      <c r="BB132" s="100"/>
      <c r="BC132" s="100"/>
      <c r="BD132" s="100"/>
      <c r="BE132" s="100"/>
    </row>
    <row r="133" spans="10:57" ht="17.25">
      <c r="V133" s="45"/>
      <c r="W133" s="100"/>
      <c r="X133" s="153" t="s">
        <v>207</v>
      </c>
      <c r="Y133" s="152"/>
      <c r="Z133" s="152"/>
      <c r="AA133" s="152"/>
      <c r="AB133" s="152"/>
      <c r="AC133" s="152"/>
      <c r="AD133" s="152"/>
      <c r="AE133" s="100"/>
      <c r="AF133" s="100"/>
      <c r="AG133" s="100"/>
      <c r="AH133" s="100"/>
      <c r="AI133" s="100"/>
      <c r="AJ133" s="100"/>
      <c r="AK133" s="100"/>
      <c r="AL133" s="100"/>
      <c r="AM133" s="100"/>
      <c r="AN133" s="100"/>
      <c r="AO133" s="100"/>
      <c r="AP133" s="100"/>
      <c r="AQ133" s="100"/>
      <c r="AR133" s="100"/>
      <c r="AS133" s="100"/>
      <c r="AT133" s="100"/>
      <c r="AU133" s="100"/>
      <c r="AV133" s="100"/>
      <c r="AW133" s="100"/>
      <c r="AX133" s="100"/>
      <c r="AY133" s="100"/>
      <c r="AZ133" s="100"/>
      <c r="BA133" s="100"/>
      <c r="BB133" s="100"/>
      <c r="BC133" s="100"/>
      <c r="BD133" s="100"/>
      <c r="BE133" s="100"/>
    </row>
    <row r="134" spans="10:57" ht="17.25">
      <c r="V134" s="45"/>
      <c r="W134" s="100"/>
      <c r="X134" s="152"/>
      <c r="Y134" s="152"/>
      <c r="Z134" s="152"/>
      <c r="AA134" s="152"/>
      <c r="AB134" s="152"/>
      <c r="AC134" s="152"/>
      <c r="AD134" s="152"/>
      <c r="AE134" s="100"/>
      <c r="AF134" s="100"/>
      <c r="AG134" s="100"/>
      <c r="AH134" s="100"/>
      <c r="AI134" s="100"/>
      <c r="AJ134" s="100"/>
      <c r="AK134" s="100"/>
      <c r="AL134" s="100"/>
      <c r="AM134" s="100"/>
      <c r="AN134" s="100"/>
      <c r="AO134" s="100"/>
      <c r="AP134" s="100"/>
      <c r="AQ134" s="100"/>
      <c r="AR134" s="100"/>
      <c r="AS134" s="100"/>
      <c r="AT134" s="100"/>
      <c r="AU134" s="100"/>
      <c r="AV134" s="100"/>
      <c r="AW134" s="100"/>
      <c r="AX134" s="100"/>
      <c r="AY134" s="100"/>
      <c r="AZ134" s="100"/>
      <c r="BA134" s="100"/>
      <c r="BB134" s="100"/>
      <c r="BC134" s="100"/>
      <c r="BD134" s="100"/>
      <c r="BE134" s="100"/>
    </row>
    <row r="135" spans="10:57" ht="17.25">
      <c r="J135" s="45"/>
      <c r="K135" s="45"/>
      <c r="L135" s="45"/>
      <c r="M135" s="45"/>
      <c r="N135" s="45"/>
      <c r="O135" s="49"/>
      <c r="P135" s="45"/>
      <c r="Q135" s="45"/>
      <c r="R135" s="45"/>
      <c r="S135" s="45"/>
      <c r="T135" s="45"/>
      <c r="U135" s="45"/>
      <c r="V135" s="45"/>
      <c r="W135" s="100"/>
      <c r="X135" s="257" t="s">
        <v>208</v>
      </c>
      <c r="Y135" s="257"/>
      <c r="Z135" s="257"/>
      <c r="AA135" s="257"/>
      <c r="AB135" s="257"/>
      <c r="AC135" s="257"/>
      <c r="AD135" s="257"/>
      <c r="AE135" s="257"/>
      <c r="AF135" s="257"/>
      <c r="AG135" s="257"/>
      <c r="AH135" s="257"/>
      <c r="AI135" s="257"/>
      <c r="AJ135" s="257"/>
      <c r="AK135" s="257"/>
      <c r="AL135" s="257"/>
      <c r="AM135" s="257"/>
      <c r="AN135" s="257"/>
      <c r="AO135" s="257"/>
      <c r="AP135" s="257"/>
      <c r="AQ135" s="257"/>
      <c r="AR135" s="257"/>
      <c r="AS135" s="257"/>
      <c r="AT135" s="257"/>
      <c r="AU135" s="257"/>
      <c r="AV135" s="257"/>
      <c r="AW135" s="257"/>
      <c r="AX135" s="257"/>
      <c r="AY135" s="257"/>
      <c r="AZ135" s="257"/>
      <c r="BA135" s="257"/>
      <c r="BB135" s="257"/>
      <c r="BC135" s="257"/>
      <c r="BD135" s="257"/>
      <c r="BE135" s="154"/>
    </row>
    <row r="136" spans="10:57" ht="17.25">
      <c r="W136" s="100"/>
      <c r="X136" s="258" t="s">
        <v>209</v>
      </c>
      <c r="Y136" s="258"/>
      <c r="Z136" s="258"/>
      <c r="AA136" s="258"/>
      <c r="AB136" s="258"/>
      <c r="AC136" s="258"/>
      <c r="AD136" s="258"/>
      <c r="AE136" s="258"/>
      <c r="AF136" s="258"/>
      <c r="AG136" s="258"/>
      <c r="AH136" s="258"/>
      <c r="AI136" s="258"/>
      <c r="AJ136" s="258"/>
      <c r="AK136" s="258"/>
      <c r="AL136" s="258"/>
      <c r="AM136" s="258"/>
      <c r="AN136" s="258"/>
      <c r="AO136" s="258"/>
      <c r="AP136" s="258"/>
      <c r="AQ136" s="258"/>
      <c r="AR136" s="258"/>
      <c r="AS136" s="258"/>
      <c r="AT136" s="258"/>
      <c r="AU136" s="258"/>
      <c r="AV136" s="258"/>
      <c r="AW136" s="258"/>
      <c r="AX136" s="258"/>
      <c r="AY136" s="258"/>
      <c r="AZ136" s="258"/>
      <c r="BA136" s="258"/>
      <c r="BB136" s="258"/>
      <c r="BC136" s="258"/>
      <c r="BD136" s="258"/>
      <c r="BE136" s="154"/>
    </row>
    <row r="137" spans="10:57" ht="17.25">
      <c r="W137" s="100"/>
      <c r="X137" s="258"/>
      <c r="Y137" s="258"/>
      <c r="Z137" s="258"/>
      <c r="AA137" s="258"/>
      <c r="AB137" s="258"/>
      <c r="AC137" s="258"/>
      <c r="AD137" s="258"/>
      <c r="AE137" s="258"/>
      <c r="AF137" s="258"/>
      <c r="AG137" s="258"/>
      <c r="AH137" s="258"/>
      <c r="AI137" s="258"/>
      <c r="AJ137" s="258"/>
      <c r="AK137" s="258"/>
      <c r="AL137" s="258"/>
      <c r="AM137" s="258"/>
      <c r="AN137" s="258"/>
      <c r="AO137" s="258"/>
      <c r="AP137" s="258"/>
      <c r="AQ137" s="258"/>
      <c r="AR137" s="258"/>
      <c r="AS137" s="258"/>
      <c r="AT137" s="258"/>
      <c r="AU137" s="258"/>
      <c r="AV137" s="258"/>
      <c r="AW137" s="258"/>
      <c r="AX137" s="258"/>
      <c r="AY137" s="258"/>
      <c r="AZ137" s="258"/>
      <c r="BA137" s="258"/>
      <c r="BB137" s="258"/>
      <c r="BC137" s="258"/>
      <c r="BD137" s="258"/>
      <c r="BE137" s="154"/>
    </row>
    <row r="138" spans="10:57" ht="17.25">
      <c r="W138" s="100"/>
      <c r="X138" s="258"/>
      <c r="Y138" s="258"/>
      <c r="Z138" s="258"/>
      <c r="AA138" s="258"/>
      <c r="AB138" s="258"/>
      <c r="AC138" s="258"/>
      <c r="AD138" s="258"/>
      <c r="AE138" s="258"/>
      <c r="AF138" s="258"/>
      <c r="AG138" s="258"/>
      <c r="AH138" s="258"/>
      <c r="AI138" s="258"/>
      <c r="AJ138" s="258"/>
      <c r="AK138" s="258"/>
      <c r="AL138" s="258"/>
      <c r="AM138" s="258"/>
      <c r="AN138" s="258"/>
      <c r="AO138" s="258"/>
      <c r="AP138" s="258"/>
      <c r="AQ138" s="258"/>
      <c r="AR138" s="258"/>
      <c r="AS138" s="258"/>
      <c r="AT138" s="258"/>
      <c r="AU138" s="258"/>
      <c r="AV138" s="258"/>
      <c r="AW138" s="258"/>
      <c r="AX138" s="258"/>
      <c r="AY138" s="258"/>
      <c r="AZ138" s="258"/>
      <c r="BA138" s="258"/>
      <c r="BB138" s="258"/>
      <c r="BC138" s="258"/>
      <c r="BD138" s="258"/>
      <c r="BE138" s="154"/>
    </row>
    <row r="139" spans="10:57" ht="17.25">
      <c r="W139" s="100"/>
      <c r="X139" s="258"/>
      <c r="Y139" s="258"/>
      <c r="Z139" s="258"/>
      <c r="AA139" s="258"/>
      <c r="AB139" s="258"/>
      <c r="AC139" s="258"/>
      <c r="AD139" s="258"/>
      <c r="AE139" s="258"/>
      <c r="AF139" s="258"/>
      <c r="AG139" s="258"/>
      <c r="AH139" s="258"/>
      <c r="AI139" s="258"/>
      <c r="AJ139" s="258"/>
      <c r="AK139" s="258"/>
      <c r="AL139" s="258"/>
      <c r="AM139" s="258"/>
      <c r="AN139" s="258"/>
      <c r="AO139" s="258"/>
      <c r="AP139" s="258"/>
      <c r="AQ139" s="258"/>
      <c r="AR139" s="258"/>
      <c r="AS139" s="258"/>
      <c r="AT139" s="258"/>
      <c r="AU139" s="258"/>
      <c r="AV139" s="258"/>
      <c r="AW139" s="258"/>
      <c r="AX139" s="258"/>
      <c r="AY139" s="258"/>
      <c r="AZ139" s="258"/>
      <c r="BA139" s="258"/>
      <c r="BB139" s="258"/>
      <c r="BC139" s="258"/>
      <c r="BD139" s="258"/>
      <c r="BE139" s="155"/>
    </row>
    <row r="140" spans="10:57" ht="17.25">
      <c r="W140" s="100"/>
      <c r="X140" s="152"/>
      <c r="Y140" s="156" t="s">
        <v>210</v>
      </c>
      <c r="Z140" s="152"/>
      <c r="AA140" s="152"/>
      <c r="AB140" s="152"/>
      <c r="AC140" s="152"/>
      <c r="AD140" s="152"/>
      <c r="AE140" s="100"/>
      <c r="AF140" s="100"/>
      <c r="AG140" s="100"/>
      <c r="AH140" s="100"/>
      <c r="AI140" s="100"/>
      <c r="AJ140" s="100"/>
      <c r="AK140" s="100"/>
      <c r="AL140" s="100"/>
      <c r="AM140" s="100"/>
      <c r="AN140" s="100"/>
      <c r="AO140" s="100"/>
      <c r="AP140" s="100"/>
      <c r="AQ140" s="100"/>
      <c r="AR140" s="100"/>
      <c r="AS140" s="100"/>
      <c r="AT140" s="100"/>
      <c r="AU140" s="100"/>
      <c r="AV140" s="100"/>
      <c r="AW140" s="100"/>
      <c r="AX140" s="100"/>
      <c r="AY140" s="100"/>
      <c r="AZ140" s="100"/>
      <c r="BA140" s="100"/>
      <c r="BB140" s="100"/>
      <c r="BC140" s="100"/>
      <c r="BD140" s="100"/>
      <c r="BE140" s="100"/>
    </row>
    <row r="141" spans="10:57" ht="17.25">
      <c r="W141" s="100"/>
      <c r="X141" s="152"/>
      <c r="Y141" s="152"/>
      <c r="Z141" s="152"/>
      <c r="AA141" s="152"/>
      <c r="AB141" s="152"/>
      <c r="AC141" s="152"/>
      <c r="AD141" s="152"/>
      <c r="AE141" s="100"/>
      <c r="AF141" s="100"/>
      <c r="AG141" s="100"/>
      <c r="AH141" s="100"/>
      <c r="AI141" s="100"/>
      <c r="AJ141" s="100"/>
      <c r="AK141" s="100"/>
      <c r="AL141" s="100"/>
      <c r="AM141" s="100"/>
      <c r="AN141" s="100"/>
      <c r="AO141" s="100"/>
      <c r="AP141" s="100"/>
      <c r="AQ141" s="100"/>
      <c r="AR141" s="100"/>
      <c r="AS141" s="100"/>
      <c r="AT141" s="100"/>
      <c r="AU141" s="100"/>
      <c r="AV141" s="100"/>
      <c r="AW141" s="100"/>
      <c r="AX141" s="100"/>
      <c r="AY141" s="100"/>
      <c r="AZ141" s="100"/>
      <c r="BA141" s="100"/>
      <c r="BB141" s="100"/>
      <c r="BC141" s="100"/>
      <c r="BD141" s="100"/>
      <c r="BE141" s="100"/>
    </row>
    <row r="142" spans="10:57" ht="18" thickBot="1">
      <c r="W142" s="100"/>
      <c r="X142" s="157" t="s">
        <v>211</v>
      </c>
      <c r="Y142" s="152"/>
      <c r="Z142" s="152"/>
      <c r="AA142" s="259"/>
      <c r="AB142" s="259"/>
      <c r="AC142" s="259"/>
      <c r="AD142" s="152"/>
      <c r="AE142" s="100"/>
      <c r="AF142" s="100"/>
      <c r="AG142" s="100"/>
      <c r="AH142" s="100"/>
      <c r="AI142" s="100"/>
      <c r="AJ142" s="100"/>
      <c r="AK142" s="100"/>
      <c r="AL142" s="100"/>
      <c r="AM142" s="100"/>
      <c r="AN142" s="100"/>
      <c r="AO142" s="100"/>
      <c r="AP142" s="100"/>
      <c r="AQ142" s="100"/>
      <c r="AR142" s="100"/>
      <c r="AS142" s="100"/>
      <c r="AT142" s="100"/>
      <c r="AU142" s="100"/>
      <c r="AV142" s="100"/>
      <c r="AW142" s="100"/>
      <c r="AX142" s="100"/>
      <c r="AY142" s="100"/>
      <c r="AZ142" s="100"/>
      <c r="BA142" s="100"/>
      <c r="BB142" s="100"/>
      <c r="BC142" s="100"/>
      <c r="BD142" s="100"/>
      <c r="BE142" s="100"/>
    </row>
    <row r="143" spans="10:57" ht="18" thickBot="1">
      <c r="W143" s="100"/>
      <c r="X143" s="157" t="s">
        <v>212</v>
      </c>
      <c r="Y143" s="152"/>
      <c r="Z143" s="152"/>
      <c r="AA143" s="300"/>
      <c r="AB143" s="300"/>
      <c r="AC143" s="300"/>
      <c r="AD143" s="152"/>
      <c r="AE143" s="100"/>
      <c r="AF143" s="100"/>
      <c r="AG143" s="100"/>
      <c r="AH143" s="100"/>
      <c r="AI143" s="100"/>
      <c r="AJ143" s="100"/>
      <c r="AK143" s="100"/>
      <c r="AL143" s="100"/>
      <c r="AM143" s="100"/>
      <c r="AN143" s="100"/>
      <c r="AO143" s="100"/>
      <c r="AP143" s="100"/>
      <c r="AQ143" s="100"/>
      <c r="AR143" s="100"/>
      <c r="AS143" s="100"/>
      <c r="AT143" s="100"/>
      <c r="AU143" s="100"/>
      <c r="AV143" s="100"/>
      <c r="AW143" s="100"/>
      <c r="AX143" s="100"/>
      <c r="AY143" s="100"/>
      <c r="AZ143" s="100"/>
      <c r="BA143" s="100"/>
      <c r="BB143" s="100"/>
      <c r="BC143" s="100"/>
      <c r="BD143" s="100"/>
      <c r="BE143" s="100"/>
    </row>
    <row r="144" spans="10:57" ht="18" thickBot="1">
      <c r="W144" s="100"/>
      <c r="X144" s="157" t="s">
        <v>213</v>
      </c>
      <c r="Y144" s="152"/>
      <c r="Z144" s="152"/>
      <c r="AA144" s="300"/>
      <c r="AB144" s="300"/>
      <c r="AC144" s="300"/>
      <c r="AD144" s="152"/>
      <c r="AE144" s="100"/>
      <c r="AF144" s="100"/>
      <c r="AG144" s="100"/>
      <c r="AH144" s="100"/>
      <c r="AI144" s="100"/>
      <c r="AJ144" s="100"/>
      <c r="AK144" s="100"/>
      <c r="AL144" s="100"/>
      <c r="AM144" s="100"/>
      <c r="AN144" s="100"/>
      <c r="AO144" s="100"/>
      <c r="AP144" s="100"/>
      <c r="AQ144" s="100"/>
      <c r="AR144" s="100"/>
      <c r="AS144" s="100"/>
      <c r="AT144" s="100"/>
      <c r="AU144" s="100"/>
      <c r="AV144" s="100"/>
      <c r="AW144" s="100"/>
      <c r="AX144" s="100"/>
      <c r="AY144" s="100"/>
      <c r="AZ144" s="100"/>
      <c r="BA144" s="100"/>
      <c r="BB144" s="100"/>
      <c r="BC144" s="100"/>
      <c r="BD144" s="100"/>
      <c r="BE144" s="100"/>
    </row>
    <row r="145" spans="23:57" ht="18" thickBot="1">
      <c r="W145" s="100"/>
      <c r="X145" s="157" t="s">
        <v>214</v>
      </c>
      <c r="Y145" s="152"/>
      <c r="Z145" s="152"/>
      <c r="AA145" s="300"/>
      <c r="AB145" s="300"/>
      <c r="AC145" s="300"/>
      <c r="AD145" s="152"/>
      <c r="AE145" s="100"/>
      <c r="AF145" s="100"/>
      <c r="AG145" s="100"/>
      <c r="AH145" s="100"/>
      <c r="AI145" s="100"/>
      <c r="AJ145" s="100"/>
      <c r="AK145" s="100"/>
      <c r="AL145" s="100"/>
      <c r="AM145" s="100"/>
      <c r="AN145" s="100"/>
      <c r="AO145" s="100"/>
      <c r="AP145" s="100"/>
      <c r="AQ145" s="100"/>
      <c r="AR145" s="100"/>
      <c r="AS145" s="100"/>
      <c r="AT145" s="100"/>
      <c r="AU145" s="100"/>
      <c r="AV145" s="100"/>
      <c r="AW145" s="100"/>
      <c r="AX145" s="100"/>
      <c r="AY145" s="100"/>
      <c r="AZ145" s="100"/>
      <c r="BA145" s="100"/>
      <c r="BB145" s="100"/>
      <c r="BC145" s="100"/>
      <c r="BD145" s="100"/>
      <c r="BE145" s="100"/>
    </row>
    <row r="146" spans="23:57" ht="15.75">
      <c r="W146" s="100"/>
      <c r="X146" s="158"/>
      <c r="Y146" s="100"/>
      <c r="Z146" s="100"/>
      <c r="AA146" s="109"/>
      <c r="AB146" s="109"/>
      <c r="AC146" s="109"/>
      <c r="AD146" s="100"/>
      <c r="AE146" s="100"/>
      <c r="AF146" s="100"/>
      <c r="AG146" s="100"/>
      <c r="AH146" s="100"/>
      <c r="AI146" s="100"/>
      <c r="AJ146" s="100"/>
      <c r="AK146" s="100"/>
      <c r="AL146" s="100"/>
      <c r="AM146" s="100"/>
      <c r="AN146" s="100"/>
      <c r="AO146" s="100"/>
      <c r="AP146" s="100"/>
      <c r="AQ146" s="100"/>
      <c r="AR146" s="100"/>
      <c r="AS146" s="100"/>
      <c r="AT146" s="100"/>
      <c r="AU146" s="100"/>
      <c r="AV146" s="100"/>
      <c r="AW146" s="100"/>
      <c r="AX146" s="100"/>
      <c r="AY146" s="100"/>
      <c r="AZ146" s="100"/>
      <c r="BA146" s="100"/>
      <c r="BB146" s="100"/>
      <c r="BC146" s="100"/>
      <c r="BD146" s="100"/>
      <c r="BE146" s="100"/>
    </row>
    <row r="147" spans="23:57" ht="18.75">
      <c r="W147" s="100"/>
      <c r="X147" s="253" t="s">
        <v>215</v>
      </c>
      <c r="Y147" s="254"/>
      <c r="Z147" s="254"/>
      <c r="AA147" s="254"/>
      <c r="AB147" s="254"/>
      <c r="AC147" s="254"/>
      <c r="AD147" s="254"/>
      <c r="AE147" s="254"/>
      <c r="AF147" s="254"/>
      <c r="AG147" s="254"/>
      <c r="AH147" s="254"/>
      <c r="AI147" s="254"/>
      <c r="AJ147" s="254"/>
      <c r="AK147" s="254"/>
      <c r="AL147" s="254"/>
      <c r="AM147" s="254"/>
      <c r="AN147" s="254"/>
      <c r="AO147" s="254"/>
      <c r="AP147" s="254"/>
      <c r="AQ147" s="254"/>
      <c r="AR147" s="254"/>
      <c r="AS147" s="254"/>
      <c r="AT147" s="254"/>
      <c r="AU147" s="254"/>
      <c r="AV147" s="254"/>
      <c r="AW147" s="254"/>
      <c r="AX147" s="254"/>
      <c r="AY147" s="254"/>
      <c r="AZ147" s="254"/>
      <c r="BA147" s="254"/>
      <c r="BB147" s="254"/>
      <c r="BC147" s="254"/>
      <c r="BD147" s="254"/>
      <c r="BE147" s="159"/>
    </row>
    <row r="148" spans="23:57" ht="15.75">
      <c r="W148" s="100"/>
      <c r="X148" s="160"/>
      <c r="Y148" s="161"/>
      <c r="Z148" s="161"/>
      <c r="AA148" s="161"/>
      <c r="AB148" s="161"/>
      <c r="AC148" s="161"/>
      <c r="AD148" s="161"/>
      <c r="AE148" s="161"/>
      <c r="AF148" s="161"/>
      <c r="AG148" s="161"/>
      <c r="AH148" s="161"/>
      <c r="AI148" s="161"/>
      <c r="AJ148" s="161"/>
      <c r="AK148" s="161"/>
      <c r="AL148" s="161"/>
      <c r="AM148" s="161"/>
      <c r="AN148" s="161"/>
      <c r="AO148" s="161"/>
      <c r="AP148" s="161"/>
      <c r="AQ148" s="161"/>
      <c r="AR148" s="161"/>
      <c r="AS148" s="161"/>
      <c r="AT148" s="161"/>
      <c r="AU148" s="161"/>
      <c r="AV148" s="161"/>
      <c r="AW148" s="161"/>
      <c r="AX148" s="161"/>
      <c r="AY148" s="161"/>
      <c r="AZ148" s="161"/>
      <c r="BA148" s="161"/>
      <c r="BB148" s="161"/>
      <c r="BC148" s="161"/>
      <c r="BD148" s="161"/>
      <c r="BE148" s="161"/>
    </row>
    <row r="149" spans="23:57" ht="17.25">
      <c r="W149" s="100"/>
      <c r="X149" s="152"/>
      <c r="Y149" s="152" t="s">
        <v>216</v>
      </c>
      <c r="Z149" s="100"/>
      <c r="AA149" s="100"/>
      <c r="AB149" s="100"/>
      <c r="AC149" s="100"/>
      <c r="AD149" s="100"/>
      <c r="AE149" s="100"/>
      <c r="AF149" s="100"/>
      <c r="AG149" s="100"/>
      <c r="AH149" s="100"/>
      <c r="AI149" s="100"/>
      <c r="AJ149" s="100"/>
      <c r="AK149" s="100"/>
      <c r="AL149" s="100"/>
      <c r="AM149" s="100"/>
      <c r="AN149" s="100"/>
      <c r="AO149" s="100"/>
      <c r="AP149" s="100"/>
      <c r="AQ149" s="100"/>
      <c r="AR149" s="100"/>
      <c r="AS149" s="100"/>
      <c r="AT149" s="100"/>
      <c r="AU149" s="100"/>
      <c r="AV149" s="100"/>
      <c r="AW149" s="100"/>
      <c r="AX149" s="100"/>
      <c r="AY149" s="100"/>
      <c r="AZ149" s="100"/>
      <c r="BA149" s="100"/>
      <c r="BB149" s="100"/>
      <c r="BC149" s="100"/>
      <c r="BD149" s="100"/>
      <c r="BE149" s="100"/>
    </row>
    <row r="150" spans="23:57" ht="17.25">
      <c r="W150" s="100"/>
      <c r="X150" s="162" t="s">
        <v>217</v>
      </c>
      <c r="Y150" s="152"/>
      <c r="Z150" s="100"/>
      <c r="AA150" s="100"/>
      <c r="AB150" s="100"/>
      <c r="AC150" s="100"/>
      <c r="AD150" s="100"/>
      <c r="AE150" s="100"/>
      <c r="AF150" s="100"/>
      <c r="AG150" s="100"/>
      <c r="AH150" s="100"/>
      <c r="AI150" s="100"/>
      <c r="AJ150" s="100"/>
      <c r="AK150" s="100"/>
      <c r="AL150" s="100"/>
      <c r="AM150" s="100"/>
      <c r="AN150" s="100"/>
      <c r="AO150" s="100"/>
      <c r="AP150" s="100"/>
      <c r="AQ150" s="100"/>
      <c r="AR150" s="100"/>
      <c r="AS150" s="100"/>
      <c r="AT150" s="100"/>
      <c r="AU150" s="100"/>
      <c r="AV150" s="100"/>
      <c r="AW150" s="100"/>
      <c r="AX150" s="100"/>
      <c r="AY150" s="100"/>
      <c r="AZ150" s="100"/>
      <c r="BA150" s="100"/>
      <c r="BB150" s="100"/>
      <c r="BC150" s="100"/>
      <c r="BD150" s="100"/>
      <c r="BE150" s="100"/>
    </row>
    <row r="151" spans="23:57" ht="19.5" thickBot="1">
      <c r="W151" s="100"/>
      <c r="X151" s="162" t="s">
        <v>218</v>
      </c>
      <c r="Y151" s="152"/>
      <c r="Z151" s="100"/>
      <c r="AA151" s="100"/>
      <c r="AB151" s="100"/>
      <c r="AC151" s="136"/>
      <c r="AD151" s="255">
        <f>AN102</f>
        <v>1971.7742067051774</v>
      </c>
      <c r="AE151" s="255"/>
      <c r="AF151" s="255"/>
      <c r="AG151" s="255"/>
      <c r="AH151" s="298" t="s">
        <v>219</v>
      </c>
      <c r="AI151" s="298"/>
      <c r="AJ151" s="298"/>
      <c r="AK151" s="298"/>
      <c r="AL151" s="176" t="str">
        <f>AN35</f>
        <v>36 Months</v>
      </c>
      <c r="AM151" s="176"/>
      <c r="AN151" s="177"/>
      <c r="AO151" t="s">
        <v>241</v>
      </c>
      <c r="AQ151" s="100"/>
      <c r="AR151" s="100"/>
      <c r="AS151" s="100"/>
      <c r="AT151" s="100"/>
      <c r="AU151" s="299">
        <f>'Data Entry'!E3</f>
        <v>70983.871441386393</v>
      </c>
      <c r="AV151" s="299"/>
      <c r="AW151" s="299"/>
      <c r="AX151" s="299"/>
      <c r="AY151" s="299"/>
      <c r="AZ151" s="163" t="s">
        <v>221</v>
      </c>
      <c r="BA151" s="164"/>
      <c r="BB151" s="164"/>
      <c r="BC151" s="164"/>
      <c r="BE151" s="100"/>
    </row>
    <row r="152" spans="23:57" ht="17.25">
      <c r="W152" s="100"/>
      <c r="X152" s="152"/>
      <c r="Y152" s="156" t="s">
        <v>222</v>
      </c>
      <c r="Z152" s="100"/>
      <c r="AA152" s="100"/>
      <c r="AB152" s="100"/>
      <c r="AC152" s="100"/>
      <c r="AD152" s="100"/>
      <c r="AE152" s="100"/>
      <c r="AF152" s="100"/>
      <c r="AG152" s="100"/>
      <c r="AH152" s="100"/>
      <c r="AI152" s="100"/>
      <c r="AJ152" s="100"/>
      <c r="AK152" s="100"/>
      <c r="AL152" s="100"/>
      <c r="AM152" s="100"/>
      <c r="AN152" s="100"/>
      <c r="AO152" s="100"/>
      <c r="AP152" s="100"/>
      <c r="AQ152" s="100"/>
      <c r="AR152" s="100"/>
      <c r="AS152" s="100"/>
      <c r="AT152" s="100"/>
      <c r="AU152" s="100"/>
      <c r="AV152" s="100"/>
      <c r="AW152" s="100"/>
      <c r="AX152" s="100"/>
      <c r="AY152" s="100"/>
      <c r="AZ152" s="100"/>
      <c r="BA152" s="100"/>
      <c r="BB152" s="100"/>
      <c r="BC152" s="100"/>
      <c r="BD152" s="100"/>
      <c r="BE152" s="100"/>
    </row>
    <row r="153" spans="23:57" ht="17.25">
      <c r="W153" s="100"/>
      <c r="X153" s="156" t="s">
        <v>223</v>
      </c>
      <c r="Y153" s="152"/>
      <c r="Z153" s="100"/>
      <c r="AA153" s="100"/>
      <c r="AB153" s="100"/>
      <c r="AC153" s="100"/>
      <c r="AD153" s="100"/>
      <c r="AE153" s="100"/>
      <c r="AF153" s="100"/>
      <c r="AG153" s="100"/>
      <c r="AH153" s="100"/>
      <c r="AI153" s="100"/>
      <c r="AJ153" s="100"/>
      <c r="AK153" s="100"/>
      <c r="AL153" s="100"/>
      <c r="AM153" s="100"/>
      <c r="AN153" s="100"/>
      <c r="AO153" s="100"/>
      <c r="AP153" s="100"/>
      <c r="AQ153" s="100"/>
      <c r="AR153" s="100"/>
      <c r="AS153" s="100"/>
      <c r="AT153" s="100"/>
      <c r="AU153" s="100"/>
      <c r="AV153" s="100"/>
      <c r="AW153" s="100"/>
      <c r="AX153" s="100"/>
      <c r="AY153" s="100"/>
      <c r="AZ153" s="100"/>
      <c r="BA153" s="100"/>
      <c r="BB153" s="100"/>
      <c r="BC153" s="100"/>
      <c r="BD153" s="100"/>
      <c r="BE153" s="100"/>
    </row>
    <row r="154" spans="23:57" ht="15.75">
      <c r="W154" s="100"/>
      <c r="X154" s="100"/>
      <c r="Y154" s="100"/>
      <c r="Z154" s="100"/>
      <c r="AA154" s="100"/>
      <c r="AB154" s="100"/>
      <c r="AC154" s="100"/>
      <c r="AD154" s="100"/>
      <c r="AE154" s="100"/>
      <c r="AF154" s="100"/>
      <c r="AG154" s="100"/>
      <c r="AH154" s="100"/>
      <c r="AI154" s="100"/>
      <c r="AJ154" s="100"/>
      <c r="AK154" s="100"/>
      <c r="AL154" s="100"/>
      <c r="AM154" s="100"/>
      <c r="AN154" s="100"/>
      <c r="AO154" s="100"/>
      <c r="AP154" s="100"/>
      <c r="AQ154" s="100"/>
      <c r="AR154" s="100"/>
      <c r="AS154" s="100"/>
      <c r="AT154" s="100"/>
      <c r="AU154" s="100"/>
      <c r="AV154" s="100"/>
      <c r="AW154" s="100"/>
      <c r="AX154" s="100"/>
      <c r="AY154" s="100"/>
      <c r="AZ154" s="100"/>
      <c r="BA154" s="100"/>
      <c r="BB154" s="100"/>
      <c r="BC154" s="100"/>
      <c r="BD154" s="100"/>
      <c r="BE154" s="100"/>
    </row>
    <row r="155" spans="23:57" ht="19.5" thickBot="1">
      <c r="W155" s="100"/>
      <c r="X155" s="100"/>
      <c r="Y155" s="100"/>
      <c r="Z155" s="100"/>
      <c r="AA155" s="100"/>
      <c r="AB155" s="100"/>
      <c r="AC155" s="100"/>
      <c r="AD155" s="100"/>
      <c r="AE155" s="100"/>
      <c r="AF155" s="100"/>
      <c r="AG155" s="100"/>
      <c r="AH155" s="100"/>
      <c r="AI155" s="395" t="str">
        <f>Z123</f>
        <v>KELVIN ART T OFRECIO</v>
      </c>
      <c r="AJ155" s="395"/>
      <c r="AK155" s="395"/>
      <c r="AL155" s="395"/>
      <c r="AM155" s="395"/>
      <c r="AN155" s="395"/>
      <c r="AO155" s="395"/>
      <c r="AP155" s="395"/>
      <c r="AQ155" s="395"/>
      <c r="AR155" s="395"/>
      <c r="AS155" s="395"/>
      <c r="AT155" s="175"/>
      <c r="AU155" s="175"/>
      <c r="AV155" s="100"/>
      <c r="AW155" s="100"/>
      <c r="AX155" s="100"/>
      <c r="AY155" s="100"/>
      <c r="AZ155" s="100"/>
      <c r="BA155" s="100"/>
      <c r="BB155" s="100"/>
      <c r="BC155" s="100"/>
      <c r="BD155" s="100"/>
      <c r="BE155" s="100"/>
    </row>
    <row r="156" spans="23:57" ht="15.75">
      <c r="W156" s="100"/>
      <c r="X156" s="252" t="s">
        <v>224</v>
      </c>
      <c r="Y156" s="252"/>
      <c r="Z156" s="252"/>
      <c r="AA156" s="252"/>
      <c r="AB156" s="252"/>
      <c r="AC156" s="252"/>
      <c r="AD156" s="252"/>
      <c r="AE156" s="252"/>
      <c r="AF156" s="252"/>
      <c r="AG156" s="252"/>
      <c r="AH156" s="252"/>
      <c r="AI156" s="252"/>
      <c r="AJ156" s="252"/>
      <c r="AK156" s="252"/>
      <c r="AL156" s="252"/>
      <c r="AM156" s="252"/>
      <c r="AN156" s="252"/>
      <c r="AO156" s="252"/>
      <c r="AP156" s="252"/>
      <c r="AQ156" s="252"/>
      <c r="AR156" s="252"/>
      <c r="AS156" s="252"/>
      <c r="AT156" s="252"/>
      <c r="AU156" s="252"/>
      <c r="AV156" s="252"/>
      <c r="AW156" s="252"/>
      <c r="AX156" s="252"/>
      <c r="AY156" s="252"/>
      <c r="AZ156" s="252"/>
      <c r="BA156" s="252"/>
      <c r="BB156" s="252"/>
      <c r="BC156" s="252"/>
      <c r="BD156" s="252"/>
      <c r="BE156" s="102"/>
    </row>
    <row r="157" spans="23:57" ht="15.75">
      <c r="W157" s="100"/>
      <c r="X157" s="143"/>
      <c r="Y157" s="143"/>
      <c r="Z157" s="143"/>
      <c r="AA157" s="143"/>
      <c r="AB157" s="143"/>
      <c r="AC157" s="143"/>
      <c r="AD157" s="143"/>
      <c r="AE157" s="143"/>
      <c r="AF157" s="143"/>
      <c r="AG157" s="143"/>
      <c r="AH157" s="143"/>
      <c r="AI157" s="143"/>
      <c r="AJ157" s="143"/>
      <c r="AK157" s="143"/>
      <c r="AL157" s="143"/>
      <c r="AM157" s="143"/>
      <c r="AN157" s="143"/>
      <c r="AO157" s="143"/>
      <c r="AP157" s="143"/>
      <c r="AQ157" s="143"/>
      <c r="AR157" s="143"/>
      <c r="AS157" s="143"/>
      <c r="AT157" s="143"/>
      <c r="AU157" s="143"/>
      <c r="AV157" s="143"/>
      <c r="AW157" s="143"/>
      <c r="AX157" s="143"/>
      <c r="AY157" s="143"/>
      <c r="AZ157" s="143"/>
      <c r="BA157" s="143"/>
      <c r="BB157" s="143"/>
      <c r="BC157" s="143"/>
      <c r="BD157" s="143"/>
      <c r="BE157" s="135"/>
    </row>
    <row r="158" spans="23:57" ht="18.75">
      <c r="W158" s="100"/>
      <c r="X158" s="253" t="s">
        <v>158</v>
      </c>
      <c r="Y158" s="254"/>
      <c r="Z158" s="254"/>
      <c r="AA158" s="254"/>
      <c r="AB158" s="254"/>
      <c r="AC158" s="254"/>
      <c r="AD158" s="254"/>
      <c r="AE158" s="254"/>
      <c r="AF158" s="254"/>
      <c r="AG158" s="254"/>
      <c r="AH158" s="254"/>
      <c r="AI158" s="254"/>
      <c r="AJ158" s="254"/>
      <c r="AK158" s="254"/>
      <c r="AL158" s="254"/>
      <c r="AM158" s="254"/>
      <c r="AN158" s="254"/>
      <c r="AO158" s="254"/>
      <c r="AP158" s="254"/>
      <c r="AQ158" s="254"/>
      <c r="AR158" s="254"/>
      <c r="AS158" s="254"/>
      <c r="AT158" s="254"/>
      <c r="AU158" s="254"/>
      <c r="AV158" s="254"/>
      <c r="AW158" s="254"/>
      <c r="AX158" s="254"/>
      <c r="AY158" s="254"/>
      <c r="AZ158" s="254"/>
      <c r="BA158" s="254"/>
      <c r="BB158" s="254"/>
      <c r="BC158" s="254"/>
      <c r="BD158" s="254"/>
      <c r="BE158" s="159"/>
    </row>
    <row r="159" spans="23:57" ht="15.75">
      <c r="W159" s="100"/>
      <c r="X159" s="100"/>
      <c r="Y159" s="100"/>
      <c r="Z159" s="100"/>
      <c r="AA159" s="100"/>
      <c r="AB159" s="100"/>
      <c r="AC159" s="100"/>
      <c r="AD159" s="100"/>
      <c r="AE159" s="100"/>
      <c r="AF159" s="100"/>
      <c r="AG159" s="100"/>
      <c r="AH159" s="100"/>
      <c r="AI159" s="100"/>
      <c r="AJ159" s="100"/>
      <c r="AK159" s="100"/>
      <c r="AL159" s="100"/>
      <c r="AM159" s="100"/>
      <c r="AN159" s="100"/>
      <c r="AO159" s="100"/>
      <c r="AP159" s="100"/>
      <c r="AQ159" s="100"/>
      <c r="AR159" s="100"/>
      <c r="AS159" s="100"/>
      <c r="AT159" s="100"/>
      <c r="AU159" s="100"/>
      <c r="AV159" s="100"/>
      <c r="AW159" s="100"/>
      <c r="AX159" s="100"/>
      <c r="AY159" s="100"/>
      <c r="AZ159" s="100"/>
      <c r="BA159" s="100"/>
      <c r="BB159" s="100"/>
      <c r="BC159" s="100"/>
      <c r="BD159" s="100"/>
      <c r="BE159" s="100"/>
    </row>
    <row r="160" spans="23:57" ht="17.25">
      <c r="W160" s="100"/>
      <c r="X160" s="152"/>
      <c r="Y160" s="156" t="s">
        <v>225</v>
      </c>
      <c r="Z160" s="100"/>
      <c r="AA160" s="100"/>
      <c r="AB160" s="100"/>
      <c r="AC160" s="100"/>
      <c r="AD160" s="100"/>
      <c r="AE160" s="100"/>
      <c r="AF160" s="100"/>
      <c r="AG160" s="100"/>
      <c r="AH160" s="100"/>
      <c r="AI160" s="100"/>
      <c r="AJ160" s="100"/>
      <c r="AK160" s="100"/>
      <c r="AL160" s="100"/>
      <c r="AM160" s="100"/>
      <c r="AN160" s="100"/>
      <c r="AO160" s="100"/>
      <c r="AP160" s="100"/>
      <c r="AQ160" s="100"/>
      <c r="AR160" s="100"/>
      <c r="AS160" s="100"/>
      <c r="AT160" s="100"/>
      <c r="AU160" s="100"/>
      <c r="AV160" s="100"/>
      <c r="AW160" s="100"/>
      <c r="AX160" s="100"/>
      <c r="AY160" s="100"/>
      <c r="AZ160" s="100"/>
      <c r="BA160" s="100"/>
      <c r="BB160" s="100"/>
      <c r="BC160" s="100"/>
      <c r="BD160" s="100"/>
      <c r="BE160" s="100"/>
    </row>
    <row r="161" spans="23:57" ht="17.25">
      <c r="W161" s="100"/>
      <c r="X161" s="156" t="s">
        <v>226</v>
      </c>
      <c r="Y161" s="152"/>
      <c r="Z161" s="100"/>
      <c r="AA161" s="100"/>
      <c r="AB161" s="100"/>
      <c r="AC161" s="100"/>
      <c r="AD161" s="100"/>
      <c r="AE161" s="100"/>
      <c r="AF161" s="100"/>
      <c r="AG161" s="100"/>
      <c r="AH161" s="100"/>
      <c r="AI161" s="100"/>
      <c r="AJ161" s="100"/>
      <c r="AK161" s="100"/>
      <c r="AL161" s="100"/>
      <c r="AM161" s="100"/>
      <c r="AN161" s="100"/>
      <c r="AO161" s="100"/>
      <c r="AP161" s="100"/>
      <c r="AQ161" s="100"/>
      <c r="AR161" s="100"/>
      <c r="AS161" s="100"/>
      <c r="AT161" s="100"/>
      <c r="AU161" s="100"/>
      <c r="AV161" s="100"/>
      <c r="AW161" s="100"/>
      <c r="AX161" s="100"/>
      <c r="AY161" s="100"/>
      <c r="AZ161" s="100"/>
      <c r="BA161" s="100"/>
      <c r="BB161" s="100"/>
      <c r="BC161" s="100"/>
      <c r="BD161" s="100"/>
      <c r="BE161" s="100"/>
    </row>
    <row r="162" spans="23:57" ht="17.25">
      <c r="W162" s="100"/>
      <c r="X162" s="156" t="s">
        <v>227</v>
      </c>
      <c r="Y162" s="152"/>
      <c r="Z162" s="100"/>
      <c r="AA162" s="100"/>
      <c r="AB162" s="100"/>
      <c r="AC162" s="100"/>
      <c r="AD162" s="100"/>
      <c r="AE162" s="100"/>
      <c r="AF162" s="100"/>
      <c r="AG162" s="100"/>
      <c r="AH162" s="100"/>
      <c r="AI162" s="100"/>
      <c r="AJ162" s="100"/>
      <c r="AK162" s="100"/>
      <c r="AL162" s="100"/>
      <c r="AM162" s="100"/>
      <c r="AN162" s="100"/>
      <c r="AO162" s="100"/>
      <c r="AP162" s="100"/>
      <c r="AQ162" s="100"/>
      <c r="AR162" s="100"/>
      <c r="AS162" s="100"/>
      <c r="AT162" s="100"/>
      <c r="AU162" s="100"/>
      <c r="AV162" s="100"/>
      <c r="AW162" s="100"/>
      <c r="AX162" s="100"/>
      <c r="AY162" s="100"/>
      <c r="AZ162" s="100"/>
      <c r="BA162" s="100"/>
      <c r="BB162" s="100"/>
      <c r="BC162" s="100"/>
      <c r="BD162" s="100"/>
      <c r="BE162" s="100"/>
    </row>
    <row r="163" spans="23:57" ht="17.25">
      <c r="W163" s="100"/>
      <c r="X163" s="156"/>
      <c r="Y163" s="152"/>
      <c r="Z163" s="100"/>
      <c r="AA163" s="100"/>
      <c r="AB163" s="100"/>
      <c r="AC163" s="100"/>
      <c r="AD163" s="100"/>
      <c r="AE163" s="100"/>
      <c r="AF163" s="100"/>
      <c r="AG163" s="100"/>
      <c r="AH163" s="100"/>
      <c r="AI163" s="100"/>
      <c r="AJ163" s="100"/>
      <c r="AK163" s="100"/>
      <c r="AL163" s="100"/>
      <c r="AM163" s="100"/>
      <c r="AN163" s="100"/>
      <c r="AO163" s="100"/>
      <c r="AP163" s="100"/>
      <c r="AQ163" s="100"/>
      <c r="AR163" s="100"/>
      <c r="AS163" s="100"/>
      <c r="AT163" s="100"/>
      <c r="AU163" s="100"/>
      <c r="AV163" s="100"/>
      <c r="AW163" s="100"/>
      <c r="AX163" s="100"/>
      <c r="AY163" s="100"/>
      <c r="AZ163" s="100"/>
      <c r="BA163" s="100"/>
      <c r="BB163" s="100"/>
      <c r="BC163" s="100"/>
      <c r="BD163" s="100"/>
      <c r="BE163" s="100"/>
    </row>
    <row r="164" spans="23:57" ht="17.25">
      <c r="W164" s="100"/>
      <c r="X164" s="156"/>
      <c r="Y164" s="152"/>
      <c r="Z164" s="100"/>
      <c r="AA164" s="100"/>
      <c r="AB164" s="100"/>
      <c r="AC164" s="100"/>
      <c r="AD164" s="100"/>
      <c r="AE164" s="100"/>
      <c r="AF164" s="100"/>
      <c r="AG164" s="100"/>
      <c r="AH164" s="100"/>
      <c r="AI164" s="100"/>
      <c r="AJ164" s="100"/>
      <c r="AK164" s="100"/>
      <c r="AL164" s="100"/>
      <c r="AM164" s="100"/>
      <c r="AN164" s="100"/>
      <c r="AO164" s="100"/>
      <c r="AP164" s="100"/>
      <c r="AQ164" s="100"/>
      <c r="AR164" s="100"/>
      <c r="AS164" s="100"/>
      <c r="AT164" s="100"/>
      <c r="AU164" s="100"/>
      <c r="AV164" s="100"/>
      <c r="AW164" s="100"/>
      <c r="AX164" s="100"/>
      <c r="AY164" s="100"/>
      <c r="AZ164" s="100"/>
      <c r="BA164" s="100"/>
      <c r="BB164" s="100"/>
      <c r="BC164" s="100"/>
      <c r="BD164" s="100"/>
      <c r="BE164" s="100"/>
    </row>
    <row r="165" spans="23:57" ht="16.5" thickBot="1">
      <c r="W165" s="100"/>
      <c r="X165" s="100"/>
      <c r="Y165" s="100"/>
      <c r="Z165" s="100"/>
      <c r="AA165" s="100"/>
      <c r="AB165" s="100"/>
      <c r="AC165" s="100"/>
      <c r="AD165" s="100"/>
      <c r="AE165" s="100"/>
      <c r="AF165" s="102"/>
      <c r="AG165" s="102"/>
      <c r="AH165" s="102"/>
      <c r="AI165" s="212"/>
      <c r="AJ165" s="212"/>
      <c r="AK165" s="212"/>
      <c r="AL165" s="212"/>
      <c r="AM165" s="212" t="s">
        <v>240</v>
      </c>
      <c r="AN165" s="212"/>
      <c r="AO165" s="212"/>
      <c r="AP165" s="212"/>
      <c r="AQ165" s="212"/>
      <c r="AR165" s="212"/>
      <c r="AS165" s="212"/>
      <c r="AT165" s="212"/>
      <c r="AU165" s="212"/>
      <c r="AV165" s="102"/>
      <c r="AW165" s="102"/>
      <c r="AX165" s="102"/>
      <c r="AZ165" s="100"/>
      <c r="BA165" s="100"/>
      <c r="BB165" s="100"/>
      <c r="BC165" s="100"/>
      <c r="BD165" s="100"/>
      <c r="BE165" s="100"/>
    </row>
    <row r="166" spans="23:57" ht="15.75">
      <c r="W166" s="100"/>
      <c r="Z166" s="102"/>
      <c r="AA166" s="102"/>
      <c r="AB166" s="102"/>
      <c r="AC166" s="102"/>
      <c r="AD166" s="102"/>
      <c r="AE166" s="102"/>
      <c r="AF166" s="252" t="s">
        <v>228</v>
      </c>
      <c r="AG166" s="252"/>
      <c r="AH166" s="252"/>
      <c r="AI166" s="252"/>
      <c r="AJ166" s="252"/>
      <c r="AK166" s="252"/>
      <c r="AL166" s="252"/>
      <c r="AM166" s="252"/>
      <c r="AN166" s="252"/>
      <c r="AO166" s="252"/>
      <c r="AP166" s="252"/>
      <c r="AQ166" s="252"/>
      <c r="AR166" s="252"/>
      <c r="AS166" s="252"/>
      <c r="AT166" s="252"/>
      <c r="AU166" s="252"/>
      <c r="AV166" s="252"/>
      <c r="AW166" s="252"/>
      <c r="AX166" s="252"/>
      <c r="AY166" s="102"/>
      <c r="AZ166" s="102"/>
      <c r="BA166" s="102"/>
      <c r="BB166" s="102"/>
      <c r="BC166" s="102"/>
      <c r="BD166" s="102"/>
      <c r="BE166" s="102"/>
    </row>
    <row r="167" spans="23:57" ht="15.75">
      <c r="W167" s="100"/>
      <c r="X167" s="100"/>
      <c r="Y167" s="100"/>
      <c r="Z167" s="100"/>
      <c r="AA167" s="100"/>
      <c r="AB167" s="102"/>
      <c r="AC167" s="100"/>
      <c r="AD167" s="100"/>
      <c r="AE167" s="100"/>
      <c r="AF167" s="100"/>
      <c r="AG167" s="100"/>
      <c r="AH167" s="100"/>
      <c r="AI167" s="100"/>
      <c r="AJ167" s="100"/>
      <c r="AK167" s="100"/>
      <c r="AL167" s="100"/>
      <c r="AM167" s="100"/>
      <c r="AN167" s="100"/>
      <c r="AO167" s="100"/>
      <c r="AP167" s="100"/>
      <c r="AQ167" s="100"/>
      <c r="AR167" s="100"/>
      <c r="AS167" s="100"/>
      <c r="AT167" s="100"/>
      <c r="AU167" s="100"/>
      <c r="AV167" s="100"/>
      <c r="AW167" s="100"/>
      <c r="AX167" s="100"/>
      <c r="AY167" s="100"/>
      <c r="AZ167" s="100"/>
      <c r="BA167" s="100"/>
      <c r="BB167" s="100"/>
      <c r="BC167" s="100"/>
      <c r="BD167" s="100"/>
      <c r="BE167" s="100"/>
    </row>
  </sheetData>
  <protectedRanges>
    <protectedRange sqref="E25" name="Range20"/>
    <protectedRange sqref="G24" name="Range19"/>
    <protectedRange sqref="E24" name="Range18"/>
    <protectedRange sqref="D23" name="Range17"/>
    <protectedRange sqref="G24" name="Range15"/>
    <protectedRange sqref="D22" name="Range13"/>
    <protectedRange sqref="C1" name="Range12"/>
    <protectedRange sqref="C3:C9" name="Range11"/>
    <protectedRange sqref="C10:CT10" name="Range21"/>
    <protectedRange sqref="C12" name="Range22"/>
    <protectedRange sqref="B28:C87" name="Range23"/>
  </protectedRanges>
  <mergeCells count="213">
    <mergeCell ref="K61:M61"/>
    <mergeCell ref="P69:T69"/>
    <mergeCell ref="AF166:AX166"/>
    <mergeCell ref="S29:T29"/>
    <mergeCell ref="X29:BD29"/>
    <mergeCell ref="S30:T30"/>
    <mergeCell ref="AU30:AV30"/>
    <mergeCell ref="C20:H21"/>
    <mergeCell ref="D22:F22"/>
    <mergeCell ref="C24:C27"/>
    <mergeCell ref="K24:T24"/>
    <mergeCell ref="K25:T25"/>
    <mergeCell ref="X25:BD25"/>
    <mergeCell ref="X26:BD26"/>
    <mergeCell ref="K27:T27"/>
    <mergeCell ref="X27:BD27"/>
    <mergeCell ref="F23:H23"/>
    <mergeCell ref="N34:S34"/>
    <mergeCell ref="Y34:AD34"/>
    <mergeCell ref="AF34:AL34"/>
    <mergeCell ref="AU34:BD34"/>
    <mergeCell ref="Y35:AD35"/>
    <mergeCell ref="AF35:AL35"/>
    <mergeCell ref="AW35:BA35"/>
    <mergeCell ref="N32:S32"/>
    <mergeCell ref="X32:AD32"/>
    <mergeCell ref="AE32:AL32"/>
    <mergeCell ref="AM32:AS32"/>
    <mergeCell ref="AT32:BD32"/>
    <mergeCell ref="N33:S33"/>
    <mergeCell ref="Y33:AD33"/>
    <mergeCell ref="AF33:AL33"/>
    <mergeCell ref="AU33:BD33"/>
    <mergeCell ref="R38:T38"/>
    <mergeCell ref="X38:AD38"/>
    <mergeCell ref="AH38:AL38"/>
    <mergeCell ref="AP38:AT38"/>
    <mergeCell ref="R39:T39"/>
    <mergeCell ref="AB39:AM40"/>
    <mergeCell ref="AT39:BD40"/>
    <mergeCell ref="R40:T40"/>
    <mergeCell ref="R36:T36"/>
    <mergeCell ref="Y36:AD36"/>
    <mergeCell ref="AF36:AL36"/>
    <mergeCell ref="R37:T37"/>
    <mergeCell ref="Y37:AD37"/>
    <mergeCell ref="AF37:AL37"/>
    <mergeCell ref="R41:T41"/>
    <mergeCell ref="X41:Y41"/>
    <mergeCell ref="Z41:AE41"/>
    <mergeCell ref="AJ41:AQ41"/>
    <mergeCell ref="AV41:BD41"/>
    <mergeCell ref="R42:T42"/>
    <mergeCell ref="X42:Y43"/>
    <mergeCell ref="Z42:AE43"/>
    <mergeCell ref="AS42:AU42"/>
    <mergeCell ref="R43:T43"/>
    <mergeCell ref="R48:S48"/>
    <mergeCell ref="X48:AC48"/>
    <mergeCell ref="AD48:AH48"/>
    <mergeCell ref="AI48:AN48"/>
    <mergeCell ref="AS43:AU43"/>
    <mergeCell ref="R44:T44"/>
    <mergeCell ref="X44:BD44"/>
    <mergeCell ref="X47:AC47"/>
    <mergeCell ref="AD47:AH47"/>
    <mergeCell ref="AI47:AN47"/>
    <mergeCell ref="AO47:AV47"/>
    <mergeCell ref="AW47:BD47"/>
    <mergeCell ref="X45:AC45"/>
    <mergeCell ref="AD45:AM45"/>
    <mergeCell ref="AN45:AY45"/>
    <mergeCell ref="AZ45:BA45"/>
    <mergeCell ref="R52:T52"/>
    <mergeCell ref="X52:AD52"/>
    <mergeCell ref="AE52:AL52"/>
    <mergeCell ref="AR52:AS52"/>
    <mergeCell ref="AU52:AW52"/>
    <mergeCell ref="AX52:BD52"/>
    <mergeCell ref="R49:T49"/>
    <mergeCell ref="R50:T50"/>
    <mergeCell ref="R51:T51"/>
    <mergeCell ref="AK51:AL51"/>
    <mergeCell ref="AM51:AP52"/>
    <mergeCell ref="AR51:AS51"/>
    <mergeCell ref="AU51:AW51"/>
    <mergeCell ref="AX51:BD51"/>
    <mergeCell ref="AT55:BD55"/>
    <mergeCell ref="X56:AF56"/>
    <mergeCell ref="AG56:AS56"/>
    <mergeCell ref="AB57:BD57"/>
    <mergeCell ref="X58:BD58"/>
    <mergeCell ref="K60:M60"/>
    <mergeCell ref="R60:T60"/>
    <mergeCell ref="R53:T53"/>
    <mergeCell ref="X53:AD53"/>
    <mergeCell ref="AE53:AT53"/>
    <mergeCell ref="X54:AD54"/>
    <mergeCell ref="AE54:AW54"/>
    <mergeCell ref="AX54:BD54"/>
    <mergeCell ref="X71:AE71"/>
    <mergeCell ref="AG71:AM71"/>
    <mergeCell ref="AP71:AV71"/>
    <mergeCell ref="X72:AE72"/>
    <mergeCell ref="AG72:AM72"/>
    <mergeCell ref="AP72:AV72"/>
    <mergeCell ref="R61:T61"/>
    <mergeCell ref="AU64:BC64"/>
    <mergeCell ref="AU65:BC65"/>
    <mergeCell ref="X66:BD66"/>
    <mergeCell ref="AX72:BD72"/>
    <mergeCell ref="AX71:BD71"/>
    <mergeCell ref="X73:AE73"/>
    <mergeCell ref="X74:BD74"/>
    <mergeCell ref="X75:Z75"/>
    <mergeCell ref="AA75:AD75"/>
    <mergeCell ref="AE75:AI75"/>
    <mergeCell ref="AJ75:AL75"/>
    <mergeCell ref="AM75:AQ75"/>
    <mergeCell ref="AR75:AT75"/>
    <mergeCell ref="AU75:AY75"/>
    <mergeCell ref="AZ75:BD75"/>
    <mergeCell ref="X76:Z76"/>
    <mergeCell ref="AA76:AD76"/>
    <mergeCell ref="AE76:AI76"/>
    <mergeCell ref="AJ76:AL76"/>
    <mergeCell ref="AM76:AQ76"/>
    <mergeCell ref="AR76:AT76"/>
    <mergeCell ref="AU76:AY76"/>
    <mergeCell ref="AZ76:BD76"/>
    <mergeCell ref="AU77:AY77"/>
    <mergeCell ref="AZ77:BD77"/>
    <mergeCell ref="X78:Z78"/>
    <mergeCell ref="AA78:AD78"/>
    <mergeCell ref="AE78:AI78"/>
    <mergeCell ref="AJ78:AL78"/>
    <mergeCell ref="AM78:AQ78"/>
    <mergeCell ref="AR78:AT78"/>
    <mergeCell ref="AU78:AY78"/>
    <mergeCell ref="AZ78:BD78"/>
    <mergeCell ref="X77:Z77"/>
    <mergeCell ref="AA77:AD77"/>
    <mergeCell ref="AE77:AI77"/>
    <mergeCell ref="AJ77:AL77"/>
    <mergeCell ref="AM77:AQ77"/>
    <mergeCell ref="AR77:AT77"/>
    <mergeCell ref="AU79:AY79"/>
    <mergeCell ref="AZ79:BD79"/>
    <mergeCell ref="X81:BD81"/>
    <mergeCell ref="X82:AB82"/>
    <mergeCell ref="AC82:AF82"/>
    <mergeCell ref="AG82:AJ82"/>
    <mergeCell ref="AK82:AQ82"/>
    <mergeCell ref="AR82:AV82"/>
    <mergeCell ref="AW82:BD82"/>
    <mergeCell ref="X79:Z79"/>
    <mergeCell ref="AA79:AD79"/>
    <mergeCell ref="AE79:AI79"/>
    <mergeCell ref="AJ79:AL79"/>
    <mergeCell ref="AM79:AQ79"/>
    <mergeCell ref="AR79:AT79"/>
    <mergeCell ref="X84:BD84"/>
    <mergeCell ref="AJ86:AS86"/>
    <mergeCell ref="W87:BE87"/>
    <mergeCell ref="X90:AN90"/>
    <mergeCell ref="AO90:BD90"/>
    <mergeCell ref="AB92:AJ92"/>
    <mergeCell ref="AS92:AZ92"/>
    <mergeCell ref="X83:AB83"/>
    <mergeCell ref="AC83:AF83"/>
    <mergeCell ref="AG83:AJ83"/>
    <mergeCell ref="AK83:AQ83"/>
    <mergeCell ref="AR83:AV83"/>
    <mergeCell ref="AW83:BD83"/>
    <mergeCell ref="X103:AA103"/>
    <mergeCell ref="AB103:BD103"/>
    <mergeCell ref="X104:BD104"/>
    <mergeCell ref="X105:BD107"/>
    <mergeCell ref="X108:BD110"/>
    <mergeCell ref="X111:BD115"/>
    <mergeCell ref="X93:AN93"/>
    <mergeCell ref="AO93:BD93"/>
    <mergeCell ref="X100:AK100"/>
    <mergeCell ref="Y101:AX101"/>
    <mergeCell ref="AY101:BD101"/>
    <mergeCell ref="X102:Z102"/>
    <mergeCell ref="AC102:AM102"/>
    <mergeCell ref="AN102:AQ102"/>
    <mergeCell ref="AR102:BD102"/>
    <mergeCell ref="X116:BD119"/>
    <mergeCell ref="AT120:AX126"/>
    <mergeCell ref="AZ120:BD126"/>
    <mergeCell ref="X124:AJ124"/>
    <mergeCell ref="AT127:AX127"/>
    <mergeCell ref="AZ127:BD127"/>
    <mergeCell ref="Z123:AH123"/>
    <mergeCell ref="Z126:AI126"/>
    <mergeCell ref="AB127:AI127"/>
    <mergeCell ref="AO123:AQ123"/>
    <mergeCell ref="X158:BD158"/>
    <mergeCell ref="AA145:AC145"/>
    <mergeCell ref="X147:BD147"/>
    <mergeCell ref="AD151:AG151"/>
    <mergeCell ref="AH151:AK151"/>
    <mergeCell ref="AU151:AY151"/>
    <mergeCell ref="X156:BD156"/>
    <mergeCell ref="AI155:AS155"/>
    <mergeCell ref="X130:BE130"/>
    <mergeCell ref="X135:BD135"/>
    <mergeCell ref="X136:BD139"/>
    <mergeCell ref="AA142:AC142"/>
    <mergeCell ref="AA143:AC143"/>
    <mergeCell ref="AA144:AC144"/>
  </mergeCells>
  <hyperlinks>
    <hyperlink ref="AG56" r:id="rId1" xr:uid="{A9D8E141-DB61-4354-B3CA-CABF21405D21}"/>
  </hyperlinks>
  <printOptions horizontalCentered="1" verticalCentered="1"/>
  <pageMargins left="0" right="0" top="0" bottom="0" header="0" footer="0"/>
  <pageSetup scale="62" orientation="portrait" horizontalDpi="0" verticalDpi="0" r:id="rId2"/>
  <drawing r:id="rId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F12323-0ACD-4FC5-A3F0-FCE58FDD0EEA}">
  <sheetPr>
    <pageSetUpPr fitToPage="1"/>
  </sheetPr>
  <dimension ref="A1:CT167"/>
  <sheetViews>
    <sheetView zoomScale="70" zoomScaleNormal="70" workbookViewId="0">
      <selection activeCell="Q37" sqref="A1:XFD1048576"/>
    </sheetView>
  </sheetViews>
  <sheetFormatPr defaultColWidth="8.85546875" defaultRowHeight="15"/>
  <cols>
    <col min="1" max="1" width="2.85546875" customWidth="1"/>
    <col min="2" max="2" width="27.28515625" customWidth="1"/>
    <col min="3" max="3" width="13.42578125" customWidth="1"/>
    <col min="4" max="5" width="15.7109375" customWidth="1"/>
    <col min="6" max="6" width="15.5703125" customWidth="1"/>
    <col min="7" max="9" width="15.7109375" customWidth="1"/>
    <col min="10" max="10" width="4.7109375" customWidth="1"/>
    <col min="11" max="20" width="10.7109375" customWidth="1"/>
    <col min="21" max="21" width="4.7109375" customWidth="1"/>
    <col min="22" max="22" width="15.7109375" customWidth="1"/>
    <col min="23" max="57" width="4.85546875" customWidth="1"/>
    <col min="58" max="98" width="15.7109375" customWidth="1"/>
  </cols>
  <sheetData>
    <row r="1" spans="1:98">
      <c r="B1" t="s">
        <v>32</v>
      </c>
      <c r="C1" s="28">
        <f>'[2]Data Entry'!E14</f>
        <v>5610.0156461740853</v>
      </c>
      <c r="T1" t="s">
        <v>33</v>
      </c>
    </row>
    <row r="2" spans="1:98">
      <c r="B2" s="32" t="s">
        <v>34</v>
      </c>
      <c r="C2" s="33">
        <v>0</v>
      </c>
      <c r="D2" s="33">
        <v>1</v>
      </c>
      <c r="E2" s="33">
        <v>2</v>
      </c>
      <c r="F2" s="33">
        <v>3</v>
      </c>
      <c r="G2" s="33">
        <v>4</v>
      </c>
      <c r="H2" s="33">
        <v>5</v>
      </c>
      <c r="I2" s="33">
        <v>6</v>
      </c>
      <c r="J2" s="33">
        <v>7</v>
      </c>
      <c r="K2" s="33">
        <v>8</v>
      </c>
      <c r="L2" s="33">
        <v>9</v>
      </c>
      <c r="M2" s="33">
        <v>10</v>
      </c>
      <c r="N2" s="33">
        <v>11</v>
      </c>
      <c r="O2" s="33">
        <v>12</v>
      </c>
      <c r="P2" s="33">
        <v>13</v>
      </c>
      <c r="Q2" s="33">
        <v>14</v>
      </c>
      <c r="R2" s="33">
        <v>15</v>
      </c>
      <c r="S2" s="33">
        <v>16</v>
      </c>
      <c r="T2" s="33">
        <v>17</v>
      </c>
      <c r="U2" s="33">
        <v>18</v>
      </c>
      <c r="V2" s="33">
        <v>19</v>
      </c>
      <c r="W2" s="33">
        <v>20</v>
      </c>
      <c r="X2" s="33">
        <v>21</v>
      </c>
      <c r="Y2" s="33">
        <v>22</v>
      </c>
      <c r="Z2" s="33">
        <v>23</v>
      </c>
      <c r="AA2" s="33">
        <v>24</v>
      </c>
      <c r="AB2" s="33">
        <v>25</v>
      </c>
      <c r="AC2" s="33">
        <v>26</v>
      </c>
      <c r="AD2" s="33">
        <v>27</v>
      </c>
      <c r="AE2" s="33">
        <v>28</v>
      </c>
      <c r="AF2" s="33">
        <v>29</v>
      </c>
      <c r="AG2" s="33">
        <v>30</v>
      </c>
      <c r="AH2" s="33">
        <v>31</v>
      </c>
      <c r="AI2" s="33">
        <v>32</v>
      </c>
      <c r="AJ2" s="33">
        <v>33</v>
      </c>
      <c r="AK2" s="33">
        <v>34</v>
      </c>
      <c r="AL2" s="33">
        <v>35</v>
      </c>
      <c r="AM2" s="33">
        <v>36</v>
      </c>
      <c r="AN2" s="27"/>
      <c r="AO2" s="27"/>
      <c r="AP2" s="27"/>
      <c r="AQ2" s="27"/>
      <c r="AR2" s="27"/>
      <c r="AS2" s="27"/>
      <c r="AT2" s="27"/>
      <c r="AU2" s="27"/>
      <c r="AV2" s="27"/>
      <c r="AW2" s="27"/>
      <c r="AX2" s="27"/>
      <c r="AY2" s="27"/>
      <c r="AZ2" s="27"/>
      <c r="BA2" s="27"/>
      <c r="BB2" s="27"/>
      <c r="BC2" s="27"/>
      <c r="BD2" s="27"/>
      <c r="BE2" s="27"/>
      <c r="BF2" s="27"/>
      <c r="BG2" s="27"/>
      <c r="BH2" s="27"/>
      <c r="BI2" s="27"/>
      <c r="BJ2" s="27"/>
      <c r="BK2" s="27"/>
      <c r="BL2" s="27"/>
      <c r="BM2" s="27"/>
      <c r="BN2" s="27"/>
      <c r="BO2" s="27"/>
      <c r="BP2" s="27"/>
      <c r="BQ2" s="27"/>
      <c r="BR2" s="27"/>
      <c r="BS2" s="27"/>
      <c r="BT2" s="27"/>
      <c r="BU2" s="27"/>
      <c r="BV2" s="27"/>
      <c r="BW2" s="27"/>
      <c r="BX2" s="27"/>
      <c r="BY2" s="27"/>
      <c r="BZ2" s="27"/>
      <c r="CA2" s="27"/>
      <c r="CB2" s="27"/>
      <c r="CC2" s="27"/>
      <c r="CD2" s="27"/>
      <c r="CE2" s="27"/>
      <c r="CF2" s="27"/>
      <c r="CG2" s="27"/>
      <c r="CH2" s="27"/>
      <c r="CI2" s="27"/>
      <c r="CJ2" s="27"/>
      <c r="CK2" s="27"/>
      <c r="CL2" s="27"/>
      <c r="CM2" s="27"/>
      <c r="CN2" s="27"/>
      <c r="CO2" s="27"/>
      <c r="CP2" s="27"/>
      <c r="CQ2" s="27"/>
      <c r="CR2" s="27"/>
      <c r="CS2" s="27"/>
      <c r="CT2" s="27"/>
    </row>
    <row r="3" spans="1:98">
      <c r="B3" s="32" t="s">
        <v>3</v>
      </c>
      <c r="C3" s="2">
        <f>'[2]Data Entry'!E3</f>
        <v>201960.56326226707</v>
      </c>
      <c r="D3" s="2"/>
      <c r="E3" s="2"/>
      <c r="F3" s="2"/>
      <c r="G3" s="2"/>
      <c r="H3" s="2"/>
      <c r="I3" s="2"/>
      <c r="J3" s="2"/>
      <c r="K3" s="2"/>
      <c r="L3" s="2"/>
      <c r="M3" s="2"/>
      <c r="N3" s="2"/>
      <c r="O3" s="2"/>
      <c r="P3" s="95"/>
      <c r="Q3" s="95"/>
      <c r="R3" s="95"/>
      <c r="S3" s="95"/>
      <c r="T3" s="95"/>
      <c r="U3" s="95"/>
      <c r="V3" s="95"/>
      <c r="W3" s="95"/>
      <c r="X3" s="95"/>
      <c r="Y3" s="95"/>
      <c r="Z3" s="95"/>
      <c r="AA3" s="95"/>
      <c r="AB3" s="95"/>
      <c r="AC3" s="95"/>
      <c r="AD3" s="95"/>
      <c r="AE3" s="95"/>
      <c r="AF3" s="95"/>
      <c r="AG3" s="95"/>
      <c r="AH3" s="95"/>
      <c r="AI3" s="95"/>
      <c r="AJ3" s="95"/>
      <c r="AK3" s="95"/>
      <c r="AL3" s="95"/>
      <c r="AM3" s="95"/>
      <c r="AN3" s="95"/>
      <c r="AO3" s="95"/>
      <c r="AP3" s="95"/>
      <c r="AQ3" s="95"/>
      <c r="AR3" s="95"/>
      <c r="AS3" s="95"/>
      <c r="AT3" s="95"/>
      <c r="AU3" s="95"/>
      <c r="AV3" s="95"/>
      <c r="AW3" s="95"/>
      <c r="AX3" s="95"/>
      <c r="AY3" s="95"/>
      <c r="AZ3" s="95"/>
      <c r="BA3" s="95"/>
      <c r="BB3" s="95"/>
      <c r="BC3" s="95"/>
      <c r="BD3" s="95"/>
      <c r="BE3" s="95"/>
      <c r="BF3" s="95"/>
      <c r="BG3" s="95"/>
      <c r="BH3" s="95"/>
      <c r="BI3" s="95"/>
      <c r="BJ3" s="95"/>
      <c r="BK3" s="95"/>
      <c r="BL3" s="95"/>
      <c r="BM3" s="95"/>
      <c r="BN3" s="95"/>
      <c r="BO3" s="95"/>
      <c r="BP3" s="95"/>
      <c r="BQ3" s="95"/>
      <c r="BR3" s="95"/>
      <c r="BS3" s="95"/>
      <c r="BT3" s="95"/>
      <c r="BU3" s="95"/>
      <c r="BV3" s="95"/>
      <c r="BW3" s="95"/>
      <c r="BX3" s="95"/>
      <c r="BY3" s="95"/>
      <c r="BZ3" s="95"/>
      <c r="CA3" s="95"/>
      <c r="CB3" s="95"/>
      <c r="CC3" s="95"/>
      <c r="CD3" s="95"/>
      <c r="CE3" s="95"/>
      <c r="CF3" s="95"/>
      <c r="CG3" s="95"/>
      <c r="CH3" s="95"/>
      <c r="CI3" s="95"/>
      <c r="CJ3" s="95"/>
      <c r="CK3" s="95"/>
      <c r="CL3" s="95"/>
      <c r="CM3" s="95"/>
      <c r="CN3" s="95"/>
      <c r="CO3" s="95"/>
      <c r="CP3" s="95"/>
      <c r="CQ3" s="95"/>
      <c r="CR3" s="95"/>
      <c r="CS3" s="95"/>
      <c r="CT3" s="95"/>
    </row>
    <row r="4" spans="1:98">
      <c r="A4">
        <v>41</v>
      </c>
      <c r="B4" s="32" t="s">
        <v>11</v>
      </c>
      <c r="C4" s="2">
        <f>'[2]Data Entry'!E11</f>
        <v>178237.5</v>
      </c>
      <c r="D4" s="2"/>
      <c r="E4" s="2"/>
      <c r="F4" s="2"/>
      <c r="G4" s="2"/>
      <c r="H4" s="2"/>
      <c r="I4" s="2"/>
      <c r="J4" s="2"/>
      <c r="K4" s="2"/>
      <c r="L4" s="2"/>
      <c r="M4" s="2"/>
      <c r="N4" s="2"/>
      <c r="O4" s="2"/>
      <c r="P4" s="95"/>
      <c r="Q4" s="95"/>
      <c r="R4" s="95"/>
      <c r="S4" s="95"/>
      <c r="T4" s="95"/>
      <c r="U4" s="95"/>
      <c r="V4" s="95"/>
      <c r="W4" s="95"/>
      <c r="X4" s="95"/>
      <c r="Y4" s="95"/>
      <c r="Z4" s="95"/>
      <c r="AA4" s="95"/>
      <c r="AB4" s="95"/>
      <c r="AC4" s="95"/>
      <c r="AD4" s="95"/>
      <c r="AE4" s="95"/>
      <c r="AF4" s="95"/>
      <c r="AG4" s="95"/>
      <c r="AH4" s="95"/>
      <c r="AI4" s="95"/>
      <c r="AJ4" s="95"/>
      <c r="AK4" s="95"/>
      <c r="AL4" s="95"/>
      <c r="AM4" s="95"/>
      <c r="AN4" s="95"/>
      <c r="AO4" s="95"/>
      <c r="AP4" s="95"/>
      <c r="AQ4" s="95"/>
      <c r="AR4" s="95"/>
      <c r="AS4" s="95"/>
      <c r="AT4" s="95"/>
      <c r="AU4" s="95"/>
      <c r="AV4" s="95"/>
      <c r="AW4" s="95"/>
      <c r="AX4" s="95"/>
      <c r="AY4" s="95"/>
      <c r="AZ4" s="95"/>
      <c r="BA4" s="95"/>
      <c r="BB4" s="95"/>
      <c r="BC4" s="95"/>
      <c r="BD4" s="95"/>
      <c r="BE4" s="95"/>
      <c r="BF4" s="95"/>
      <c r="BG4" s="95"/>
      <c r="BH4" s="95"/>
      <c r="BI4" s="95"/>
      <c r="BJ4" s="95"/>
      <c r="BK4" s="95"/>
      <c r="BL4" s="95"/>
      <c r="BM4" s="95"/>
      <c r="BN4" s="95"/>
      <c r="BO4" s="95"/>
      <c r="BP4" s="95"/>
      <c r="BQ4" s="95"/>
      <c r="BR4" s="95"/>
      <c r="BS4" s="95"/>
      <c r="BT4" s="95"/>
      <c r="BU4" s="95"/>
      <c r="BV4" s="95"/>
      <c r="BW4" s="95"/>
      <c r="BX4" s="95"/>
      <c r="BY4" s="95"/>
      <c r="BZ4" s="95"/>
      <c r="CA4" s="95"/>
      <c r="CB4" s="95"/>
      <c r="CC4" s="95"/>
      <c r="CD4" s="95"/>
      <c r="CE4" s="95"/>
      <c r="CF4" s="95"/>
      <c r="CG4" s="95"/>
      <c r="CH4" s="95"/>
      <c r="CI4" s="95"/>
      <c r="CJ4" s="95"/>
      <c r="CK4" s="95"/>
      <c r="CL4" s="95"/>
      <c r="CM4" s="95"/>
      <c r="CN4" s="95"/>
      <c r="CO4" s="95"/>
      <c r="CP4" s="95"/>
      <c r="CQ4" s="95"/>
      <c r="CR4" s="95"/>
      <c r="CS4" s="95"/>
      <c r="CT4" s="95"/>
    </row>
    <row r="5" spans="1:98">
      <c r="B5" s="32" t="s">
        <v>6</v>
      </c>
      <c r="C5" s="2">
        <f>'[2]Data Entry'!E6</f>
        <v>16500</v>
      </c>
      <c r="D5" s="2"/>
      <c r="E5" s="2"/>
      <c r="F5" s="2"/>
      <c r="G5" s="2"/>
      <c r="H5" s="2"/>
      <c r="I5" s="2"/>
      <c r="J5" s="2"/>
      <c r="K5" s="2"/>
      <c r="L5" s="2"/>
      <c r="M5" s="2"/>
      <c r="N5" s="2"/>
      <c r="O5" s="2"/>
      <c r="P5" s="95"/>
      <c r="Q5" s="95"/>
      <c r="R5" s="95"/>
      <c r="S5" s="95"/>
      <c r="T5" s="95"/>
      <c r="U5" s="95"/>
      <c r="V5" s="95"/>
      <c r="W5" s="95"/>
      <c r="X5" s="95"/>
      <c r="Y5" s="95"/>
      <c r="Z5" s="95"/>
      <c r="AA5" s="95"/>
      <c r="AB5" s="95"/>
      <c r="AC5" s="95"/>
      <c r="AD5" s="95"/>
      <c r="AE5" s="95"/>
      <c r="AF5" s="95"/>
      <c r="AG5" s="95"/>
      <c r="AH5" s="95"/>
      <c r="AI5" s="95"/>
      <c r="AJ5" s="95"/>
      <c r="AK5" s="95"/>
      <c r="AL5" s="95"/>
      <c r="AM5" s="95"/>
      <c r="AN5" s="95"/>
      <c r="AO5" s="95"/>
      <c r="AP5" s="95"/>
      <c r="AQ5" s="95"/>
      <c r="AR5" s="95"/>
      <c r="AS5" s="95"/>
      <c r="AT5" s="95"/>
      <c r="AU5" s="95"/>
      <c r="AV5" s="95"/>
      <c r="AW5" s="95"/>
      <c r="AX5" s="95"/>
      <c r="AY5" s="95"/>
      <c r="AZ5" s="95"/>
      <c r="BA5" s="95"/>
      <c r="BB5" s="95"/>
      <c r="BC5" s="95"/>
      <c r="BD5" s="95"/>
      <c r="BE5" s="95"/>
      <c r="BF5" s="95"/>
      <c r="BG5" s="95"/>
      <c r="BH5" s="95"/>
      <c r="BI5" s="95"/>
      <c r="BJ5" s="95"/>
      <c r="BK5" s="95"/>
      <c r="BL5" s="95"/>
      <c r="BM5" s="95"/>
      <c r="BN5" s="95"/>
      <c r="BO5" s="95"/>
      <c r="BP5" s="95"/>
      <c r="BQ5" s="95"/>
      <c r="BR5" s="95"/>
      <c r="BS5" s="95"/>
      <c r="BT5" s="95"/>
      <c r="BU5" s="95"/>
      <c r="BV5" s="95"/>
      <c r="BW5" s="95"/>
      <c r="BX5" s="95"/>
      <c r="BY5" s="95"/>
      <c r="BZ5" s="95"/>
      <c r="CA5" s="95"/>
      <c r="CB5" s="95"/>
      <c r="CC5" s="95"/>
      <c r="CD5" s="95"/>
      <c r="CE5" s="95"/>
      <c r="CF5" s="95"/>
      <c r="CG5" s="95"/>
      <c r="CH5" s="95"/>
      <c r="CI5" s="95"/>
      <c r="CJ5" s="95"/>
      <c r="CK5" s="95"/>
      <c r="CL5" s="95"/>
      <c r="CM5" s="95"/>
      <c r="CN5" s="95"/>
      <c r="CO5" s="95"/>
      <c r="CP5" s="95"/>
      <c r="CQ5" s="95"/>
      <c r="CR5" s="95"/>
      <c r="CS5" s="95"/>
      <c r="CT5" s="95"/>
    </row>
    <row r="6" spans="1:98">
      <c r="B6" s="32" t="s">
        <v>7</v>
      </c>
      <c r="C6" s="2">
        <f>'[2]Data Entry'!E7</f>
        <v>5400</v>
      </c>
      <c r="D6" s="2"/>
      <c r="E6" s="2"/>
      <c r="F6" s="2"/>
      <c r="G6" s="2"/>
      <c r="H6" s="2"/>
      <c r="I6" s="2"/>
      <c r="J6" s="2"/>
      <c r="K6" s="2"/>
      <c r="L6" s="2"/>
      <c r="M6" s="2"/>
      <c r="N6" s="2"/>
      <c r="O6" s="2"/>
      <c r="P6" s="95"/>
      <c r="Q6" s="95"/>
      <c r="R6" s="95"/>
      <c r="S6" s="95"/>
      <c r="T6" s="95"/>
      <c r="U6" s="95"/>
      <c r="V6" s="95"/>
      <c r="W6" s="95"/>
      <c r="X6" s="95"/>
      <c r="Y6" s="95"/>
      <c r="Z6" s="95"/>
      <c r="AA6" s="95"/>
      <c r="AB6" s="95"/>
      <c r="AC6" s="95"/>
      <c r="AD6" s="95"/>
      <c r="AE6" s="95"/>
      <c r="AF6" s="95"/>
      <c r="AG6" s="95"/>
      <c r="AH6" s="95"/>
      <c r="AI6" s="95"/>
      <c r="AJ6" s="95"/>
      <c r="AK6" s="95"/>
      <c r="AL6" s="95"/>
      <c r="AM6" s="95"/>
      <c r="AN6" s="95"/>
      <c r="AO6" s="95"/>
      <c r="AP6" s="95"/>
      <c r="AQ6" s="95"/>
      <c r="AR6" s="95"/>
      <c r="AS6" s="95"/>
      <c r="AT6" s="95"/>
      <c r="AU6" s="95"/>
      <c r="AV6" s="95"/>
      <c r="AW6" s="95"/>
      <c r="AX6" s="95"/>
      <c r="AY6" s="95"/>
      <c r="AZ6" s="95"/>
      <c r="BA6" s="95"/>
      <c r="BB6" s="95"/>
      <c r="BC6" s="95"/>
      <c r="BD6" s="95"/>
      <c r="BE6" s="95"/>
      <c r="BF6" s="95"/>
      <c r="BG6" s="95"/>
      <c r="BH6" s="95"/>
      <c r="BI6" s="95"/>
      <c r="BJ6" s="95"/>
      <c r="BK6" s="95"/>
      <c r="BL6" s="95"/>
      <c r="BM6" s="95"/>
      <c r="BN6" s="95"/>
      <c r="BO6" s="95"/>
      <c r="BP6" s="95"/>
      <c r="BQ6" s="95"/>
      <c r="BR6" s="95"/>
      <c r="BS6" s="95"/>
      <c r="BT6" s="95"/>
      <c r="BU6" s="95"/>
      <c r="BV6" s="95"/>
      <c r="BW6" s="95"/>
      <c r="BX6" s="95"/>
      <c r="BY6" s="95"/>
      <c r="BZ6" s="95"/>
      <c r="CA6" s="95"/>
      <c r="CB6" s="95"/>
      <c r="CC6" s="95"/>
      <c r="CD6" s="95"/>
      <c r="CE6" s="95"/>
      <c r="CF6" s="95"/>
      <c r="CG6" s="95"/>
      <c r="CH6" s="95"/>
      <c r="CI6" s="95"/>
      <c r="CJ6" s="95"/>
      <c r="CK6" s="95"/>
      <c r="CL6" s="95"/>
      <c r="CM6" s="95"/>
      <c r="CN6" s="95"/>
      <c r="CO6" s="95"/>
      <c r="CP6" s="95"/>
      <c r="CQ6" s="95"/>
      <c r="CR6" s="95"/>
      <c r="CS6" s="95"/>
      <c r="CT6" s="95"/>
    </row>
    <row r="7" spans="1:98">
      <c r="B7" s="32" t="s">
        <v>8</v>
      </c>
      <c r="C7" s="2">
        <f>'[2]Data Entry'!E8</f>
        <v>5000</v>
      </c>
      <c r="D7" s="2"/>
      <c r="E7" s="2"/>
      <c r="F7" s="2"/>
      <c r="G7" s="2"/>
      <c r="H7" s="2"/>
      <c r="I7" s="2"/>
      <c r="J7" s="2"/>
      <c r="K7" s="2"/>
      <c r="L7" s="2"/>
      <c r="M7" s="2"/>
      <c r="N7" s="2"/>
      <c r="O7" s="2"/>
      <c r="P7" s="95"/>
      <c r="Q7" s="95"/>
      <c r="R7" s="95"/>
      <c r="S7" s="95"/>
      <c r="T7" s="95"/>
      <c r="U7" s="95"/>
      <c r="V7" s="95"/>
      <c r="W7" s="95"/>
      <c r="X7" s="95"/>
      <c r="Y7" s="95"/>
      <c r="Z7" s="95"/>
      <c r="AA7" s="95"/>
      <c r="AB7" s="95"/>
      <c r="AC7" s="95"/>
      <c r="AD7" s="95"/>
      <c r="AE7" s="95"/>
      <c r="AF7" s="95"/>
      <c r="AG7" s="95"/>
      <c r="AH7" s="95"/>
      <c r="AI7" s="95"/>
      <c r="AJ7" s="95"/>
      <c r="AK7" s="95"/>
      <c r="AL7" s="95"/>
      <c r="AM7" s="95"/>
      <c r="AN7" s="95"/>
      <c r="AO7" s="95"/>
      <c r="AP7" s="95"/>
      <c r="AQ7" s="95"/>
      <c r="AR7" s="95"/>
      <c r="AS7" s="95"/>
      <c r="AT7" s="95"/>
      <c r="AU7" s="95"/>
      <c r="AV7" s="95"/>
      <c r="AW7" s="95"/>
      <c r="AX7" s="95"/>
      <c r="AY7" s="95"/>
      <c r="AZ7" s="95"/>
      <c r="BA7" s="95"/>
      <c r="BB7" s="95"/>
      <c r="BC7" s="95"/>
      <c r="BD7" s="95"/>
      <c r="BE7" s="95"/>
      <c r="BF7" s="95"/>
      <c r="BG7" s="95"/>
      <c r="BH7" s="95"/>
      <c r="BI7" s="95"/>
      <c r="BJ7" s="95"/>
      <c r="BK7" s="95"/>
      <c r="BL7" s="95"/>
      <c r="BM7" s="95"/>
      <c r="BN7" s="95"/>
      <c r="BO7" s="95"/>
      <c r="BP7" s="95"/>
      <c r="BQ7" s="95"/>
      <c r="BR7" s="95"/>
      <c r="BS7" s="95"/>
      <c r="BT7" s="95"/>
      <c r="BU7" s="95"/>
      <c r="BV7" s="95"/>
      <c r="BW7" s="95"/>
      <c r="BX7" s="95"/>
      <c r="BY7" s="95"/>
      <c r="BZ7" s="95"/>
      <c r="CA7" s="95"/>
      <c r="CB7" s="95"/>
      <c r="CC7" s="95"/>
      <c r="CD7" s="95"/>
      <c r="CE7" s="95"/>
      <c r="CF7" s="95"/>
      <c r="CG7" s="95"/>
      <c r="CH7" s="95"/>
      <c r="CI7" s="95"/>
      <c r="CJ7" s="95"/>
      <c r="CK7" s="95"/>
      <c r="CL7" s="95"/>
      <c r="CM7" s="95"/>
      <c r="CN7" s="95"/>
      <c r="CO7" s="95"/>
      <c r="CP7" s="95"/>
      <c r="CQ7" s="95"/>
      <c r="CR7" s="95"/>
      <c r="CS7" s="95"/>
      <c r="CT7" s="95"/>
    </row>
    <row r="8" spans="1:98">
      <c r="B8" s="32" t="s">
        <v>9</v>
      </c>
      <c r="C8" s="2">
        <f>'[2]Data Entry'!E9</f>
        <v>300</v>
      </c>
      <c r="D8" s="2"/>
      <c r="E8" s="2"/>
      <c r="F8" s="2"/>
      <c r="G8" s="2"/>
      <c r="H8" s="2"/>
      <c r="I8" s="2"/>
      <c r="J8" s="2"/>
      <c r="K8" s="2"/>
      <c r="L8" s="2"/>
      <c r="M8" s="2"/>
      <c r="N8" s="2"/>
      <c r="O8" s="2"/>
      <c r="P8" s="95"/>
      <c r="Q8" s="95"/>
      <c r="R8" s="95"/>
      <c r="S8" s="95"/>
      <c r="T8" s="95"/>
      <c r="U8" s="95"/>
      <c r="V8" s="95"/>
      <c r="W8" s="95"/>
      <c r="X8" s="95"/>
      <c r="Y8" s="95"/>
      <c r="Z8" s="95"/>
      <c r="AA8" s="95"/>
      <c r="AB8" s="95"/>
      <c r="AC8" s="95"/>
      <c r="AD8" s="95"/>
      <c r="AE8" s="95"/>
      <c r="AF8" s="95"/>
      <c r="AG8" s="95"/>
      <c r="AH8" s="95"/>
      <c r="AI8" s="95"/>
      <c r="AJ8" s="95"/>
      <c r="AK8" s="95"/>
      <c r="AL8" s="95"/>
      <c r="AM8" s="95"/>
      <c r="AN8" s="95"/>
      <c r="AO8" s="95"/>
      <c r="AP8" s="95"/>
      <c r="AQ8" s="95"/>
      <c r="AR8" s="95"/>
      <c r="AS8" s="95"/>
      <c r="AT8" s="95"/>
      <c r="AU8" s="95"/>
      <c r="AV8" s="95"/>
      <c r="AW8" s="95"/>
      <c r="AX8" s="95"/>
      <c r="AY8" s="95"/>
      <c r="AZ8" s="95"/>
      <c r="BA8" s="95"/>
      <c r="BB8" s="95"/>
      <c r="BC8" s="95"/>
      <c r="BD8" s="95"/>
      <c r="BE8" s="95"/>
      <c r="BF8" s="95"/>
      <c r="BG8" s="95"/>
      <c r="BH8" s="95"/>
      <c r="BI8" s="95"/>
      <c r="BJ8" s="95"/>
      <c r="BK8" s="95"/>
      <c r="BL8" s="95"/>
      <c r="BM8" s="95"/>
      <c r="BN8" s="95"/>
      <c r="BO8" s="95"/>
      <c r="BP8" s="95"/>
      <c r="BQ8" s="95"/>
      <c r="BR8" s="95"/>
      <c r="BS8" s="95"/>
      <c r="BT8" s="95"/>
      <c r="BU8" s="95"/>
      <c r="BV8" s="95"/>
      <c r="BW8" s="95"/>
      <c r="BX8" s="95"/>
      <c r="BY8" s="95"/>
      <c r="BZ8" s="95"/>
      <c r="CA8" s="95"/>
      <c r="CB8" s="95"/>
      <c r="CC8" s="95"/>
      <c r="CD8" s="95"/>
      <c r="CE8" s="95"/>
      <c r="CF8" s="95"/>
      <c r="CG8" s="95"/>
      <c r="CH8" s="95"/>
      <c r="CI8" s="95"/>
      <c r="CJ8" s="95"/>
      <c r="CK8" s="95"/>
      <c r="CL8" s="95"/>
      <c r="CM8" s="95"/>
      <c r="CN8" s="95"/>
      <c r="CO8" s="95"/>
      <c r="CP8" s="95"/>
      <c r="CQ8" s="95"/>
      <c r="CR8" s="95"/>
      <c r="CS8" s="95"/>
      <c r="CT8" s="95"/>
    </row>
    <row r="9" spans="1:98">
      <c r="B9" s="32" t="s">
        <v>10</v>
      </c>
      <c r="C9" s="2">
        <f>'[2]Data Entry'!E10</f>
        <v>1037.5</v>
      </c>
      <c r="D9" s="2"/>
      <c r="E9" s="2"/>
      <c r="F9" s="2"/>
      <c r="G9" s="2"/>
      <c r="H9" s="2"/>
      <c r="I9" s="2"/>
      <c r="J9" s="2"/>
      <c r="K9" s="2"/>
      <c r="L9" s="2"/>
      <c r="M9" s="2"/>
      <c r="N9" s="2"/>
      <c r="O9" s="2"/>
      <c r="P9" s="95"/>
      <c r="Q9" s="95"/>
      <c r="R9" s="95"/>
      <c r="S9" s="95"/>
      <c r="T9" s="95"/>
      <c r="U9" s="95"/>
      <c r="V9" s="95"/>
      <c r="W9" s="95"/>
      <c r="X9" s="95"/>
      <c r="Y9" s="95"/>
      <c r="Z9" s="95"/>
      <c r="AA9" s="95"/>
      <c r="AB9" s="95"/>
      <c r="AC9" s="95"/>
      <c r="AD9" s="95"/>
      <c r="AE9" s="95"/>
      <c r="AF9" s="95"/>
      <c r="AG9" s="95"/>
      <c r="AH9" s="95"/>
      <c r="AI9" s="95"/>
      <c r="AJ9" s="95"/>
      <c r="AK9" s="95"/>
      <c r="AL9" s="95"/>
      <c r="AM9" s="95"/>
      <c r="AN9" s="95"/>
      <c r="AO9" s="95"/>
      <c r="AP9" s="95"/>
      <c r="AQ9" s="95"/>
      <c r="AR9" s="95"/>
      <c r="AS9" s="95"/>
      <c r="AT9" s="95"/>
      <c r="AU9" s="95"/>
      <c r="AV9" s="95"/>
      <c r="AW9" s="95"/>
      <c r="AX9" s="95"/>
      <c r="AY9" s="95"/>
      <c r="AZ9" s="95"/>
      <c r="BA9" s="95"/>
      <c r="BB9" s="95"/>
      <c r="BC9" s="95"/>
      <c r="BD9" s="95"/>
      <c r="BE9" s="95"/>
      <c r="BF9" s="95"/>
      <c r="BG9" s="95"/>
      <c r="BH9" s="95"/>
      <c r="BI9" s="95"/>
      <c r="BJ9" s="95"/>
      <c r="BK9" s="95"/>
      <c r="BL9" s="95"/>
      <c r="BM9" s="95"/>
      <c r="BN9" s="95"/>
      <c r="BO9" s="95"/>
      <c r="BP9" s="95"/>
      <c r="BQ9" s="95"/>
      <c r="BR9" s="95"/>
      <c r="BS9" s="95"/>
      <c r="BT9" s="95"/>
      <c r="BU9" s="95"/>
      <c r="BV9" s="95"/>
      <c r="BW9" s="95"/>
      <c r="BX9" s="95"/>
      <c r="BY9" s="95"/>
      <c r="BZ9" s="95"/>
      <c r="CA9" s="95"/>
      <c r="CB9" s="95"/>
      <c r="CC9" s="95"/>
      <c r="CD9" s="95"/>
      <c r="CE9" s="95"/>
      <c r="CF9" s="95"/>
      <c r="CG9" s="95"/>
      <c r="CH9" s="95"/>
      <c r="CI9" s="95"/>
      <c r="CJ9" s="95"/>
      <c r="CK9" s="95"/>
      <c r="CL9" s="95"/>
      <c r="CM9" s="95"/>
      <c r="CN9" s="95"/>
      <c r="CO9" s="95"/>
      <c r="CP9" s="95"/>
      <c r="CQ9" s="95"/>
      <c r="CR9" s="95"/>
      <c r="CS9" s="95"/>
      <c r="CT9" s="95"/>
    </row>
    <row r="10" spans="1:98">
      <c r="B10" s="34" t="s">
        <v>35</v>
      </c>
      <c r="C10" s="35">
        <f>C4-C5-C6-C7-C8-C9</f>
        <v>150000</v>
      </c>
      <c r="D10" s="35">
        <f t="shared" ref="D10:AM10" si="0">-$C1</f>
        <v>-5610.0156461740853</v>
      </c>
      <c r="E10" s="35">
        <f t="shared" si="0"/>
        <v>-5610.0156461740853</v>
      </c>
      <c r="F10" s="35">
        <f t="shared" si="0"/>
        <v>-5610.0156461740853</v>
      </c>
      <c r="G10" s="35">
        <f t="shared" si="0"/>
        <v>-5610.0156461740853</v>
      </c>
      <c r="H10" s="35">
        <f t="shared" si="0"/>
        <v>-5610.0156461740853</v>
      </c>
      <c r="I10" s="35">
        <f t="shared" si="0"/>
        <v>-5610.0156461740853</v>
      </c>
      <c r="J10" s="35">
        <f t="shared" si="0"/>
        <v>-5610.0156461740853</v>
      </c>
      <c r="K10" s="35">
        <f t="shared" si="0"/>
        <v>-5610.0156461740853</v>
      </c>
      <c r="L10" s="35">
        <f t="shared" si="0"/>
        <v>-5610.0156461740853</v>
      </c>
      <c r="M10" s="35">
        <f t="shared" si="0"/>
        <v>-5610.0156461740853</v>
      </c>
      <c r="N10" s="35">
        <f t="shared" si="0"/>
        <v>-5610.0156461740853</v>
      </c>
      <c r="O10" s="35">
        <f t="shared" si="0"/>
        <v>-5610.0156461740853</v>
      </c>
      <c r="P10" s="35">
        <f t="shared" si="0"/>
        <v>-5610.0156461740853</v>
      </c>
      <c r="Q10" s="35">
        <f t="shared" si="0"/>
        <v>-5610.0156461740853</v>
      </c>
      <c r="R10" s="35">
        <f t="shared" si="0"/>
        <v>-5610.0156461740853</v>
      </c>
      <c r="S10" s="35">
        <f t="shared" si="0"/>
        <v>-5610.0156461740853</v>
      </c>
      <c r="T10" s="35">
        <f t="shared" si="0"/>
        <v>-5610.0156461740853</v>
      </c>
      <c r="U10" s="35">
        <f t="shared" si="0"/>
        <v>-5610.0156461740853</v>
      </c>
      <c r="V10" s="35">
        <f t="shared" si="0"/>
        <v>-5610.0156461740853</v>
      </c>
      <c r="W10" s="35">
        <f t="shared" si="0"/>
        <v>-5610.0156461740853</v>
      </c>
      <c r="X10" s="35">
        <f t="shared" si="0"/>
        <v>-5610.0156461740853</v>
      </c>
      <c r="Y10" s="35">
        <f t="shared" si="0"/>
        <v>-5610.0156461740853</v>
      </c>
      <c r="Z10" s="35">
        <f t="shared" si="0"/>
        <v>-5610.0156461740853</v>
      </c>
      <c r="AA10" s="35">
        <f t="shared" si="0"/>
        <v>-5610.0156461740853</v>
      </c>
      <c r="AB10" s="35">
        <f t="shared" si="0"/>
        <v>-5610.0156461740853</v>
      </c>
      <c r="AC10" s="35">
        <f t="shared" si="0"/>
        <v>-5610.0156461740853</v>
      </c>
      <c r="AD10" s="35">
        <f t="shared" si="0"/>
        <v>-5610.0156461740853</v>
      </c>
      <c r="AE10" s="35">
        <f t="shared" si="0"/>
        <v>-5610.0156461740853</v>
      </c>
      <c r="AF10" s="35">
        <f t="shared" si="0"/>
        <v>-5610.0156461740853</v>
      </c>
      <c r="AG10" s="35">
        <f t="shared" si="0"/>
        <v>-5610.0156461740853</v>
      </c>
      <c r="AH10" s="35">
        <f t="shared" si="0"/>
        <v>-5610.0156461740853</v>
      </c>
      <c r="AI10" s="35">
        <f t="shared" si="0"/>
        <v>-5610.0156461740853</v>
      </c>
      <c r="AJ10" s="35">
        <f t="shared" si="0"/>
        <v>-5610.0156461740853</v>
      </c>
      <c r="AK10" s="35">
        <f t="shared" si="0"/>
        <v>-5610.0156461740853</v>
      </c>
      <c r="AL10" s="35">
        <f t="shared" si="0"/>
        <v>-5610.0156461740853</v>
      </c>
      <c r="AM10" s="35">
        <f t="shared" si="0"/>
        <v>-5610.0156461740853</v>
      </c>
      <c r="AN10" s="95"/>
      <c r="AO10" s="95"/>
      <c r="AP10" s="95"/>
      <c r="AQ10" s="95"/>
      <c r="AR10" s="95"/>
      <c r="AS10" s="95"/>
      <c r="AT10" s="95"/>
      <c r="AU10" s="95"/>
      <c r="AV10" s="95"/>
      <c r="AW10" s="95"/>
      <c r="AX10" s="95"/>
      <c r="AY10" s="95"/>
      <c r="AZ10" s="95"/>
      <c r="BA10" s="95"/>
      <c r="BB10" s="95"/>
      <c r="BC10" s="95"/>
      <c r="BD10" s="95"/>
      <c r="BE10" s="95"/>
      <c r="BF10" s="95"/>
      <c r="BG10" s="95"/>
      <c r="BH10" s="95"/>
      <c r="BI10" s="95"/>
      <c r="BJ10" s="95"/>
      <c r="BK10" s="95"/>
      <c r="BL10" s="95"/>
      <c r="BM10" s="95"/>
      <c r="BN10" s="95"/>
      <c r="BO10" s="95"/>
      <c r="BP10" s="95"/>
      <c r="BQ10" s="95"/>
      <c r="BR10" s="95"/>
      <c r="BS10" s="95"/>
      <c r="BT10" s="95"/>
      <c r="BU10" s="95"/>
      <c r="BV10" s="95"/>
      <c r="BW10" s="95"/>
      <c r="BX10" s="95"/>
      <c r="BY10" s="95"/>
      <c r="BZ10" s="95"/>
      <c r="CA10" s="95"/>
      <c r="CB10" s="95"/>
      <c r="CC10" s="95"/>
      <c r="CD10" s="95"/>
      <c r="CE10" s="95"/>
      <c r="CF10" s="95"/>
      <c r="CG10" s="95"/>
      <c r="CH10" s="95"/>
      <c r="CI10" s="95"/>
      <c r="CJ10" s="95"/>
      <c r="CK10" s="95"/>
      <c r="CL10" s="95"/>
      <c r="CM10" s="95"/>
      <c r="CN10" s="95"/>
      <c r="CO10" s="95"/>
      <c r="CP10" s="95"/>
      <c r="CQ10" s="95"/>
      <c r="CR10" s="95"/>
      <c r="CS10" s="95"/>
      <c r="CT10" s="95"/>
    </row>
    <row r="12" spans="1:98">
      <c r="B12" t="s">
        <v>36</v>
      </c>
      <c r="C12" s="11">
        <f>IRR(C10:AM10)</f>
        <v>1.7052809868706831E-2</v>
      </c>
      <c r="D12">
        <f>C12/5</f>
        <v>3.4105619737413661E-3</v>
      </c>
    </row>
    <row r="13" spans="1:98">
      <c r="C13" s="36"/>
    </row>
    <row r="14" spans="1:98">
      <c r="B14" t="s">
        <v>37</v>
      </c>
      <c r="C14" s="37"/>
    </row>
    <row r="15" spans="1:98">
      <c r="B15" t="s">
        <v>28</v>
      </c>
      <c r="C15" s="17">
        <f>'[2]Data Entry'!D12/12</f>
        <v>7.0833333333333338E-3</v>
      </c>
    </row>
    <row r="16" spans="1:98">
      <c r="B16" t="s">
        <v>13</v>
      </c>
      <c r="C16" s="38">
        <f>'[2]Data Entry'!D13</f>
        <v>8.855359027416676E-2</v>
      </c>
    </row>
    <row r="17" spans="2:57">
      <c r="B17" t="s">
        <v>170</v>
      </c>
      <c r="C17">
        <v>24</v>
      </c>
    </row>
    <row r="19" spans="2:57" ht="15.75" thickBot="1">
      <c r="H19" s="5"/>
    </row>
    <row r="20" spans="2:57" ht="15.75">
      <c r="B20" s="28"/>
      <c r="C20" s="470" t="s">
        <v>38</v>
      </c>
      <c r="D20" s="471"/>
      <c r="E20" s="471"/>
      <c r="F20" s="471"/>
      <c r="G20" s="471"/>
      <c r="H20" s="472"/>
      <c r="I20" s="39"/>
      <c r="J20" s="40"/>
      <c r="K20" s="41"/>
      <c r="L20" s="41"/>
      <c r="M20" s="41"/>
      <c r="N20" s="41"/>
      <c r="O20" s="42"/>
      <c r="P20" s="41"/>
      <c r="Q20" s="41"/>
      <c r="R20" s="41"/>
      <c r="S20" s="41"/>
      <c r="T20" s="41"/>
      <c r="U20" s="43"/>
      <c r="W20" s="100"/>
      <c r="X20" s="100"/>
      <c r="Y20" s="100"/>
      <c r="Z20" s="100"/>
      <c r="AA20" s="100"/>
      <c r="AB20" s="100"/>
      <c r="AC20" s="100"/>
      <c r="AD20" s="100"/>
      <c r="AE20" s="100"/>
      <c r="AF20" s="100"/>
      <c r="AG20" s="100"/>
      <c r="AH20" s="100"/>
      <c r="AI20" s="100"/>
      <c r="AJ20" s="100"/>
      <c r="AK20" s="100"/>
      <c r="AL20" s="100"/>
      <c r="AM20" s="100"/>
      <c r="AN20" s="100"/>
      <c r="AO20" s="100"/>
      <c r="AP20" s="100"/>
      <c r="AQ20" s="100"/>
      <c r="AR20" s="100"/>
      <c r="AS20" s="100"/>
      <c r="AT20" s="100"/>
      <c r="AU20" s="100"/>
      <c r="AV20" s="100"/>
      <c r="AW20" s="100"/>
      <c r="AX20" s="100"/>
      <c r="AY20" s="100"/>
      <c r="AZ20" s="100"/>
      <c r="BA20" s="100"/>
      <c r="BB20" s="100"/>
      <c r="BC20" s="100"/>
      <c r="BD20" s="100"/>
      <c r="BE20" s="100"/>
    </row>
    <row r="21" spans="2:57" ht="15.75">
      <c r="C21" s="482"/>
      <c r="D21" s="483"/>
      <c r="E21" s="483"/>
      <c r="F21" s="483"/>
      <c r="G21" s="483"/>
      <c r="H21" s="484"/>
      <c r="J21" s="44"/>
      <c r="K21" s="45"/>
      <c r="L21" s="45"/>
      <c r="M21" s="45"/>
      <c r="N21" s="45"/>
      <c r="O21" s="46"/>
      <c r="P21" s="45"/>
      <c r="Q21" s="45"/>
      <c r="R21" s="45"/>
      <c r="S21" s="45"/>
      <c r="T21" s="45"/>
      <c r="U21" s="47"/>
      <c r="W21" s="100"/>
      <c r="X21" s="100"/>
      <c r="Y21" s="100"/>
      <c r="Z21" s="100"/>
      <c r="AA21" s="100"/>
      <c r="AB21" s="100"/>
      <c r="AC21" s="100"/>
      <c r="AD21" s="100"/>
      <c r="AE21" s="100"/>
      <c r="AF21" s="100"/>
      <c r="AG21" s="100"/>
      <c r="AH21" s="100"/>
      <c r="AI21" s="100"/>
      <c r="AJ21" s="100"/>
      <c r="AK21" s="100"/>
      <c r="AL21" s="100"/>
      <c r="AM21" s="100"/>
      <c r="AN21" s="100"/>
      <c r="AO21" s="100"/>
      <c r="AP21" s="100"/>
      <c r="AQ21" s="100"/>
      <c r="AR21" s="100"/>
      <c r="AS21" s="100"/>
      <c r="AT21" s="100"/>
      <c r="AU21" s="100"/>
      <c r="AV21" s="100"/>
      <c r="AW21" s="100"/>
      <c r="AX21" s="100"/>
      <c r="AY21" s="100"/>
      <c r="AZ21" s="100"/>
      <c r="BA21" s="100"/>
      <c r="BB21" s="100"/>
      <c r="BC21" s="100"/>
      <c r="BD21" s="100"/>
      <c r="BE21" s="100"/>
    </row>
    <row r="22" spans="2:57" ht="15.75">
      <c r="C22" s="48" t="s">
        <v>39</v>
      </c>
      <c r="D22" s="485" t="s">
        <v>264</v>
      </c>
      <c r="E22" s="460"/>
      <c r="F22" s="461"/>
      <c r="G22" s="32" t="s">
        <v>40</v>
      </c>
      <c r="H22" s="54" t="s">
        <v>262</v>
      </c>
      <c r="J22" s="44"/>
      <c r="K22" s="45"/>
      <c r="L22" s="45"/>
      <c r="M22" s="45"/>
      <c r="N22" s="45"/>
      <c r="O22" s="49"/>
      <c r="P22" s="45"/>
      <c r="Q22" s="45"/>
      <c r="R22" s="45"/>
      <c r="S22" s="45"/>
      <c r="T22" s="45"/>
      <c r="U22" s="47"/>
      <c r="W22" s="100"/>
      <c r="X22" s="100"/>
      <c r="Y22" s="100"/>
      <c r="Z22" s="100"/>
      <c r="AA22" s="100"/>
      <c r="AB22" s="100"/>
      <c r="AC22" s="100"/>
      <c r="AD22" s="100"/>
      <c r="AE22" s="100"/>
      <c r="AF22" s="100"/>
      <c r="AG22" s="100"/>
      <c r="AH22" s="100"/>
      <c r="AI22" s="100"/>
      <c r="AJ22" s="100"/>
      <c r="AK22" s="100"/>
      <c r="AL22" s="100"/>
      <c r="AM22" s="100"/>
      <c r="AN22" s="100"/>
      <c r="AO22" s="100"/>
      <c r="AP22" s="100"/>
      <c r="AQ22" s="100"/>
      <c r="AR22" s="100"/>
      <c r="AS22" s="100"/>
      <c r="AT22" s="100"/>
      <c r="AU22" s="100"/>
      <c r="AV22" s="100"/>
      <c r="AW22" s="100"/>
      <c r="AX22" s="100"/>
      <c r="AY22" s="100"/>
      <c r="AZ22" s="100"/>
      <c r="BA22" s="100"/>
      <c r="BB22" s="100"/>
      <c r="BC22" s="100"/>
      <c r="BD22" s="100"/>
      <c r="BE22" s="100"/>
    </row>
    <row r="23" spans="2:57" ht="15.75" customHeight="1">
      <c r="C23" s="50" t="s">
        <v>41</v>
      </c>
      <c r="D23" s="94" t="s">
        <v>263</v>
      </c>
      <c r="E23" s="51" t="s">
        <v>42</v>
      </c>
      <c r="F23" s="486" t="s">
        <v>255</v>
      </c>
      <c r="G23" s="486"/>
      <c r="H23" s="487"/>
      <c r="I23" s="183"/>
      <c r="J23" s="179"/>
      <c r="K23" s="183"/>
      <c r="L23" s="183"/>
      <c r="M23" s="183"/>
      <c r="N23" s="183"/>
      <c r="O23" s="183"/>
      <c r="P23" s="183"/>
      <c r="Q23" s="183"/>
      <c r="R23" s="183"/>
      <c r="S23" s="183"/>
      <c r="T23" s="183"/>
      <c r="U23" s="180"/>
      <c r="V23" s="183"/>
      <c r="W23" s="183"/>
      <c r="X23" s="183"/>
      <c r="Y23" s="183"/>
      <c r="Z23" s="183"/>
      <c r="AA23" s="183"/>
      <c r="AB23" s="183"/>
      <c r="AC23" s="183"/>
      <c r="AD23" s="183"/>
      <c r="AE23" s="183"/>
      <c r="AF23" s="183"/>
      <c r="AG23" s="183"/>
      <c r="AH23" s="183"/>
      <c r="AI23" s="100"/>
      <c r="AJ23" s="100"/>
      <c r="AK23" s="100"/>
      <c r="AL23" s="100"/>
      <c r="AM23" s="100"/>
      <c r="AN23" s="100"/>
      <c r="AO23" s="100"/>
      <c r="AP23" s="100"/>
      <c r="AQ23" s="100"/>
      <c r="AR23" s="100"/>
      <c r="AS23" s="100"/>
      <c r="AT23" s="100"/>
      <c r="AU23" s="100"/>
      <c r="AV23" s="100"/>
      <c r="AW23" s="100"/>
      <c r="AX23" s="100"/>
      <c r="AY23" s="100"/>
      <c r="AZ23" s="100"/>
      <c r="BA23" s="100"/>
      <c r="BB23" s="100"/>
      <c r="BC23" s="100"/>
      <c r="BD23" s="100"/>
      <c r="BE23" s="100"/>
    </row>
    <row r="24" spans="2:57" ht="21">
      <c r="C24" s="479" t="s">
        <v>44</v>
      </c>
      <c r="D24" s="48" t="s">
        <v>45</v>
      </c>
      <c r="E24" s="52">
        <v>45701</v>
      </c>
      <c r="F24" s="184" t="s">
        <v>46</v>
      </c>
      <c r="G24" s="185">
        <f>B51</f>
        <v>46431</v>
      </c>
      <c r="H24" s="182"/>
      <c r="J24" s="44"/>
      <c r="K24" s="390" t="s">
        <v>47</v>
      </c>
      <c r="L24" s="390"/>
      <c r="M24" s="390"/>
      <c r="N24" s="390"/>
      <c r="O24" s="390"/>
      <c r="P24" s="390"/>
      <c r="Q24" s="390"/>
      <c r="R24" s="390"/>
      <c r="S24" s="390"/>
      <c r="T24" s="390"/>
      <c r="U24" s="47"/>
      <c r="W24" s="100"/>
      <c r="X24" s="100"/>
      <c r="Y24" s="100"/>
      <c r="Z24" s="100"/>
      <c r="AA24" s="100"/>
      <c r="AB24" s="100"/>
      <c r="AC24" s="100"/>
      <c r="AD24" s="100"/>
      <c r="AE24" s="100"/>
      <c r="AF24" s="100"/>
      <c r="AG24" s="100"/>
      <c r="AH24" s="100"/>
      <c r="AI24" s="100"/>
      <c r="AJ24" s="100"/>
      <c r="AK24" s="100"/>
      <c r="AL24" s="100"/>
      <c r="AM24" s="100"/>
      <c r="AN24" s="100"/>
      <c r="AO24" s="100"/>
      <c r="AP24" s="100"/>
      <c r="AQ24" s="100"/>
      <c r="AR24" s="100"/>
      <c r="AS24" s="100"/>
      <c r="AT24" s="100"/>
      <c r="AU24" s="100"/>
      <c r="AV24" s="100"/>
      <c r="AW24" s="100"/>
      <c r="AX24" s="100"/>
      <c r="AY24" s="100"/>
      <c r="AZ24" s="100"/>
      <c r="BA24" s="100"/>
      <c r="BB24" s="100"/>
      <c r="BC24" s="100"/>
      <c r="BD24" s="100"/>
      <c r="BE24" s="100"/>
    </row>
    <row r="25" spans="2:57" ht="15.75">
      <c r="C25" s="479"/>
      <c r="D25" s="32" t="s">
        <v>48</v>
      </c>
      <c r="E25" s="32">
        <v>36</v>
      </c>
      <c r="F25" s="32" t="s">
        <v>49</v>
      </c>
      <c r="G25" s="32"/>
      <c r="H25" s="54"/>
      <c r="J25" s="44"/>
      <c r="K25" s="391" t="s">
        <v>50</v>
      </c>
      <c r="L25" s="391"/>
      <c r="M25" s="391"/>
      <c r="N25" s="391"/>
      <c r="O25" s="391"/>
      <c r="P25" s="391"/>
      <c r="Q25" s="391"/>
      <c r="R25" s="391"/>
      <c r="S25" s="391"/>
      <c r="T25" s="391"/>
      <c r="U25" s="47"/>
      <c r="W25" s="100"/>
      <c r="X25" s="293" t="s">
        <v>86</v>
      </c>
      <c r="Y25" s="293"/>
      <c r="Z25" s="293"/>
      <c r="AA25" s="293"/>
      <c r="AB25" s="293"/>
      <c r="AC25" s="293"/>
      <c r="AD25" s="293"/>
      <c r="AE25" s="293"/>
      <c r="AF25" s="293"/>
      <c r="AG25" s="293"/>
      <c r="AH25" s="293"/>
      <c r="AI25" s="293"/>
      <c r="AJ25" s="293"/>
      <c r="AK25" s="293"/>
      <c r="AL25" s="293"/>
      <c r="AM25" s="293"/>
      <c r="AN25" s="293"/>
      <c r="AO25" s="293"/>
      <c r="AP25" s="293"/>
      <c r="AQ25" s="293"/>
      <c r="AR25" s="293"/>
      <c r="AS25" s="293"/>
      <c r="AT25" s="293"/>
      <c r="AU25" s="293"/>
      <c r="AV25" s="293"/>
      <c r="AW25" s="293"/>
      <c r="AX25" s="293"/>
      <c r="AY25" s="293"/>
      <c r="AZ25" s="293"/>
      <c r="BA25" s="293"/>
      <c r="BB25" s="293"/>
      <c r="BC25" s="293"/>
      <c r="BD25" s="293"/>
      <c r="BE25" s="100"/>
    </row>
    <row r="26" spans="2:57" ht="15.75">
      <c r="C26" s="479"/>
      <c r="D26" s="32" t="s">
        <v>51</v>
      </c>
      <c r="E26" s="55" t="s">
        <v>52</v>
      </c>
      <c r="F26" s="55" t="s">
        <v>53</v>
      </c>
      <c r="G26" s="55" t="s">
        <v>54</v>
      </c>
      <c r="H26" s="56" t="s">
        <v>55</v>
      </c>
      <c r="J26" s="44"/>
      <c r="K26" s="45"/>
      <c r="L26" s="45"/>
      <c r="M26" s="45"/>
      <c r="N26" s="45"/>
      <c r="O26" s="49"/>
      <c r="P26" s="45"/>
      <c r="Q26" s="45"/>
      <c r="R26" s="45"/>
      <c r="S26" s="45"/>
      <c r="T26" s="45"/>
      <c r="U26" s="47"/>
      <c r="W26" s="100"/>
      <c r="X26" s="293" t="s">
        <v>87</v>
      </c>
      <c r="Y26" s="293"/>
      <c r="Z26" s="293"/>
      <c r="AA26" s="293"/>
      <c r="AB26" s="293"/>
      <c r="AC26" s="293"/>
      <c r="AD26" s="293"/>
      <c r="AE26" s="293"/>
      <c r="AF26" s="293"/>
      <c r="AG26" s="293"/>
      <c r="AH26" s="293"/>
      <c r="AI26" s="293"/>
      <c r="AJ26" s="293"/>
      <c r="AK26" s="293"/>
      <c r="AL26" s="293"/>
      <c r="AM26" s="293"/>
      <c r="AN26" s="293"/>
      <c r="AO26" s="293"/>
      <c r="AP26" s="293"/>
      <c r="AQ26" s="293"/>
      <c r="AR26" s="293"/>
      <c r="AS26" s="293"/>
      <c r="AT26" s="293"/>
      <c r="AU26" s="293"/>
      <c r="AV26" s="293"/>
      <c r="AW26" s="293"/>
      <c r="AX26" s="293"/>
      <c r="AY26" s="293"/>
      <c r="AZ26" s="293"/>
      <c r="BA26" s="293"/>
      <c r="BB26" s="293"/>
      <c r="BC26" s="293"/>
      <c r="BD26" s="293"/>
      <c r="BE26" s="100"/>
    </row>
    <row r="27" spans="2:57" ht="18.75" thickBot="1">
      <c r="C27" s="480"/>
      <c r="D27" s="96" t="s">
        <v>56</v>
      </c>
      <c r="E27" s="96"/>
      <c r="F27" s="96"/>
      <c r="G27" s="96"/>
      <c r="H27" s="169">
        <f>C10</f>
        <v>150000</v>
      </c>
      <c r="J27" s="44"/>
      <c r="K27" s="392" t="s">
        <v>57</v>
      </c>
      <c r="L27" s="392"/>
      <c r="M27" s="392"/>
      <c r="N27" s="392"/>
      <c r="O27" s="392"/>
      <c r="P27" s="392"/>
      <c r="Q27" s="392"/>
      <c r="R27" s="392"/>
      <c r="S27" s="392"/>
      <c r="T27" s="392"/>
      <c r="U27" s="47"/>
      <c r="W27" s="100"/>
      <c r="X27" s="293" t="s">
        <v>88</v>
      </c>
      <c r="Y27" s="293"/>
      <c r="Z27" s="293"/>
      <c r="AA27" s="293"/>
      <c r="AB27" s="293"/>
      <c r="AC27" s="293"/>
      <c r="AD27" s="293"/>
      <c r="AE27" s="293"/>
      <c r="AF27" s="293"/>
      <c r="AG27" s="293"/>
      <c r="AH27" s="293"/>
      <c r="AI27" s="293"/>
      <c r="AJ27" s="293"/>
      <c r="AK27" s="293"/>
      <c r="AL27" s="293"/>
      <c r="AM27" s="293"/>
      <c r="AN27" s="293"/>
      <c r="AO27" s="293"/>
      <c r="AP27" s="293"/>
      <c r="AQ27" s="293"/>
      <c r="AR27" s="293"/>
      <c r="AS27" s="293"/>
      <c r="AT27" s="293"/>
      <c r="AU27" s="293"/>
      <c r="AV27" s="293"/>
      <c r="AW27" s="293"/>
      <c r="AX27" s="293"/>
      <c r="AY27" s="293"/>
      <c r="AZ27" s="293"/>
      <c r="BA27" s="293"/>
      <c r="BB27" s="293"/>
      <c r="BC27" s="293"/>
      <c r="BD27" s="293"/>
      <c r="BE27" s="100"/>
    </row>
    <row r="28" spans="2:57" ht="15.75">
      <c r="B28" s="58">
        <f>DATE(YEAR(E$24),MONTH(E$24)+D28+0,DAY(E$24))</f>
        <v>45729</v>
      </c>
      <c r="C28" s="188" t="str">
        <f t="shared" ref="C28:C63" si="1">TEXT(B28,"mmm-yyyy")</f>
        <v>Mar-2025</v>
      </c>
      <c r="D28" s="189">
        <v>1</v>
      </c>
      <c r="E28" s="190">
        <f t="shared" ref="E28:E63" si="2">C$1</f>
        <v>5610.0156461740853</v>
      </c>
      <c r="F28" s="191">
        <f>E28-G28</f>
        <v>3052.0941658680608</v>
      </c>
      <c r="G28" s="192">
        <f t="shared" ref="G28:G63" si="3">H27*C$12</f>
        <v>2557.9214803060245</v>
      </c>
      <c r="H28" s="193">
        <f>H27-F28</f>
        <v>146947.90583413193</v>
      </c>
      <c r="J28" s="44"/>
      <c r="K28" s="63"/>
      <c r="L28" s="63"/>
      <c r="M28" s="63"/>
      <c r="N28" s="63"/>
      <c r="O28" s="46"/>
      <c r="P28" s="63"/>
      <c r="Q28" s="45"/>
      <c r="R28" s="45"/>
      <c r="S28" s="45"/>
      <c r="T28" s="45"/>
      <c r="U28" s="47"/>
      <c r="W28" s="100"/>
      <c r="X28" s="100"/>
      <c r="Y28" s="100"/>
      <c r="Z28" s="100"/>
      <c r="AA28" s="100"/>
      <c r="AB28" s="100"/>
      <c r="AC28" s="100"/>
      <c r="AD28" s="100"/>
      <c r="AE28" s="101"/>
      <c r="AF28" s="101"/>
      <c r="AG28" s="101"/>
      <c r="AH28" s="101"/>
      <c r="AI28" s="100"/>
      <c r="AJ28" s="100"/>
      <c r="AK28" s="100"/>
      <c r="AL28" s="100"/>
      <c r="AM28" s="100"/>
      <c r="AN28" s="100"/>
      <c r="AO28" s="100"/>
      <c r="AP28" s="100"/>
      <c r="AQ28" s="100"/>
      <c r="AR28" s="100"/>
      <c r="AS28" s="100"/>
      <c r="AT28" s="100"/>
      <c r="AU28" s="100"/>
      <c r="AV28" s="100"/>
      <c r="AW28" s="100"/>
      <c r="AX28" s="100"/>
      <c r="AY28" s="100"/>
      <c r="AZ28" s="100"/>
      <c r="BA28" s="100"/>
      <c r="BB28" s="100"/>
      <c r="BC28" s="100"/>
      <c r="BD28" s="100"/>
      <c r="BE28" s="100"/>
    </row>
    <row r="29" spans="2:57" ht="15.75">
      <c r="B29" s="58">
        <f t="shared" ref="B29:B63" si="4">DATE(YEAR(E$24),MONTH(E$24)+D29+0,DAY(E$24))</f>
        <v>45760</v>
      </c>
      <c r="C29" s="65" t="str">
        <f t="shared" si="1"/>
        <v>Apr-2025</v>
      </c>
      <c r="D29" s="32">
        <v>2</v>
      </c>
      <c r="E29" s="194">
        <f t="shared" si="2"/>
        <v>5610.0156461740853</v>
      </c>
      <c r="F29" s="195">
        <f t="shared" ref="F29:F63" si="5">E29-G29</f>
        <v>3104.1409473799981</v>
      </c>
      <c r="G29" s="196">
        <f t="shared" si="3"/>
        <v>2505.8746987940872</v>
      </c>
      <c r="H29" s="57">
        <f t="shared" ref="H29:H63" si="6">H28-F29</f>
        <v>143843.76488675195</v>
      </c>
      <c r="J29" s="44"/>
      <c r="K29" s="63"/>
      <c r="L29" s="63"/>
      <c r="M29" s="63"/>
      <c r="N29" s="63"/>
      <c r="O29" s="46"/>
      <c r="P29" s="63"/>
      <c r="Q29" s="45"/>
      <c r="R29" s="64" t="s">
        <v>58</v>
      </c>
      <c r="S29" s="393">
        <f>E24</f>
        <v>45701</v>
      </c>
      <c r="T29" s="393"/>
      <c r="U29" s="47"/>
      <c r="W29" s="102"/>
      <c r="X29" s="294" t="s">
        <v>89</v>
      </c>
      <c r="Y29" s="295"/>
      <c r="Z29" s="295"/>
      <c r="AA29" s="295"/>
      <c r="AB29" s="295"/>
      <c r="AC29" s="295"/>
      <c r="AD29" s="295"/>
      <c r="AE29" s="295"/>
      <c r="AF29" s="295"/>
      <c r="AG29" s="295"/>
      <c r="AH29" s="295"/>
      <c r="AI29" s="295"/>
      <c r="AJ29" s="295"/>
      <c r="AK29" s="295"/>
      <c r="AL29" s="295"/>
      <c r="AM29" s="295"/>
      <c r="AN29" s="295"/>
      <c r="AO29" s="295"/>
      <c r="AP29" s="295"/>
      <c r="AQ29" s="295"/>
      <c r="AR29" s="295"/>
      <c r="AS29" s="295"/>
      <c r="AT29" s="295"/>
      <c r="AU29" s="295"/>
      <c r="AV29" s="295"/>
      <c r="AW29" s="295"/>
      <c r="AX29" s="295"/>
      <c r="AY29" s="295"/>
      <c r="AZ29" s="295"/>
      <c r="BA29" s="295"/>
      <c r="BB29" s="295"/>
      <c r="BC29" s="295"/>
      <c r="BD29" s="296"/>
      <c r="BE29" s="100"/>
    </row>
    <row r="30" spans="2:57" ht="15.75">
      <c r="B30" s="58">
        <f t="shared" si="4"/>
        <v>45790</v>
      </c>
      <c r="C30" s="65" t="str">
        <f t="shared" si="1"/>
        <v>May-2025</v>
      </c>
      <c r="D30" s="32">
        <v>3</v>
      </c>
      <c r="E30" s="194">
        <f t="shared" si="2"/>
        <v>5610.0156461740853</v>
      </c>
      <c r="F30" s="195">
        <f t="shared" si="5"/>
        <v>3157.0752727613367</v>
      </c>
      <c r="G30" s="196">
        <f t="shared" si="3"/>
        <v>2452.9403734127486</v>
      </c>
      <c r="H30" s="57">
        <f t="shared" si="6"/>
        <v>140686.6896139906</v>
      </c>
      <c r="J30" s="44"/>
      <c r="K30" s="63"/>
      <c r="L30" s="63"/>
      <c r="M30" s="63"/>
      <c r="N30" s="63"/>
      <c r="O30" s="46"/>
      <c r="P30" s="63"/>
      <c r="Q30" s="45"/>
      <c r="R30" s="64" t="s">
        <v>59</v>
      </c>
      <c r="S30" s="377" t="str">
        <f>D23</f>
        <v>2004-023</v>
      </c>
      <c r="T30" s="377"/>
      <c r="U30" s="47"/>
      <c r="W30" s="100"/>
      <c r="X30" s="100"/>
      <c r="Y30" s="100"/>
      <c r="Z30" s="100"/>
      <c r="AA30" s="100"/>
      <c r="AB30" s="100"/>
      <c r="AC30" s="100"/>
      <c r="AD30" s="100"/>
      <c r="AE30" s="100"/>
      <c r="AF30" s="100"/>
      <c r="AG30" s="100"/>
      <c r="AH30" s="100"/>
      <c r="AI30" s="100"/>
      <c r="AJ30" s="100"/>
      <c r="AK30" s="100"/>
      <c r="AL30" s="100"/>
      <c r="AM30" s="100"/>
      <c r="AN30" s="100"/>
      <c r="AO30" s="100"/>
      <c r="AP30" s="100"/>
      <c r="AQ30" s="100"/>
      <c r="AR30" s="100"/>
      <c r="AS30" s="100"/>
      <c r="AT30" s="100"/>
      <c r="AU30" s="297" t="s">
        <v>58</v>
      </c>
      <c r="AV30" s="297"/>
      <c r="AW30" s="103">
        <v>0</v>
      </c>
      <c r="AX30" s="104">
        <v>2</v>
      </c>
      <c r="AY30" s="104">
        <v>1</v>
      </c>
      <c r="AZ30" s="104">
        <v>3</v>
      </c>
      <c r="BA30" s="104">
        <v>2</v>
      </c>
      <c r="BB30" s="104">
        <v>0</v>
      </c>
      <c r="BC30" s="104">
        <v>2</v>
      </c>
      <c r="BD30" s="105">
        <v>5</v>
      </c>
      <c r="BE30" s="100"/>
    </row>
    <row r="31" spans="2:57" ht="15.75">
      <c r="B31" s="58">
        <f t="shared" si="4"/>
        <v>45821</v>
      </c>
      <c r="C31" s="65" t="str">
        <f t="shared" si="1"/>
        <v>Jun-2025</v>
      </c>
      <c r="D31" s="66">
        <v>4</v>
      </c>
      <c r="E31" s="194">
        <f t="shared" si="2"/>
        <v>5610.0156461740853</v>
      </c>
      <c r="F31" s="195">
        <f t="shared" si="5"/>
        <v>3210.9122771289317</v>
      </c>
      <c r="G31" s="196">
        <f t="shared" si="3"/>
        <v>2399.1033690451536</v>
      </c>
      <c r="H31" s="57">
        <f t="shared" si="6"/>
        <v>137475.77733686168</v>
      </c>
      <c r="J31" s="44"/>
      <c r="K31" s="63"/>
      <c r="L31" s="63"/>
      <c r="M31" s="63"/>
      <c r="N31" s="63"/>
      <c r="O31" s="46"/>
      <c r="P31" s="63"/>
      <c r="Q31" s="45"/>
      <c r="R31" s="64"/>
      <c r="S31" s="67"/>
      <c r="T31" s="45"/>
      <c r="U31" s="47"/>
      <c r="W31" s="100"/>
      <c r="X31" s="100"/>
      <c r="Y31" s="100"/>
      <c r="Z31" s="100"/>
      <c r="AA31" s="100"/>
      <c r="AB31" s="100"/>
      <c r="AC31" s="100"/>
      <c r="AD31" s="100"/>
      <c r="AE31" s="100"/>
      <c r="AF31" s="100"/>
      <c r="AG31" s="100"/>
      <c r="AH31" s="100"/>
      <c r="AI31" s="100"/>
      <c r="AJ31" s="100"/>
      <c r="AK31" s="100"/>
      <c r="AL31" s="100"/>
      <c r="AM31" s="100"/>
      <c r="AN31" s="100"/>
      <c r="AO31" s="100"/>
      <c r="AP31" s="100"/>
      <c r="AQ31" s="100"/>
      <c r="AR31" s="100"/>
      <c r="AS31" s="100"/>
      <c r="AT31" s="100"/>
      <c r="AU31" s="100"/>
      <c r="AV31" s="100"/>
      <c r="AW31" s="106" t="s">
        <v>90</v>
      </c>
      <c r="AX31" s="106" t="s">
        <v>90</v>
      </c>
      <c r="AY31" s="106" t="s">
        <v>91</v>
      </c>
      <c r="AZ31" s="106" t="s">
        <v>91</v>
      </c>
      <c r="BA31" s="106" t="s">
        <v>92</v>
      </c>
      <c r="BB31" s="106" t="s">
        <v>92</v>
      </c>
      <c r="BC31" s="106" t="s">
        <v>92</v>
      </c>
      <c r="BD31" s="106" t="s">
        <v>92</v>
      </c>
      <c r="BE31" s="100"/>
    </row>
    <row r="32" spans="2:57" ht="15.75">
      <c r="B32" s="58">
        <f t="shared" si="4"/>
        <v>45851</v>
      </c>
      <c r="C32" s="65" t="str">
        <f t="shared" si="1"/>
        <v>Jul-2025</v>
      </c>
      <c r="D32" s="32">
        <v>5</v>
      </c>
      <c r="E32" s="194">
        <f t="shared" si="2"/>
        <v>5610.0156461740853</v>
      </c>
      <c r="F32" s="195">
        <f t="shared" si="5"/>
        <v>3265.6673536959074</v>
      </c>
      <c r="G32" s="196">
        <f t="shared" si="3"/>
        <v>2344.3482924781779</v>
      </c>
      <c r="H32" s="57">
        <f t="shared" si="6"/>
        <v>134210.10998316578</v>
      </c>
      <c r="J32" s="68"/>
      <c r="K32" s="64" t="s">
        <v>60</v>
      </c>
      <c r="L32" s="64"/>
      <c r="M32" s="64"/>
      <c r="N32" s="378" t="str">
        <f>D22</f>
        <v>MADONNA LYN ORTEGA MARQUEZ</v>
      </c>
      <c r="O32" s="378"/>
      <c r="P32" s="378"/>
      <c r="Q32" s="378"/>
      <c r="R32" s="378"/>
      <c r="S32" s="378"/>
      <c r="T32" s="69"/>
      <c r="U32" s="70"/>
      <c r="W32" s="100"/>
      <c r="X32" s="279" t="s">
        <v>93</v>
      </c>
      <c r="Y32" s="279"/>
      <c r="Z32" s="279"/>
      <c r="AA32" s="279"/>
      <c r="AB32" s="279"/>
      <c r="AC32" s="279"/>
      <c r="AD32" s="279"/>
      <c r="AE32" s="279" t="s">
        <v>94</v>
      </c>
      <c r="AF32" s="279"/>
      <c r="AG32" s="279"/>
      <c r="AH32" s="279"/>
      <c r="AI32" s="279"/>
      <c r="AJ32" s="279"/>
      <c r="AK32" s="279"/>
      <c r="AL32" s="279"/>
      <c r="AM32" s="279" t="s">
        <v>95</v>
      </c>
      <c r="AN32" s="279"/>
      <c r="AO32" s="279"/>
      <c r="AP32" s="279"/>
      <c r="AQ32" s="279"/>
      <c r="AR32" s="279"/>
      <c r="AS32" s="279"/>
      <c r="AT32" s="279" t="s">
        <v>96</v>
      </c>
      <c r="AU32" s="279"/>
      <c r="AV32" s="279"/>
      <c r="AW32" s="279"/>
      <c r="AX32" s="279"/>
      <c r="AY32" s="279"/>
      <c r="AZ32" s="279"/>
      <c r="BA32" s="279"/>
      <c r="BB32" s="279"/>
      <c r="BC32" s="279"/>
      <c r="BD32" s="279"/>
      <c r="BE32" s="102"/>
    </row>
    <row r="33" spans="2:57" ht="15.75">
      <c r="B33" s="58">
        <f t="shared" si="4"/>
        <v>45882</v>
      </c>
      <c r="C33" s="65" t="str">
        <f t="shared" si="1"/>
        <v>Aug-2025</v>
      </c>
      <c r="D33" s="32">
        <v>6</v>
      </c>
      <c r="E33" s="194">
        <f t="shared" si="2"/>
        <v>5610.0156461740853</v>
      </c>
      <c r="F33" s="195">
        <f t="shared" si="5"/>
        <v>3321.3561581729268</v>
      </c>
      <c r="G33" s="196">
        <f t="shared" si="3"/>
        <v>2288.6594880011585</v>
      </c>
      <c r="H33" s="57">
        <f t="shared" si="6"/>
        <v>130888.75382499285</v>
      </c>
      <c r="J33" s="68"/>
      <c r="K33" s="64" t="s">
        <v>61</v>
      </c>
      <c r="L33" s="64"/>
      <c r="M33" s="64"/>
      <c r="N33" s="379" t="str">
        <f>D23</f>
        <v>2004-023</v>
      </c>
      <c r="O33" s="379"/>
      <c r="P33" s="379"/>
      <c r="Q33" s="379"/>
      <c r="R33" s="379"/>
      <c r="S33" s="379"/>
      <c r="T33" s="69"/>
      <c r="U33" s="70"/>
      <c r="W33" s="100"/>
      <c r="X33" s="108"/>
      <c r="Y33" s="279" t="s">
        <v>97</v>
      </c>
      <c r="Z33" s="279"/>
      <c r="AA33" s="279"/>
      <c r="AB33" s="279"/>
      <c r="AC33" s="279"/>
      <c r="AD33" s="279"/>
      <c r="AE33" s="108"/>
      <c r="AF33" s="279" t="s">
        <v>98</v>
      </c>
      <c r="AG33" s="279"/>
      <c r="AH33" s="279"/>
      <c r="AI33" s="279"/>
      <c r="AJ33" s="279"/>
      <c r="AK33" s="279"/>
      <c r="AL33" s="279"/>
      <c r="AM33" s="108"/>
      <c r="AN33" s="102" t="s">
        <v>99</v>
      </c>
      <c r="AO33" s="100"/>
      <c r="AP33" s="100"/>
      <c r="AQ33" s="100"/>
      <c r="AR33" s="100"/>
      <c r="AS33" s="100"/>
      <c r="AT33" s="108"/>
      <c r="AU33" s="279" t="s">
        <v>100</v>
      </c>
      <c r="AV33" s="279"/>
      <c r="AW33" s="279"/>
      <c r="AX33" s="279"/>
      <c r="AY33" s="279"/>
      <c r="AZ33" s="279"/>
      <c r="BA33" s="279"/>
      <c r="BB33" s="279"/>
      <c r="BC33" s="279"/>
      <c r="BD33" s="279"/>
      <c r="BE33" s="100"/>
    </row>
    <row r="34" spans="2:57" ht="15.75">
      <c r="B34" s="58">
        <f t="shared" si="4"/>
        <v>45913</v>
      </c>
      <c r="C34" s="65" t="str">
        <f t="shared" si="1"/>
        <v>Sep-2025</v>
      </c>
      <c r="D34" s="32">
        <v>7</v>
      </c>
      <c r="E34" s="194">
        <f t="shared" si="2"/>
        <v>5610.0156461740853</v>
      </c>
      <c r="F34" s="195">
        <f t="shared" si="5"/>
        <v>3377.9946132445084</v>
      </c>
      <c r="G34" s="196">
        <f t="shared" si="3"/>
        <v>2232.0210329295769</v>
      </c>
      <c r="H34" s="57">
        <f t="shared" si="6"/>
        <v>127510.75921174834</v>
      </c>
      <c r="J34" s="68"/>
      <c r="K34" s="64" t="s">
        <v>42</v>
      </c>
      <c r="L34" s="64"/>
      <c r="M34" s="64"/>
      <c r="N34" s="380" t="str">
        <f>F23</f>
        <v>BLK 1 LOT 8 JOSHUA ST., BEYOND HOMES BRGY  SAN FRANCISCO, GENERAL TRIAS, CAVITE</v>
      </c>
      <c r="O34" s="381"/>
      <c r="P34" s="381"/>
      <c r="Q34" s="381"/>
      <c r="R34" s="381"/>
      <c r="S34" s="381"/>
      <c r="T34" s="69"/>
      <c r="U34" s="70"/>
      <c r="W34" s="100"/>
      <c r="X34" s="108"/>
      <c r="Y34" s="279" t="s">
        <v>101</v>
      </c>
      <c r="Z34" s="279"/>
      <c r="AA34" s="279"/>
      <c r="AB34" s="279"/>
      <c r="AC34" s="279"/>
      <c r="AD34" s="279"/>
      <c r="AE34" s="108"/>
      <c r="AF34" s="279" t="s">
        <v>102</v>
      </c>
      <c r="AG34" s="279"/>
      <c r="AH34" s="279"/>
      <c r="AI34" s="279"/>
      <c r="AJ34" s="279"/>
      <c r="AK34" s="279"/>
      <c r="AL34" s="279"/>
      <c r="AM34" s="108"/>
      <c r="AN34" s="102" t="s">
        <v>103</v>
      </c>
      <c r="AO34" s="100"/>
      <c r="AP34" s="100"/>
      <c r="AQ34" s="100"/>
      <c r="AR34" s="100"/>
      <c r="AS34" s="100"/>
      <c r="AT34" s="108"/>
      <c r="AU34" s="279" t="s">
        <v>104</v>
      </c>
      <c r="AV34" s="279"/>
      <c r="AW34" s="279"/>
      <c r="AX34" s="279"/>
      <c r="AY34" s="279"/>
      <c r="AZ34" s="279"/>
      <c r="BA34" s="279"/>
      <c r="BB34" s="279"/>
      <c r="BC34" s="279"/>
      <c r="BD34" s="279"/>
      <c r="BE34" s="100"/>
    </row>
    <row r="35" spans="2:57" ht="16.5" thickBot="1">
      <c r="B35" s="58">
        <f t="shared" si="4"/>
        <v>45943</v>
      </c>
      <c r="C35" s="65" t="str">
        <f t="shared" si="1"/>
        <v>Oct-2025</v>
      </c>
      <c r="D35" s="32">
        <v>8</v>
      </c>
      <c r="E35" s="194">
        <f t="shared" si="2"/>
        <v>5610.0156461740853</v>
      </c>
      <c r="F35" s="195">
        <f t="shared" si="5"/>
        <v>3435.5989131216829</v>
      </c>
      <c r="G35" s="196">
        <f t="shared" si="3"/>
        <v>2174.4167330524024</v>
      </c>
      <c r="H35" s="57">
        <f t="shared" si="6"/>
        <v>124075.16029862667</v>
      </c>
      <c r="J35" s="44"/>
      <c r="K35" s="63"/>
      <c r="L35" s="63"/>
      <c r="M35" s="63"/>
      <c r="N35" s="71"/>
      <c r="O35" s="69"/>
      <c r="P35" s="69"/>
      <c r="Q35" s="45"/>
      <c r="R35" s="45"/>
      <c r="S35" s="45"/>
      <c r="T35" s="45"/>
      <c r="U35" s="47"/>
      <c r="W35" s="100"/>
      <c r="X35" s="108"/>
      <c r="Y35" s="279" t="s">
        <v>105</v>
      </c>
      <c r="Z35" s="279"/>
      <c r="AA35" s="279"/>
      <c r="AB35" s="279"/>
      <c r="AC35" s="279"/>
      <c r="AD35" s="279"/>
      <c r="AE35" s="108"/>
      <c r="AF35" s="279" t="s">
        <v>106</v>
      </c>
      <c r="AG35" s="279"/>
      <c r="AH35" s="279"/>
      <c r="AI35" s="279"/>
      <c r="AJ35" s="279"/>
      <c r="AK35" s="279"/>
      <c r="AL35" s="279"/>
      <c r="AM35" s="108"/>
      <c r="AN35" s="102" t="s">
        <v>107</v>
      </c>
      <c r="AO35" s="100"/>
      <c r="AP35" s="100"/>
      <c r="AQ35" s="100"/>
      <c r="AR35" s="100"/>
      <c r="AS35" s="100"/>
      <c r="AT35" s="108"/>
      <c r="AU35" s="102" t="s">
        <v>108</v>
      </c>
      <c r="AV35" s="102"/>
      <c r="AW35" s="360"/>
      <c r="AX35" s="360"/>
      <c r="AY35" s="360"/>
      <c r="AZ35" s="360"/>
      <c r="BA35" s="360"/>
      <c r="BB35" s="102"/>
      <c r="BC35" s="102"/>
      <c r="BD35" s="102"/>
      <c r="BE35" s="100"/>
    </row>
    <row r="36" spans="2:57" ht="15.75">
      <c r="B36" s="58">
        <f t="shared" si="4"/>
        <v>45974</v>
      </c>
      <c r="C36" s="65" t="str">
        <f t="shared" si="1"/>
        <v>Nov-2025</v>
      </c>
      <c r="D36" s="32">
        <v>9</v>
      </c>
      <c r="E36" s="194">
        <f t="shared" si="2"/>
        <v>5610.0156461740853</v>
      </c>
      <c r="F36" s="195">
        <f t="shared" si="5"/>
        <v>3494.1855281722824</v>
      </c>
      <c r="G36" s="196">
        <f t="shared" si="3"/>
        <v>2115.8301180018029</v>
      </c>
      <c r="H36" s="57">
        <f t="shared" si="6"/>
        <v>120580.97477045438</v>
      </c>
      <c r="J36" s="44"/>
      <c r="K36" s="63"/>
      <c r="L36" s="64" t="s">
        <v>62</v>
      </c>
      <c r="M36" s="63"/>
      <c r="N36" s="63"/>
      <c r="O36" s="46"/>
      <c r="P36" s="63"/>
      <c r="Q36" s="72"/>
      <c r="R36" s="372">
        <f>C4</f>
        <v>178237.5</v>
      </c>
      <c r="S36" s="372"/>
      <c r="T36" s="372"/>
      <c r="U36" s="47"/>
      <c r="W36" s="100"/>
      <c r="X36" s="108"/>
      <c r="Y36" s="279" t="s">
        <v>109</v>
      </c>
      <c r="Z36" s="279"/>
      <c r="AA36" s="279"/>
      <c r="AB36" s="279"/>
      <c r="AC36" s="279"/>
      <c r="AD36" s="279"/>
      <c r="AE36" s="108"/>
      <c r="AF36" s="279" t="s">
        <v>110</v>
      </c>
      <c r="AG36" s="279"/>
      <c r="AH36" s="279"/>
      <c r="AI36" s="279"/>
      <c r="AJ36" s="279"/>
      <c r="AK36" s="279"/>
      <c r="AL36" s="279"/>
      <c r="AM36" s="108"/>
      <c r="AN36" s="102" t="s">
        <v>111</v>
      </c>
      <c r="AO36" s="100"/>
      <c r="AP36" s="100"/>
      <c r="AQ36" s="100"/>
      <c r="AR36" s="100"/>
      <c r="AS36" s="100"/>
      <c r="AT36" s="100"/>
      <c r="AU36" s="100"/>
      <c r="AV36" s="100"/>
      <c r="AW36" s="100"/>
      <c r="AX36" s="100"/>
      <c r="AY36" s="100"/>
      <c r="AZ36" s="100"/>
      <c r="BA36" s="100"/>
      <c r="BB36" s="100"/>
      <c r="BC36" s="100"/>
      <c r="BD36" s="100"/>
      <c r="BE36" s="100"/>
    </row>
    <row r="37" spans="2:57" ht="15.75">
      <c r="B37" s="58">
        <f t="shared" si="4"/>
        <v>46004</v>
      </c>
      <c r="C37" s="65" t="str">
        <f t="shared" si="1"/>
        <v>Dec-2025</v>
      </c>
      <c r="D37" s="32">
        <v>10</v>
      </c>
      <c r="E37" s="194">
        <f t="shared" si="2"/>
        <v>5610.0156461740853</v>
      </c>
      <c r="F37" s="195">
        <f t="shared" si="5"/>
        <v>3553.7712096301916</v>
      </c>
      <c r="G37" s="196">
        <f t="shared" si="3"/>
        <v>2056.2444365438937</v>
      </c>
      <c r="H37" s="57">
        <f t="shared" si="6"/>
        <v>117027.20356082419</v>
      </c>
      <c r="J37" s="44"/>
      <c r="K37" s="63"/>
      <c r="L37" s="64"/>
      <c r="M37" s="63"/>
      <c r="N37" s="63"/>
      <c r="O37" s="46"/>
      <c r="P37" s="63"/>
      <c r="Q37" s="72"/>
      <c r="R37" s="382"/>
      <c r="S37" s="382"/>
      <c r="T37" s="382"/>
      <c r="U37" s="47"/>
      <c r="W37" s="100"/>
      <c r="X37" s="108"/>
      <c r="Y37" s="279" t="s">
        <v>112</v>
      </c>
      <c r="Z37" s="279"/>
      <c r="AA37" s="279"/>
      <c r="AB37" s="279"/>
      <c r="AC37" s="279"/>
      <c r="AD37" s="279"/>
      <c r="AE37" s="108"/>
      <c r="AF37" s="279" t="s">
        <v>113</v>
      </c>
      <c r="AG37" s="279"/>
      <c r="AH37" s="279"/>
      <c r="AI37" s="279"/>
      <c r="AJ37" s="279"/>
      <c r="AK37" s="279"/>
      <c r="AL37" s="279"/>
      <c r="AM37" s="108"/>
      <c r="AN37" s="102" t="s">
        <v>114</v>
      </c>
      <c r="AO37" s="100"/>
      <c r="AP37" s="100"/>
      <c r="AQ37" s="100"/>
      <c r="AR37" s="100"/>
      <c r="AS37" s="100"/>
      <c r="AT37" s="100"/>
      <c r="AU37" s="100"/>
      <c r="AV37" s="100"/>
      <c r="AW37" s="100"/>
      <c r="AX37" s="100"/>
      <c r="AY37" s="100"/>
      <c r="AZ37" s="100"/>
      <c r="BA37" s="100"/>
      <c r="BB37" s="100"/>
      <c r="BC37" s="100"/>
      <c r="BD37" s="100"/>
      <c r="BE37" s="100"/>
    </row>
    <row r="38" spans="2:57" ht="16.5" thickBot="1">
      <c r="B38" s="58">
        <f t="shared" si="4"/>
        <v>46035</v>
      </c>
      <c r="C38" s="65" t="str">
        <f t="shared" si="1"/>
        <v>Jan-2026</v>
      </c>
      <c r="D38" s="32">
        <v>11</v>
      </c>
      <c r="E38" s="194">
        <f t="shared" si="2"/>
        <v>5610.0156461740853</v>
      </c>
      <c r="F38" s="195">
        <f t="shared" si="5"/>
        <v>3614.3729943848994</v>
      </c>
      <c r="G38" s="196">
        <f t="shared" si="3"/>
        <v>1995.6426517891859</v>
      </c>
      <c r="H38" s="57">
        <f t="shared" si="6"/>
        <v>113412.83056643928</v>
      </c>
      <c r="J38" s="73"/>
      <c r="K38" s="74"/>
      <c r="L38" s="75" t="s">
        <v>63</v>
      </c>
      <c r="M38" s="74" t="s">
        <v>64</v>
      </c>
      <c r="N38" s="74"/>
      <c r="O38" s="76"/>
      <c r="P38" s="74"/>
      <c r="Q38" s="71"/>
      <c r="R38" s="372">
        <f>-C14</f>
        <v>0</v>
      </c>
      <c r="S38" s="372"/>
      <c r="T38" s="372"/>
      <c r="U38" s="77"/>
      <c r="W38" s="100"/>
      <c r="X38" s="346"/>
      <c r="Y38" s="346"/>
      <c r="Z38" s="346"/>
      <c r="AA38" s="346"/>
      <c r="AB38" s="346"/>
      <c r="AC38" s="346"/>
      <c r="AD38" s="346"/>
      <c r="AE38" s="110"/>
      <c r="AF38" s="102" t="s">
        <v>115</v>
      </c>
      <c r="AG38" s="102"/>
      <c r="AH38" s="321"/>
      <c r="AI38" s="321"/>
      <c r="AJ38" s="321"/>
      <c r="AK38" s="321"/>
      <c r="AL38" s="347"/>
      <c r="AM38" s="110"/>
      <c r="AN38" s="102" t="s">
        <v>108</v>
      </c>
      <c r="AO38" s="100"/>
      <c r="AP38" s="354"/>
      <c r="AQ38" s="354"/>
      <c r="AR38" s="354"/>
      <c r="AS38" s="354"/>
      <c r="AT38" s="354"/>
      <c r="AU38" s="100"/>
      <c r="AV38" s="100"/>
      <c r="AW38" s="100"/>
      <c r="AX38" s="100"/>
      <c r="AY38" s="100"/>
      <c r="AZ38" s="100"/>
      <c r="BA38" s="100"/>
      <c r="BB38" s="100"/>
      <c r="BC38" s="100"/>
      <c r="BD38" s="100"/>
      <c r="BE38" s="100"/>
    </row>
    <row r="39" spans="2:57" ht="16.5" thickBot="1">
      <c r="B39" s="58">
        <f t="shared" si="4"/>
        <v>46066</v>
      </c>
      <c r="C39" s="165" t="str">
        <f t="shared" si="1"/>
        <v>Feb-2026</v>
      </c>
      <c r="D39" s="89">
        <v>12</v>
      </c>
      <c r="E39" s="197">
        <f t="shared" si="2"/>
        <v>5610.0156461740853</v>
      </c>
      <c r="F39" s="198">
        <f t="shared" si="5"/>
        <v>3676.0082098527337</v>
      </c>
      <c r="G39" s="199">
        <f t="shared" si="3"/>
        <v>1934.0074363213514</v>
      </c>
      <c r="H39" s="200">
        <f t="shared" si="6"/>
        <v>109736.82235658655</v>
      </c>
      <c r="J39" s="73"/>
      <c r="K39" s="74"/>
      <c r="L39" s="75" t="s">
        <v>63</v>
      </c>
      <c r="M39" s="74" t="s">
        <v>65</v>
      </c>
      <c r="N39" s="74"/>
      <c r="O39" s="76"/>
      <c r="P39" s="74"/>
      <c r="Q39" s="71"/>
      <c r="R39" s="372">
        <f>-C8</f>
        <v>-300</v>
      </c>
      <c r="S39" s="372"/>
      <c r="T39" s="372"/>
      <c r="U39" s="77"/>
      <c r="W39" s="100"/>
      <c r="X39" s="111" t="s">
        <v>116</v>
      </c>
      <c r="Y39" s="112"/>
      <c r="Z39" s="112"/>
      <c r="AA39" s="112"/>
      <c r="AB39" s="355">
        <f>'[2]Data Entry'!E4</f>
        <v>150000</v>
      </c>
      <c r="AC39" s="355"/>
      <c r="AD39" s="355"/>
      <c r="AE39" s="355"/>
      <c r="AF39" s="355"/>
      <c r="AG39" s="355"/>
      <c r="AH39" s="356"/>
      <c r="AI39" s="356"/>
      <c r="AJ39" s="356"/>
      <c r="AK39" s="356"/>
      <c r="AL39" s="356"/>
      <c r="AM39" s="357"/>
      <c r="AN39" s="111" t="s">
        <v>117</v>
      </c>
      <c r="AO39" s="112"/>
      <c r="AP39" s="113"/>
      <c r="AQ39" s="113"/>
      <c r="AR39" s="113"/>
      <c r="AS39" s="113"/>
      <c r="AT39" s="356">
        <f>R49</f>
        <v>5610.0156461740853</v>
      </c>
      <c r="AU39" s="355"/>
      <c r="AV39" s="355"/>
      <c r="AW39" s="355"/>
      <c r="AX39" s="355"/>
      <c r="AY39" s="355"/>
      <c r="AZ39" s="355"/>
      <c r="BA39" s="355"/>
      <c r="BB39" s="355"/>
      <c r="BC39" s="355"/>
      <c r="BD39" s="357"/>
      <c r="BE39" s="100"/>
    </row>
    <row r="40" spans="2:57" ht="16.5" thickBot="1">
      <c r="B40" s="58">
        <f t="shared" si="4"/>
        <v>46094</v>
      </c>
      <c r="C40" s="165" t="str">
        <f t="shared" si="1"/>
        <v>Mar-2026</v>
      </c>
      <c r="D40" s="89">
        <v>13</v>
      </c>
      <c r="E40" s="197">
        <f t="shared" si="2"/>
        <v>5610.0156461740853</v>
      </c>
      <c r="F40" s="198">
        <f t="shared" si="5"/>
        <v>3738.6944789311578</v>
      </c>
      <c r="G40" s="199">
        <f t="shared" si="3"/>
        <v>1871.3211672429275</v>
      </c>
      <c r="H40" s="200">
        <f t="shared" si="6"/>
        <v>105998.1278776554</v>
      </c>
      <c r="J40" s="73"/>
      <c r="K40" s="74"/>
      <c r="L40" s="75" t="s">
        <v>63</v>
      </c>
      <c r="M40" s="74" t="s">
        <v>66</v>
      </c>
      <c r="N40" s="74"/>
      <c r="O40" s="76"/>
      <c r="P40" s="74"/>
      <c r="Q40" s="71"/>
      <c r="R40" s="376">
        <f>-C7</f>
        <v>-5000</v>
      </c>
      <c r="S40" s="376"/>
      <c r="T40" s="376"/>
      <c r="U40" s="77"/>
      <c r="W40" s="100"/>
      <c r="X40" s="114"/>
      <c r="Y40" s="115"/>
      <c r="Z40" s="115"/>
      <c r="AA40" s="115"/>
      <c r="AB40" s="246"/>
      <c r="AC40" s="246"/>
      <c r="AD40" s="246"/>
      <c r="AE40" s="246"/>
      <c r="AF40" s="246"/>
      <c r="AG40" s="246"/>
      <c r="AH40" s="246"/>
      <c r="AI40" s="246"/>
      <c r="AJ40" s="246"/>
      <c r="AK40" s="246"/>
      <c r="AL40" s="246"/>
      <c r="AM40" s="247"/>
      <c r="AN40" s="114"/>
      <c r="AO40" s="115"/>
      <c r="AP40" s="115"/>
      <c r="AQ40" s="115"/>
      <c r="AR40" s="115"/>
      <c r="AS40" s="115"/>
      <c r="AT40" s="246"/>
      <c r="AU40" s="246"/>
      <c r="AV40" s="246"/>
      <c r="AW40" s="246"/>
      <c r="AX40" s="246"/>
      <c r="AY40" s="246"/>
      <c r="AZ40" s="246"/>
      <c r="BA40" s="246"/>
      <c r="BB40" s="246"/>
      <c r="BC40" s="246"/>
      <c r="BD40" s="247"/>
      <c r="BE40" s="100"/>
    </row>
    <row r="41" spans="2:57" ht="16.5" thickBot="1">
      <c r="B41" s="58">
        <f t="shared" si="4"/>
        <v>46125</v>
      </c>
      <c r="C41" s="165" t="str">
        <f t="shared" si="1"/>
        <v>Apr-2026</v>
      </c>
      <c r="D41" s="89">
        <v>14</v>
      </c>
      <c r="E41" s="197">
        <f t="shared" si="2"/>
        <v>5610.0156461740853</v>
      </c>
      <c r="F41" s="198">
        <f t="shared" si="5"/>
        <v>3802.4497250375548</v>
      </c>
      <c r="G41" s="199">
        <f t="shared" si="3"/>
        <v>1807.5659211365305</v>
      </c>
      <c r="H41" s="200">
        <f t="shared" si="6"/>
        <v>102195.67815261784</v>
      </c>
      <c r="J41" s="73"/>
      <c r="K41" s="74"/>
      <c r="L41" s="75" t="s">
        <v>63</v>
      </c>
      <c r="M41" s="74" t="s">
        <v>6</v>
      </c>
      <c r="N41" s="74"/>
      <c r="O41" s="76"/>
      <c r="P41" s="74"/>
      <c r="Q41" s="71"/>
      <c r="R41" s="376">
        <f>-C5</f>
        <v>-16500</v>
      </c>
      <c r="S41" s="376"/>
      <c r="T41" s="376"/>
      <c r="U41" s="77"/>
      <c r="W41" s="100"/>
      <c r="X41" s="337" t="s">
        <v>118</v>
      </c>
      <c r="Y41" s="338"/>
      <c r="Z41" s="342"/>
      <c r="AA41" s="343"/>
      <c r="AB41" s="343"/>
      <c r="AC41" s="343"/>
      <c r="AD41" s="343"/>
      <c r="AE41" s="344"/>
      <c r="AF41" s="117" t="s">
        <v>119</v>
      </c>
      <c r="AG41" s="115"/>
      <c r="AH41" s="115"/>
      <c r="AI41" s="115"/>
      <c r="AJ41" s="361"/>
      <c r="AK41" s="361"/>
      <c r="AL41" s="361"/>
      <c r="AM41" s="361"/>
      <c r="AN41" s="361"/>
      <c r="AO41" s="361"/>
      <c r="AP41" s="361"/>
      <c r="AQ41" s="362"/>
      <c r="AR41" s="118" t="s">
        <v>120</v>
      </c>
      <c r="AS41" s="119"/>
      <c r="AT41" s="119"/>
      <c r="AU41" s="119"/>
      <c r="AV41" s="361"/>
      <c r="AW41" s="361"/>
      <c r="AX41" s="361"/>
      <c r="AY41" s="361"/>
      <c r="AZ41" s="361"/>
      <c r="BA41" s="361"/>
      <c r="BB41" s="361"/>
      <c r="BC41" s="361"/>
      <c r="BD41" s="362"/>
      <c r="BE41" s="100"/>
    </row>
    <row r="42" spans="2:57" ht="16.5" thickBot="1">
      <c r="B42" s="58">
        <f t="shared" si="4"/>
        <v>46155</v>
      </c>
      <c r="C42" s="165" t="str">
        <f t="shared" si="1"/>
        <v>May-2026</v>
      </c>
      <c r="D42" s="89">
        <v>15</v>
      </c>
      <c r="E42" s="197">
        <f t="shared" si="2"/>
        <v>5610.0156461740853</v>
      </c>
      <c r="F42" s="198">
        <f t="shared" si="5"/>
        <v>3867.2921772339369</v>
      </c>
      <c r="G42" s="199">
        <f t="shared" si="3"/>
        <v>1742.7234689401485</v>
      </c>
      <c r="H42" s="200">
        <f t="shared" si="6"/>
        <v>98328.385975383906</v>
      </c>
      <c r="J42" s="73"/>
      <c r="K42" s="74"/>
      <c r="L42" s="75" t="s">
        <v>63</v>
      </c>
      <c r="M42" s="74" t="s">
        <v>67</v>
      </c>
      <c r="N42" s="74"/>
      <c r="O42" s="76"/>
      <c r="P42" s="74"/>
      <c r="Q42" s="71"/>
      <c r="R42" s="376">
        <f>-C6</f>
        <v>-5400</v>
      </c>
      <c r="S42" s="376"/>
      <c r="T42" s="376"/>
      <c r="U42" s="77"/>
      <c r="W42" s="100"/>
      <c r="X42" s="335" t="s">
        <v>121</v>
      </c>
      <c r="Y42" s="336"/>
      <c r="Z42" s="339"/>
      <c r="AA42" s="340"/>
      <c r="AB42" s="340"/>
      <c r="AC42" s="340"/>
      <c r="AD42" s="340"/>
      <c r="AE42" s="341"/>
      <c r="AF42" s="121"/>
      <c r="AG42" s="120" t="s">
        <v>122</v>
      </c>
      <c r="AH42" s="122"/>
      <c r="AI42" s="122"/>
      <c r="AJ42" s="122"/>
      <c r="AK42" s="122"/>
      <c r="AL42" s="122"/>
      <c r="AM42" s="122"/>
      <c r="AN42" s="122"/>
      <c r="AO42" s="122"/>
      <c r="AP42" s="122"/>
      <c r="AQ42" s="123"/>
      <c r="AR42" s="124"/>
      <c r="AS42" s="335" t="s">
        <v>123</v>
      </c>
      <c r="AT42" s="345"/>
      <c r="AU42" s="345"/>
      <c r="AV42" s="122"/>
      <c r="AW42" s="122"/>
      <c r="AX42" s="122"/>
      <c r="AY42" s="122"/>
      <c r="AZ42" s="122"/>
      <c r="BA42" s="122"/>
      <c r="BB42" s="122"/>
      <c r="BC42" s="122"/>
      <c r="BD42" s="123"/>
      <c r="BE42" s="100"/>
    </row>
    <row r="43" spans="2:57" ht="16.5" thickBot="1">
      <c r="B43" s="58">
        <f t="shared" si="4"/>
        <v>46186</v>
      </c>
      <c r="C43" s="165" t="str">
        <f t="shared" si="1"/>
        <v>Jun-2026</v>
      </c>
      <c r="D43" s="89">
        <v>16</v>
      </c>
      <c r="E43" s="197">
        <f t="shared" si="2"/>
        <v>5610.0156461740853</v>
      </c>
      <c r="F43" s="198">
        <f t="shared" si="5"/>
        <v>3933.2403754390443</v>
      </c>
      <c r="G43" s="199">
        <f t="shared" si="3"/>
        <v>1676.775270735041</v>
      </c>
      <c r="H43" s="200">
        <f t="shared" si="6"/>
        <v>94395.145599944866</v>
      </c>
      <c r="J43" s="50"/>
      <c r="L43" s="75" t="s">
        <v>63</v>
      </c>
      <c r="M43" s="74" t="s">
        <v>10</v>
      </c>
      <c r="R43" s="376">
        <f>-C9</f>
        <v>-1037.5</v>
      </c>
      <c r="S43" s="376"/>
      <c r="T43" s="376"/>
      <c r="U43" s="78"/>
      <c r="W43" s="100"/>
      <c r="X43" s="337"/>
      <c r="Y43" s="338"/>
      <c r="Z43" s="342"/>
      <c r="AA43" s="343"/>
      <c r="AB43" s="343"/>
      <c r="AC43" s="343"/>
      <c r="AD43" s="343"/>
      <c r="AE43" s="344"/>
      <c r="AF43" s="108"/>
      <c r="AG43" s="116" t="s">
        <v>124</v>
      </c>
      <c r="AH43" s="125"/>
      <c r="AI43" s="125"/>
      <c r="AJ43" s="125"/>
      <c r="AK43" s="125"/>
      <c r="AL43" s="125"/>
      <c r="AM43" s="125"/>
      <c r="AN43" s="125"/>
      <c r="AO43" s="125"/>
      <c r="AP43" s="125"/>
      <c r="AQ43" s="126"/>
      <c r="AR43" s="108"/>
      <c r="AS43" s="337" t="s">
        <v>125</v>
      </c>
      <c r="AT43" s="363"/>
      <c r="AU43" s="363"/>
      <c r="AV43" s="125"/>
      <c r="AW43" s="125"/>
      <c r="AX43" s="125"/>
      <c r="AY43" s="125"/>
      <c r="AZ43" s="125"/>
      <c r="BA43" s="125"/>
      <c r="BB43" s="125"/>
      <c r="BC43" s="125"/>
      <c r="BD43" s="126"/>
      <c r="BE43" s="100"/>
    </row>
    <row r="44" spans="2:57" ht="16.5" thickBot="1">
      <c r="B44" s="58">
        <f t="shared" si="4"/>
        <v>46216</v>
      </c>
      <c r="C44" s="165" t="str">
        <f t="shared" si="1"/>
        <v>Jul-2026</v>
      </c>
      <c r="D44" s="89">
        <v>17</v>
      </c>
      <c r="E44" s="197">
        <f t="shared" si="2"/>
        <v>5610.0156461740853</v>
      </c>
      <c r="F44" s="198">
        <f t="shared" si="5"/>
        <v>4000.3131757293272</v>
      </c>
      <c r="G44" s="199">
        <f t="shared" si="3"/>
        <v>1609.7024704447581</v>
      </c>
      <c r="H44" s="200">
        <f t="shared" si="6"/>
        <v>90394.832424215536</v>
      </c>
      <c r="J44" s="44"/>
      <c r="K44" s="63"/>
      <c r="L44" s="64" t="s">
        <v>68</v>
      </c>
      <c r="M44" s="63"/>
      <c r="N44" s="63"/>
      <c r="O44" s="46"/>
      <c r="P44" s="63"/>
      <c r="Q44" s="45"/>
      <c r="R44" s="372">
        <f>SUM(R36:T43)</f>
        <v>150000</v>
      </c>
      <c r="S44" s="372"/>
      <c r="T44" s="372"/>
      <c r="U44" s="47"/>
      <c r="W44" s="100"/>
      <c r="X44" s="294" t="s">
        <v>126</v>
      </c>
      <c r="Y44" s="295"/>
      <c r="Z44" s="295"/>
      <c r="AA44" s="295"/>
      <c r="AB44" s="295"/>
      <c r="AC44" s="295"/>
      <c r="AD44" s="295"/>
      <c r="AE44" s="295"/>
      <c r="AF44" s="295"/>
      <c r="AG44" s="295"/>
      <c r="AH44" s="295"/>
      <c r="AI44" s="295"/>
      <c r="AJ44" s="295"/>
      <c r="AK44" s="295"/>
      <c r="AL44" s="295"/>
      <c r="AM44" s="295"/>
      <c r="AN44" s="295"/>
      <c r="AO44" s="295"/>
      <c r="AP44" s="295"/>
      <c r="AQ44" s="295"/>
      <c r="AR44" s="295"/>
      <c r="AS44" s="295"/>
      <c r="AT44" s="295"/>
      <c r="AU44" s="295"/>
      <c r="AV44" s="295"/>
      <c r="AW44" s="295"/>
      <c r="AX44" s="295"/>
      <c r="AY44" s="295"/>
      <c r="AZ44" s="295"/>
      <c r="BA44" s="295"/>
      <c r="BB44" s="295"/>
      <c r="BC44" s="295"/>
      <c r="BD44" s="296"/>
      <c r="BE44" s="100"/>
    </row>
    <row r="45" spans="2:57" ht="16.5" thickBot="1">
      <c r="B45" s="58">
        <f t="shared" si="4"/>
        <v>46247</v>
      </c>
      <c r="C45" s="165" t="str">
        <f t="shared" si="1"/>
        <v>Aug-2026</v>
      </c>
      <c r="D45" s="89">
        <v>18</v>
      </c>
      <c r="E45" s="197">
        <f t="shared" si="2"/>
        <v>5610.0156461740853</v>
      </c>
      <c r="F45" s="198">
        <f t="shared" si="5"/>
        <v>4068.5297557303224</v>
      </c>
      <c r="G45" s="199">
        <f t="shared" si="3"/>
        <v>1541.4858904437629</v>
      </c>
      <c r="H45" s="200">
        <f t="shared" si="6"/>
        <v>86326.302668485208</v>
      </c>
      <c r="J45" s="44"/>
      <c r="K45" s="45"/>
      <c r="L45" s="45"/>
      <c r="M45" s="45"/>
      <c r="N45" s="45"/>
      <c r="O45" s="49"/>
      <c r="P45" s="45"/>
      <c r="Q45" s="45"/>
      <c r="R45" s="45"/>
      <c r="S45" s="45"/>
      <c r="T45" s="45"/>
      <c r="U45" s="47"/>
      <c r="W45" s="100"/>
      <c r="X45" s="396" t="s">
        <v>245</v>
      </c>
      <c r="Y45" s="396"/>
      <c r="Z45" s="396"/>
      <c r="AA45" s="396"/>
      <c r="AB45" s="396"/>
      <c r="AC45" s="396"/>
      <c r="AD45" s="396" t="s">
        <v>246</v>
      </c>
      <c r="AE45" s="396"/>
      <c r="AF45" s="396"/>
      <c r="AG45" s="396"/>
      <c r="AH45" s="396"/>
      <c r="AI45" s="396"/>
      <c r="AJ45" s="396"/>
      <c r="AK45" s="396"/>
      <c r="AL45" s="396"/>
      <c r="AM45" s="396"/>
      <c r="AN45" s="396" t="s">
        <v>247</v>
      </c>
      <c r="AO45" s="396"/>
      <c r="AP45" s="396"/>
      <c r="AQ45" s="396"/>
      <c r="AR45" s="396"/>
      <c r="AS45" s="396"/>
      <c r="AT45" s="396"/>
      <c r="AU45" s="396"/>
      <c r="AV45" s="396"/>
      <c r="AW45" s="396"/>
      <c r="AX45" s="396"/>
      <c r="AY45" s="396"/>
      <c r="AZ45" s="397"/>
      <c r="BA45" s="397"/>
      <c r="BB45" s="113"/>
      <c r="BC45" s="113"/>
      <c r="BD45" s="113"/>
      <c r="BE45" s="100"/>
    </row>
    <row r="46" spans="2:57" ht="16.5" thickBot="1">
      <c r="B46" s="58">
        <f t="shared" si="4"/>
        <v>46278</v>
      </c>
      <c r="C46" s="165" t="str">
        <f t="shared" si="1"/>
        <v>Sep-2026</v>
      </c>
      <c r="D46" s="89">
        <v>19</v>
      </c>
      <c r="E46" s="197">
        <f t="shared" si="2"/>
        <v>5610.0156461740853</v>
      </c>
      <c r="F46" s="198">
        <f t="shared" si="5"/>
        <v>4137.9096200999684</v>
      </c>
      <c r="G46" s="199">
        <f t="shared" si="3"/>
        <v>1472.1060260741174</v>
      </c>
      <c r="H46" s="200">
        <f t="shared" si="6"/>
        <v>82188.393048385245</v>
      </c>
      <c r="J46" s="44"/>
      <c r="K46" s="79" t="s">
        <v>69</v>
      </c>
      <c r="L46" s="79"/>
      <c r="M46" s="79"/>
      <c r="N46" s="79"/>
      <c r="O46" s="79"/>
      <c r="P46" s="79"/>
      <c r="Q46" s="79"/>
      <c r="R46" s="79"/>
      <c r="S46" s="79"/>
      <c r="T46" s="79"/>
      <c r="U46" s="47"/>
      <c r="W46" s="100"/>
      <c r="X46" s="102" t="s">
        <v>127</v>
      </c>
      <c r="Y46" s="107"/>
      <c r="Z46" s="107"/>
      <c r="AA46" s="102"/>
      <c r="AB46" s="102"/>
      <c r="AC46" s="102"/>
      <c r="AD46" s="102" t="s">
        <v>128</v>
      </c>
      <c r="AE46" s="102"/>
      <c r="AF46" s="102"/>
      <c r="AG46" s="102"/>
      <c r="AH46" s="102"/>
      <c r="AI46" s="102"/>
      <c r="AJ46" s="102"/>
      <c r="AK46" s="102"/>
      <c r="AL46" s="100"/>
      <c r="AM46" s="102"/>
      <c r="AN46" s="102" t="s">
        <v>129</v>
      </c>
      <c r="AO46" s="102"/>
      <c r="AP46" s="102"/>
      <c r="AQ46" s="102"/>
      <c r="AR46" s="102"/>
      <c r="AS46" s="100"/>
      <c r="AT46" s="102"/>
      <c r="AU46" s="102"/>
      <c r="AV46" s="102"/>
      <c r="AW46" s="102"/>
      <c r="AX46" s="100"/>
      <c r="AY46" s="102"/>
      <c r="AZ46" s="102" t="s">
        <v>130</v>
      </c>
      <c r="BA46" s="102"/>
      <c r="BB46" s="128"/>
      <c r="BC46" s="129"/>
      <c r="BD46" s="129"/>
      <c r="BE46" s="100"/>
    </row>
    <row r="47" spans="2:57" ht="16.5" thickBot="1">
      <c r="B47" s="58">
        <f t="shared" si="4"/>
        <v>46308</v>
      </c>
      <c r="C47" s="165" t="str">
        <f t="shared" si="1"/>
        <v>Oct-2026</v>
      </c>
      <c r="D47" s="89">
        <v>20</v>
      </c>
      <c r="E47" s="197">
        <f t="shared" si="2"/>
        <v>5610.0156461740853</v>
      </c>
      <c r="F47" s="198">
        <f t="shared" si="5"/>
        <v>4208.4726061054253</v>
      </c>
      <c r="G47" s="199">
        <f t="shared" si="3"/>
        <v>1401.5430400686598</v>
      </c>
      <c r="H47" s="200">
        <f t="shared" si="6"/>
        <v>77979.920442279821</v>
      </c>
      <c r="J47" s="44"/>
      <c r="K47" s="45"/>
      <c r="L47" s="45"/>
      <c r="M47" s="45"/>
      <c r="N47" s="45"/>
      <c r="O47" s="49"/>
      <c r="P47" s="45"/>
      <c r="Q47" s="45"/>
      <c r="R47" s="45"/>
      <c r="S47" s="45"/>
      <c r="T47" s="45"/>
      <c r="U47" s="47"/>
      <c r="W47" s="100"/>
      <c r="X47" s="348" t="s">
        <v>131</v>
      </c>
      <c r="Y47" s="349"/>
      <c r="Z47" s="349"/>
      <c r="AA47" s="349"/>
      <c r="AB47" s="349"/>
      <c r="AC47" s="350"/>
      <c r="AD47" s="348" t="s">
        <v>61</v>
      </c>
      <c r="AE47" s="349"/>
      <c r="AF47" s="349"/>
      <c r="AG47" s="349"/>
      <c r="AH47" s="350"/>
      <c r="AI47" s="348" t="s">
        <v>132</v>
      </c>
      <c r="AJ47" s="349"/>
      <c r="AK47" s="349"/>
      <c r="AL47" s="349"/>
      <c r="AM47" s="349"/>
      <c r="AN47" s="350"/>
      <c r="AO47" s="351" t="s">
        <v>133</v>
      </c>
      <c r="AP47" s="352"/>
      <c r="AQ47" s="352"/>
      <c r="AR47" s="352"/>
      <c r="AS47" s="352"/>
      <c r="AT47" s="352"/>
      <c r="AU47" s="352"/>
      <c r="AV47" s="352"/>
      <c r="AW47" s="351" t="s">
        <v>134</v>
      </c>
      <c r="AX47" s="352"/>
      <c r="AY47" s="352"/>
      <c r="AZ47" s="352"/>
      <c r="BA47" s="352"/>
      <c r="BB47" s="352"/>
      <c r="BC47" s="352"/>
      <c r="BD47" s="353"/>
      <c r="BE47" s="100"/>
    </row>
    <row r="48" spans="2:57" ht="16.5" thickBot="1">
      <c r="B48" s="58">
        <f t="shared" si="4"/>
        <v>46339</v>
      </c>
      <c r="C48" s="165" t="str">
        <f t="shared" si="1"/>
        <v>Nov-2026</v>
      </c>
      <c r="D48" s="89">
        <v>21</v>
      </c>
      <c r="E48" s="197">
        <f t="shared" si="2"/>
        <v>5610.0156461740853</v>
      </c>
      <c r="F48" s="198">
        <f t="shared" si="5"/>
        <v>4280.2388892950021</v>
      </c>
      <c r="G48" s="199">
        <f t="shared" si="3"/>
        <v>1329.7767568790828</v>
      </c>
      <c r="H48" s="200">
        <f t="shared" si="6"/>
        <v>73699.681552984825</v>
      </c>
      <c r="J48" s="44"/>
      <c r="K48" s="45"/>
      <c r="L48" s="80" t="s">
        <v>70</v>
      </c>
      <c r="M48" s="74"/>
      <c r="N48" s="74"/>
      <c r="O48" s="74"/>
      <c r="P48" s="74"/>
      <c r="Q48" s="74"/>
      <c r="R48" s="373">
        <f>E25</f>
        <v>36</v>
      </c>
      <c r="S48" s="373"/>
      <c r="T48" s="81" t="s">
        <v>71</v>
      </c>
      <c r="U48" s="47"/>
      <c r="W48" s="100"/>
      <c r="X48" s="329" t="s">
        <v>248</v>
      </c>
      <c r="Y48" s="330"/>
      <c r="Z48" s="330"/>
      <c r="AA48" s="330"/>
      <c r="AB48" s="330"/>
      <c r="AC48" s="331"/>
      <c r="AD48" s="488" t="s">
        <v>249</v>
      </c>
      <c r="AE48" s="333"/>
      <c r="AF48" s="333"/>
      <c r="AG48" s="333"/>
      <c r="AH48" s="334"/>
      <c r="AI48" s="329" t="s">
        <v>232</v>
      </c>
      <c r="AJ48" s="330"/>
      <c r="AK48" s="330"/>
      <c r="AL48" s="330"/>
      <c r="AM48" s="330"/>
      <c r="AN48" s="331"/>
      <c r="AO48" s="103">
        <v>0</v>
      </c>
      <c r="AP48" s="104">
        <v>7</v>
      </c>
      <c r="AQ48" s="104">
        <v>1</v>
      </c>
      <c r="AR48" s="104">
        <v>9</v>
      </c>
      <c r="AS48" s="104">
        <v>2</v>
      </c>
      <c r="AT48" s="104">
        <v>0</v>
      </c>
      <c r="AU48" s="104">
        <v>0</v>
      </c>
      <c r="AV48" s="105">
        <v>4</v>
      </c>
      <c r="AW48" s="103">
        <v>1</v>
      </c>
      <c r="AX48" s="104">
        <v>0</v>
      </c>
      <c r="AY48" s="104">
        <v>0</v>
      </c>
      <c r="AZ48" s="104">
        <v>1</v>
      </c>
      <c r="BA48" s="104">
        <v>2</v>
      </c>
      <c r="BB48" s="104">
        <v>0</v>
      </c>
      <c r="BC48" s="104">
        <v>4</v>
      </c>
      <c r="BD48" s="105">
        <v>6</v>
      </c>
      <c r="BE48" s="100"/>
    </row>
    <row r="49" spans="2:57" ht="16.5" thickBot="1">
      <c r="B49" s="58">
        <f t="shared" si="4"/>
        <v>46369</v>
      </c>
      <c r="C49" s="165" t="str">
        <f t="shared" si="1"/>
        <v>Dec-2026</v>
      </c>
      <c r="D49" s="89">
        <v>22</v>
      </c>
      <c r="E49" s="197">
        <f t="shared" si="2"/>
        <v>5610.0156461740853</v>
      </c>
      <c r="F49" s="198">
        <f t="shared" si="5"/>
        <v>4353.228989266795</v>
      </c>
      <c r="G49" s="199">
        <f t="shared" si="3"/>
        <v>1256.7866569072903</v>
      </c>
      <c r="H49" s="200">
        <f t="shared" si="6"/>
        <v>69346.452563718034</v>
      </c>
      <c r="J49" s="44"/>
      <c r="K49" s="45"/>
      <c r="L49" s="74" t="s">
        <v>72</v>
      </c>
      <c r="M49" s="74"/>
      <c r="N49" s="74"/>
      <c r="O49" s="74"/>
      <c r="P49" s="74"/>
      <c r="Q49" s="74"/>
      <c r="R49" s="374">
        <f>C1</f>
        <v>5610.0156461740853</v>
      </c>
      <c r="S49" s="374"/>
      <c r="T49" s="374"/>
      <c r="U49" s="47"/>
      <c r="W49" s="100"/>
      <c r="X49" s="100"/>
      <c r="Y49" s="100"/>
      <c r="Z49" s="100"/>
      <c r="AA49" s="100"/>
      <c r="AB49" s="100"/>
      <c r="AC49" s="100"/>
      <c r="AD49" s="100"/>
      <c r="AE49" s="100"/>
      <c r="AF49" s="100"/>
      <c r="AG49" s="100"/>
      <c r="AH49" s="100"/>
      <c r="AI49" s="100"/>
      <c r="AJ49" s="100"/>
      <c r="AK49" s="100"/>
      <c r="AL49" s="100"/>
      <c r="AM49" s="100"/>
      <c r="AN49" s="100"/>
      <c r="AO49" s="130" t="s">
        <v>90</v>
      </c>
      <c r="AP49" s="130" t="s">
        <v>90</v>
      </c>
      <c r="AQ49" s="130" t="s">
        <v>91</v>
      </c>
      <c r="AR49" s="130" t="s">
        <v>91</v>
      </c>
      <c r="AS49" s="130" t="s">
        <v>92</v>
      </c>
      <c r="AT49" s="130" t="s">
        <v>92</v>
      </c>
      <c r="AU49" s="130" t="s">
        <v>92</v>
      </c>
      <c r="AV49" s="130" t="s">
        <v>92</v>
      </c>
      <c r="AW49" s="130" t="s">
        <v>90</v>
      </c>
      <c r="AX49" s="130" t="s">
        <v>90</v>
      </c>
      <c r="AY49" s="130" t="s">
        <v>91</v>
      </c>
      <c r="AZ49" s="130" t="s">
        <v>91</v>
      </c>
      <c r="BA49" s="130" t="s">
        <v>92</v>
      </c>
      <c r="BB49" s="130" t="s">
        <v>92</v>
      </c>
      <c r="BC49" s="130" t="s">
        <v>92</v>
      </c>
      <c r="BD49" s="130" t="s">
        <v>92</v>
      </c>
      <c r="BE49" s="100"/>
    </row>
    <row r="50" spans="2:57" ht="16.5" thickBot="1">
      <c r="B50" s="58">
        <f t="shared" si="4"/>
        <v>46400</v>
      </c>
      <c r="C50" s="165" t="str">
        <f t="shared" si="1"/>
        <v>Jan-2027</v>
      </c>
      <c r="D50" s="89">
        <v>23</v>
      </c>
      <c r="E50" s="197">
        <f t="shared" si="2"/>
        <v>5610.0156461740853</v>
      </c>
      <c r="F50" s="198">
        <f t="shared" si="5"/>
        <v>4427.4637755357044</v>
      </c>
      <c r="G50" s="199">
        <f t="shared" si="3"/>
        <v>1182.5518706383809</v>
      </c>
      <c r="H50" s="200">
        <f t="shared" si="6"/>
        <v>64918.988788182331</v>
      </c>
      <c r="J50" s="44"/>
      <c r="K50" s="45"/>
      <c r="L50" s="74" t="s">
        <v>73</v>
      </c>
      <c r="M50" s="74"/>
      <c r="N50" s="74"/>
      <c r="O50" s="74"/>
      <c r="P50" s="74"/>
      <c r="Q50" s="74"/>
      <c r="R50" s="375">
        <f>B28</f>
        <v>45729</v>
      </c>
      <c r="S50" s="375"/>
      <c r="T50" s="375"/>
      <c r="U50" s="47"/>
      <c r="W50" s="100"/>
      <c r="X50" s="100"/>
      <c r="Y50" s="100"/>
      <c r="Z50" s="100"/>
      <c r="AA50" s="100"/>
      <c r="AB50" s="100"/>
      <c r="AC50" s="100"/>
      <c r="AD50" s="100"/>
      <c r="AE50" s="100"/>
      <c r="AF50" s="100"/>
      <c r="AG50" s="100"/>
      <c r="AH50" s="100"/>
      <c r="AI50" s="100"/>
      <c r="AJ50" s="100"/>
      <c r="AK50" s="100"/>
      <c r="AL50" s="100"/>
      <c r="AM50" s="100"/>
      <c r="AN50" s="100"/>
      <c r="AO50" s="100"/>
      <c r="AP50" s="100"/>
      <c r="AQ50" s="100"/>
      <c r="AR50" s="100"/>
      <c r="AS50" s="100"/>
      <c r="AT50" s="100"/>
      <c r="AU50" s="100"/>
      <c r="AV50" s="100"/>
      <c r="AW50" s="100"/>
      <c r="AX50" s="100"/>
      <c r="AY50" s="100"/>
      <c r="AZ50" s="100"/>
      <c r="BA50" s="100"/>
      <c r="BB50" s="100"/>
      <c r="BC50" s="100"/>
      <c r="BD50" s="100"/>
      <c r="BE50" s="100"/>
    </row>
    <row r="51" spans="2:57" ht="16.5" thickBot="1">
      <c r="B51" s="58">
        <f t="shared" si="4"/>
        <v>46431</v>
      </c>
      <c r="C51" s="165" t="str">
        <f t="shared" si="1"/>
        <v>Feb-2027</v>
      </c>
      <c r="D51" s="89">
        <v>24</v>
      </c>
      <c r="E51" s="201">
        <f t="shared" si="2"/>
        <v>5610.0156461740853</v>
      </c>
      <c r="F51" s="202">
        <f t="shared" si="5"/>
        <v>4502.9644735005013</v>
      </c>
      <c r="G51" s="203">
        <f t="shared" si="3"/>
        <v>1107.0511726735838</v>
      </c>
      <c r="H51" s="169">
        <f t="shared" si="6"/>
        <v>60416.024314681832</v>
      </c>
      <c r="J51" s="44"/>
      <c r="K51" s="45"/>
      <c r="L51" s="74" t="s">
        <v>74</v>
      </c>
      <c r="M51" s="74"/>
      <c r="N51" s="74"/>
      <c r="O51" s="74"/>
      <c r="P51" s="74"/>
      <c r="Q51" s="74"/>
      <c r="R51" s="437">
        <f>B63</f>
        <v>46796</v>
      </c>
      <c r="S51" s="437"/>
      <c r="T51" s="437"/>
      <c r="U51" s="47"/>
      <c r="W51" s="100"/>
      <c r="X51" s="102" t="s">
        <v>135</v>
      </c>
      <c r="Y51" s="102"/>
      <c r="Z51" s="102"/>
      <c r="AA51" s="102"/>
      <c r="AB51" s="102"/>
      <c r="AC51" s="102"/>
      <c r="AD51" s="102"/>
      <c r="AE51" s="102" t="s">
        <v>136</v>
      </c>
      <c r="AF51" s="102"/>
      <c r="AG51" s="102"/>
      <c r="AH51" s="102"/>
      <c r="AI51" s="100"/>
      <c r="AJ51" s="131" t="s">
        <v>137</v>
      </c>
      <c r="AK51" s="364">
        <v>43</v>
      </c>
      <c r="AL51" s="362"/>
      <c r="AM51" s="365" t="s">
        <v>138</v>
      </c>
      <c r="AN51" s="365"/>
      <c r="AO51" s="365"/>
      <c r="AP51" s="365"/>
      <c r="AQ51" s="132"/>
      <c r="AR51" s="279" t="s">
        <v>139</v>
      </c>
      <c r="AS51" s="279"/>
      <c r="AT51" s="132"/>
      <c r="AU51" s="279" t="s">
        <v>140</v>
      </c>
      <c r="AV51" s="279"/>
      <c r="AW51" s="279"/>
      <c r="AX51" s="279" t="s">
        <v>141</v>
      </c>
      <c r="AY51" s="279"/>
      <c r="AZ51" s="279"/>
      <c r="BA51" s="279"/>
      <c r="BB51" s="279"/>
      <c r="BC51" s="279"/>
      <c r="BD51" s="279"/>
      <c r="BE51" s="100"/>
    </row>
    <row r="52" spans="2:57" ht="16.5" thickBot="1">
      <c r="B52" s="58">
        <f t="shared" si="4"/>
        <v>46459</v>
      </c>
      <c r="C52" s="165" t="str">
        <f t="shared" si="1"/>
        <v>Mar-2027</v>
      </c>
      <c r="D52" s="89">
        <v>25</v>
      </c>
      <c r="E52" s="201">
        <f t="shared" si="2"/>
        <v>5610.0156461740853</v>
      </c>
      <c r="F52" s="202">
        <f t="shared" si="5"/>
        <v>4579.7526705126475</v>
      </c>
      <c r="G52" s="203">
        <f t="shared" si="3"/>
        <v>1030.2629756614381</v>
      </c>
      <c r="H52" s="169">
        <f t="shared" si="6"/>
        <v>55836.271644169188</v>
      </c>
      <c r="J52" s="44"/>
      <c r="K52" s="45"/>
      <c r="L52" s="74" t="s">
        <v>75</v>
      </c>
      <c r="M52" s="74"/>
      <c r="N52" s="74"/>
      <c r="O52" s="74"/>
      <c r="P52" s="74"/>
      <c r="Q52" s="74"/>
      <c r="R52" s="369">
        <f>C16</f>
        <v>8.855359027416676E-2</v>
      </c>
      <c r="S52" s="369"/>
      <c r="T52" s="369"/>
      <c r="U52" s="47"/>
      <c r="W52" s="100"/>
      <c r="X52" s="266" t="s">
        <v>250</v>
      </c>
      <c r="Y52" s="267"/>
      <c r="Z52" s="267"/>
      <c r="AA52" s="267"/>
      <c r="AB52" s="267"/>
      <c r="AC52" s="267"/>
      <c r="AD52" s="268"/>
      <c r="AE52" s="364" t="s">
        <v>251</v>
      </c>
      <c r="AF52" s="361"/>
      <c r="AG52" s="361"/>
      <c r="AH52" s="361"/>
      <c r="AI52" s="361"/>
      <c r="AJ52" s="361"/>
      <c r="AK52" s="361"/>
      <c r="AL52" s="362"/>
      <c r="AM52" s="365"/>
      <c r="AN52" s="365"/>
      <c r="AO52" s="365"/>
      <c r="AP52" s="365"/>
      <c r="AQ52" s="132"/>
      <c r="AR52" s="279" t="s">
        <v>142</v>
      </c>
      <c r="AS52" s="279"/>
      <c r="AT52" s="132"/>
      <c r="AU52" s="279" t="s">
        <v>143</v>
      </c>
      <c r="AV52" s="279"/>
      <c r="AW52" s="279"/>
      <c r="AX52" s="290"/>
      <c r="AY52" s="291"/>
      <c r="AZ52" s="291"/>
      <c r="BA52" s="291"/>
      <c r="BB52" s="291"/>
      <c r="BC52" s="291"/>
      <c r="BD52" s="292"/>
      <c r="BE52" s="100"/>
    </row>
    <row r="53" spans="2:57" ht="16.5" thickBot="1">
      <c r="B53" s="58">
        <f t="shared" si="4"/>
        <v>46490</v>
      </c>
      <c r="C53" s="165" t="str">
        <f t="shared" si="1"/>
        <v>Apr-2027</v>
      </c>
      <c r="D53" s="89">
        <v>26</v>
      </c>
      <c r="E53" s="201">
        <f t="shared" si="2"/>
        <v>5610.0156461740853</v>
      </c>
      <c r="F53" s="202">
        <f t="shared" si="5"/>
        <v>4657.8503220486018</v>
      </c>
      <c r="G53" s="203">
        <f t="shared" si="3"/>
        <v>952.16532412548372</v>
      </c>
      <c r="H53" s="169">
        <f t="shared" si="6"/>
        <v>51178.421322120586</v>
      </c>
      <c r="J53" s="44"/>
      <c r="K53" s="45"/>
      <c r="L53" s="74" t="s">
        <v>76</v>
      </c>
      <c r="M53" s="74"/>
      <c r="N53" s="74"/>
      <c r="O53" s="74"/>
      <c r="P53" s="74"/>
      <c r="Q53" s="74"/>
      <c r="R53" s="369">
        <f>'[2]Data Entry'!E12/12</f>
        <v>6.9166666666666673E-3</v>
      </c>
      <c r="S53" s="369"/>
      <c r="T53" s="369"/>
      <c r="U53" s="47"/>
      <c r="W53" s="100"/>
      <c r="X53" s="272" t="s">
        <v>144</v>
      </c>
      <c r="Y53" s="272"/>
      <c r="Z53" s="272"/>
      <c r="AA53" s="272"/>
      <c r="AB53" s="272"/>
      <c r="AC53" s="272"/>
      <c r="AD53" s="272"/>
      <c r="AE53" s="272" t="s">
        <v>145</v>
      </c>
      <c r="AF53" s="272"/>
      <c r="AG53" s="272"/>
      <c r="AH53" s="272"/>
      <c r="AI53" s="272"/>
      <c r="AJ53" s="272"/>
      <c r="AK53" s="272"/>
      <c r="AL53" s="272"/>
      <c r="AM53" s="272"/>
      <c r="AN53" s="272"/>
      <c r="AO53" s="272"/>
      <c r="AP53" s="272"/>
      <c r="AQ53" s="272"/>
      <c r="AR53" s="272"/>
      <c r="AS53" s="272"/>
      <c r="AT53" s="272"/>
      <c r="AU53" s="100"/>
      <c r="AV53" s="113"/>
      <c r="AW53" s="113"/>
      <c r="AX53" s="113" t="s">
        <v>146</v>
      </c>
      <c r="AY53" s="113"/>
      <c r="AZ53" s="113"/>
      <c r="BA53" s="113"/>
      <c r="BB53" s="113"/>
      <c r="BC53" s="113"/>
      <c r="BD53" s="113"/>
      <c r="BE53" s="100"/>
    </row>
    <row r="54" spans="2:57" ht="16.5" thickBot="1">
      <c r="B54" s="58">
        <f t="shared" si="4"/>
        <v>46520</v>
      </c>
      <c r="C54" s="165" t="str">
        <f t="shared" si="1"/>
        <v>May-2027</v>
      </c>
      <c r="D54" s="89">
        <v>27</v>
      </c>
      <c r="E54" s="201">
        <f t="shared" si="2"/>
        <v>5610.0156461740853</v>
      </c>
      <c r="F54" s="202">
        <f t="shared" si="5"/>
        <v>4737.2797579873913</v>
      </c>
      <c r="G54" s="203">
        <f t="shared" si="3"/>
        <v>872.73588818669407</v>
      </c>
      <c r="H54" s="169">
        <f t="shared" si="6"/>
        <v>46441.141564133199</v>
      </c>
      <c r="J54" s="44"/>
      <c r="K54" s="82"/>
      <c r="L54" s="82"/>
      <c r="M54" s="82"/>
      <c r="N54" s="82"/>
      <c r="O54" s="83"/>
      <c r="P54" s="82"/>
      <c r="Q54" s="82"/>
      <c r="R54" s="82"/>
      <c r="S54" s="82"/>
      <c r="T54" s="82"/>
      <c r="U54" s="47"/>
      <c r="W54" s="100"/>
      <c r="X54" s="290" t="s">
        <v>252</v>
      </c>
      <c r="Y54" s="291"/>
      <c r="Z54" s="291"/>
      <c r="AA54" s="291"/>
      <c r="AB54" s="291"/>
      <c r="AC54" s="291"/>
      <c r="AD54" s="292"/>
      <c r="AE54" s="273" t="s">
        <v>233</v>
      </c>
      <c r="AF54" s="274"/>
      <c r="AG54" s="274"/>
      <c r="AH54" s="274"/>
      <c r="AI54" s="274"/>
      <c r="AJ54" s="274"/>
      <c r="AK54" s="274"/>
      <c r="AL54" s="274"/>
      <c r="AM54" s="274"/>
      <c r="AN54" s="274"/>
      <c r="AO54" s="274"/>
      <c r="AP54" s="274"/>
      <c r="AQ54" s="274"/>
      <c r="AR54" s="274"/>
      <c r="AS54" s="274"/>
      <c r="AT54" s="274"/>
      <c r="AU54" s="274"/>
      <c r="AV54" s="274"/>
      <c r="AW54" s="275"/>
      <c r="AX54" s="273">
        <v>2912596</v>
      </c>
      <c r="AY54" s="274"/>
      <c r="AZ54" s="274"/>
      <c r="BA54" s="274"/>
      <c r="BB54" s="274"/>
      <c r="BC54" s="274"/>
      <c r="BD54" s="275"/>
      <c r="BE54" s="100"/>
    </row>
    <row r="55" spans="2:57" ht="16.5" thickBot="1">
      <c r="B55" s="58">
        <f t="shared" si="4"/>
        <v>46551</v>
      </c>
      <c r="C55" s="165" t="str">
        <f t="shared" si="1"/>
        <v>Jun-2027</v>
      </c>
      <c r="D55" s="89">
        <v>28</v>
      </c>
      <c r="E55" s="201">
        <f t="shared" si="2"/>
        <v>5610.0156461740853</v>
      </c>
      <c r="F55" s="202">
        <f t="shared" si="5"/>
        <v>4818.0636889952239</v>
      </c>
      <c r="G55" s="203">
        <f t="shared" si="3"/>
        <v>791.95195717886156</v>
      </c>
      <c r="H55" s="169">
        <f t="shared" si="6"/>
        <v>41623.077875137977</v>
      </c>
      <c r="J55" s="44"/>
      <c r="K55" s="45"/>
      <c r="L55" s="45"/>
      <c r="M55" s="45"/>
      <c r="N55" s="45"/>
      <c r="O55" s="49"/>
      <c r="P55" s="45"/>
      <c r="Q55" s="45"/>
      <c r="R55" s="45"/>
      <c r="S55" s="45"/>
      <c r="T55" s="45"/>
      <c r="U55" s="47"/>
      <c r="W55" s="100"/>
      <c r="X55" s="102" t="s">
        <v>147</v>
      </c>
      <c r="Y55" s="102"/>
      <c r="Z55" s="102"/>
      <c r="AA55" s="102"/>
      <c r="AB55" s="102"/>
      <c r="AC55" s="102"/>
      <c r="AD55" s="102"/>
      <c r="AE55" s="100"/>
      <c r="AF55" s="102"/>
      <c r="AG55" s="113" t="s">
        <v>148</v>
      </c>
      <c r="AH55" s="100"/>
      <c r="AI55" s="100"/>
      <c r="AJ55" s="100"/>
      <c r="AK55" s="113"/>
      <c r="AL55" s="113"/>
      <c r="AM55" s="113"/>
      <c r="AN55" s="113"/>
      <c r="AO55" s="113"/>
      <c r="AP55" s="113"/>
      <c r="AQ55" s="113"/>
      <c r="AR55" s="113"/>
      <c r="AS55" s="113"/>
      <c r="AT55" s="279" t="s">
        <v>149</v>
      </c>
      <c r="AU55" s="279"/>
      <c r="AV55" s="279"/>
      <c r="AW55" s="279"/>
      <c r="AX55" s="279"/>
      <c r="AY55" s="279"/>
      <c r="AZ55" s="279"/>
      <c r="BA55" s="279"/>
      <c r="BB55" s="279"/>
      <c r="BC55" s="279"/>
      <c r="BD55" s="279"/>
      <c r="BE55" s="100"/>
    </row>
    <row r="56" spans="2:57" ht="16.5" thickBot="1">
      <c r="B56" s="58">
        <f t="shared" si="4"/>
        <v>46581</v>
      </c>
      <c r="C56" s="165" t="str">
        <f t="shared" si="1"/>
        <v>Jul-2027</v>
      </c>
      <c r="D56" s="89">
        <v>29</v>
      </c>
      <c r="E56" s="201">
        <f t="shared" si="2"/>
        <v>5610.0156461740853</v>
      </c>
      <c r="F56" s="202">
        <f t="shared" si="5"/>
        <v>4900.225213018979</v>
      </c>
      <c r="G56" s="203">
        <f t="shared" si="3"/>
        <v>709.7904331551058</v>
      </c>
      <c r="H56" s="169">
        <f t="shared" si="6"/>
        <v>36722.852662118996</v>
      </c>
      <c r="J56" s="44"/>
      <c r="K56" s="45" t="s">
        <v>77</v>
      </c>
      <c r="L56" s="45"/>
      <c r="M56" s="45"/>
      <c r="O56" s="45"/>
      <c r="P56" s="45"/>
      <c r="R56" s="45" t="s">
        <v>78</v>
      </c>
      <c r="S56" s="45"/>
      <c r="T56" s="45"/>
      <c r="U56" s="47"/>
      <c r="W56" s="100"/>
      <c r="X56" s="273" t="s">
        <v>249</v>
      </c>
      <c r="Y56" s="274"/>
      <c r="Z56" s="274"/>
      <c r="AA56" s="274"/>
      <c r="AB56" s="274"/>
      <c r="AC56" s="274"/>
      <c r="AD56" s="274"/>
      <c r="AE56" s="274"/>
      <c r="AF56" s="275"/>
      <c r="AG56" s="284" t="s">
        <v>253</v>
      </c>
      <c r="AH56" s="291"/>
      <c r="AI56" s="291"/>
      <c r="AJ56" s="291"/>
      <c r="AK56" s="291"/>
      <c r="AL56" s="291"/>
      <c r="AM56" s="291"/>
      <c r="AN56" s="291"/>
      <c r="AO56" s="291"/>
      <c r="AP56" s="291"/>
      <c r="AQ56" s="291"/>
      <c r="AR56" s="291"/>
      <c r="AS56" s="292"/>
      <c r="AT56" s="173">
        <v>3</v>
      </c>
      <c r="AU56" s="174">
        <v>0</v>
      </c>
      <c r="AV56" s="174">
        <v>0</v>
      </c>
      <c r="AW56" s="133" t="s">
        <v>150</v>
      </c>
      <c r="AX56" s="174" t="s">
        <v>234</v>
      </c>
      <c r="AY56" s="174" t="s">
        <v>254</v>
      </c>
      <c r="AZ56" s="174" t="s">
        <v>254</v>
      </c>
      <c r="BA56" s="133" t="s">
        <v>150</v>
      </c>
      <c r="BB56" s="174" t="s">
        <v>235</v>
      </c>
      <c r="BC56" s="174" t="s">
        <v>234</v>
      </c>
      <c r="BD56" s="174" t="s">
        <v>234</v>
      </c>
      <c r="BE56" s="100"/>
    </row>
    <row r="57" spans="2:57" ht="16.5" thickBot="1">
      <c r="B57" s="58">
        <f t="shared" si="4"/>
        <v>46612</v>
      </c>
      <c r="C57" s="165" t="str">
        <f t="shared" si="1"/>
        <v>Aug-2027</v>
      </c>
      <c r="D57" s="89">
        <v>30</v>
      </c>
      <c r="E57" s="201">
        <f t="shared" si="2"/>
        <v>5610.0156461740853</v>
      </c>
      <c r="F57" s="202">
        <f t="shared" si="5"/>
        <v>4983.7878218904352</v>
      </c>
      <c r="G57" s="203">
        <f t="shared" si="3"/>
        <v>626.22782428364974</v>
      </c>
      <c r="H57" s="169">
        <f t="shared" si="6"/>
        <v>31739.064840228559</v>
      </c>
      <c r="J57" s="44"/>
      <c r="K57" s="45"/>
      <c r="L57" s="45"/>
      <c r="M57" s="45"/>
      <c r="N57" s="45"/>
      <c r="O57" s="45"/>
      <c r="P57" s="45"/>
      <c r="Q57" s="45"/>
      <c r="R57" s="45"/>
      <c r="S57" s="45"/>
      <c r="T57" s="45"/>
      <c r="U57" s="47"/>
      <c r="W57" s="100"/>
      <c r="X57" s="134" t="s">
        <v>151</v>
      </c>
      <c r="Y57" s="113"/>
      <c r="Z57" s="113"/>
      <c r="AA57" s="113"/>
      <c r="AB57" s="428" t="s">
        <v>255</v>
      </c>
      <c r="AC57" s="288"/>
      <c r="AD57" s="288"/>
      <c r="AE57" s="288"/>
      <c r="AF57" s="288"/>
      <c r="AG57" s="288"/>
      <c r="AH57" s="288"/>
      <c r="AI57" s="288"/>
      <c r="AJ57" s="288"/>
      <c r="AK57" s="288"/>
      <c r="AL57" s="288"/>
      <c r="AM57" s="288"/>
      <c r="AN57" s="288"/>
      <c r="AO57" s="288"/>
      <c r="AP57" s="288"/>
      <c r="AQ57" s="288"/>
      <c r="AR57" s="288"/>
      <c r="AS57" s="288"/>
      <c r="AT57" s="288"/>
      <c r="AU57" s="288"/>
      <c r="AV57" s="288"/>
      <c r="AW57" s="288"/>
      <c r="AX57" s="288"/>
      <c r="AY57" s="288"/>
      <c r="AZ57" s="288"/>
      <c r="BA57" s="288"/>
      <c r="BB57" s="288"/>
      <c r="BC57" s="288"/>
      <c r="BD57" s="289"/>
      <c r="BE57" s="100"/>
    </row>
    <row r="58" spans="2:57" ht="15.6" customHeight="1" thickBot="1">
      <c r="B58" s="58">
        <f t="shared" si="4"/>
        <v>46643</v>
      </c>
      <c r="C58" s="165" t="str">
        <f t="shared" si="1"/>
        <v>Sep-2027</v>
      </c>
      <c r="D58" s="89">
        <v>31</v>
      </c>
      <c r="E58" s="201">
        <f t="shared" si="2"/>
        <v>5610.0156461740853</v>
      </c>
      <c r="F58" s="202">
        <f t="shared" si="5"/>
        <v>5068.7754080431096</v>
      </c>
      <c r="G58" s="203">
        <f t="shared" si="3"/>
        <v>541.24023813097551</v>
      </c>
      <c r="H58" s="169">
        <f t="shared" si="6"/>
        <v>26670.289432185447</v>
      </c>
      <c r="J58" s="50"/>
      <c r="U58" s="78"/>
      <c r="W58" s="100"/>
      <c r="X58" s="280" t="s">
        <v>152</v>
      </c>
      <c r="Y58" s="281"/>
      <c r="Z58" s="281"/>
      <c r="AA58" s="281"/>
      <c r="AB58" s="281"/>
      <c r="AC58" s="281"/>
      <c r="AD58" s="281"/>
      <c r="AE58" s="281"/>
      <c r="AF58" s="281"/>
      <c r="AG58" s="281"/>
      <c r="AH58" s="281"/>
      <c r="AI58" s="281"/>
      <c r="AJ58" s="281"/>
      <c r="AK58" s="281"/>
      <c r="AL58" s="281"/>
      <c r="AM58" s="281"/>
      <c r="AN58" s="281"/>
      <c r="AO58" s="281"/>
      <c r="AP58" s="281"/>
      <c r="AQ58" s="281"/>
      <c r="AR58" s="281"/>
      <c r="AS58" s="281"/>
      <c r="AT58" s="281"/>
      <c r="AU58" s="281"/>
      <c r="AV58" s="281"/>
      <c r="AW58" s="281"/>
      <c r="AX58" s="281"/>
      <c r="AY58" s="281"/>
      <c r="AZ58" s="281"/>
      <c r="BA58" s="281"/>
      <c r="BB58" s="281"/>
      <c r="BC58" s="281"/>
      <c r="BD58" s="282"/>
      <c r="BE58" s="100"/>
    </row>
    <row r="59" spans="2:57" ht="16.5" thickBot="1">
      <c r="B59" s="58">
        <f t="shared" si="4"/>
        <v>46673</v>
      </c>
      <c r="C59" s="165" t="str">
        <f t="shared" si="1"/>
        <v>Oct-2027</v>
      </c>
      <c r="D59" s="89">
        <v>32</v>
      </c>
      <c r="E59" s="201">
        <f t="shared" si="2"/>
        <v>5610.0156461740853</v>
      </c>
      <c r="F59" s="202">
        <f t="shared" si="5"/>
        <v>5155.2122713436456</v>
      </c>
      <c r="G59" s="203">
        <f t="shared" si="3"/>
        <v>454.80337483043951</v>
      </c>
      <c r="H59" s="169">
        <f t="shared" si="6"/>
        <v>21515.0771608418</v>
      </c>
      <c r="J59" s="50"/>
      <c r="U59" s="78"/>
      <c r="W59" s="100"/>
      <c r="X59" s="100"/>
      <c r="Y59" s="100"/>
      <c r="Z59" s="100"/>
      <c r="AA59" s="100"/>
      <c r="AB59" s="100"/>
      <c r="AC59" s="100"/>
      <c r="AD59" s="100"/>
      <c r="AE59" s="100"/>
      <c r="AF59" s="100"/>
      <c r="AG59" s="100"/>
      <c r="AH59" s="100"/>
      <c r="AI59" s="100"/>
      <c r="AJ59" s="100"/>
      <c r="AK59" s="100"/>
      <c r="AL59" s="100"/>
      <c r="AM59" s="100"/>
      <c r="AN59" s="100"/>
      <c r="AO59" s="100"/>
      <c r="AP59" s="100"/>
      <c r="AQ59" s="100"/>
      <c r="AR59" s="100"/>
      <c r="AS59" s="100"/>
      <c r="AT59" s="100"/>
      <c r="AU59" s="100"/>
      <c r="AV59" s="100"/>
      <c r="AW59" s="100"/>
      <c r="AX59" s="100"/>
      <c r="AY59" s="100"/>
      <c r="AZ59" s="100"/>
      <c r="BA59" s="100"/>
      <c r="BB59" s="100"/>
      <c r="BC59" s="100"/>
      <c r="BD59" s="100"/>
      <c r="BE59" s="100"/>
    </row>
    <row r="60" spans="2:57" ht="16.5" thickBot="1">
      <c r="B60" s="58">
        <f t="shared" si="4"/>
        <v>46704</v>
      </c>
      <c r="C60" s="165" t="str">
        <f t="shared" si="1"/>
        <v>Nov-2027</v>
      </c>
      <c r="D60" s="89">
        <v>33</v>
      </c>
      <c r="E60" s="201">
        <f t="shared" si="2"/>
        <v>5610.0156461740853</v>
      </c>
      <c r="F60" s="202">
        <f t="shared" si="5"/>
        <v>5243.1231260396935</v>
      </c>
      <c r="G60" s="203">
        <f t="shared" si="3"/>
        <v>366.89252013439199</v>
      </c>
      <c r="H60" s="169">
        <f t="shared" si="6"/>
        <v>16271.954034802107</v>
      </c>
      <c r="J60" s="44"/>
      <c r="K60" s="370" t="s">
        <v>238</v>
      </c>
      <c r="L60" s="370"/>
      <c r="M60" s="370"/>
      <c r="N60" s="63"/>
      <c r="O60" s="63"/>
      <c r="P60" s="63"/>
      <c r="R60" s="359" t="s">
        <v>266</v>
      </c>
      <c r="S60" s="359"/>
      <c r="T60" s="359"/>
      <c r="U60" s="47"/>
      <c r="W60" s="100"/>
      <c r="X60" s="100"/>
      <c r="Y60" s="100" t="s">
        <v>153</v>
      </c>
      <c r="Z60" s="100"/>
      <c r="AA60" s="100"/>
      <c r="AB60" s="100"/>
      <c r="AC60" s="100"/>
      <c r="AD60" s="100"/>
      <c r="AE60" s="100"/>
      <c r="AF60" s="100"/>
      <c r="AG60" s="100"/>
      <c r="AH60" s="100"/>
      <c r="AI60" s="100"/>
      <c r="AJ60" s="100"/>
      <c r="AK60" s="100"/>
      <c r="AL60" s="100"/>
      <c r="AM60" s="100"/>
      <c r="AN60" s="100"/>
      <c r="AO60" s="100"/>
      <c r="AP60" s="100"/>
      <c r="AQ60" s="100"/>
      <c r="AR60" s="100"/>
      <c r="AS60" s="100"/>
      <c r="AT60" s="100"/>
      <c r="AU60" s="100"/>
      <c r="AV60" s="100"/>
      <c r="AW60" s="100"/>
      <c r="AX60" s="100"/>
      <c r="AY60" s="100"/>
      <c r="AZ60" s="100"/>
      <c r="BA60" s="100"/>
      <c r="BB60" s="100"/>
      <c r="BC60" s="100"/>
      <c r="BD60" s="100"/>
      <c r="BE60" s="100"/>
    </row>
    <row r="61" spans="2:57" ht="16.5" thickBot="1">
      <c r="B61" s="58">
        <f t="shared" si="4"/>
        <v>46734</v>
      </c>
      <c r="C61" s="165" t="str">
        <f t="shared" si="1"/>
        <v>Dec-2027</v>
      </c>
      <c r="D61" s="89">
        <v>34</v>
      </c>
      <c r="E61" s="201">
        <f t="shared" si="2"/>
        <v>5610.0156461740853</v>
      </c>
      <c r="F61" s="202">
        <f t="shared" si="5"/>
        <v>5332.533107826268</v>
      </c>
      <c r="G61" s="203">
        <f t="shared" si="3"/>
        <v>277.4825383478173</v>
      </c>
      <c r="H61" s="169">
        <f t="shared" si="6"/>
        <v>10939.420926975839</v>
      </c>
      <c r="J61" s="44"/>
      <c r="K61" s="371" t="s">
        <v>79</v>
      </c>
      <c r="L61" s="371"/>
      <c r="M61" s="371"/>
      <c r="N61" s="45"/>
      <c r="O61" s="49"/>
      <c r="P61" s="45"/>
      <c r="R61" s="371" t="s">
        <v>80</v>
      </c>
      <c r="S61" s="371"/>
      <c r="T61" s="371"/>
      <c r="U61" s="47"/>
      <c r="W61" s="100"/>
      <c r="X61" s="100" t="s">
        <v>154</v>
      </c>
      <c r="Y61" s="100"/>
      <c r="Z61" s="100"/>
      <c r="AA61" s="100"/>
      <c r="AB61" s="100"/>
      <c r="AC61" s="100"/>
      <c r="AD61" s="100"/>
      <c r="AE61" s="100"/>
      <c r="AF61" s="100"/>
      <c r="AG61" s="100"/>
      <c r="AH61" s="100"/>
      <c r="AI61" s="100"/>
      <c r="AJ61" s="100"/>
      <c r="AK61" s="100"/>
      <c r="AL61" s="100"/>
      <c r="AM61" s="100"/>
      <c r="AN61" s="100"/>
      <c r="AO61" s="100"/>
      <c r="AP61" s="100"/>
      <c r="AQ61" s="100"/>
      <c r="AR61" s="100"/>
      <c r="AS61" s="100"/>
      <c r="AT61" s="100"/>
      <c r="AU61" s="100"/>
      <c r="AV61" s="100"/>
      <c r="AW61" s="100"/>
      <c r="AX61" s="100"/>
      <c r="AY61" s="100"/>
      <c r="AZ61" s="100"/>
      <c r="BA61" s="100"/>
      <c r="BB61" s="100"/>
      <c r="BC61" s="100"/>
      <c r="BD61" s="100"/>
      <c r="BE61" s="100"/>
    </row>
    <row r="62" spans="2:57" ht="16.5" thickBot="1">
      <c r="B62" s="58">
        <f t="shared" si="4"/>
        <v>46765</v>
      </c>
      <c r="C62" s="165" t="str">
        <f t="shared" si="1"/>
        <v>Jan-2028</v>
      </c>
      <c r="D62" s="89">
        <v>35</v>
      </c>
      <c r="E62" s="201">
        <f t="shared" si="2"/>
        <v>5610.0156461740853</v>
      </c>
      <c r="F62" s="202">
        <f t="shared" si="5"/>
        <v>5423.4677810326139</v>
      </c>
      <c r="G62" s="203">
        <f>H61*C$12</f>
        <v>186.54786514147162</v>
      </c>
      <c r="H62" s="169">
        <f t="shared" si="6"/>
        <v>5515.9531459432255</v>
      </c>
      <c r="J62" s="50"/>
      <c r="U62" s="78"/>
      <c r="W62" s="100"/>
      <c r="X62" s="100" t="s">
        <v>155</v>
      </c>
      <c r="Y62" s="100"/>
      <c r="Z62" s="100"/>
      <c r="AA62" s="100"/>
      <c r="AB62" s="100"/>
      <c r="AC62" s="100"/>
      <c r="AD62" s="100"/>
      <c r="AE62" s="100"/>
      <c r="AF62" s="100"/>
      <c r="AG62" s="100"/>
      <c r="AH62" s="100"/>
      <c r="AI62" s="100"/>
      <c r="AJ62" s="100"/>
      <c r="AK62" s="100"/>
      <c r="AL62" s="100"/>
      <c r="AM62" s="100"/>
      <c r="AN62" s="100"/>
      <c r="AO62" s="100"/>
      <c r="AP62" s="100"/>
      <c r="AQ62" s="100"/>
      <c r="AR62" s="100"/>
      <c r="AS62" s="100"/>
      <c r="AT62" s="100"/>
      <c r="AU62" s="100"/>
      <c r="AV62" s="100"/>
      <c r="AW62" s="100"/>
      <c r="AX62" s="100"/>
      <c r="AY62" s="100"/>
      <c r="AZ62" s="100"/>
      <c r="BA62" s="100"/>
      <c r="BB62" s="100"/>
      <c r="BC62" s="100"/>
      <c r="BD62" s="100"/>
      <c r="BE62" s="100"/>
    </row>
    <row r="63" spans="2:57" ht="16.5" thickBot="1">
      <c r="B63" s="58">
        <f t="shared" si="4"/>
        <v>46796</v>
      </c>
      <c r="C63" s="165" t="str">
        <f t="shared" si="1"/>
        <v>Feb-2028</v>
      </c>
      <c r="D63" s="89">
        <v>36</v>
      </c>
      <c r="E63" s="197">
        <f t="shared" si="2"/>
        <v>5610.0156461740853</v>
      </c>
      <c r="F63" s="198">
        <f t="shared" si="5"/>
        <v>5515.9531459316204</v>
      </c>
      <c r="G63" s="199">
        <f t="shared" si="3"/>
        <v>94.06250024246512</v>
      </c>
      <c r="H63" s="200">
        <f t="shared" si="6"/>
        <v>1.1605152394622564E-8</v>
      </c>
      <c r="J63" s="50"/>
      <c r="U63" s="78"/>
      <c r="W63" s="100"/>
      <c r="X63" s="100" t="s">
        <v>156</v>
      </c>
      <c r="Y63" s="100"/>
      <c r="Z63" s="100"/>
      <c r="AA63" s="100"/>
      <c r="AB63" s="100"/>
      <c r="AC63" s="100"/>
      <c r="AD63" s="100"/>
      <c r="AE63" s="100"/>
      <c r="AF63" s="100"/>
      <c r="AG63" s="100"/>
      <c r="AH63" s="100"/>
      <c r="AI63" s="100"/>
      <c r="AJ63" s="100"/>
      <c r="AK63" s="100"/>
      <c r="AL63" s="100"/>
      <c r="AM63" s="100"/>
      <c r="AN63" s="100"/>
      <c r="AO63" s="100"/>
      <c r="AP63" s="100"/>
      <c r="AQ63" s="100"/>
      <c r="AR63" s="100"/>
      <c r="AS63" s="100"/>
      <c r="AT63" s="100"/>
      <c r="AU63" s="100"/>
      <c r="AV63" s="100"/>
      <c r="AW63" s="100"/>
      <c r="AX63" s="100"/>
      <c r="AY63" s="100"/>
      <c r="AZ63" s="100"/>
      <c r="BA63" s="100"/>
      <c r="BB63" s="100"/>
      <c r="BC63" s="100"/>
      <c r="BD63" s="100"/>
      <c r="BE63" s="100"/>
    </row>
    <row r="64" spans="2:57" ht="16.5" thickBot="1">
      <c r="B64" s="58"/>
      <c r="C64" s="97"/>
      <c r="E64" s="28"/>
      <c r="F64" s="98"/>
      <c r="G64" s="99"/>
      <c r="H64" s="98"/>
      <c r="J64" s="50"/>
      <c r="U64" s="78"/>
      <c r="W64" s="100"/>
      <c r="X64" s="100"/>
      <c r="Y64" s="100"/>
      <c r="Z64" s="100"/>
      <c r="AA64" s="100"/>
      <c r="AB64" s="100"/>
      <c r="AC64" s="100"/>
      <c r="AD64" s="100"/>
      <c r="AE64" s="100"/>
      <c r="AF64" s="100"/>
      <c r="AG64" s="100"/>
      <c r="AH64" s="100"/>
      <c r="AI64" s="100"/>
      <c r="AJ64" s="100"/>
      <c r="AK64" s="100"/>
      <c r="AL64" s="100"/>
      <c r="AM64" s="100"/>
      <c r="AN64" s="100"/>
      <c r="AO64" s="100"/>
      <c r="AP64" s="100"/>
      <c r="AQ64" s="100"/>
      <c r="AR64" s="100"/>
      <c r="AS64" s="100"/>
      <c r="AT64" s="100"/>
      <c r="AU64" s="244" t="s">
        <v>229</v>
      </c>
      <c r="AV64" s="244"/>
      <c r="AW64" s="244"/>
      <c r="AX64" s="244"/>
      <c r="AY64" s="244"/>
      <c r="AZ64" s="244"/>
      <c r="BA64" s="244"/>
      <c r="BB64" s="244"/>
      <c r="BC64" s="244"/>
      <c r="BD64" s="100"/>
      <c r="BE64" s="100"/>
    </row>
    <row r="65" spans="2:57" ht="15.75">
      <c r="B65" s="58"/>
      <c r="C65" s="97"/>
      <c r="E65" s="28"/>
      <c r="F65" s="98"/>
      <c r="G65" s="99"/>
      <c r="H65" s="98"/>
      <c r="J65" s="44"/>
      <c r="K65" s="45"/>
      <c r="L65" s="45"/>
      <c r="M65" s="45"/>
      <c r="N65" s="45"/>
      <c r="O65" s="49"/>
      <c r="P65" s="45"/>
      <c r="Q65" s="45"/>
      <c r="R65" s="45"/>
      <c r="S65" s="45"/>
      <c r="T65" s="45"/>
      <c r="U65" s="47"/>
      <c r="W65" s="100"/>
      <c r="X65" s="100"/>
      <c r="Y65" s="100"/>
      <c r="Z65" s="100"/>
      <c r="AA65" s="100"/>
      <c r="AB65" s="100"/>
      <c r="AC65" s="100"/>
      <c r="AD65" s="100"/>
      <c r="AE65" s="100"/>
      <c r="AF65" s="100"/>
      <c r="AG65" s="100"/>
      <c r="AH65" s="100"/>
      <c r="AI65" s="100"/>
      <c r="AJ65" s="100"/>
      <c r="AK65" s="100"/>
      <c r="AL65" s="100"/>
      <c r="AM65" s="100"/>
      <c r="AN65" s="100"/>
      <c r="AO65" s="100"/>
      <c r="AP65" s="100"/>
      <c r="AQ65" s="100"/>
      <c r="AR65" s="100"/>
      <c r="AS65" s="100"/>
      <c r="AT65" s="100"/>
      <c r="AU65" s="252" t="s">
        <v>157</v>
      </c>
      <c r="AV65" s="346"/>
      <c r="AW65" s="346"/>
      <c r="AX65" s="346"/>
      <c r="AY65" s="346"/>
      <c r="AZ65" s="346"/>
      <c r="BA65" s="346"/>
      <c r="BB65" s="346"/>
      <c r="BC65" s="346"/>
      <c r="BD65" s="100"/>
      <c r="BE65" s="100"/>
    </row>
    <row r="66" spans="2:57" ht="15.75">
      <c r="B66" s="58"/>
      <c r="C66" s="97"/>
      <c r="E66" s="28"/>
      <c r="F66" s="98"/>
      <c r="G66" s="99"/>
      <c r="H66" s="98"/>
      <c r="J66" s="44"/>
      <c r="K66" s="45" t="s">
        <v>81</v>
      </c>
      <c r="L66" s="45"/>
      <c r="M66" s="45"/>
      <c r="N66" s="45"/>
      <c r="O66" s="49"/>
      <c r="P66" s="45"/>
      <c r="Q66" s="45"/>
      <c r="R66" s="45" t="s">
        <v>82</v>
      </c>
      <c r="S66" s="45"/>
      <c r="T66" s="45"/>
      <c r="U66" s="47"/>
      <c r="W66" s="100"/>
      <c r="X66" s="280" t="s">
        <v>158</v>
      </c>
      <c r="Y66" s="281"/>
      <c r="Z66" s="281"/>
      <c r="AA66" s="281"/>
      <c r="AB66" s="281"/>
      <c r="AC66" s="281"/>
      <c r="AD66" s="281"/>
      <c r="AE66" s="281"/>
      <c r="AF66" s="281"/>
      <c r="AG66" s="281"/>
      <c r="AH66" s="281"/>
      <c r="AI66" s="281"/>
      <c r="AJ66" s="281"/>
      <c r="AK66" s="281"/>
      <c r="AL66" s="281"/>
      <c r="AM66" s="281"/>
      <c r="AN66" s="281"/>
      <c r="AO66" s="281"/>
      <c r="AP66" s="281"/>
      <c r="AQ66" s="281"/>
      <c r="AR66" s="281"/>
      <c r="AS66" s="281"/>
      <c r="AT66" s="281"/>
      <c r="AU66" s="281"/>
      <c r="AV66" s="281"/>
      <c r="AW66" s="281"/>
      <c r="AX66" s="281"/>
      <c r="AY66" s="281"/>
      <c r="AZ66" s="281"/>
      <c r="BA66" s="281"/>
      <c r="BB66" s="281"/>
      <c r="BC66" s="281"/>
      <c r="BD66" s="282"/>
      <c r="BE66" s="100"/>
    </row>
    <row r="67" spans="2:57" ht="15.75">
      <c r="B67" s="58"/>
      <c r="C67" s="97"/>
      <c r="E67" s="28"/>
      <c r="F67" s="98"/>
      <c r="G67" s="99"/>
      <c r="H67" s="98"/>
      <c r="J67" s="44"/>
      <c r="K67" s="45"/>
      <c r="L67" s="45"/>
      <c r="M67" s="45"/>
      <c r="N67" s="45"/>
      <c r="O67" s="49"/>
      <c r="P67" s="45"/>
      <c r="Q67" s="45"/>
      <c r="R67" s="45"/>
      <c r="S67" s="45"/>
      <c r="T67" s="45"/>
      <c r="U67" s="47"/>
      <c r="W67" s="100"/>
      <c r="X67" s="100"/>
      <c r="Y67" s="100"/>
      <c r="Z67" s="100"/>
      <c r="AA67" s="100"/>
      <c r="AB67" s="100"/>
      <c r="AC67" s="100"/>
      <c r="AD67" s="100"/>
      <c r="AE67" s="100"/>
      <c r="AF67" s="100"/>
      <c r="AG67" s="100"/>
      <c r="AH67" s="100"/>
      <c r="AI67" s="100"/>
      <c r="AJ67" s="100"/>
      <c r="AK67" s="100"/>
      <c r="AL67" s="100"/>
      <c r="AM67" s="100"/>
      <c r="AN67" s="100"/>
      <c r="AO67" s="100"/>
      <c r="AP67" s="100"/>
      <c r="AQ67" s="100"/>
      <c r="AR67" s="100"/>
      <c r="AS67" s="100"/>
      <c r="AT67" s="100"/>
      <c r="AU67" s="100"/>
      <c r="AV67" s="100"/>
      <c r="AW67" s="100"/>
      <c r="AX67" s="100"/>
      <c r="AY67" s="100"/>
      <c r="AZ67" s="100"/>
      <c r="BA67" s="100"/>
      <c r="BB67" s="100"/>
      <c r="BC67" s="100"/>
      <c r="BD67" s="100"/>
      <c r="BE67" s="100"/>
    </row>
    <row r="68" spans="2:57" ht="15.75">
      <c r="B68" s="58"/>
      <c r="C68" s="97"/>
      <c r="E68" s="91">
        <f>SUM(E28:E51)</f>
        <v>134640.37550817805</v>
      </c>
      <c r="F68" s="91">
        <f>SUM(F28:F51)</f>
        <v>89583.975685318204</v>
      </c>
      <c r="G68" s="91">
        <f>SUM(G28:G51)</f>
        <v>45056.399822859843</v>
      </c>
      <c r="H68" s="98"/>
      <c r="J68" s="50"/>
      <c r="U68" s="78"/>
      <c r="W68" s="100"/>
      <c r="X68" s="100"/>
      <c r="Y68" s="100" t="s">
        <v>159</v>
      </c>
      <c r="Z68" s="100"/>
      <c r="AA68" s="100"/>
      <c r="AB68" s="100"/>
      <c r="AC68" s="100"/>
      <c r="AD68" s="100"/>
      <c r="AE68" s="100"/>
      <c r="AF68" s="100"/>
      <c r="AG68" s="100"/>
      <c r="AH68" s="100"/>
      <c r="AI68" s="100"/>
      <c r="AJ68" s="100"/>
      <c r="AK68" s="100"/>
      <c r="AL68" s="100"/>
      <c r="AM68" s="100"/>
      <c r="AN68" s="100"/>
      <c r="AO68" s="100"/>
      <c r="AP68" s="100"/>
      <c r="AQ68" s="100"/>
      <c r="AR68" s="100"/>
      <c r="AS68" s="100"/>
      <c r="AT68" s="100"/>
      <c r="AU68" s="100"/>
      <c r="AV68" s="100"/>
      <c r="AW68" s="100"/>
      <c r="AX68" s="100"/>
      <c r="AY68" s="100"/>
      <c r="AZ68" s="100"/>
      <c r="BA68" s="100"/>
      <c r="BB68" s="100"/>
      <c r="BC68" s="100"/>
      <c r="BD68" s="100"/>
      <c r="BE68" s="100"/>
    </row>
    <row r="69" spans="2:57" ht="16.5" thickBot="1">
      <c r="B69" s="58"/>
      <c r="C69" s="97"/>
      <c r="E69" s="28"/>
      <c r="F69" s="98"/>
      <c r="G69" s="99"/>
      <c r="H69" s="98"/>
      <c r="J69" s="50"/>
      <c r="P69" s="359" t="s">
        <v>265</v>
      </c>
      <c r="Q69" s="359"/>
      <c r="R69" s="359"/>
      <c r="S69" s="359"/>
      <c r="T69" s="359"/>
      <c r="U69" s="187"/>
      <c r="W69" s="100"/>
      <c r="X69" s="100" t="s">
        <v>160</v>
      </c>
      <c r="Y69" s="100"/>
      <c r="Z69" s="100"/>
      <c r="AA69" s="100"/>
      <c r="AB69" s="100"/>
      <c r="AC69" s="100"/>
      <c r="AD69" s="100"/>
      <c r="AE69" s="100"/>
      <c r="AF69" s="100"/>
      <c r="AG69" s="100"/>
      <c r="AH69" s="100"/>
      <c r="AI69" s="100"/>
      <c r="AJ69" s="100"/>
      <c r="AK69" s="100"/>
      <c r="AL69" s="100"/>
      <c r="AM69" s="100"/>
      <c r="AN69" s="100"/>
      <c r="AO69" s="100"/>
      <c r="AP69" s="100"/>
      <c r="AQ69" s="100"/>
      <c r="AR69" s="100"/>
      <c r="AS69" s="100"/>
      <c r="AT69" s="100"/>
      <c r="AU69" s="100"/>
      <c r="AV69" s="100"/>
      <c r="AW69" s="100"/>
      <c r="AX69" s="100"/>
      <c r="AY69" s="100"/>
      <c r="AZ69" s="100"/>
      <c r="BA69" s="100"/>
      <c r="BB69" s="100"/>
      <c r="BC69" s="100"/>
      <c r="BD69" s="100"/>
      <c r="BE69" s="100"/>
    </row>
    <row r="70" spans="2:57" ht="15.75">
      <c r="B70" s="58"/>
      <c r="C70" s="97"/>
      <c r="E70" s="28"/>
      <c r="F70" s="98"/>
      <c r="G70" s="99"/>
      <c r="H70" s="98"/>
      <c r="J70" s="44"/>
      <c r="K70" s="84" t="s">
        <v>83</v>
      </c>
      <c r="L70" s="84"/>
      <c r="M70" s="84"/>
      <c r="N70" s="45"/>
      <c r="O70" s="49"/>
      <c r="P70" s="45"/>
      <c r="Q70" s="45"/>
      <c r="R70" s="63" t="s">
        <v>84</v>
      </c>
      <c r="S70" s="63"/>
      <c r="T70" s="45"/>
      <c r="U70" s="47"/>
      <c r="W70" s="100"/>
      <c r="X70" s="100"/>
      <c r="Y70" s="100"/>
      <c r="Z70" s="100"/>
      <c r="AA70" s="100"/>
      <c r="AB70" s="100"/>
      <c r="AC70" s="100"/>
      <c r="AD70" s="100"/>
      <c r="AE70" s="100"/>
      <c r="AF70" s="100"/>
      <c r="AG70" s="100"/>
      <c r="AH70" s="100"/>
      <c r="AI70" s="100"/>
      <c r="AJ70" s="100"/>
      <c r="AK70" s="100"/>
      <c r="AL70" s="100"/>
      <c r="AM70" s="100"/>
      <c r="AN70" s="100"/>
      <c r="AO70" s="100"/>
      <c r="AP70" s="100"/>
      <c r="AQ70" s="100"/>
      <c r="AR70" s="100"/>
      <c r="AS70" s="100"/>
      <c r="AT70" s="100"/>
      <c r="AU70" s="100"/>
      <c r="AV70" s="100"/>
      <c r="AW70" s="100"/>
      <c r="AX70" s="100"/>
      <c r="AY70" s="100"/>
      <c r="AZ70" s="100"/>
      <c r="BA70" s="100"/>
      <c r="BB70" s="100"/>
      <c r="BC70" s="100"/>
      <c r="BD70" s="100"/>
      <c r="BE70" s="100"/>
    </row>
    <row r="71" spans="2:57" ht="16.5" thickBot="1">
      <c r="B71" s="58"/>
      <c r="C71" s="97"/>
      <c r="E71" s="28"/>
      <c r="F71" s="98"/>
      <c r="G71" s="99"/>
      <c r="H71" s="98"/>
      <c r="J71" s="85"/>
      <c r="K71" s="86"/>
      <c r="L71" s="86"/>
      <c r="M71" s="86"/>
      <c r="N71" s="86"/>
      <c r="O71" s="87"/>
      <c r="P71" s="86"/>
      <c r="Q71" s="86"/>
      <c r="R71" s="86"/>
      <c r="S71" s="86"/>
      <c r="T71" s="86"/>
      <c r="U71" s="88"/>
      <c r="W71" s="100"/>
      <c r="X71" s="244" t="s">
        <v>256</v>
      </c>
      <c r="Y71" s="244"/>
      <c r="Z71" s="244"/>
      <c r="AA71" s="244"/>
      <c r="AB71" s="244"/>
      <c r="AC71" s="244"/>
      <c r="AD71" s="244"/>
      <c r="AE71" s="244"/>
      <c r="AF71" s="100"/>
      <c r="AG71" s="244" t="s">
        <v>257</v>
      </c>
      <c r="AH71" s="244"/>
      <c r="AI71" s="244"/>
      <c r="AJ71" s="244"/>
      <c r="AK71" s="244"/>
      <c r="AL71" s="244"/>
      <c r="AM71" s="244"/>
      <c r="AN71" s="100"/>
      <c r="AO71" s="100"/>
      <c r="AP71" s="244" t="s">
        <v>258</v>
      </c>
      <c r="AQ71" s="244"/>
      <c r="AR71" s="244"/>
      <c r="AS71" s="244"/>
      <c r="AT71" s="244"/>
      <c r="AU71" s="244"/>
      <c r="AV71" s="244"/>
      <c r="AW71" s="100"/>
      <c r="AX71" s="398" t="s">
        <v>259</v>
      </c>
      <c r="AY71" s="398"/>
      <c r="AZ71" s="398"/>
      <c r="BA71" s="398"/>
      <c r="BB71" s="398"/>
      <c r="BC71" s="398"/>
      <c r="BD71" s="398"/>
      <c r="BE71" s="100"/>
    </row>
    <row r="72" spans="2:57" ht="15.75">
      <c r="B72" s="58"/>
      <c r="C72" s="97"/>
      <c r="E72" s="28"/>
      <c r="F72" s="98"/>
      <c r="G72" s="99"/>
      <c r="H72" s="98"/>
      <c r="W72" s="100"/>
      <c r="X72" s="252" t="s">
        <v>161</v>
      </c>
      <c r="Y72" s="252"/>
      <c r="Z72" s="252"/>
      <c r="AA72" s="252"/>
      <c r="AB72" s="252"/>
      <c r="AC72" s="252"/>
      <c r="AD72" s="252"/>
      <c r="AE72" s="252"/>
      <c r="AF72" s="100"/>
      <c r="AG72" s="252" t="s">
        <v>162</v>
      </c>
      <c r="AH72" s="252"/>
      <c r="AI72" s="252"/>
      <c r="AJ72" s="252"/>
      <c r="AK72" s="252"/>
      <c r="AL72" s="252"/>
      <c r="AM72" s="252"/>
      <c r="AN72" s="100"/>
      <c r="AO72" s="100"/>
      <c r="AP72" s="252" t="s">
        <v>163</v>
      </c>
      <c r="AQ72" s="252"/>
      <c r="AR72" s="252"/>
      <c r="AS72" s="252"/>
      <c r="AT72" s="252"/>
      <c r="AU72" s="252"/>
      <c r="AV72" s="252"/>
      <c r="AW72" s="100"/>
      <c r="AX72" s="252" t="s">
        <v>164</v>
      </c>
      <c r="AY72" s="252"/>
      <c r="AZ72" s="252"/>
      <c r="BA72" s="252"/>
      <c r="BB72" s="252"/>
      <c r="BC72" s="252"/>
      <c r="BD72" s="252"/>
      <c r="BE72" s="100"/>
    </row>
    <row r="73" spans="2:57" ht="15.75">
      <c r="B73" s="58"/>
      <c r="W73" s="100"/>
      <c r="X73" s="252" t="s">
        <v>165</v>
      </c>
      <c r="Y73" s="252"/>
      <c r="Z73" s="252"/>
      <c r="AA73" s="252"/>
      <c r="AB73" s="252"/>
      <c r="AC73" s="252"/>
      <c r="AD73" s="252"/>
      <c r="AE73" s="252"/>
      <c r="AF73" s="100"/>
      <c r="AG73" s="100"/>
      <c r="AH73" s="100"/>
      <c r="AI73" s="100"/>
      <c r="AJ73" s="100"/>
      <c r="AK73" s="100"/>
      <c r="AL73" s="100"/>
      <c r="AM73" s="100"/>
      <c r="AN73" s="100"/>
      <c r="AO73" s="100"/>
      <c r="AP73" s="100"/>
      <c r="AQ73" s="100"/>
      <c r="AR73" s="100"/>
      <c r="AS73" s="100"/>
      <c r="AT73" s="100"/>
      <c r="AU73" s="100"/>
      <c r="AV73" s="100"/>
      <c r="AW73" s="100"/>
      <c r="AX73" s="100"/>
      <c r="AY73" s="100"/>
      <c r="AZ73" s="100"/>
      <c r="BA73" s="100"/>
      <c r="BB73" s="100"/>
      <c r="BC73" s="100"/>
      <c r="BD73" s="100"/>
      <c r="BE73" s="100"/>
    </row>
    <row r="74" spans="2:57" ht="16.5" thickBot="1">
      <c r="B74" s="58"/>
      <c r="W74" s="100"/>
      <c r="X74" s="280" t="s">
        <v>166</v>
      </c>
      <c r="Y74" s="410"/>
      <c r="Z74" s="410"/>
      <c r="AA74" s="410"/>
      <c r="AB74" s="410"/>
      <c r="AC74" s="410"/>
      <c r="AD74" s="410"/>
      <c r="AE74" s="410"/>
      <c r="AF74" s="410"/>
      <c r="AG74" s="410"/>
      <c r="AH74" s="410"/>
      <c r="AI74" s="410"/>
      <c r="AJ74" s="410"/>
      <c r="AK74" s="410"/>
      <c r="AL74" s="410"/>
      <c r="AM74" s="410"/>
      <c r="AN74" s="410"/>
      <c r="AO74" s="410"/>
      <c r="AP74" s="410"/>
      <c r="AQ74" s="410"/>
      <c r="AR74" s="410"/>
      <c r="AS74" s="410"/>
      <c r="AT74" s="410"/>
      <c r="AU74" s="410"/>
      <c r="AV74" s="410"/>
      <c r="AW74" s="410"/>
      <c r="AX74" s="410"/>
      <c r="AY74" s="410"/>
      <c r="AZ74" s="410"/>
      <c r="BA74" s="410"/>
      <c r="BB74" s="410"/>
      <c r="BC74" s="410"/>
      <c r="BD74" s="411"/>
      <c r="BE74" s="100"/>
    </row>
    <row r="75" spans="2:57" ht="15.75">
      <c r="B75" s="58"/>
      <c r="J75" s="209"/>
      <c r="K75" s="205"/>
      <c r="L75" s="205"/>
      <c r="M75" s="205"/>
      <c r="N75" s="205"/>
      <c r="O75" s="205"/>
      <c r="P75" s="205"/>
      <c r="Q75" s="205"/>
      <c r="R75" s="205"/>
      <c r="S75" s="205"/>
      <c r="T75" s="205"/>
      <c r="U75" s="208"/>
      <c r="W75" s="100"/>
      <c r="X75" s="328" t="s">
        <v>167</v>
      </c>
      <c r="Y75" s="328"/>
      <c r="Z75" s="328"/>
      <c r="AA75" s="328" t="s">
        <v>168</v>
      </c>
      <c r="AB75" s="328"/>
      <c r="AC75" s="328"/>
      <c r="AD75" s="328"/>
      <c r="AE75" s="328" t="s">
        <v>169</v>
      </c>
      <c r="AF75" s="328"/>
      <c r="AG75" s="328"/>
      <c r="AH75" s="328"/>
      <c r="AI75" s="328"/>
      <c r="AJ75" s="328" t="s">
        <v>170</v>
      </c>
      <c r="AK75" s="328"/>
      <c r="AL75" s="328"/>
      <c r="AM75" s="328" t="s">
        <v>46</v>
      </c>
      <c r="AN75" s="328"/>
      <c r="AO75" s="328"/>
      <c r="AP75" s="328"/>
      <c r="AQ75" s="328"/>
      <c r="AR75" s="328" t="s">
        <v>171</v>
      </c>
      <c r="AS75" s="328"/>
      <c r="AT75" s="328"/>
      <c r="AU75" s="328" t="s">
        <v>172</v>
      </c>
      <c r="AV75" s="328"/>
      <c r="AW75" s="328"/>
      <c r="AX75" s="328"/>
      <c r="AY75" s="328"/>
      <c r="AZ75" s="328" t="s">
        <v>173</v>
      </c>
      <c r="BA75" s="328"/>
      <c r="BB75" s="328"/>
      <c r="BC75" s="328"/>
      <c r="BD75" s="328"/>
      <c r="BE75" s="100"/>
    </row>
    <row r="76" spans="2:57" ht="15.75">
      <c r="B76" s="58"/>
      <c r="J76" s="50"/>
      <c r="U76" s="78"/>
      <c r="W76" s="100"/>
      <c r="X76" s="489"/>
      <c r="Y76" s="402"/>
      <c r="Z76" s="402"/>
      <c r="AA76" s="403"/>
      <c r="AB76" s="402"/>
      <c r="AC76" s="402"/>
      <c r="AD76" s="402"/>
      <c r="AE76" s="404"/>
      <c r="AF76" s="404"/>
      <c r="AG76" s="404"/>
      <c r="AH76" s="404"/>
      <c r="AI76" s="404"/>
      <c r="AJ76" s="405"/>
      <c r="AK76" s="402"/>
      <c r="AL76" s="402"/>
      <c r="AM76" s="406"/>
      <c r="AN76" s="407"/>
      <c r="AO76" s="407"/>
      <c r="AP76" s="407"/>
      <c r="AQ76" s="408"/>
      <c r="AR76" s="409"/>
      <c r="AS76" s="409"/>
      <c r="AT76" s="409"/>
      <c r="AU76" s="402"/>
      <c r="AV76" s="402"/>
      <c r="AW76" s="402"/>
      <c r="AX76" s="402"/>
      <c r="AY76" s="402"/>
      <c r="AZ76" s="404"/>
      <c r="BA76" s="404"/>
      <c r="BB76" s="404"/>
      <c r="BC76" s="404"/>
      <c r="BD76" s="404"/>
      <c r="BE76" s="100"/>
    </row>
    <row r="77" spans="2:57" ht="15.75">
      <c r="B77" s="58"/>
      <c r="J77" s="50"/>
      <c r="U77" s="78"/>
      <c r="W77" s="100"/>
      <c r="X77" s="320"/>
      <c r="Y77" s="320"/>
      <c r="Z77" s="320"/>
      <c r="AA77" s="320"/>
      <c r="AB77" s="320"/>
      <c r="AC77" s="320"/>
      <c r="AD77" s="320"/>
      <c r="AE77" s="320"/>
      <c r="AF77" s="320"/>
      <c r="AG77" s="320"/>
      <c r="AH77" s="320"/>
      <c r="AI77" s="320"/>
      <c r="AJ77" s="320"/>
      <c r="AK77" s="320"/>
      <c r="AL77" s="320"/>
      <c r="AM77" s="320"/>
      <c r="AN77" s="320"/>
      <c r="AO77" s="320"/>
      <c r="AP77" s="320"/>
      <c r="AQ77" s="320"/>
      <c r="AR77" s="320"/>
      <c r="AS77" s="320"/>
      <c r="AT77" s="320"/>
      <c r="AU77" s="320"/>
      <c r="AV77" s="320"/>
      <c r="AW77" s="320"/>
      <c r="AX77" s="320"/>
      <c r="AY77" s="320"/>
      <c r="AZ77" s="320"/>
      <c r="BA77" s="320"/>
      <c r="BB77" s="320"/>
      <c r="BC77" s="320"/>
      <c r="BD77" s="320"/>
      <c r="BE77" s="100"/>
    </row>
    <row r="78" spans="2:57" ht="15.75">
      <c r="B78" s="58"/>
      <c r="J78" s="50"/>
      <c r="N78" s="204"/>
      <c r="U78" s="78"/>
      <c r="W78" s="100"/>
      <c r="X78" s="320"/>
      <c r="Y78" s="320"/>
      <c r="Z78" s="320"/>
      <c r="AA78" s="320"/>
      <c r="AB78" s="320"/>
      <c r="AC78" s="320"/>
      <c r="AD78" s="320"/>
      <c r="AE78" s="320"/>
      <c r="AF78" s="320"/>
      <c r="AG78" s="320"/>
      <c r="AH78" s="320"/>
      <c r="AI78" s="320"/>
      <c r="AJ78" s="320"/>
      <c r="AK78" s="320"/>
      <c r="AL78" s="320"/>
      <c r="AM78" s="320"/>
      <c r="AN78" s="320"/>
      <c r="AO78" s="320"/>
      <c r="AP78" s="320"/>
      <c r="AQ78" s="320"/>
      <c r="AR78" s="320"/>
      <c r="AS78" s="320"/>
      <c r="AT78" s="320"/>
      <c r="AU78" s="320"/>
      <c r="AV78" s="320"/>
      <c r="AW78" s="320"/>
      <c r="AX78" s="320"/>
      <c r="AY78" s="320"/>
      <c r="AZ78" s="320"/>
      <c r="BA78" s="320"/>
      <c r="BB78" s="320"/>
      <c r="BC78" s="320"/>
      <c r="BD78" s="320"/>
      <c r="BE78" s="100"/>
    </row>
    <row r="79" spans="2:57" ht="15.75">
      <c r="B79" s="58"/>
      <c r="J79" s="50"/>
      <c r="N79" s="493" t="s">
        <v>270</v>
      </c>
      <c r="O79" s="230"/>
      <c r="P79" s="230"/>
      <c r="Q79" s="230"/>
      <c r="U79" s="78"/>
      <c r="W79" s="100"/>
      <c r="X79" s="320"/>
      <c r="Y79" s="320"/>
      <c r="Z79" s="320"/>
      <c r="AA79" s="320"/>
      <c r="AB79" s="320"/>
      <c r="AC79" s="320"/>
      <c r="AD79" s="320"/>
      <c r="AE79" s="320"/>
      <c r="AF79" s="320"/>
      <c r="AG79" s="320"/>
      <c r="AH79" s="320"/>
      <c r="AI79" s="320"/>
      <c r="AJ79" s="320"/>
      <c r="AK79" s="320"/>
      <c r="AL79" s="320"/>
      <c r="AM79" s="320"/>
      <c r="AN79" s="320"/>
      <c r="AO79" s="320"/>
      <c r="AP79" s="320"/>
      <c r="AQ79" s="320"/>
      <c r="AR79" s="320"/>
      <c r="AS79" s="320"/>
      <c r="AT79" s="320"/>
      <c r="AU79" s="320"/>
      <c r="AV79" s="320"/>
      <c r="AW79" s="320"/>
      <c r="AX79" s="320"/>
      <c r="AY79" s="320"/>
      <c r="AZ79" s="320"/>
      <c r="BA79" s="320"/>
      <c r="BB79" s="320"/>
      <c r="BC79" s="320"/>
      <c r="BD79" s="320"/>
      <c r="BE79" s="100"/>
    </row>
    <row r="80" spans="2:57" ht="15.75">
      <c r="B80" s="58"/>
      <c r="J80" s="50"/>
      <c r="M80" s="493" t="s">
        <v>267</v>
      </c>
      <c r="N80" s="230"/>
      <c r="O80" s="230"/>
      <c r="P80" s="230"/>
      <c r="Q80" s="230"/>
      <c r="R80" s="230"/>
      <c r="U80" s="78"/>
      <c r="W80" s="100"/>
      <c r="X80" s="100"/>
      <c r="Y80" s="100"/>
      <c r="Z80" s="100"/>
      <c r="AA80" s="100"/>
      <c r="AB80" s="100"/>
      <c r="AC80" s="100"/>
      <c r="AD80" s="100"/>
      <c r="AE80" s="100"/>
      <c r="AF80" s="100"/>
      <c r="AG80" s="100"/>
      <c r="AH80" s="100"/>
      <c r="AI80" s="100"/>
      <c r="AJ80" s="100"/>
      <c r="AK80" s="100"/>
      <c r="AL80" s="100"/>
      <c r="AM80" s="100"/>
      <c r="AN80" s="100"/>
      <c r="AO80" s="100"/>
      <c r="AP80" s="100"/>
      <c r="AQ80" s="100"/>
      <c r="AR80" s="100"/>
      <c r="AS80" s="100"/>
      <c r="AT80" s="100"/>
      <c r="AU80" s="100"/>
      <c r="AV80" s="100"/>
      <c r="AW80" s="100"/>
      <c r="AX80" s="100"/>
      <c r="AY80" s="100"/>
      <c r="AZ80" s="100"/>
      <c r="BA80" s="100"/>
      <c r="BB80" s="100"/>
      <c r="BC80" s="100"/>
      <c r="BD80" s="100"/>
      <c r="BE80" s="100"/>
    </row>
    <row r="81" spans="2:57" ht="15.75">
      <c r="B81" s="58"/>
      <c r="J81" s="50"/>
      <c r="N81" s="493" t="s">
        <v>268</v>
      </c>
      <c r="O81" s="230"/>
      <c r="P81" s="230"/>
      <c r="Q81" s="230"/>
      <c r="U81" s="78"/>
      <c r="W81" s="100"/>
      <c r="X81" s="280" t="s">
        <v>174</v>
      </c>
      <c r="Y81" s="281"/>
      <c r="Z81" s="281"/>
      <c r="AA81" s="281"/>
      <c r="AB81" s="281"/>
      <c r="AC81" s="281"/>
      <c r="AD81" s="281"/>
      <c r="AE81" s="281"/>
      <c r="AF81" s="281"/>
      <c r="AG81" s="281"/>
      <c r="AH81" s="281"/>
      <c r="AI81" s="281"/>
      <c r="AJ81" s="281"/>
      <c r="AK81" s="281"/>
      <c r="AL81" s="281"/>
      <c r="AM81" s="281"/>
      <c r="AN81" s="281"/>
      <c r="AO81" s="281"/>
      <c r="AP81" s="281"/>
      <c r="AQ81" s="281"/>
      <c r="AR81" s="281"/>
      <c r="AS81" s="281"/>
      <c r="AT81" s="281"/>
      <c r="AU81" s="281"/>
      <c r="AV81" s="281"/>
      <c r="AW81" s="281"/>
      <c r="AX81" s="281"/>
      <c r="AY81" s="281"/>
      <c r="AZ81" s="281"/>
      <c r="BA81" s="281"/>
      <c r="BB81" s="281"/>
      <c r="BC81" s="281"/>
      <c r="BD81" s="282"/>
      <c r="BE81" s="100"/>
    </row>
    <row r="82" spans="2:57" ht="15.75">
      <c r="B82" s="58"/>
      <c r="J82" s="50"/>
      <c r="U82" s="78"/>
      <c r="W82" s="100"/>
      <c r="X82" s="325" t="s">
        <v>175</v>
      </c>
      <c r="Y82" s="326"/>
      <c r="Z82" s="326"/>
      <c r="AA82" s="326"/>
      <c r="AB82" s="327"/>
      <c r="AC82" s="325" t="s">
        <v>176</v>
      </c>
      <c r="AD82" s="326"/>
      <c r="AE82" s="326"/>
      <c r="AF82" s="327"/>
      <c r="AG82" s="325" t="s">
        <v>48</v>
      </c>
      <c r="AH82" s="326"/>
      <c r="AI82" s="326"/>
      <c r="AJ82" s="327"/>
      <c r="AK82" s="325" t="s">
        <v>177</v>
      </c>
      <c r="AL82" s="326"/>
      <c r="AM82" s="326"/>
      <c r="AN82" s="326"/>
      <c r="AO82" s="326"/>
      <c r="AP82" s="326"/>
      <c r="AQ82" s="327"/>
      <c r="AR82" s="325" t="s">
        <v>178</v>
      </c>
      <c r="AS82" s="326"/>
      <c r="AT82" s="326"/>
      <c r="AU82" s="326"/>
      <c r="AV82" s="327"/>
      <c r="AW82" s="325" t="s">
        <v>179</v>
      </c>
      <c r="AX82" s="326"/>
      <c r="AY82" s="326"/>
      <c r="AZ82" s="326"/>
      <c r="BA82" s="326"/>
      <c r="BB82" s="326"/>
      <c r="BC82" s="326"/>
      <c r="BD82" s="327"/>
      <c r="BE82" s="100"/>
    </row>
    <row r="83" spans="2:57" ht="15.75">
      <c r="B83" s="58"/>
      <c r="J83" s="50"/>
      <c r="M83" s="494" t="s">
        <v>269</v>
      </c>
      <c r="N83" s="494"/>
      <c r="O83" s="494"/>
      <c r="P83" s="494"/>
      <c r="Q83" s="494"/>
      <c r="R83" s="494"/>
      <c r="U83" s="78"/>
      <c r="W83" s="100"/>
      <c r="X83" s="245">
        <f>'[2]Data Entry'!E11</f>
        <v>178237.5</v>
      </c>
      <c r="Y83" s="246"/>
      <c r="Z83" s="246"/>
      <c r="AA83" s="246"/>
      <c r="AB83" s="247"/>
      <c r="AC83" s="245">
        <f>AT39</f>
        <v>5610.0156461740853</v>
      </c>
      <c r="AD83" s="246"/>
      <c r="AE83" s="246"/>
      <c r="AF83" s="247"/>
      <c r="AG83" s="248" t="str">
        <f>AN35</f>
        <v>36 Months</v>
      </c>
      <c r="AH83" s="249"/>
      <c r="AI83" s="249"/>
      <c r="AJ83" s="250"/>
      <c r="AK83" s="245">
        <v>5000</v>
      </c>
      <c r="AL83" s="246"/>
      <c r="AM83" s="246"/>
      <c r="AN83" s="246"/>
      <c r="AO83" s="246"/>
      <c r="AP83" s="246"/>
      <c r="AQ83" s="247"/>
      <c r="AR83" s="251">
        <f>11617.19-(AC83+AK83)</f>
        <v>1007.1743538259161</v>
      </c>
      <c r="AS83" s="249"/>
      <c r="AT83" s="249"/>
      <c r="AU83" s="249"/>
      <c r="AV83" s="250"/>
      <c r="AW83" s="245">
        <f>'[2]Data Entry'!E3</f>
        <v>201960.56326226707</v>
      </c>
      <c r="AX83" s="246"/>
      <c r="AY83" s="246"/>
      <c r="AZ83" s="246"/>
      <c r="BA83" s="246"/>
      <c r="BB83" s="246"/>
      <c r="BC83" s="246"/>
      <c r="BD83" s="247"/>
      <c r="BE83" s="100"/>
    </row>
    <row r="84" spans="2:57" ht="15.75">
      <c r="B84" s="58"/>
      <c r="J84" s="50"/>
      <c r="U84" s="78"/>
      <c r="W84" s="100"/>
      <c r="X84" s="241" t="s">
        <v>180</v>
      </c>
      <c r="Y84" s="241"/>
      <c r="Z84" s="241"/>
      <c r="AA84" s="241"/>
      <c r="AB84" s="241"/>
      <c r="AC84" s="241"/>
      <c r="AD84" s="241"/>
      <c r="AE84" s="241"/>
      <c r="AF84" s="241"/>
      <c r="AG84" s="241"/>
      <c r="AH84" s="241"/>
      <c r="AI84" s="241"/>
      <c r="AJ84" s="241"/>
      <c r="AK84" s="241"/>
      <c r="AL84" s="241"/>
      <c r="AM84" s="241"/>
      <c r="AN84" s="241"/>
      <c r="AO84" s="241"/>
      <c r="AP84" s="241"/>
      <c r="AQ84" s="241"/>
      <c r="AR84" s="241"/>
      <c r="AS84" s="241"/>
      <c r="AT84" s="241"/>
      <c r="AU84" s="241"/>
      <c r="AV84" s="241"/>
      <c r="AW84" s="241"/>
      <c r="AX84" s="241"/>
      <c r="AY84" s="241"/>
      <c r="AZ84" s="241"/>
      <c r="BA84" s="241"/>
      <c r="BB84" s="241"/>
      <c r="BC84" s="241"/>
      <c r="BD84" s="241"/>
      <c r="BE84" s="100"/>
    </row>
    <row r="85" spans="2:57" ht="16.5" thickBot="1">
      <c r="B85" s="58"/>
      <c r="J85" s="50"/>
      <c r="R85" s="495">
        <f>S29</f>
        <v>45701</v>
      </c>
      <c r="S85" s="496"/>
      <c r="U85" s="78"/>
      <c r="W85" s="100"/>
      <c r="X85" s="102"/>
      <c r="Y85" s="102"/>
      <c r="Z85" s="102"/>
      <c r="AA85" s="102"/>
      <c r="AB85" s="102"/>
      <c r="AC85" s="102"/>
      <c r="AD85" s="102"/>
      <c r="AE85" s="102"/>
      <c r="AF85" s="102"/>
      <c r="AG85" s="102"/>
      <c r="AH85" s="102"/>
      <c r="AI85" s="102"/>
      <c r="AJ85" s="102"/>
      <c r="AK85" s="102"/>
      <c r="AL85" s="102"/>
      <c r="AM85" s="102"/>
      <c r="AN85" s="102"/>
      <c r="AO85" s="102"/>
      <c r="AP85" s="102"/>
      <c r="AQ85" s="102"/>
      <c r="AR85" s="102"/>
      <c r="AS85" s="102"/>
      <c r="AT85" s="102"/>
      <c r="AU85" s="102"/>
      <c r="AV85" s="102"/>
      <c r="AW85" s="102"/>
      <c r="AX85" s="102"/>
      <c r="AY85" s="102"/>
      <c r="AZ85" s="102"/>
      <c r="BA85" s="102"/>
      <c r="BB85" s="102"/>
      <c r="BC85" s="102"/>
      <c r="BD85" s="102"/>
      <c r="BE85" s="100"/>
    </row>
    <row r="86" spans="2:57" ht="16.5" thickBot="1">
      <c r="B86" s="58"/>
      <c r="J86" s="50"/>
      <c r="R86" s="493" t="s">
        <v>271</v>
      </c>
      <c r="S86" s="230"/>
      <c r="U86" s="78"/>
      <c r="W86" s="100"/>
      <c r="X86" s="102"/>
      <c r="Y86" s="102"/>
      <c r="Z86" s="102"/>
      <c r="AA86" s="102"/>
      <c r="AB86" s="102"/>
      <c r="AC86" s="102"/>
      <c r="AD86" s="102"/>
      <c r="AE86" s="102"/>
      <c r="AF86" s="102"/>
      <c r="AG86" s="102"/>
      <c r="AH86" s="102"/>
      <c r="AI86" s="102"/>
      <c r="AJ86" s="321" t="s">
        <v>238</v>
      </c>
      <c r="AK86" s="321"/>
      <c r="AL86" s="321"/>
      <c r="AM86" s="321"/>
      <c r="AN86" s="321"/>
      <c r="AO86" s="321"/>
      <c r="AP86" s="321"/>
      <c r="AQ86" s="321"/>
      <c r="AR86" s="321"/>
      <c r="AS86" s="321"/>
      <c r="AT86" s="102"/>
      <c r="AU86" s="102"/>
      <c r="AV86" s="102"/>
      <c r="AW86" s="102"/>
      <c r="AX86" s="102"/>
      <c r="AY86" s="102"/>
      <c r="AZ86" s="102"/>
      <c r="BA86" s="102"/>
      <c r="BB86" s="102"/>
      <c r="BC86" s="102"/>
      <c r="BD86" s="102"/>
      <c r="BE86" s="100"/>
    </row>
    <row r="87" spans="2:57" ht="15.75">
      <c r="B87" s="58"/>
      <c r="J87" s="50"/>
      <c r="U87" s="78"/>
      <c r="W87" s="252" t="s">
        <v>182</v>
      </c>
      <c r="X87" s="252"/>
      <c r="Y87" s="252"/>
      <c r="Z87" s="252"/>
      <c r="AA87" s="252"/>
      <c r="AB87" s="252"/>
      <c r="AC87" s="252"/>
      <c r="AD87" s="252"/>
      <c r="AE87" s="252"/>
      <c r="AF87" s="252"/>
      <c r="AG87" s="252"/>
      <c r="AH87" s="252"/>
      <c r="AI87" s="252"/>
      <c r="AJ87" s="252"/>
      <c r="AK87" s="252"/>
      <c r="AL87" s="252"/>
      <c r="AM87" s="252"/>
      <c r="AN87" s="252"/>
      <c r="AO87" s="252"/>
      <c r="AP87" s="252"/>
      <c r="AQ87" s="252"/>
      <c r="AR87" s="252"/>
      <c r="AS87" s="252"/>
      <c r="AT87" s="252"/>
      <c r="AU87" s="252"/>
      <c r="AV87" s="252"/>
      <c r="AW87" s="252"/>
      <c r="AX87" s="252"/>
      <c r="AY87" s="252"/>
      <c r="AZ87" s="252"/>
      <c r="BA87" s="252"/>
      <c r="BB87" s="252"/>
      <c r="BC87" s="252"/>
      <c r="BD87" s="252"/>
      <c r="BE87" s="252"/>
    </row>
    <row r="88" spans="2:57" ht="15.75">
      <c r="J88" s="50"/>
      <c r="U88" s="78"/>
      <c r="W88" s="100"/>
      <c r="X88" s="100"/>
      <c r="Y88" s="100"/>
      <c r="Z88" s="100"/>
      <c r="AA88" s="100"/>
      <c r="AB88" s="100"/>
      <c r="AC88" s="100"/>
      <c r="AD88" s="100"/>
      <c r="AE88" s="100"/>
      <c r="AF88" s="100"/>
      <c r="AG88" s="100"/>
      <c r="AH88" s="100"/>
      <c r="AI88" s="100"/>
      <c r="AJ88" s="100"/>
      <c r="AK88" s="100"/>
      <c r="AL88" s="100"/>
      <c r="AM88" s="100"/>
      <c r="AN88" s="100"/>
      <c r="AO88" s="100"/>
      <c r="AP88" s="100"/>
      <c r="AQ88" s="100"/>
      <c r="AR88" s="100"/>
      <c r="AS88" s="100"/>
      <c r="AT88" s="100"/>
      <c r="AU88" s="100"/>
      <c r="AV88" s="100"/>
      <c r="AW88" s="100"/>
      <c r="AX88" s="100"/>
      <c r="AY88" s="100"/>
      <c r="AZ88" s="100"/>
      <c r="BA88" s="100"/>
      <c r="BB88" s="100"/>
      <c r="BC88" s="100"/>
      <c r="BD88" s="100"/>
      <c r="BE88" s="100"/>
    </row>
    <row r="89" spans="2:57" ht="15.75">
      <c r="J89" s="50"/>
      <c r="U89" s="78"/>
      <c r="W89" s="100"/>
      <c r="X89" s="100"/>
      <c r="Y89" s="100"/>
      <c r="Z89" s="100"/>
      <c r="AA89" s="100"/>
      <c r="AB89" s="100"/>
      <c r="AC89" s="100"/>
      <c r="AD89" s="100"/>
      <c r="AE89" s="100"/>
      <c r="AF89" s="100"/>
      <c r="AG89" s="100"/>
      <c r="AH89" s="100"/>
      <c r="AI89" s="100"/>
      <c r="AJ89" s="100"/>
      <c r="AK89" s="100"/>
      <c r="AL89" s="100"/>
      <c r="AM89" s="100"/>
      <c r="AN89" s="100"/>
      <c r="AO89" s="100"/>
      <c r="AP89" s="100"/>
      <c r="AQ89" s="100"/>
      <c r="AR89" s="100"/>
      <c r="AS89" s="100"/>
      <c r="AT89" s="100"/>
      <c r="AU89" s="100"/>
      <c r="AV89" s="100"/>
      <c r="AW89" s="100"/>
      <c r="AX89" s="100"/>
      <c r="AY89" s="100"/>
      <c r="AZ89" s="100"/>
      <c r="BA89" s="100"/>
      <c r="BB89" s="100"/>
      <c r="BC89" s="100"/>
      <c r="BD89" s="100"/>
      <c r="BE89" s="100"/>
    </row>
    <row r="90" spans="2:57" ht="15.75">
      <c r="J90" s="50"/>
      <c r="K90" s="497" t="s">
        <v>272</v>
      </c>
      <c r="L90" s="498"/>
      <c r="M90" s="498"/>
      <c r="U90" s="78"/>
      <c r="W90" s="100"/>
      <c r="X90" s="240" t="s">
        <v>183</v>
      </c>
      <c r="Y90" s="241"/>
      <c r="Z90" s="241"/>
      <c r="AA90" s="241"/>
      <c r="AB90" s="241"/>
      <c r="AC90" s="241"/>
      <c r="AD90" s="241"/>
      <c r="AE90" s="241"/>
      <c r="AF90" s="241"/>
      <c r="AG90" s="241"/>
      <c r="AH90" s="241"/>
      <c r="AI90" s="241"/>
      <c r="AJ90" s="241"/>
      <c r="AK90" s="241"/>
      <c r="AL90" s="241"/>
      <c r="AM90" s="241"/>
      <c r="AN90" s="242"/>
      <c r="AO90" s="240" t="s">
        <v>184</v>
      </c>
      <c r="AP90" s="241"/>
      <c r="AQ90" s="241"/>
      <c r="AR90" s="241"/>
      <c r="AS90" s="241"/>
      <c r="AT90" s="241"/>
      <c r="AU90" s="241"/>
      <c r="AV90" s="241"/>
      <c r="AW90" s="241"/>
      <c r="AX90" s="241"/>
      <c r="AY90" s="241"/>
      <c r="AZ90" s="241"/>
      <c r="BA90" s="241"/>
      <c r="BB90" s="241"/>
      <c r="BC90" s="241"/>
      <c r="BD90" s="242"/>
      <c r="BE90" s="100"/>
    </row>
    <row r="91" spans="2:57" ht="15.75">
      <c r="J91" s="50"/>
      <c r="U91" s="78"/>
      <c r="V91" s="45"/>
      <c r="W91" s="100"/>
      <c r="X91" s="137"/>
      <c r="Y91" s="135"/>
      <c r="Z91" s="135"/>
      <c r="AA91" s="135"/>
      <c r="AB91" s="135"/>
      <c r="AC91" s="135"/>
      <c r="AD91" s="135"/>
      <c r="AE91" s="135"/>
      <c r="AF91" s="135"/>
      <c r="AG91" s="135"/>
      <c r="AH91" s="135"/>
      <c r="AI91" s="135"/>
      <c r="AJ91" s="135"/>
      <c r="AK91" s="135"/>
      <c r="AL91" s="135"/>
      <c r="AM91" s="135"/>
      <c r="AN91" s="138"/>
      <c r="AO91" s="137"/>
      <c r="AP91" s="135"/>
      <c r="AQ91" s="135"/>
      <c r="AR91" s="135"/>
      <c r="AS91" s="135"/>
      <c r="AT91" s="135"/>
      <c r="AU91" s="135"/>
      <c r="AV91" s="135"/>
      <c r="AW91" s="135"/>
      <c r="AX91" s="135"/>
      <c r="AY91" s="135"/>
      <c r="AZ91" s="135"/>
      <c r="BA91" s="135"/>
      <c r="BB91" s="135"/>
      <c r="BC91" s="135"/>
      <c r="BD91" s="138"/>
      <c r="BE91" s="100"/>
    </row>
    <row r="92" spans="2:57" ht="16.5" thickBot="1">
      <c r="J92" s="50"/>
      <c r="K92" s="204" t="s">
        <v>273</v>
      </c>
      <c r="L92" s="204"/>
      <c r="O92" s="490" t="s">
        <v>274</v>
      </c>
      <c r="P92" s="490"/>
      <c r="Q92" s="490"/>
      <c r="R92" s="490"/>
      <c r="S92" s="490"/>
      <c r="U92" s="78"/>
      <c r="V92" s="45"/>
      <c r="W92" s="100"/>
      <c r="X92" s="139"/>
      <c r="Y92" s="109"/>
      <c r="Z92" s="109"/>
      <c r="AA92" s="140"/>
      <c r="AB92" s="243" t="s">
        <v>237</v>
      </c>
      <c r="AC92" s="243"/>
      <c r="AD92" s="243"/>
      <c r="AE92" s="243"/>
      <c r="AF92" s="243"/>
      <c r="AG92" s="243"/>
      <c r="AH92" s="243"/>
      <c r="AI92" s="243"/>
      <c r="AJ92" s="243"/>
      <c r="AK92" s="140"/>
      <c r="AL92" s="140"/>
      <c r="AM92" s="140"/>
      <c r="AN92" s="141"/>
      <c r="AO92" s="139"/>
      <c r="AP92" s="100"/>
      <c r="AQ92" s="100"/>
      <c r="AR92" s="100"/>
      <c r="AS92" s="244" t="s">
        <v>236</v>
      </c>
      <c r="AT92" s="244"/>
      <c r="AU92" s="244"/>
      <c r="AV92" s="244"/>
      <c r="AW92" s="244"/>
      <c r="AX92" s="244"/>
      <c r="AY92" s="244"/>
      <c r="AZ92" s="244"/>
      <c r="BA92" s="100"/>
      <c r="BB92" s="100"/>
      <c r="BC92" s="100"/>
      <c r="BD92" s="142"/>
      <c r="BE92" s="100"/>
    </row>
    <row r="93" spans="2:57" ht="16.149999999999999" customHeight="1" thickBot="1">
      <c r="J93" s="50"/>
      <c r="K93" s="204" t="s">
        <v>275</v>
      </c>
      <c r="L93" s="186"/>
      <c r="M93" s="204" t="s">
        <v>276</v>
      </c>
      <c r="P93" s="491" t="s">
        <v>278</v>
      </c>
      <c r="Q93" s="492"/>
      <c r="R93" s="492"/>
      <c r="S93" s="492"/>
      <c r="U93" s="78"/>
      <c r="V93" s="45"/>
      <c r="W93" s="100"/>
      <c r="X93" s="322" t="s">
        <v>182</v>
      </c>
      <c r="Y93" s="323"/>
      <c r="Z93" s="323"/>
      <c r="AA93" s="323"/>
      <c r="AB93" s="323"/>
      <c r="AC93" s="323"/>
      <c r="AD93" s="323"/>
      <c r="AE93" s="323"/>
      <c r="AF93" s="323"/>
      <c r="AG93" s="323"/>
      <c r="AH93" s="323"/>
      <c r="AI93" s="323"/>
      <c r="AJ93" s="323"/>
      <c r="AK93" s="323"/>
      <c r="AL93" s="323"/>
      <c r="AM93" s="323"/>
      <c r="AN93" s="324"/>
      <c r="AO93" s="322" t="s">
        <v>182</v>
      </c>
      <c r="AP93" s="323"/>
      <c r="AQ93" s="323"/>
      <c r="AR93" s="323"/>
      <c r="AS93" s="323"/>
      <c r="AT93" s="323"/>
      <c r="AU93" s="323"/>
      <c r="AV93" s="323"/>
      <c r="AW93" s="323"/>
      <c r="AX93" s="323"/>
      <c r="AY93" s="323"/>
      <c r="AZ93" s="323"/>
      <c r="BA93" s="323"/>
      <c r="BB93" s="323"/>
      <c r="BC93" s="323"/>
      <c r="BD93" s="324"/>
      <c r="BE93" s="100"/>
    </row>
    <row r="94" spans="2:57" ht="16.5" thickBot="1">
      <c r="J94" s="50"/>
      <c r="K94" s="210" t="s">
        <v>277</v>
      </c>
      <c r="L94" s="186"/>
      <c r="U94" s="78"/>
      <c r="V94" s="45"/>
      <c r="W94" s="100"/>
      <c r="X94" s="100"/>
      <c r="Y94" s="100"/>
      <c r="Z94" s="100"/>
      <c r="AA94" s="100"/>
      <c r="AB94" s="100"/>
      <c r="AC94" s="100"/>
      <c r="AD94" s="100"/>
      <c r="AE94" s="100"/>
      <c r="AF94" s="100"/>
      <c r="AG94" s="100"/>
      <c r="AH94" s="100"/>
      <c r="AI94" s="100"/>
      <c r="AJ94" s="100"/>
      <c r="AK94" s="100"/>
      <c r="AL94" s="100"/>
      <c r="AM94" s="100"/>
      <c r="AN94" s="100"/>
      <c r="AO94" s="100"/>
      <c r="AP94" s="100"/>
      <c r="AQ94" s="100"/>
      <c r="AR94" s="100"/>
      <c r="AS94" s="100"/>
      <c r="AT94" s="100"/>
      <c r="AU94" s="100"/>
      <c r="AV94" s="100"/>
      <c r="AW94" s="100"/>
      <c r="AX94" s="100"/>
      <c r="AY94" s="100"/>
      <c r="AZ94" s="100"/>
      <c r="BA94" s="100"/>
      <c r="BB94" s="100"/>
      <c r="BC94" s="100"/>
      <c r="BD94" s="100"/>
      <c r="BE94" s="100"/>
    </row>
    <row r="95" spans="2:57" ht="15.75">
      <c r="J95" s="50"/>
      <c r="U95" s="78"/>
      <c r="V95" s="45"/>
      <c r="W95" s="100"/>
      <c r="X95" s="100"/>
      <c r="Y95" s="100"/>
      <c r="Z95" s="100"/>
      <c r="AA95" s="100"/>
      <c r="AB95" s="100"/>
      <c r="AC95" s="100"/>
      <c r="AD95" s="100"/>
      <c r="AE95" s="100"/>
      <c r="AF95" s="100"/>
      <c r="AG95" s="100"/>
      <c r="AH95" s="100"/>
      <c r="AI95" s="100"/>
      <c r="AJ95" s="100"/>
      <c r="AK95" s="100"/>
      <c r="AL95" s="100"/>
      <c r="AM95" s="100"/>
      <c r="AN95" s="100"/>
      <c r="AO95" s="100"/>
      <c r="AP95" s="100"/>
      <c r="AQ95" s="100"/>
      <c r="AR95" s="100"/>
      <c r="AS95" s="100"/>
      <c r="AT95" s="100"/>
      <c r="AU95" s="100"/>
      <c r="AV95" s="100"/>
      <c r="AW95" s="100"/>
      <c r="AX95" s="100"/>
      <c r="AY95" s="100"/>
      <c r="AZ95" s="100"/>
      <c r="BA95" s="100"/>
      <c r="BB95" s="100"/>
      <c r="BC95" s="100"/>
      <c r="BD95" s="100"/>
      <c r="BE95" s="100"/>
    </row>
    <row r="96" spans="2:57">
      <c r="J96" s="50"/>
      <c r="U96" s="78"/>
      <c r="V96" s="45"/>
    </row>
    <row r="97" spans="10:57">
      <c r="J97" s="50"/>
      <c r="U97" s="78"/>
      <c r="V97" s="45"/>
    </row>
    <row r="98" spans="10:57">
      <c r="J98" s="50"/>
      <c r="U98" s="78"/>
      <c r="V98" s="45"/>
    </row>
    <row r="99" spans="10:57" ht="18.75">
      <c r="J99" s="50"/>
      <c r="U99" s="78"/>
      <c r="V99" s="45"/>
      <c r="W99" s="100"/>
      <c r="X99" s="100"/>
      <c r="Y99" s="100"/>
      <c r="Z99" s="100"/>
      <c r="AA99" s="100"/>
      <c r="AB99" s="100"/>
      <c r="AC99" s="100"/>
      <c r="AD99" s="100"/>
      <c r="AE99" s="100"/>
      <c r="AF99" s="100"/>
      <c r="AG99" s="100"/>
      <c r="AH99" s="100"/>
      <c r="AI99" s="100"/>
      <c r="AJ99" s="100"/>
      <c r="AK99" s="100"/>
      <c r="AL99" s="100"/>
      <c r="AM99" s="100"/>
      <c r="AN99" s="100"/>
      <c r="AO99" s="100"/>
      <c r="AP99" s="100"/>
      <c r="AQ99" s="100"/>
      <c r="AR99" s="144"/>
      <c r="AS99" s="100"/>
      <c r="AT99" s="100"/>
      <c r="AU99" s="100"/>
      <c r="AV99" s="100"/>
      <c r="AW99" s="100"/>
      <c r="AX99" s="100"/>
      <c r="AY99" s="100"/>
      <c r="AZ99" s="100"/>
      <c r="BA99" s="100"/>
      <c r="BB99" s="100"/>
      <c r="BC99" s="100"/>
      <c r="BD99" s="100"/>
      <c r="BE99" s="100"/>
    </row>
    <row r="100" spans="10:57" ht="18.75">
      <c r="J100" s="50"/>
      <c r="U100" s="78"/>
      <c r="V100" s="45"/>
      <c r="W100" s="100"/>
      <c r="X100" s="253" t="s">
        <v>186</v>
      </c>
      <c r="Y100" s="254"/>
      <c r="Z100" s="254"/>
      <c r="AA100" s="254"/>
      <c r="AB100" s="254"/>
      <c r="AC100" s="254"/>
      <c r="AD100" s="254"/>
      <c r="AE100" s="254"/>
      <c r="AF100" s="254"/>
      <c r="AG100" s="254"/>
      <c r="AH100" s="254"/>
      <c r="AI100" s="254"/>
      <c r="AJ100" s="254"/>
      <c r="AK100" s="254"/>
      <c r="AL100" s="100"/>
      <c r="AM100" s="100"/>
      <c r="AN100" s="100"/>
      <c r="AO100" s="100"/>
      <c r="AP100" s="100"/>
      <c r="AQ100" s="100"/>
      <c r="AR100" s="100"/>
      <c r="AS100" s="100"/>
      <c r="AT100" s="100"/>
      <c r="AU100" s="100"/>
      <c r="AV100" s="100"/>
      <c r="AW100" s="100"/>
      <c r="AX100" s="100"/>
      <c r="AY100" s="100"/>
    </row>
    <row r="101" spans="10:57" ht="18.75">
      <c r="J101" s="50"/>
      <c r="U101" s="78"/>
      <c r="V101" s="45"/>
      <c r="W101" s="100"/>
      <c r="X101" s="100"/>
      <c r="Y101" s="264" t="s">
        <v>187</v>
      </c>
      <c r="Z101" s="264"/>
      <c r="AA101" s="264"/>
      <c r="AB101" s="264"/>
      <c r="AC101" s="264"/>
      <c r="AD101" s="264"/>
      <c r="AE101" s="264"/>
      <c r="AF101" s="264"/>
      <c r="AG101" s="264"/>
      <c r="AH101" s="264"/>
      <c r="AI101" s="264"/>
      <c r="AJ101" s="264"/>
      <c r="AK101" s="264"/>
      <c r="AL101" s="264"/>
      <c r="AM101" s="264"/>
      <c r="AN101" s="264"/>
      <c r="AO101" s="264"/>
      <c r="AP101" s="264"/>
      <c r="AQ101" s="264"/>
      <c r="AR101" s="264"/>
      <c r="AS101" s="264"/>
      <c r="AT101" s="264"/>
      <c r="AU101" s="264"/>
      <c r="AV101" s="264"/>
      <c r="AW101" s="264"/>
      <c r="AX101" s="264"/>
      <c r="AY101" s="260">
        <f>AW83</f>
        <v>201960.56326226707</v>
      </c>
      <c r="AZ101" s="261"/>
      <c r="BA101" s="261"/>
      <c r="BB101" s="261"/>
      <c r="BC101" s="261"/>
      <c r="BD101" s="261"/>
      <c r="BE101" s="144"/>
    </row>
    <row r="102" spans="10:57" ht="18" customHeight="1">
      <c r="J102" s="50"/>
      <c r="U102" s="78"/>
      <c r="V102" s="45"/>
      <c r="W102" s="100"/>
      <c r="X102" s="262"/>
      <c r="Y102" s="263"/>
      <c r="Z102" s="263"/>
      <c r="AA102" s="145" t="s">
        <v>188</v>
      </c>
      <c r="AB102" s="146">
        <v>36</v>
      </c>
      <c r="AC102" s="264" t="s">
        <v>189</v>
      </c>
      <c r="AD102" s="264"/>
      <c r="AE102" s="264"/>
      <c r="AF102" s="264"/>
      <c r="AG102" s="264"/>
      <c r="AH102" s="264"/>
      <c r="AI102" s="264"/>
      <c r="AJ102" s="264"/>
      <c r="AK102" s="264"/>
      <c r="AL102" s="264"/>
      <c r="AM102" s="264"/>
      <c r="AN102" s="263">
        <f>AC83</f>
        <v>5610.0156461740853</v>
      </c>
      <c r="AO102" s="263"/>
      <c r="AP102" s="263"/>
      <c r="AQ102" s="263"/>
      <c r="AR102" s="264" t="s">
        <v>190</v>
      </c>
      <c r="AS102" s="264"/>
      <c r="AT102" s="264"/>
      <c r="AU102" s="264"/>
      <c r="AV102" s="264"/>
      <c r="AW102" s="264"/>
      <c r="AX102" s="264"/>
      <c r="AY102" s="264"/>
      <c r="AZ102" s="264"/>
      <c r="BA102" s="264"/>
      <c r="BB102" s="264"/>
      <c r="BC102" s="264"/>
      <c r="BD102" s="264"/>
      <c r="BE102" s="144"/>
    </row>
    <row r="103" spans="10:57" ht="18" customHeight="1">
      <c r="J103" s="50"/>
      <c r="U103" s="78"/>
      <c r="V103" s="69"/>
      <c r="W103" s="100"/>
      <c r="X103" s="265">
        <f>B28</f>
        <v>45729</v>
      </c>
      <c r="Y103" s="265"/>
      <c r="Z103" s="265"/>
      <c r="AA103" s="265"/>
      <c r="AB103" s="239" t="s">
        <v>191</v>
      </c>
      <c r="AC103" s="239"/>
      <c r="AD103" s="239"/>
      <c r="AE103" s="239"/>
      <c r="AF103" s="239"/>
      <c r="AG103" s="239"/>
      <c r="AH103" s="239"/>
      <c r="AI103" s="239"/>
      <c r="AJ103" s="239"/>
      <c r="AK103" s="239"/>
      <c r="AL103" s="239"/>
      <c r="AM103" s="239"/>
      <c r="AN103" s="239"/>
      <c r="AO103" s="239"/>
      <c r="AP103" s="239"/>
      <c r="AQ103" s="239"/>
      <c r="AR103" s="239"/>
      <c r="AS103" s="239"/>
      <c r="AT103" s="239"/>
      <c r="AU103" s="239"/>
      <c r="AV103" s="239"/>
      <c r="AW103" s="239"/>
      <c r="AX103" s="239"/>
      <c r="AY103" s="239"/>
      <c r="AZ103" s="239"/>
      <c r="BA103" s="239"/>
      <c r="BB103" s="239"/>
      <c r="BC103" s="239"/>
      <c r="BD103" s="239"/>
      <c r="BE103" s="144"/>
    </row>
    <row r="104" spans="10:57" ht="18" customHeight="1">
      <c r="J104" s="50"/>
      <c r="U104" s="78"/>
      <c r="V104" s="69"/>
      <c r="W104" s="100"/>
      <c r="X104" s="239" t="s">
        <v>192</v>
      </c>
      <c r="Y104" s="239"/>
      <c r="Z104" s="239"/>
      <c r="AA104" s="239"/>
      <c r="AB104" s="239"/>
      <c r="AC104" s="239"/>
      <c r="AD104" s="239"/>
      <c r="AE104" s="239"/>
      <c r="AF104" s="239"/>
      <c r="AG104" s="239"/>
      <c r="AH104" s="239"/>
      <c r="AI104" s="239"/>
      <c r="AJ104" s="239"/>
      <c r="AK104" s="239"/>
      <c r="AL104" s="239"/>
      <c r="AM104" s="239"/>
      <c r="AN104" s="239"/>
      <c r="AO104" s="239"/>
      <c r="AP104" s="239"/>
      <c r="AQ104" s="239"/>
      <c r="AR104" s="239"/>
      <c r="AS104" s="239"/>
      <c r="AT104" s="239"/>
      <c r="AU104" s="239"/>
      <c r="AV104" s="239"/>
      <c r="AW104" s="239"/>
      <c r="AX104" s="239"/>
      <c r="AY104" s="239"/>
      <c r="AZ104" s="239"/>
      <c r="BA104" s="239"/>
      <c r="BB104" s="239"/>
      <c r="BC104" s="239"/>
      <c r="BD104" s="239"/>
      <c r="BE104" s="144"/>
    </row>
    <row r="105" spans="10:57" ht="18" customHeight="1">
      <c r="J105" s="50"/>
      <c r="U105" s="78"/>
      <c r="V105" s="69"/>
      <c r="W105" s="100"/>
      <c r="X105" s="239" t="s">
        <v>193</v>
      </c>
      <c r="Y105" s="239"/>
      <c r="Z105" s="239"/>
      <c r="AA105" s="239"/>
      <c r="AB105" s="239"/>
      <c r="AC105" s="239"/>
      <c r="AD105" s="239"/>
      <c r="AE105" s="239"/>
      <c r="AF105" s="239"/>
      <c r="AG105" s="239"/>
      <c r="AH105" s="239"/>
      <c r="AI105" s="239"/>
      <c r="AJ105" s="239"/>
      <c r="AK105" s="239"/>
      <c r="AL105" s="239"/>
      <c r="AM105" s="239"/>
      <c r="AN105" s="239"/>
      <c r="AO105" s="239"/>
      <c r="AP105" s="239"/>
      <c r="AQ105" s="239"/>
      <c r="AR105" s="239"/>
      <c r="AS105" s="239"/>
      <c r="AT105" s="239"/>
      <c r="AU105" s="239"/>
      <c r="AV105" s="239"/>
      <c r="AW105" s="239"/>
      <c r="AX105" s="239"/>
      <c r="AY105" s="239"/>
      <c r="AZ105" s="239"/>
      <c r="BA105" s="239"/>
      <c r="BB105" s="239"/>
      <c r="BC105" s="239"/>
      <c r="BD105" s="239"/>
      <c r="BE105" s="144"/>
    </row>
    <row r="106" spans="10:57" ht="18" customHeight="1">
      <c r="J106" s="50"/>
      <c r="U106" s="78"/>
      <c r="V106" s="45"/>
      <c r="W106" s="100"/>
      <c r="X106" s="239"/>
      <c r="Y106" s="239"/>
      <c r="Z106" s="239"/>
      <c r="AA106" s="239"/>
      <c r="AB106" s="239"/>
      <c r="AC106" s="239"/>
      <c r="AD106" s="239"/>
      <c r="AE106" s="239"/>
      <c r="AF106" s="239"/>
      <c r="AG106" s="239"/>
      <c r="AH106" s="239"/>
      <c r="AI106" s="239"/>
      <c r="AJ106" s="239"/>
      <c r="AK106" s="239"/>
      <c r="AL106" s="239"/>
      <c r="AM106" s="239"/>
      <c r="AN106" s="239"/>
      <c r="AO106" s="239"/>
      <c r="AP106" s="239"/>
      <c r="AQ106" s="239"/>
      <c r="AR106" s="239"/>
      <c r="AS106" s="239"/>
      <c r="AT106" s="239"/>
      <c r="AU106" s="239"/>
      <c r="AV106" s="239"/>
      <c r="AW106" s="239"/>
      <c r="AX106" s="239"/>
      <c r="AY106" s="239"/>
      <c r="AZ106" s="239"/>
      <c r="BA106" s="239"/>
      <c r="BB106" s="239"/>
      <c r="BC106" s="239"/>
      <c r="BD106" s="239"/>
      <c r="BE106" s="144"/>
    </row>
    <row r="107" spans="10:57" ht="18.75">
      <c r="J107" s="50"/>
      <c r="U107" s="78"/>
      <c r="V107" s="45"/>
      <c r="W107" s="100"/>
      <c r="X107" s="239"/>
      <c r="Y107" s="239"/>
      <c r="Z107" s="239"/>
      <c r="AA107" s="239"/>
      <c r="AB107" s="239"/>
      <c r="AC107" s="239"/>
      <c r="AD107" s="239"/>
      <c r="AE107" s="239"/>
      <c r="AF107" s="239"/>
      <c r="AG107" s="239"/>
      <c r="AH107" s="239"/>
      <c r="AI107" s="239"/>
      <c r="AJ107" s="239"/>
      <c r="AK107" s="239"/>
      <c r="AL107" s="239"/>
      <c r="AM107" s="239"/>
      <c r="AN107" s="239"/>
      <c r="AO107" s="239"/>
      <c r="AP107" s="239"/>
      <c r="AQ107" s="239"/>
      <c r="AR107" s="239"/>
      <c r="AS107" s="239"/>
      <c r="AT107" s="239"/>
      <c r="AU107" s="239"/>
      <c r="AV107" s="239"/>
      <c r="AW107" s="239"/>
      <c r="AX107" s="239"/>
      <c r="AY107" s="239"/>
      <c r="AZ107" s="239"/>
      <c r="BA107" s="239"/>
      <c r="BB107" s="239"/>
      <c r="BC107" s="239"/>
      <c r="BD107" s="239"/>
      <c r="BE107" s="144"/>
    </row>
    <row r="108" spans="10:57" ht="18.75">
      <c r="J108" s="50"/>
      <c r="U108" s="78"/>
      <c r="V108" s="45"/>
      <c r="W108" s="100"/>
      <c r="X108" s="239" t="s">
        <v>194</v>
      </c>
      <c r="Y108" s="239"/>
      <c r="Z108" s="239"/>
      <c r="AA108" s="239"/>
      <c r="AB108" s="239"/>
      <c r="AC108" s="239"/>
      <c r="AD108" s="239"/>
      <c r="AE108" s="239"/>
      <c r="AF108" s="239"/>
      <c r="AG108" s="239"/>
      <c r="AH108" s="239"/>
      <c r="AI108" s="239"/>
      <c r="AJ108" s="239"/>
      <c r="AK108" s="239"/>
      <c r="AL108" s="239"/>
      <c r="AM108" s="239"/>
      <c r="AN108" s="239"/>
      <c r="AO108" s="239"/>
      <c r="AP108" s="239"/>
      <c r="AQ108" s="239"/>
      <c r="AR108" s="239"/>
      <c r="AS108" s="239"/>
      <c r="AT108" s="239"/>
      <c r="AU108" s="239"/>
      <c r="AV108" s="239"/>
      <c r="AW108" s="239"/>
      <c r="AX108" s="239"/>
      <c r="AY108" s="239"/>
      <c r="AZ108" s="239"/>
      <c r="BA108" s="239"/>
      <c r="BB108" s="239"/>
      <c r="BC108" s="239"/>
      <c r="BD108" s="239"/>
      <c r="BE108" s="144"/>
    </row>
    <row r="109" spans="10:57" ht="18" customHeight="1">
      <c r="J109" s="50"/>
      <c r="U109" s="78"/>
      <c r="V109" s="71"/>
      <c r="W109" s="100"/>
      <c r="X109" s="239"/>
      <c r="Y109" s="239"/>
      <c r="Z109" s="239"/>
      <c r="AA109" s="239"/>
      <c r="AB109" s="239"/>
      <c r="AC109" s="239"/>
      <c r="AD109" s="239"/>
      <c r="AE109" s="239"/>
      <c r="AF109" s="239"/>
      <c r="AG109" s="239"/>
      <c r="AH109" s="239"/>
      <c r="AI109" s="239"/>
      <c r="AJ109" s="239"/>
      <c r="AK109" s="239"/>
      <c r="AL109" s="239"/>
      <c r="AM109" s="239"/>
      <c r="AN109" s="239"/>
      <c r="AO109" s="239"/>
      <c r="AP109" s="239"/>
      <c r="AQ109" s="239"/>
      <c r="AR109" s="239"/>
      <c r="AS109" s="239"/>
      <c r="AT109" s="239"/>
      <c r="AU109" s="239"/>
      <c r="AV109" s="239"/>
      <c r="AW109" s="239"/>
      <c r="AX109" s="239"/>
      <c r="AY109" s="239"/>
      <c r="AZ109" s="239"/>
      <c r="BA109" s="239"/>
      <c r="BB109" s="239"/>
      <c r="BC109" s="239"/>
      <c r="BD109" s="239"/>
      <c r="BE109" s="144"/>
    </row>
    <row r="110" spans="10:57" ht="19.5" thickBot="1">
      <c r="J110" s="206"/>
      <c r="K110" s="186"/>
      <c r="L110" s="186"/>
      <c r="M110" s="186"/>
      <c r="N110" s="186"/>
      <c r="O110" s="186"/>
      <c r="P110" s="186"/>
      <c r="Q110" s="186"/>
      <c r="R110" s="186"/>
      <c r="S110" s="186"/>
      <c r="T110" s="186"/>
      <c r="U110" s="207"/>
      <c r="V110" s="71"/>
      <c r="W110" s="100"/>
      <c r="X110" s="239"/>
      <c r="Y110" s="239"/>
      <c r="Z110" s="239"/>
      <c r="AA110" s="239"/>
      <c r="AB110" s="239"/>
      <c r="AC110" s="239"/>
      <c r="AD110" s="239"/>
      <c r="AE110" s="239"/>
      <c r="AF110" s="239"/>
      <c r="AG110" s="239"/>
      <c r="AH110" s="239"/>
      <c r="AI110" s="239"/>
      <c r="AJ110" s="239"/>
      <c r="AK110" s="239"/>
      <c r="AL110" s="239"/>
      <c r="AM110" s="239"/>
      <c r="AN110" s="239"/>
      <c r="AO110" s="239"/>
      <c r="AP110" s="239"/>
      <c r="AQ110" s="239"/>
      <c r="AR110" s="239"/>
      <c r="AS110" s="239"/>
      <c r="AT110" s="239"/>
      <c r="AU110" s="239"/>
      <c r="AV110" s="239"/>
      <c r="AW110" s="239"/>
      <c r="AX110" s="239"/>
      <c r="AY110" s="239"/>
      <c r="AZ110" s="239"/>
      <c r="BA110" s="239"/>
      <c r="BB110" s="239"/>
      <c r="BC110" s="239"/>
      <c r="BD110" s="239"/>
      <c r="BE110" s="144"/>
    </row>
    <row r="111" spans="10:57" ht="18.75">
      <c r="V111" s="71"/>
      <c r="W111" s="100"/>
      <c r="X111" s="239" t="s">
        <v>195</v>
      </c>
      <c r="Y111" s="239"/>
      <c r="Z111" s="239"/>
      <c r="AA111" s="239"/>
      <c r="AB111" s="239"/>
      <c r="AC111" s="239"/>
      <c r="AD111" s="239"/>
      <c r="AE111" s="239"/>
      <c r="AF111" s="239"/>
      <c r="AG111" s="239"/>
      <c r="AH111" s="239"/>
      <c r="AI111" s="239"/>
      <c r="AJ111" s="239"/>
      <c r="AK111" s="239"/>
      <c r="AL111" s="239"/>
      <c r="AM111" s="239"/>
      <c r="AN111" s="239"/>
      <c r="AO111" s="239"/>
      <c r="AP111" s="239"/>
      <c r="AQ111" s="239"/>
      <c r="AR111" s="239"/>
      <c r="AS111" s="239"/>
      <c r="AT111" s="239"/>
      <c r="AU111" s="239"/>
      <c r="AV111" s="239"/>
      <c r="AW111" s="239"/>
      <c r="AX111" s="239"/>
      <c r="AY111" s="239"/>
      <c r="AZ111" s="239"/>
      <c r="BA111" s="239"/>
      <c r="BB111" s="239"/>
      <c r="BC111" s="239"/>
      <c r="BD111" s="239"/>
      <c r="BE111" s="144"/>
    </row>
    <row r="112" spans="10:57" ht="18" customHeight="1">
      <c r="V112" s="71"/>
      <c r="W112" s="100"/>
      <c r="X112" s="239"/>
      <c r="Y112" s="239"/>
      <c r="Z112" s="239"/>
      <c r="AA112" s="239"/>
      <c r="AB112" s="239"/>
      <c r="AC112" s="239"/>
      <c r="AD112" s="239"/>
      <c r="AE112" s="239"/>
      <c r="AF112" s="239"/>
      <c r="AG112" s="239"/>
      <c r="AH112" s="239"/>
      <c r="AI112" s="239"/>
      <c r="AJ112" s="239"/>
      <c r="AK112" s="239"/>
      <c r="AL112" s="239"/>
      <c r="AM112" s="239"/>
      <c r="AN112" s="239"/>
      <c r="AO112" s="239"/>
      <c r="AP112" s="239"/>
      <c r="AQ112" s="239"/>
      <c r="AR112" s="239"/>
      <c r="AS112" s="239"/>
      <c r="AT112" s="239"/>
      <c r="AU112" s="239"/>
      <c r="AV112" s="239"/>
      <c r="AW112" s="239"/>
      <c r="AX112" s="239"/>
      <c r="AY112" s="239"/>
      <c r="AZ112" s="239"/>
      <c r="BA112" s="239"/>
      <c r="BB112" s="239"/>
      <c r="BC112" s="239"/>
      <c r="BD112" s="239"/>
      <c r="BE112" s="144"/>
    </row>
    <row r="113" spans="22:57" ht="18.75">
      <c r="V113" s="71"/>
      <c r="W113" s="100"/>
      <c r="X113" s="239"/>
      <c r="Y113" s="239"/>
      <c r="Z113" s="239"/>
      <c r="AA113" s="239"/>
      <c r="AB113" s="239"/>
      <c r="AC113" s="239"/>
      <c r="AD113" s="239"/>
      <c r="AE113" s="239"/>
      <c r="AF113" s="239"/>
      <c r="AG113" s="239"/>
      <c r="AH113" s="239"/>
      <c r="AI113" s="239"/>
      <c r="AJ113" s="239"/>
      <c r="AK113" s="239"/>
      <c r="AL113" s="239"/>
      <c r="AM113" s="239"/>
      <c r="AN113" s="239"/>
      <c r="AO113" s="239"/>
      <c r="AP113" s="239"/>
      <c r="AQ113" s="239"/>
      <c r="AR113" s="239"/>
      <c r="AS113" s="239"/>
      <c r="AT113" s="239"/>
      <c r="AU113" s="239"/>
      <c r="AV113" s="239"/>
      <c r="AW113" s="239"/>
      <c r="AX113" s="239"/>
      <c r="AY113" s="239"/>
      <c r="AZ113" s="239"/>
      <c r="BA113" s="239"/>
      <c r="BB113" s="239"/>
      <c r="BC113" s="239"/>
      <c r="BD113" s="239"/>
      <c r="BE113" s="144"/>
    </row>
    <row r="114" spans="22:57" ht="18.75">
      <c r="V114" s="45"/>
      <c r="W114" s="100"/>
      <c r="X114" s="239"/>
      <c r="Y114" s="239"/>
      <c r="Z114" s="239"/>
      <c r="AA114" s="239"/>
      <c r="AB114" s="239"/>
      <c r="AC114" s="239"/>
      <c r="AD114" s="239"/>
      <c r="AE114" s="239"/>
      <c r="AF114" s="239"/>
      <c r="AG114" s="239"/>
      <c r="AH114" s="239"/>
      <c r="AI114" s="239"/>
      <c r="AJ114" s="239"/>
      <c r="AK114" s="239"/>
      <c r="AL114" s="239"/>
      <c r="AM114" s="239"/>
      <c r="AN114" s="239"/>
      <c r="AO114" s="239"/>
      <c r="AP114" s="239"/>
      <c r="AQ114" s="239"/>
      <c r="AR114" s="239"/>
      <c r="AS114" s="239"/>
      <c r="AT114" s="239"/>
      <c r="AU114" s="239"/>
      <c r="AV114" s="239"/>
      <c r="AW114" s="239"/>
      <c r="AX114" s="239"/>
      <c r="AY114" s="239"/>
      <c r="AZ114" s="239"/>
      <c r="BA114" s="239"/>
      <c r="BB114" s="239"/>
      <c r="BC114" s="239"/>
      <c r="BD114" s="239"/>
      <c r="BE114" s="144"/>
    </row>
    <row r="115" spans="22:57" ht="18.75">
      <c r="V115" s="45"/>
      <c r="W115" s="100"/>
      <c r="X115" s="239"/>
      <c r="Y115" s="239"/>
      <c r="Z115" s="239"/>
      <c r="AA115" s="239"/>
      <c r="AB115" s="239"/>
      <c r="AC115" s="239"/>
      <c r="AD115" s="239"/>
      <c r="AE115" s="239"/>
      <c r="AF115" s="239"/>
      <c r="AG115" s="239"/>
      <c r="AH115" s="239"/>
      <c r="AI115" s="239"/>
      <c r="AJ115" s="239"/>
      <c r="AK115" s="239"/>
      <c r="AL115" s="239"/>
      <c r="AM115" s="239"/>
      <c r="AN115" s="239"/>
      <c r="AO115" s="239"/>
      <c r="AP115" s="239"/>
      <c r="AQ115" s="239"/>
      <c r="AR115" s="239"/>
      <c r="AS115" s="239"/>
      <c r="AT115" s="239"/>
      <c r="AU115" s="239"/>
      <c r="AV115" s="239"/>
      <c r="AW115" s="239"/>
      <c r="AX115" s="239"/>
      <c r="AY115" s="239"/>
      <c r="AZ115" s="239"/>
      <c r="BA115" s="239"/>
      <c r="BB115" s="239"/>
      <c r="BC115" s="239"/>
      <c r="BD115" s="239"/>
      <c r="BE115" s="144"/>
    </row>
    <row r="116" spans="22:57" ht="18.75">
      <c r="V116" s="45"/>
      <c r="W116" s="100"/>
      <c r="X116" s="239" t="s">
        <v>196</v>
      </c>
      <c r="Y116" s="239"/>
      <c r="Z116" s="239"/>
      <c r="AA116" s="239"/>
      <c r="AB116" s="239"/>
      <c r="AC116" s="239"/>
      <c r="AD116" s="239"/>
      <c r="AE116" s="239"/>
      <c r="AF116" s="239"/>
      <c r="AG116" s="239"/>
      <c r="AH116" s="239"/>
      <c r="AI116" s="239"/>
      <c r="AJ116" s="239"/>
      <c r="AK116" s="239"/>
      <c r="AL116" s="239"/>
      <c r="AM116" s="239"/>
      <c r="AN116" s="239"/>
      <c r="AO116" s="239"/>
      <c r="AP116" s="239"/>
      <c r="AQ116" s="239"/>
      <c r="AR116" s="239"/>
      <c r="AS116" s="239"/>
      <c r="AT116" s="239"/>
      <c r="AU116" s="239"/>
      <c r="AV116" s="239"/>
      <c r="AW116" s="239"/>
      <c r="AX116" s="239"/>
      <c r="AY116" s="239"/>
      <c r="AZ116" s="239"/>
      <c r="BA116" s="239"/>
      <c r="BB116" s="239"/>
      <c r="BC116" s="239"/>
      <c r="BD116" s="239"/>
      <c r="BE116" s="144"/>
    </row>
    <row r="117" spans="22:57" ht="18" customHeight="1">
      <c r="V117" s="45"/>
      <c r="W117" s="100"/>
      <c r="X117" s="239"/>
      <c r="Y117" s="239"/>
      <c r="Z117" s="239"/>
      <c r="AA117" s="239"/>
      <c r="AB117" s="239"/>
      <c r="AC117" s="239"/>
      <c r="AD117" s="239"/>
      <c r="AE117" s="239"/>
      <c r="AF117" s="239"/>
      <c r="AG117" s="239"/>
      <c r="AH117" s="239"/>
      <c r="AI117" s="239"/>
      <c r="AJ117" s="239"/>
      <c r="AK117" s="239"/>
      <c r="AL117" s="239"/>
      <c r="AM117" s="239"/>
      <c r="AN117" s="239"/>
      <c r="AO117" s="239"/>
      <c r="AP117" s="239"/>
      <c r="AQ117" s="239"/>
      <c r="AR117" s="239"/>
      <c r="AS117" s="239"/>
      <c r="AT117" s="239"/>
      <c r="AU117" s="239"/>
      <c r="AV117" s="239"/>
      <c r="AW117" s="239"/>
      <c r="AX117" s="239"/>
      <c r="AY117" s="239"/>
      <c r="AZ117" s="239"/>
      <c r="BA117" s="239"/>
      <c r="BB117" s="239"/>
      <c r="BC117" s="239"/>
      <c r="BD117" s="239"/>
      <c r="BE117" s="144"/>
    </row>
    <row r="118" spans="22:57" ht="18.75">
      <c r="V118" s="45"/>
      <c r="W118" s="100"/>
      <c r="X118" s="239"/>
      <c r="Y118" s="239"/>
      <c r="Z118" s="239"/>
      <c r="AA118" s="239"/>
      <c r="AB118" s="239"/>
      <c r="AC118" s="239"/>
      <c r="AD118" s="239"/>
      <c r="AE118" s="239"/>
      <c r="AF118" s="239"/>
      <c r="AG118" s="239"/>
      <c r="AH118" s="239"/>
      <c r="AI118" s="239"/>
      <c r="AJ118" s="239"/>
      <c r="AK118" s="239"/>
      <c r="AL118" s="239"/>
      <c r="AM118" s="239"/>
      <c r="AN118" s="239"/>
      <c r="AO118" s="239"/>
      <c r="AP118" s="239"/>
      <c r="AQ118" s="239"/>
      <c r="AR118" s="239"/>
      <c r="AS118" s="239"/>
      <c r="AT118" s="239"/>
      <c r="AU118" s="239"/>
      <c r="AV118" s="239"/>
      <c r="AW118" s="239"/>
      <c r="AX118" s="239"/>
      <c r="AY118" s="239"/>
      <c r="AZ118" s="239"/>
      <c r="BA118" s="239"/>
      <c r="BB118" s="239"/>
      <c r="BC118" s="239"/>
      <c r="BD118" s="239"/>
      <c r="BE118" s="144"/>
    </row>
    <row r="119" spans="22:57" ht="19.5" thickBot="1">
      <c r="V119" s="45"/>
      <c r="W119" s="100"/>
      <c r="X119" s="239"/>
      <c r="Y119" s="239"/>
      <c r="Z119" s="239"/>
      <c r="AA119" s="239"/>
      <c r="AB119" s="239"/>
      <c r="AC119" s="239"/>
      <c r="AD119" s="239"/>
      <c r="AE119" s="239"/>
      <c r="AF119" s="239"/>
      <c r="AG119" s="239"/>
      <c r="AH119" s="239"/>
      <c r="AI119" s="239"/>
      <c r="AJ119" s="239"/>
      <c r="AK119" s="239"/>
      <c r="AL119" s="239"/>
      <c r="AM119" s="239"/>
      <c r="AN119" s="239"/>
      <c r="AO119" s="239"/>
      <c r="AP119" s="239"/>
      <c r="AQ119" s="239"/>
      <c r="AR119" s="239"/>
      <c r="AS119" s="239"/>
      <c r="AT119" s="239"/>
      <c r="AU119" s="239"/>
      <c r="AV119" s="239"/>
      <c r="AW119" s="239"/>
      <c r="AX119" s="239"/>
      <c r="AY119" s="239"/>
      <c r="AZ119" s="239"/>
      <c r="BA119" s="239"/>
      <c r="BB119" s="239"/>
      <c r="BC119" s="239"/>
      <c r="BD119" s="239"/>
      <c r="BE119" s="144"/>
    </row>
    <row r="120" spans="22:57" ht="15.75">
      <c r="V120" s="45"/>
      <c r="W120" s="100"/>
      <c r="X120" s="147"/>
      <c r="Y120" s="147"/>
      <c r="Z120" s="147"/>
      <c r="AA120" s="147"/>
      <c r="AB120" s="147"/>
      <c r="AC120" s="147"/>
      <c r="AD120" s="147"/>
      <c r="AE120" s="147"/>
      <c r="AF120" s="147"/>
      <c r="AG120" s="147"/>
      <c r="AH120" s="147"/>
      <c r="AI120" s="147"/>
      <c r="AJ120" s="147"/>
      <c r="AK120" s="147"/>
      <c r="AL120" s="108"/>
      <c r="AM120" s="100" t="s">
        <v>197</v>
      </c>
      <c r="AN120" s="100"/>
      <c r="AO120" s="148"/>
      <c r="AP120" s="100"/>
      <c r="AQ120" s="100"/>
      <c r="AR120" s="147"/>
      <c r="AS120" s="147"/>
      <c r="AT120" s="301"/>
      <c r="AU120" s="302"/>
      <c r="AV120" s="302"/>
      <c r="AW120" s="302"/>
      <c r="AX120" s="303"/>
      <c r="AY120" s="149"/>
      <c r="AZ120" s="310"/>
      <c r="BA120" s="311"/>
      <c r="BB120" s="311"/>
      <c r="BC120" s="311"/>
      <c r="BD120" s="312"/>
      <c r="BE120" s="147"/>
    </row>
    <row r="121" spans="22:57" ht="15.75">
      <c r="V121" s="45"/>
      <c r="W121" s="100"/>
      <c r="X121" s="100"/>
      <c r="Y121" s="100"/>
      <c r="Z121" s="100"/>
      <c r="AA121" s="100"/>
      <c r="AB121" s="100"/>
      <c r="AC121" s="100"/>
      <c r="AD121" s="100"/>
      <c r="AE121" s="100"/>
      <c r="AF121" s="100"/>
      <c r="AG121" s="100"/>
      <c r="AH121" s="100"/>
      <c r="AI121" s="100"/>
      <c r="AJ121" s="100"/>
      <c r="AK121" s="100"/>
      <c r="AL121" s="108"/>
      <c r="AM121" s="100" t="s">
        <v>198</v>
      </c>
      <c r="AN121" s="100"/>
      <c r="AO121" s="100"/>
      <c r="AP121" s="100"/>
      <c r="AQ121" s="100"/>
      <c r="AR121" s="100"/>
      <c r="AS121" s="100"/>
      <c r="AT121" s="304"/>
      <c r="AU121" s="305"/>
      <c r="AV121" s="305"/>
      <c r="AW121" s="305"/>
      <c r="AX121" s="306"/>
      <c r="AY121" s="147"/>
      <c r="AZ121" s="313"/>
      <c r="BA121" s="314"/>
      <c r="BB121" s="314"/>
      <c r="BC121" s="314"/>
      <c r="BD121" s="315"/>
      <c r="BE121" s="147"/>
    </row>
    <row r="122" spans="22:57" ht="15.75">
      <c r="V122" s="45"/>
      <c r="W122" s="100"/>
      <c r="X122" s="100"/>
      <c r="Y122" s="100"/>
      <c r="Z122" s="100"/>
      <c r="AA122" s="100"/>
      <c r="AB122" s="100"/>
      <c r="AC122" s="100"/>
      <c r="AD122" s="100"/>
      <c r="AE122" s="100"/>
      <c r="AF122" s="100"/>
      <c r="AG122" s="100"/>
      <c r="AH122" s="100"/>
      <c r="AI122" s="100"/>
      <c r="AJ122" s="100"/>
      <c r="AK122" s="100"/>
      <c r="AL122" s="108"/>
      <c r="AM122" s="100" t="s">
        <v>199</v>
      </c>
      <c r="AN122" s="100"/>
      <c r="AO122" s="100"/>
      <c r="AP122" s="100"/>
      <c r="AQ122" s="100"/>
      <c r="AR122" s="100"/>
      <c r="AS122" s="100"/>
      <c r="AT122" s="304"/>
      <c r="AU122" s="305"/>
      <c r="AV122" s="305"/>
      <c r="AW122" s="305"/>
      <c r="AX122" s="306"/>
      <c r="AY122" s="147"/>
      <c r="AZ122" s="313"/>
      <c r="BA122" s="314"/>
      <c r="BB122" s="314"/>
      <c r="BC122" s="314"/>
      <c r="BD122" s="315"/>
      <c r="BE122" s="147"/>
    </row>
    <row r="123" spans="22:57" ht="16.5" thickBot="1">
      <c r="V123" s="45"/>
      <c r="W123" s="100"/>
      <c r="X123" s="100"/>
      <c r="Y123" s="100"/>
      <c r="Z123" s="399" t="str">
        <f>AU64</f>
        <v>MADONNA LYN O MARQUEZ</v>
      </c>
      <c r="AA123" s="399"/>
      <c r="AB123" s="399"/>
      <c r="AC123" s="399"/>
      <c r="AD123" s="399"/>
      <c r="AE123" s="399"/>
      <c r="AF123" s="399"/>
      <c r="AG123" s="399"/>
      <c r="AH123" s="399"/>
      <c r="AI123" s="100"/>
      <c r="AJ123" s="100"/>
      <c r="AK123" s="100"/>
      <c r="AL123" s="108"/>
      <c r="AM123" s="100" t="s">
        <v>108</v>
      </c>
      <c r="AN123" s="100"/>
      <c r="AO123" s="244" t="s">
        <v>260</v>
      </c>
      <c r="AP123" s="244"/>
      <c r="AQ123" s="244"/>
      <c r="AR123" s="100"/>
      <c r="AS123" s="100"/>
      <c r="AT123" s="304"/>
      <c r="AU123" s="305"/>
      <c r="AV123" s="305"/>
      <c r="AW123" s="305"/>
      <c r="AX123" s="306"/>
      <c r="AY123" s="147"/>
      <c r="AZ123" s="313"/>
      <c r="BA123" s="314"/>
      <c r="BB123" s="314"/>
      <c r="BC123" s="314"/>
      <c r="BD123" s="315"/>
      <c r="BE123" s="147"/>
    </row>
    <row r="124" spans="22:57" ht="15.75">
      <c r="V124" s="45"/>
      <c r="W124" s="100"/>
      <c r="X124" s="319" t="s">
        <v>200</v>
      </c>
      <c r="Y124" s="319"/>
      <c r="Z124" s="319"/>
      <c r="AA124" s="319"/>
      <c r="AB124" s="319"/>
      <c r="AC124" s="319"/>
      <c r="AD124" s="319"/>
      <c r="AE124" s="319"/>
      <c r="AF124" s="319"/>
      <c r="AG124" s="319"/>
      <c r="AH124" s="319"/>
      <c r="AI124" s="319"/>
      <c r="AJ124" s="319"/>
      <c r="AK124" s="100"/>
      <c r="AL124" s="100"/>
      <c r="AM124" s="100"/>
      <c r="AN124" s="100"/>
      <c r="AO124" s="100"/>
      <c r="AP124" s="100"/>
      <c r="AQ124" s="100"/>
      <c r="AR124" s="100"/>
      <c r="AS124" s="100"/>
      <c r="AT124" s="304"/>
      <c r="AU124" s="305"/>
      <c r="AV124" s="305"/>
      <c r="AW124" s="305"/>
      <c r="AX124" s="306"/>
      <c r="AY124" s="147"/>
      <c r="AZ124" s="313"/>
      <c r="BA124" s="314"/>
      <c r="BB124" s="314"/>
      <c r="BC124" s="314"/>
      <c r="BD124" s="315"/>
      <c r="BE124" s="147"/>
    </row>
    <row r="125" spans="22:57" ht="15.75">
      <c r="V125" s="45"/>
      <c r="W125" s="100"/>
      <c r="X125" s="102"/>
      <c r="Y125" s="100"/>
      <c r="Z125" s="100"/>
      <c r="AA125" s="100"/>
      <c r="AB125" s="100"/>
      <c r="AC125" s="100"/>
      <c r="AD125" s="100"/>
      <c r="AE125" s="100"/>
      <c r="AF125" s="100"/>
      <c r="AG125" s="100"/>
      <c r="AH125" s="100"/>
      <c r="AI125" s="100"/>
      <c r="AJ125" s="100"/>
      <c r="AK125" s="100"/>
      <c r="AL125" s="100"/>
      <c r="AM125" s="100"/>
      <c r="AN125" s="100"/>
      <c r="AO125" s="100"/>
      <c r="AP125" s="100"/>
      <c r="AQ125" s="100"/>
      <c r="AR125" s="100"/>
      <c r="AS125" s="100"/>
      <c r="AT125" s="304"/>
      <c r="AU125" s="305"/>
      <c r="AV125" s="305"/>
      <c r="AW125" s="305"/>
      <c r="AX125" s="306"/>
      <c r="AY125" s="147"/>
      <c r="AZ125" s="313"/>
      <c r="BA125" s="314"/>
      <c r="BB125" s="314"/>
      <c r="BC125" s="314"/>
      <c r="BD125" s="315"/>
      <c r="BE125" s="147"/>
    </row>
    <row r="126" spans="22:57" ht="16.5" thickBot="1">
      <c r="V126" s="45"/>
      <c r="W126" s="100"/>
      <c r="X126" s="100" t="s">
        <v>201</v>
      </c>
      <c r="Y126" s="100"/>
      <c r="Z126" s="244" t="s">
        <v>261</v>
      </c>
      <c r="AA126" s="244"/>
      <c r="AB126" s="244"/>
      <c r="AC126" s="244"/>
      <c r="AD126" s="244"/>
      <c r="AE126" s="244"/>
      <c r="AF126" s="244"/>
      <c r="AG126" s="244"/>
      <c r="AH126" s="244"/>
      <c r="AI126" s="244"/>
      <c r="AJ126" s="100"/>
      <c r="AK126" s="100"/>
      <c r="AL126" s="100"/>
      <c r="AM126" s="100"/>
      <c r="AN126" s="100"/>
      <c r="AO126" s="100"/>
      <c r="AP126" s="100"/>
      <c r="AQ126" s="100"/>
      <c r="AR126" s="100"/>
      <c r="AS126" s="100"/>
      <c r="AT126" s="307"/>
      <c r="AU126" s="308"/>
      <c r="AV126" s="308"/>
      <c r="AW126" s="308"/>
      <c r="AX126" s="309"/>
      <c r="AY126" s="150"/>
      <c r="AZ126" s="316"/>
      <c r="BA126" s="317"/>
      <c r="BB126" s="317"/>
      <c r="BC126" s="317"/>
      <c r="BD126" s="318"/>
      <c r="BE126" s="147"/>
    </row>
    <row r="127" spans="22:57" ht="16.5" thickBot="1">
      <c r="V127" s="45"/>
      <c r="W127" s="100"/>
      <c r="X127" s="100" t="s">
        <v>202</v>
      </c>
      <c r="Y127" s="100"/>
      <c r="Z127" s="100"/>
      <c r="AA127" s="100"/>
      <c r="AB127" s="401"/>
      <c r="AC127" s="401"/>
      <c r="AD127" s="401"/>
      <c r="AE127" s="401"/>
      <c r="AF127" s="401"/>
      <c r="AG127" s="401"/>
      <c r="AH127" s="401"/>
      <c r="AI127" s="401"/>
      <c r="AJ127" s="100"/>
      <c r="AK127" s="100"/>
      <c r="AL127" s="100"/>
      <c r="AM127" s="100"/>
      <c r="AN127" s="100"/>
      <c r="AO127" s="100"/>
      <c r="AP127" s="100"/>
      <c r="AQ127" s="100"/>
      <c r="AR127" s="100"/>
      <c r="AS127" s="100"/>
      <c r="AT127" s="256" t="s">
        <v>203</v>
      </c>
      <c r="AU127" s="256"/>
      <c r="AV127" s="256"/>
      <c r="AW127" s="256"/>
      <c r="AX127" s="256"/>
      <c r="AY127" s="112"/>
      <c r="AZ127" s="256" t="s">
        <v>204</v>
      </c>
      <c r="BA127" s="256"/>
      <c r="BB127" s="256"/>
      <c r="BC127" s="256"/>
      <c r="BD127" s="256"/>
      <c r="BE127" s="113"/>
    </row>
    <row r="128" spans="22:57" ht="15.75">
      <c r="V128" s="45"/>
      <c r="W128" s="100"/>
      <c r="X128" s="100"/>
      <c r="Y128" s="100"/>
      <c r="Z128" s="100"/>
      <c r="AA128" s="100"/>
      <c r="AB128" s="100"/>
      <c r="AC128" s="100"/>
      <c r="AD128" s="100"/>
      <c r="AE128" s="100"/>
      <c r="AF128" s="100"/>
      <c r="AG128" s="100"/>
      <c r="AH128" s="100"/>
      <c r="AI128" s="100"/>
      <c r="AJ128" s="100"/>
      <c r="AK128" s="100"/>
      <c r="AL128" s="100"/>
      <c r="AM128" s="100"/>
      <c r="AN128" s="100"/>
      <c r="AO128" s="100"/>
      <c r="AP128" s="100"/>
      <c r="AQ128" s="100"/>
      <c r="AR128" s="100"/>
      <c r="AS128" s="100"/>
      <c r="AT128" s="100"/>
      <c r="AU128" s="100"/>
      <c r="AV128" s="100"/>
      <c r="AW128" s="100"/>
      <c r="AX128" s="100"/>
      <c r="AY128" s="100"/>
      <c r="AZ128" s="100"/>
      <c r="BA128" s="100"/>
      <c r="BB128" s="100"/>
      <c r="BC128" s="100"/>
      <c r="BD128" s="100"/>
      <c r="BE128" s="100"/>
    </row>
    <row r="129" spans="10:57" ht="15.75">
      <c r="V129" s="45"/>
      <c r="W129" s="100"/>
      <c r="X129" s="100"/>
      <c r="Y129" s="100"/>
      <c r="Z129" s="100"/>
      <c r="AA129" s="100"/>
      <c r="AB129" s="100"/>
      <c r="AC129" s="100"/>
      <c r="AD129" s="100"/>
      <c r="AE129" s="100"/>
      <c r="AF129" s="100"/>
      <c r="AG129" s="100"/>
      <c r="AH129" s="100"/>
      <c r="AI129" s="100"/>
      <c r="AJ129" s="100"/>
      <c r="AK129" s="100"/>
      <c r="AL129" s="100"/>
      <c r="AM129" s="100"/>
      <c r="AN129" s="100"/>
      <c r="AO129" s="100"/>
      <c r="AP129" s="100"/>
      <c r="AQ129" s="100"/>
      <c r="AR129" s="100"/>
      <c r="AS129" s="100"/>
      <c r="AT129" s="100"/>
      <c r="AU129" s="100"/>
      <c r="AV129" s="100"/>
      <c r="AW129" s="100"/>
      <c r="AX129" s="100"/>
      <c r="AY129" s="100"/>
      <c r="AZ129" s="100"/>
      <c r="BA129" s="100"/>
      <c r="BB129" s="100"/>
      <c r="BC129" s="100"/>
      <c r="BD129" s="100"/>
      <c r="BE129" s="100"/>
    </row>
    <row r="130" spans="10:57" ht="18.75">
      <c r="V130" s="45"/>
      <c r="W130" s="100"/>
      <c r="X130" s="253" t="s">
        <v>205</v>
      </c>
      <c r="Y130" s="254"/>
      <c r="Z130" s="254"/>
      <c r="AA130" s="254"/>
      <c r="AB130" s="254"/>
      <c r="AC130" s="254"/>
      <c r="AD130" s="254"/>
      <c r="AE130" s="254"/>
      <c r="AF130" s="254"/>
      <c r="AG130" s="254"/>
      <c r="AH130" s="254"/>
      <c r="AI130" s="254"/>
      <c r="AJ130" s="254"/>
      <c r="AK130" s="254"/>
      <c r="AL130" s="254"/>
      <c r="AM130" s="254"/>
      <c r="AN130" s="254"/>
      <c r="AO130" s="254"/>
      <c r="AP130" s="254"/>
      <c r="AQ130" s="254"/>
      <c r="AR130" s="254"/>
      <c r="AS130" s="254"/>
      <c r="AT130" s="254"/>
      <c r="AU130" s="254"/>
      <c r="AV130" s="254"/>
      <c r="AW130" s="254"/>
      <c r="AX130" s="254"/>
      <c r="AY130" s="254"/>
      <c r="AZ130" s="254"/>
      <c r="BA130" s="254"/>
      <c r="BB130" s="254"/>
      <c r="BC130" s="254"/>
      <c r="BD130" s="254"/>
      <c r="BE130" s="254"/>
    </row>
    <row r="131" spans="10:57" ht="15.75">
      <c r="V131" s="45"/>
      <c r="W131" s="100"/>
      <c r="X131" s="100"/>
      <c r="Y131" s="100"/>
      <c r="Z131" s="100"/>
      <c r="AA131" s="100"/>
      <c r="AB131" s="100"/>
      <c r="AC131" s="100"/>
      <c r="AD131" s="100"/>
      <c r="AE131" s="100"/>
      <c r="AF131" s="100"/>
      <c r="AG131" s="100"/>
      <c r="AH131" s="100"/>
      <c r="AI131" s="100"/>
      <c r="AJ131" s="100"/>
      <c r="AK131" s="100"/>
      <c r="AL131" s="100"/>
      <c r="AM131" s="100"/>
      <c r="AN131" s="100"/>
      <c r="AO131" s="100"/>
      <c r="AP131" s="100"/>
      <c r="AQ131" s="100"/>
      <c r="AR131" s="100"/>
      <c r="AS131" s="100"/>
      <c r="AT131" s="100"/>
      <c r="AU131" s="100"/>
      <c r="AV131" s="100"/>
      <c r="AW131" s="100"/>
      <c r="AX131" s="100"/>
      <c r="AY131" s="100"/>
      <c r="AZ131" s="100"/>
      <c r="BA131" s="100"/>
      <c r="BB131" s="100"/>
      <c r="BC131" s="100"/>
      <c r="BD131" s="100"/>
      <c r="BE131" s="100"/>
    </row>
    <row r="132" spans="10:57" ht="17.25">
      <c r="V132" s="45"/>
      <c r="W132" s="100"/>
      <c r="X132" s="151" t="s">
        <v>206</v>
      </c>
      <c r="Y132" s="152"/>
      <c r="Z132" s="152"/>
      <c r="AA132" s="152"/>
      <c r="AB132" s="152"/>
      <c r="AC132" s="152"/>
      <c r="AD132" s="152"/>
      <c r="AE132" s="100"/>
      <c r="AF132" s="100"/>
      <c r="AG132" s="100"/>
      <c r="AH132" s="100"/>
      <c r="AI132" s="100"/>
      <c r="AJ132" s="100"/>
      <c r="AK132" s="100"/>
      <c r="AL132" s="100"/>
      <c r="AM132" s="100"/>
      <c r="AN132" s="100"/>
      <c r="AO132" s="100"/>
      <c r="AP132" s="100"/>
      <c r="AQ132" s="100"/>
      <c r="AR132" s="100"/>
      <c r="AS132" s="100"/>
      <c r="AT132" s="100"/>
      <c r="AU132" s="100"/>
      <c r="AV132" s="100"/>
      <c r="AW132" s="100"/>
      <c r="AX132" s="100"/>
      <c r="AY132" s="100"/>
      <c r="AZ132" s="100"/>
      <c r="BA132" s="100"/>
      <c r="BB132" s="100"/>
      <c r="BC132" s="100"/>
      <c r="BD132" s="100"/>
      <c r="BE132" s="100"/>
    </row>
    <row r="133" spans="10:57" ht="17.25">
      <c r="V133" s="45"/>
      <c r="W133" s="100"/>
      <c r="X133" s="153" t="s">
        <v>207</v>
      </c>
      <c r="Y133" s="152"/>
      <c r="Z133" s="152"/>
      <c r="AA133" s="152"/>
      <c r="AB133" s="152"/>
      <c r="AC133" s="152"/>
      <c r="AD133" s="152"/>
      <c r="AE133" s="100"/>
      <c r="AF133" s="100"/>
      <c r="AG133" s="100"/>
      <c r="AH133" s="100"/>
      <c r="AI133" s="100"/>
      <c r="AJ133" s="100"/>
      <c r="AK133" s="100"/>
      <c r="AL133" s="100"/>
      <c r="AM133" s="100"/>
      <c r="AN133" s="100"/>
      <c r="AO133" s="100"/>
      <c r="AP133" s="100"/>
      <c r="AQ133" s="100"/>
      <c r="AR133" s="100"/>
      <c r="AS133" s="100"/>
      <c r="AT133" s="100"/>
      <c r="AU133" s="100"/>
      <c r="AV133" s="100"/>
      <c r="AW133" s="100"/>
      <c r="AX133" s="100"/>
      <c r="AY133" s="100"/>
      <c r="AZ133" s="100"/>
      <c r="BA133" s="100"/>
      <c r="BB133" s="100"/>
      <c r="BC133" s="100"/>
      <c r="BD133" s="100"/>
      <c r="BE133" s="100"/>
    </row>
    <row r="134" spans="10:57" ht="17.25">
      <c r="V134" s="45"/>
      <c r="W134" s="100"/>
      <c r="X134" s="152"/>
      <c r="Y134" s="152"/>
      <c r="Z134" s="152"/>
      <c r="AA134" s="152"/>
      <c r="AB134" s="152"/>
      <c r="AC134" s="152"/>
      <c r="AD134" s="152"/>
      <c r="AE134" s="100"/>
      <c r="AF134" s="100"/>
      <c r="AG134" s="100"/>
      <c r="AH134" s="100"/>
      <c r="AI134" s="100"/>
      <c r="AJ134" s="100"/>
      <c r="AK134" s="100"/>
      <c r="AL134" s="100"/>
      <c r="AM134" s="100"/>
      <c r="AN134" s="100"/>
      <c r="AO134" s="100"/>
      <c r="AP134" s="100"/>
      <c r="AQ134" s="100"/>
      <c r="AR134" s="100"/>
      <c r="AS134" s="100"/>
      <c r="AT134" s="100"/>
      <c r="AU134" s="100"/>
      <c r="AV134" s="100"/>
      <c r="AW134" s="100"/>
      <c r="AX134" s="100"/>
      <c r="AY134" s="100"/>
      <c r="AZ134" s="100"/>
      <c r="BA134" s="100"/>
      <c r="BB134" s="100"/>
      <c r="BC134" s="100"/>
      <c r="BD134" s="100"/>
      <c r="BE134" s="100"/>
    </row>
    <row r="135" spans="10:57" ht="17.25">
      <c r="J135" s="45"/>
      <c r="K135" s="45"/>
      <c r="L135" s="45"/>
      <c r="M135" s="45"/>
      <c r="N135" s="45"/>
      <c r="O135" s="49"/>
      <c r="P135" s="45"/>
      <c r="Q135" s="45"/>
      <c r="R135" s="45"/>
      <c r="S135" s="45"/>
      <c r="T135" s="45"/>
      <c r="U135" s="45"/>
      <c r="V135" s="45"/>
      <c r="W135" s="100"/>
      <c r="X135" s="257" t="s">
        <v>208</v>
      </c>
      <c r="Y135" s="257"/>
      <c r="Z135" s="257"/>
      <c r="AA135" s="257"/>
      <c r="AB135" s="257"/>
      <c r="AC135" s="257"/>
      <c r="AD135" s="257"/>
      <c r="AE135" s="257"/>
      <c r="AF135" s="257"/>
      <c r="AG135" s="257"/>
      <c r="AH135" s="257"/>
      <c r="AI135" s="257"/>
      <c r="AJ135" s="257"/>
      <c r="AK135" s="257"/>
      <c r="AL135" s="257"/>
      <c r="AM135" s="257"/>
      <c r="AN135" s="257"/>
      <c r="AO135" s="257"/>
      <c r="AP135" s="257"/>
      <c r="AQ135" s="257"/>
      <c r="AR135" s="257"/>
      <c r="AS135" s="257"/>
      <c r="AT135" s="257"/>
      <c r="AU135" s="257"/>
      <c r="AV135" s="257"/>
      <c r="AW135" s="257"/>
      <c r="AX135" s="257"/>
      <c r="AY135" s="257"/>
      <c r="AZ135" s="257"/>
      <c r="BA135" s="257"/>
      <c r="BB135" s="257"/>
      <c r="BC135" s="257"/>
      <c r="BD135" s="257"/>
      <c r="BE135" s="154"/>
    </row>
    <row r="136" spans="10:57" ht="17.25">
      <c r="W136" s="100"/>
      <c r="X136" s="258" t="s">
        <v>209</v>
      </c>
      <c r="Y136" s="258"/>
      <c r="Z136" s="258"/>
      <c r="AA136" s="258"/>
      <c r="AB136" s="258"/>
      <c r="AC136" s="258"/>
      <c r="AD136" s="258"/>
      <c r="AE136" s="258"/>
      <c r="AF136" s="258"/>
      <c r="AG136" s="258"/>
      <c r="AH136" s="258"/>
      <c r="AI136" s="258"/>
      <c r="AJ136" s="258"/>
      <c r="AK136" s="258"/>
      <c r="AL136" s="258"/>
      <c r="AM136" s="258"/>
      <c r="AN136" s="258"/>
      <c r="AO136" s="258"/>
      <c r="AP136" s="258"/>
      <c r="AQ136" s="258"/>
      <c r="AR136" s="258"/>
      <c r="AS136" s="258"/>
      <c r="AT136" s="258"/>
      <c r="AU136" s="258"/>
      <c r="AV136" s="258"/>
      <c r="AW136" s="258"/>
      <c r="AX136" s="258"/>
      <c r="AY136" s="258"/>
      <c r="AZ136" s="258"/>
      <c r="BA136" s="258"/>
      <c r="BB136" s="258"/>
      <c r="BC136" s="258"/>
      <c r="BD136" s="258"/>
      <c r="BE136" s="154"/>
    </row>
    <row r="137" spans="10:57" ht="17.25">
      <c r="W137" s="100"/>
      <c r="X137" s="258"/>
      <c r="Y137" s="258"/>
      <c r="Z137" s="258"/>
      <c r="AA137" s="258"/>
      <c r="AB137" s="258"/>
      <c r="AC137" s="258"/>
      <c r="AD137" s="258"/>
      <c r="AE137" s="258"/>
      <c r="AF137" s="258"/>
      <c r="AG137" s="258"/>
      <c r="AH137" s="258"/>
      <c r="AI137" s="258"/>
      <c r="AJ137" s="258"/>
      <c r="AK137" s="258"/>
      <c r="AL137" s="258"/>
      <c r="AM137" s="258"/>
      <c r="AN137" s="258"/>
      <c r="AO137" s="258"/>
      <c r="AP137" s="258"/>
      <c r="AQ137" s="258"/>
      <c r="AR137" s="258"/>
      <c r="AS137" s="258"/>
      <c r="AT137" s="258"/>
      <c r="AU137" s="258"/>
      <c r="AV137" s="258"/>
      <c r="AW137" s="258"/>
      <c r="AX137" s="258"/>
      <c r="AY137" s="258"/>
      <c r="AZ137" s="258"/>
      <c r="BA137" s="258"/>
      <c r="BB137" s="258"/>
      <c r="BC137" s="258"/>
      <c r="BD137" s="258"/>
      <c r="BE137" s="154"/>
    </row>
    <row r="138" spans="10:57" ht="17.25">
      <c r="W138" s="100"/>
      <c r="X138" s="258"/>
      <c r="Y138" s="258"/>
      <c r="Z138" s="258"/>
      <c r="AA138" s="258"/>
      <c r="AB138" s="258"/>
      <c r="AC138" s="258"/>
      <c r="AD138" s="258"/>
      <c r="AE138" s="258"/>
      <c r="AF138" s="258"/>
      <c r="AG138" s="258"/>
      <c r="AH138" s="258"/>
      <c r="AI138" s="258"/>
      <c r="AJ138" s="258"/>
      <c r="AK138" s="258"/>
      <c r="AL138" s="258"/>
      <c r="AM138" s="258"/>
      <c r="AN138" s="258"/>
      <c r="AO138" s="258"/>
      <c r="AP138" s="258"/>
      <c r="AQ138" s="258"/>
      <c r="AR138" s="258"/>
      <c r="AS138" s="258"/>
      <c r="AT138" s="258"/>
      <c r="AU138" s="258"/>
      <c r="AV138" s="258"/>
      <c r="AW138" s="258"/>
      <c r="AX138" s="258"/>
      <c r="AY138" s="258"/>
      <c r="AZ138" s="258"/>
      <c r="BA138" s="258"/>
      <c r="BB138" s="258"/>
      <c r="BC138" s="258"/>
      <c r="BD138" s="258"/>
      <c r="BE138" s="154"/>
    </row>
    <row r="139" spans="10:57" ht="17.25">
      <c r="W139" s="100"/>
      <c r="X139" s="258"/>
      <c r="Y139" s="258"/>
      <c r="Z139" s="258"/>
      <c r="AA139" s="258"/>
      <c r="AB139" s="258"/>
      <c r="AC139" s="258"/>
      <c r="AD139" s="258"/>
      <c r="AE139" s="258"/>
      <c r="AF139" s="258"/>
      <c r="AG139" s="258"/>
      <c r="AH139" s="258"/>
      <c r="AI139" s="258"/>
      <c r="AJ139" s="258"/>
      <c r="AK139" s="258"/>
      <c r="AL139" s="258"/>
      <c r="AM139" s="258"/>
      <c r="AN139" s="258"/>
      <c r="AO139" s="258"/>
      <c r="AP139" s="258"/>
      <c r="AQ139" s="258"/>
      <c r="AR139" s="258"/>
      <c r="AS139" s="258"/>
      <c r="AT139" s="258"/>
      <c r="AU139" s="258"/>
      <c r="AV139" s="258"/>
      <c r="AW139" s="258"/>
      <c r="AX139" s="258"/>
      <c r="AY139" s="258"/>
      <c r="AZ139" s="258"/>
      <c r="BA139" s="258"/>
      <c r="BB139" s="258"/>
      <c r="BC139" s="258"/>
      <c r="BD139" s="258"/>
      <c r="BE139" s="155"/>
    </row>
    <row r="140" spans="10:57" ht="17.25">
      <c r="W140" s="100"/>
      <c r="X140" s="152"/>
      <c r="Y140" s="156" t="s">
        <v>210</v>
      </c>
      <c r="Z140" s="152"/>
      <c r="AA140" s="152"/>
      <c r="AB140" s="152"/>
      <c r="AC140" s="152"/>
      <c r="AD140" s="152"/>
      <c r="AE140" s="100"/>
      <c r="AF140" s="100"/>
      <c r="AG140" s="100"/>
      <c r="AH140" s="100"/>
      <c r="AI140" s="100"/>
      <c r="AJ140" s="100"/>
      <c r="AK140" s="100"/>
      <c r="AL140" s="100"/>
      <c r="AM140" s="100"/>
      <c r="AN140" s="100"/>
      <c r="AO140" s="100"/>
      <c r="AP140" s="100"/>
      <c r="AQ140" s="100"/>
      <c r="AR140" s="100"/>
      <c r="AS140" s="100"/>
      <c r="AT140" s="100"/>
      <c r="AU140" s="100"/>
      <c r="AV140" s="100"/>
      <c r="AW140" s="100"/>
      <c r="AX140" s="100"/>
      <c r="AY140" s="100"/>
      <c r="AZ140" s="100"/>
      <c r="BA140" s="100"/>
      <c r="BB140" s="100"/>
      <c r="BC140" s="100"/>
      <c r="BD140" s="100"/>
      <c r="BE140" s="100"/>
    </row>
    <row r="141" spans="10:57" ht="17.25">
      <c r="W141" s="100"/>
      <c r="X141" s="152"/>
      <c r="Y141" s="152"/>
      <c r="Z141" s="152"/>
      <c r="AA141" s="152"/>
      <c r="AB141" s="152"/>
      <c r="AC141" s="152"/>
      <c r="AD141" s="152"/>
      <c r="AE141" s="100"/>
      <c r="AF141" s="100"/>
      <c r="AG141" s="100"/>
      <c r="AH141" s="100"/>
      <c r="AI141" s="100"/>
      <c r="AJ141" s="100"/>
      <c r="AK141" s="100"/>
      <c r="AL141" s="100"/>
      <c r="AM141" s="100"/>
      <c r="AN141" s="100"/>
      <c r="AO141" s="100"/>
      <c r="AP141" s="100"/>
      <c r="AQ141" s="100"/>
      <c r="AR141" s="100"/>
      <c r="AS141" s="100"/>
      <c r="AT141" s="100"/>
      <c r="AU141" s="100"/>
      <c r="AV141" s="100"/>
      <c r="AW141" s="100"/>
      <c r="AX141" s="100"/>
      <c r="AY141" s="100"/>
      <c r="AZ141" s="100"/>
      <c r="BA141" s="100"/>
      <c r="BB141" s="100"/>
      <c r="BC141" s="100"/>
      <c r="BD141" s="100"/>
      <c r="BE141" s="100"/>
    </row>
    <row r="142" spans="10:57" ht="18" thickBot="1">
      <c r="W142" s="100"/>
      <c r="X142" s="157" t="s">
        <v>211</v>
      </c>
      <c r="Y142" s="152"/>
      <c r="Z142" s="152"/>
      <c r="AA142" s="259"/>
      <c r="AB142" s="259"/>
      <c r="AC142" s="259"/>
      <c r="AD142" s="152"/>
      <c r="AE142" s="100"/>
      <c r="AF142" s="100"/>
      <c r="AG142" s="100"/>
      <c r="AH142" s="100"/>
      <c r="AI142" s="100"/>
      <c r="AJ142" s="100"/>
      <c r="AK142" s="100"/>
      <c r="AL142" s="100"/>
      <c r="AM142" s="100"/>
      <c r="AN142" s="100"/>
      <c r="AO142" s="100"/>
      <c r="AP142" s="100"/>
      <c r="AQ142" s="100"/>
      <c r="AR142" s="100"/>
      <c r="AS142" s="100"/>
      <c r="AT142" s="100"/>
      <c r="AU142" s="100"/>
      <c r="AV142" s="100"/>
      <c r="AW142" s="100"/>
      <c r="AX142" s="100"/>
      <c r="AY142" s="100"/>
      <c r="AZ142" s="100"/>
      <c r="BA142" s="100"/>
      <c r="BB142" s="100"/>
      <c r="BC142" s="100"/>
      <c r="BD142" s="100"/>
      <c r="BE142" s="100"/>
    </row>
    <row r="143" spans="10:57" ht="18" thickBot="1">
      <c r="W143" s="100"/>
      <c r="X143" s="157" t="s">
        <v>212</v>
      </c>
      <c r="Y143" s="152"/>
      <c r="Z143" s="152"/>
      <c r="AA143" s="300"/>
      <c r="AB143" s="300"/>
      <c r="AC143" s="300"/>
      <c r="AD143" s="152"/>
      <c r="AE143" s="100"/>
      <c r="AF143" s="100"/>
      <c r="AG143" s="100"/>
      <c r="AH143" s="100"/>
      <c r="AI143" s="100"/>
      <c r="AJ143" s="100"/>
      <c r="AK143" s="100"/>
      <c r="AL143" s="100"/>
      <c r="AM143" s="100"/>
      <c r="AN143" s="100"/>
      <c r="AO143" s="100"/>
      <c r="AP143" s="100"/>
      <c r="AQ143" s="100"/>
      <c r="AR143" s="100"/>
      <c r="AS143" s="100"/>
      <c r="AT143" s="100"/>
      <c r="AU143" s="100"/>
      <c r="AV143" s="100"/>
      <c r="AW143" s="100"/>
      <c r="AX143" s="100"/>
      <c r="AY143" s="100"/>
      <c r="AZ143" s="100"/>
      <c r="BA143" s="100"/>
      <c r="BB143" s="100"/>
      <c r="BC143" s="100"/>
      <c r="BD143" s="100"/>
      <c r="BE143" s="100"/>
    </row>
    <row r="144" spans="10:57" ht="18" thickBot="1">
      <c r="W144" s="100"/>
      <c r="X144" s="157" t="s">
        <v>213</v>
      </c>
      <c r="Y144" s="152"/>
      <c r="Z144" s="152"/>
      <c r="AA144" s="300"/>
      <c r="AB144" s="300"/>
      <c r="AC144" s="300"/>
      <c r="AD144" s="152"/>
      <c r="AE144" s="100"/>
      <c r="AF144" s="100"/>
      <c r="AG144" s="100"/>
      <c r="AH144" s="100"/>
      <c r="AI144" s="100"/>
      <c r="AJ144" s="100"/>
      <c r="AK144" s="100"/>
      <c r="AL144" s="100"/>
      <c r="AM144" s="100"/>
      <c r="AN144" s="100"/>
      <c r="AO144" s="100"/>
      <c r="AP144" s="100"/>
      <c r="AQ144" s="100"/>
      <c r="AR144" s="100"/>
      <c r="AS144" s="100"/>
      <c r="AT144" s="100"/>
      <c r="AU144" s="100"/>
      <c r="AV144" s="100"/>
      <c r="AW144" s="100"/>
      <c r="AX144" s="100"/>
      <c r="AY144" s="100"/>
      <c r="AZ144" s="100"/>
      <c r="BA144" s="100"/>
      <c r="BB144" s="100"/>
      <c r="BC144" s="100"/>
      <c r="BD144" s="100"/>
      <c r="BE144" s="100"/>
    </row>
    <row r="145" spans="23:57" ht="18" thickBot="1">
      <c r="W145" s="100"/>
      <c r="X145" s="157" t="s">
        <v>214</v>
      </c>
      <c r="Y145" s="152"/>
      <c r="Z145" s="152"/>
      <c r="AA145" s="300"/>
      <c r="AB145" s="300"/>
      <c r="AC145" s="300"/>
      <c r="AD145" s="152"/>
      <c r="AE145" s="100"/>
      <c r="AF145" s="100"/>
      <c r="AG145" s="100"/>
      <c r="AH145" s="100"/>
      <c r="AI145" s="100"/>
      <c r="AJ145" s="100"/>
      <c r="AK145" s="100"/>
      <c r="AL145" s="100"/>
      <c r="AM145" s="100"/>
      <c r="AN145" s="100"/>
      <c r="AO145" s="100"/>
      <c r="AP145" s="100"/>
      <c r="AQ145" s="100"/>
      <c r="AR145" s="100"/>
      <c r="AS145" s="100"/>
      <c r="AT145" s="100"/>
      <c r="AU145" s="100"/>
      <c r="AV145" s="100"/>
      <c r="AW145" s="100"/>
      <c r="AX145" s="100"/>
      <c r="AY145" s="100"/>
      <c r="AZ145" s="100"/>
      <c r="BA145" s="100"/>
      <c r="BB145" s="100"/>
      <c r="BC145" s="100"/>
      <c r="BD145" s="100"/>
      <c r="BE145" s="100"/>
    </row>
    <row r="146" spans="23:57" ht="15.75">
      <c r="W146" s="100"/>
      <c r="X146" s="158"/>
      <c r="Y146" s="100"/>
      <c r="Z146" s="100"/>
      <c r="AA146" s="109"/>
      <c r="AB146" s="109"/>
      <c r="AC146" s="109"/>
      <c r="AD146" s="100"/>
      <c r="AE146" s="100"/>
      <c r="AF146" s="100"/>
      <c r="AG146" s="100"/>
      <c r="AH146" s="100"/>
      <c r="AI146" s="100"/>
      <c r="AJ146" s="100"/>
      <c r="AK146" s="100"/>
      <c r="AL146" s="100"/>
      <c r="AM146" s="100"/>
      <c r="AN146" s="100"/>
      <c r="AO146" s="100"/>
      <c r="AP146" s="100"/>
      <c r="AQ146" s="100"/>
      <c r="AR146" s="100"/>
      <c r="AS146" s="100"/>
      <c r="AT146" s="100"/>
      <c r="AU146" s="100"/>
      <c r="AV146" s="100"/>
      <c r="AW146" s="100"/>
      <c r="AX146" s="100"/>
      <c r="AY146" s="100"/>
      <c r="AZ146" s="100"/>
      <c r="BA146" s="100"/>
      <c r="BB146" s="100"/>
      <c r="BC146" s="100"/>
      <c r="BD146" s="100"/>
      <c r="BE146" s="100"/>
    </row>
    <row r="147" spans="23:57" ht="18.75">
      <c r="W147" s="100"/>
      <c r="X147" s="253" t="s">
        <v>215</v>
      </c>
      <c r="Y147" s="254"/>
      <c r="Z147" s="254"/>
      <c r="AA147" s="254"/>
      <c r="AB147" s="254"/>
      <c r="AC147" s="254"/>
      <c r="AD147" s="254"/>
      <c r="AE147" s="254"/>
      <c r="AF147" s="254"/>
      <c r="AG147" s="254"/>
      <c r="AH147" s="254"/>
      <c r="AI147" s="254"/>
      <c r="AJ147" s="254"/>
      <c r="AK147" s="254"/>
      <c r="AL147" s="254"/>
      <c r="AM147" s="254"/>
      <c r="AN147" s="254"/>
      <c r="AO147" s="254"/>
      <c r="AP147" s="254"/>
      <c r="AQ147" s="254"/>
      <c r="AR147" s="254"/>
      <c r="AS147" s="254"/>
      <c r="AT147" s="254"/>
      <c r="AU147" s="254"/>
      <c r="AV147" s="254"/>
      <c r="AW147" s="254"/>
      <c r="AX147" s="254"/>
      <c r="AY147" s="254"/>
      <c r="AZ147" s="254"/>
      <c r="BA147" s="254"/>
      <c r="BB147" s="254"/>
      <c r="BC147" s="254"/>
      <c r="BD147" s="254"/>
      <c r="BE147" s="159"/>
    </row>
    <row r="148" spans="23:57" ht="15.75">
      <c r="W148" s="100"/>
      <c r="X148" s="160"/>
      <c r="Y148" s="161"/>
      <c r="Z148" s="161"/>
      <c r="AA148" s="161"/>
      <c r="AB148" s="161"/>
      <c r="AC148" s="161"/>
      <c r="AD148" s="161"/>
      <c r="AE148" s="161"/>
      <c r="AF148" s="161"/>
      <c r="AG148" s="161"/>
      <c r="AH148" s="161"/>
      <c r="AI148" s="161"/>
      <c r="AJ148" s="161"/>
      <c r="AK148" s="161"/>
      <c r="AL148" s="161"/>
      <c r="AM148" s="161"/>
      <c r="AN148" s="161"/>
      <c r="AO148" s="161"/>
      <c r="AP148" s="161"/>
      <c r="AQ148" s="161"/>
      <c r="AR148" s="161"/>
      <c r="AS148" s="161"/>
      <c r="AT148" s="161"/>
      <c r="AU148" s="161"/>
      <c r="AV148" s="161"/>
      <c r="AW148" s="161"/>
      <c r="AX148" s="161"/>
      <c r="AY148" s="161"/>
      <c r="AZ148" s="161"/>
      <c r="BA148" s="161"/>
      <c r="BB148" s="161"/>
      <c r="BC148" s="161"/>
      <c r="BD148" s="161"/>
      <c r="BE148" s="161"/>
    </row>
    <row r="149" spans="23:57" ht="17.25">
      <c r="W149" s="100"/>
      <c r="X149" s="152"/>
      <c r="Y149" s="152" t="s">
        <v>216</v>
      </c>
      <c r="Z149" s="100"/>
      <c r="AA149" s="100"/>
      <c r="AB149" s="100"/>
      <c r="AC149" s="100"/>
      <c r="AD149" s="100"/>
      <c r="AE149" s="100"/>
      <c r="AF149" s="100"/>
      <c r="AG149" s="100"/>
      <c r="AH149" s="100"/>
      <c r="AI149" s="100"/>
      <c r="AJ149" s="100"/>
      <c r="AK149" s="100"/>
      <c r="AL149" s="100"/>
      <c r="AM149" s="100"/>
      <c r="AN149" s="100"/>
      <c r="AO149" s="100"/>
      <c r="AP149" s="100"/>
      <c r="AQ149" s="100"/>
      <c r="AR149" s="100"/>
      <c r="AS149" s="100"/>
      <c r="AT149" s="100"/>
      <c r="AU149" s="100"/>
      <c r="AV149" s="100"/>
      <c r="AW149" s="100"/>
      <c r="AX149" s="100"/>
      <c r="AY149" s="100"/>
      <c r="AZ149" s="100"/>
      <c r="BA149" s="100"/>
      <c r="BB149" s="100"/>
      <c r="BC149" s="100"/>
      <c r="BD149" s="100"/>
      <c r="BE149" s="100"/>
    </row>
    <row r="150" spans="23:57" ht="17.25">
      <c r="W150" s="100"/>
      <c r="X150" s="162" t="s">
        <v>217</v>
      </c>
      <c r="Y150" s="152"/>
      <c r="Z150" s="100"/>
      <c r="AA150" s="100"/>
      <c r="AB150" s="100"/>
      <c r="AC150" s="100"/>
      <c r="AD150" s="100"/>
      <c r="AE150" s="100"/>
      <c r="AF150" s="100"/>
      <c r="AG150" s="100"/>
      <c r="AH150" s="100"/>
      <c r="AI150" s="100"/>
      <c r="AJ150" s="100"/>
      <c r="AK150" s="100"/>
      <c r="AL150" s="100"/>
      <c r="AM150" s="100"/>
      <c r="AN150" s="100"/>
      <c r="AO150" s="100"/>
      <c r="AP150" s="100"/>
      <c r="AQ150" s="100"/>
      <c r="AR150" s="100"/>
      <c r="AS150" s="100"/>
      <c r="AT150" s="100"/>
      <c r="AU150" s="100"/>
      <c r="AV150" s="100"/>
      <c r="AW150" s="100"/>
      <c r="AX150" s="100"/>
      <c r="AY150" s="100"/>
      <c r="AZ150" s="100"/>
      <c r="BA150" s="100"/>
      <c r="BB150" s="100"/>
      <c r="BC150" s="100"/>
      <c r="BD150" s="100"/>
      <c r="BE150" s="100"/>
    </row>
    <row r="151" spans="23:57" ht="19.5" thickBot="1">
      <c r="W151" s="100"/>
      <c r="X151" s="162" t="s">
        <v>218</v>
      </c>
      <c r="Y151" s="152"/>
      <c r="Z151" s="100"/>
      <c r="AA151" s="100"/>
      <c r="AB151" s="100"/>
      <c r="AC151" s="136"/>
      <c r="AD151" s="255">
        <f>AN102</f>
        <v>5610.0156461740853</v>
      </c>
      <c r="AE151" s="255"/>
      <c r="AF151" s="255"/>
      <c r="AG151" s="255"/>
      <c r="AH151" s="298" t="s">
        <v>219</v>
      </c>
      <c r="AI151" s="298"/>
      <c r="AJ151" s="298"/>
      <c r="AK151" s="298"/>
      <c r="AL151" s="181">
        <f>AB102</f>
        <v>36</v>
      </c>
      <c r="AM151" s="163" t="s">
        <v>220</v>
      </c>
      <c r="AQ151" s="100"/>
      <c r="AR151" s="100"/>
      <c r="AS151" s="100"/>
      <c r="AT151" s="100"/>
      <c r="AU151" s="299">
        <f>AB39</f>
        <v>150000</v>
      </c>
      <c r="AV151" s="299"/>
      <c r="AW151" s="299"/>
      <c r="AX151" s="299"/>
      <c r="AY151" s="299"/>
      <c r="AZ151" s="163" t="s">
        <v>221</v>
      </c>
      <c r="BA151" s="164"/>
      <c r="BB151" s="164"/>
      <c r="BC151" s="164"/>
      <c r="BE151" s="100"/>
    </row>
    <row r="152" spans="23:57" ht="17.25">
      <c r="W152" s="100"/>
      <c r="X152" s="152"/>
      <c r="Y152" s="156" t="s">
        <v>222</v>
      </c>
      <c r="Z152" s="100"/>
      <c r="AA152" s="100"/>
      <c r="AB152" s="100"/>
      <c r="AC152" s="100"/>
      <c r="AD152" s="100"/>
      <c r="AE152" s="100"/>
      <c r="AF152" s="100"/>
      <c r="AG152" s="100"/>
      <c r="AH152" s="100"/>
      <c r="AI152" s="100"/>
      <c r="AJ152" s="100"/>
      <c r="AK152" s="100"/>
      <c r="AL152" s="100"/>
      <c r="AM152" s="100"/>
      <c r="AN152" s="100"/>
      <c r="AO152" s="100"/>
      <c r="AP152" s="100"/>
      <c r="AQ152" s="100"/>
      <c r="AR152" s="100"/>
      <c r="AS152" s="100"/>
      <c r="AT152" s="100"/>
      <c r="AU152" s="100"/>
      <c r="AV152" s="100"/>
      <c r="AW152" s="100"/>
      <c r="AX152" s="100"/>
      <c r="AY152" s="100"/>
      <c r="AZ152" s="100"/>
      <c r="BA152" s="100"/>
      <c r="BB152" s="100"/>
      <c r="BC152" s="100"/>
      <c r="BD152" s="100"/>
      <c r="BE152" s="100"/>
    </row>
    <row r="153" spans="23:57" ht="17.25">
      <c r="W153" s="100"/>
      <c r="X153" s="156" t="s">
        <v>223</v>
      </c>
      <c r="Y153" s="152"/>
      <c r="Z153" s="100"/>
      <c r="AA153" s="100"/>
      <c r="AB153" s="100"/>
      <c r="AC153" s="100"/>
      <c r="AD153" s="100"/>
      <c r="AE153" s="100"/>
      <c r="AF153" s="100"/>
      <c r="AG153" s="100"/>
      <c r="AH153" s="100"/>
      <c r="AI153" s="100"/>
      <c r="AJ153" s="100"/>
      <c r="AK153" s="100"/>
      <c r="AL153" s="100"/>
      <c r="AM153" s="100"/>
      <c r="AN153" s="100"/>
      <c r="AO153" s="100"/>
      <c r="AP153" s="100"/>
      <c r="AQ153" s="100"/>
      <c r="AR153" s="100"/>
      <c r="AS153" s="100"/>
      <c r="AT153" s="100"/>
      <c r="AU153" s="100"/>
      <c r="AV153" s="100"/>
      <c r="AW153" s="100"/>
      <c r="AX153" s="100"/>
      <c r="AY153" s="100"/>
      <c r="AZ153" s="100"/>
      <c r="BA153" s="100"/>
      <c r="BB153" s="100"/>
      <c r="BC153" s="100"/>
      <c r="BD153" s="100"/>
      <c r="BE153" s="100"/>
    </row>
    <row r="154" spans="23:57" ht="15.75">
      <c r="W154" s="100"/>
      <c r="X154" s="100"/>
      <c r="Y154" s="100"/>
      <c r="Z154" s="100"/>
      <c r="AA154" s="100"/>
      <c r="AB154" s="100"/>
      <c r="AC154" s="100"/>
      <c r="AD154" s="100"/>
      <c r="AE154" s="100"/>
      <c r="AF154" s="100"/>
      <c r="AG154" s="100"/>
      <c r="AH154" s="100"/>
      <c r="AI154" s="100"/>
      <c r="AJ154" s="100"/>
      <c r="AK154" s="100"/>
      <c r="AL154" s="100"/>
      <c r="AM154" s="100"/>
      <c r="AN154" s="100"/>
      <c r="AO154" s="100"/>
      <c r="AP154" s="100"/>
      <c r="AQ154" s="100"/>
      <c r="AR154" s="100"/>
      <c r="AS154" s="100"/>
      <c r="AT154" s="100"/>
      <c r="AU154" s="100"/>
      <c r="AV154" s="100"/>
      <c r="AW154" s="100"/>
      <c r="AX154" s="100"/>
      <c r="AY154" s="100"/>
      <c r="AZ154" s="100"/>
      <c r="BA154" s="100"/>
      <c r="BB154" s="100"/>
      <c r="BC154" s="100"/>
      <c r="BD154" s="100"/>
      <c r="BE154" s="100"/>
    </row>
    <row r="155" spans="23:57" ht="19.5" thickBot="1">
      <c r="W155" s="100"/>
      <c r="X155" s="100"/>
      <c r="Y155" s="100"/>
      <c r="Z155" s="100"/>
      <c r="AA155" s="100"/>
      <c r="AB155" s="100"/>
      <c r="AC155" s="100"/>
      <c r="AD155" s="100"/>
      <c r="AE155" s="100"/>
      <c r="AF155" s="100"/>
      <c r="AG155" s="100"/>
      <c r="AH155" s="100"/>
      <c r="AI155" s="395" t="str">
        <f>Z123</f>
        <v>MADONNA LYN O MARQUEZ</v>
      </c>
      <c r="AJ155" s="395"/>
      <c r="AK155" s="395"/>
      <c r="AL155" s="395"/>
      <c r="AM155" s="395"/>
      <c r="AN155" s="395"/>
      <c r="AO155" s="395"/>
      <c r="AP155" s="395"/>
      <c r="AQ155" s="395"/>
      <c r="AR155" s="395"/>
      <c r="AS155" s="395"/>
      <c r="AT155" s="175"/>
      <c r="AU155" s="175"/>
      <c r="AV155" s="100"/>
      <c r="AW155" s="100"/>
      <c r="AX155" s="100"/>
      <c r="AY155" s="100"/>
      <c r="AZ155" s="100"/>
      <c r="BA155" s="100"/>
      <c r="BB155" s="100"/>
      <c r="BC155" s="100"/>
      <c r="BD155" s="100"/>
      <c r="BE155" s="100"/>
    </row>
    <row r="156" spans="23:57" ht="15.75">
      <c r="W156" s="100"/>
      <c r="X156" s="252" t="s">
        <v>224</v>
      </c>
      <c r="Y156" s="252"/>
      <c r="Z156" s="252"/>
      <c r="AA156" s="252"/>
      <c r="AB156" s="252"/>
      <c r="AC156" s="252"/>
      <c r="AD156" s="252"/>
      <c r="AE156" s="252"/>
      <c r="AF156" s="252"/>
      <c r="AG156" s="252"/>
      <c r="AH156" s="252"/>
      <c r="AI156" s="252"/>
      <c r="AJ156" s="252"/>
      <c r="AK156" s="252"/>
      <c r="AL156" s="252"/>
      <c r="AM156" s="252"/>
      <c r="AN156" s="252"/>
      <c r="AO156" s="252"/>
      <c r="AP156" s="252"/>
      <c r="AQ156" s="252"/>
      <c r="AR156" s="252"/>
      <c r="AS156" s="252"/>
      <c r="AT156" s="252"/>
      <c r="AU156" s="252"/>
      <c r="AV156" s="252"/>
      <c r="AW156" s="252"/>
      <c r="AX156" s="252"/>
      <c r="AY156" s="252"/>
      <c r="AZ156" s="252"/>
      <c r="BA156" s="252"/>
      <c r="BB156" s="252"/>
      <c r="BC156" s="252"/>
      <c r="BD156" s="252"/>
      <c r="BE156" s="102"/>
    </row>
    <row r="157" spans="23:57" ht="15.75">
      <c r="W157" s="100"/>
      <c r="X157" s="143"/>
      <c r="Y157" s="143"/>
      <c r="Z157" s="143"/>
      <c r="AA157" s="143"/>
      <c r="AB157" s="143"/>
      <c r="AC157" s="143"/>
      <c r="AD157" s="143"/>
      <c r="AE157" s="143"/>
      <c r="AF157" s="143"/>
      <c r="AG157" s="143"/>
      <c r="AH157" s="143"/>
      <c r="AI157" s="143"/>
      <c r="AJ157" s="143"/>
      <c r="AK157" s="143"/>
      <c r="AL157" s="143"/>
      <c r="AM157" s="143"/>
      <c r="AN157" s="143"/>
      <c r="AO157" s="143"/>
      <c r="AP157" s="143"/>
      <c r="AQ157" s="143"/>
      <c r="AR157" s="143"/>
      <c r="AS157" s="143"/>
      <c r="AT157" s="143"/>
      <c r="AU157" s="143"/>
      <c r="AV157" s="143"/>
      <c r="AW157" s="143"/>
      <c r="AX157" s="143"/>
      <c r="AY157" s="143"/>
      <c r="AZ157" s="143"/>
      <c r="BA157" s="143"/>
      <c r="BB157" s="143"/>
      <c r="BC157" s="143"/>
      <c r="BD157" s="143"/>
      <c r="BE157" s="135"/>
    </row>
    <row r="158" spans="23:57" ht="18.75">
      <c r="W158" s="100"/>
      <c r="X158" s="253" t="s">
        <v>158</v>
      </c>
      <c r="Y158" s="254"/>
      <c r="Z158" s="254"/>
      <c r="AA158" s="254"/>
      <c r="AB158" s="254"/>
      <c r="AC158" s="254"/>
      <c r="AD158" s="254"/>
      <c r="AE158" s="254"/>
      <c r="AF158" s="254"/>
      <c r="AG158" s="254"/>
      <c r="AH158" s="254"/>
      <c r="AI158" s="254"/>
      <c r="AJ158" s="254"/>
      <c r="AK158" s="254"/>
      <c r="AL158" s="254"/>
      <c r="AM158" s="254"/>
      <c r="AN158" s="254"/>
      <c r="AO158" s="254"/>
      <c r="AP158" s="254"/>
      <c r="AQ158" s="254"/>
      <c r="AR158" s="254"/>
      <c r="AS158" s="254"/>
      <c r="AT158" s="254"/>
      <c r="AU158" s="254"/>
      <c r="AV158" s="254"/>
      <c r="AW158" s="254"/>
      <c r="AX158" s="254"/>
      <c r="AY158" s="254"/>
      <c r="AZ158" s="254"/>
      <c r="BA158" s="254"/>
      <c r="BB158" s="254"/>
      <c r="BC158" s="254"/>
      <c r="BD158" s="254"/>
      <c r="BE158" s="159"/>
    </row>
    <row r="159" spans="23:57" ht="15.75">
      <c r="W159" s="100"/>
      <c r="X159" s="100"/>
      <c r="Y159" s="100"/>
      <c r="Z159" s="100"/>
      <c r="AA159" s="100"/>
      <c r="AB159" s="100"/>
      <c r="AC159" s="100"/>
      <c r="AD159" s="100"/>
      <c r="AE159" s="100"/>
      <c r="AF159" s="100"/>
      <c r="AG159" s="100"/>
      <c r="AH159" s="100"/>
      <c r="AI159" s="100"/>
      <c r="AJ159" s="100"/>
      <c r="AK159" s="100"/>
      <c r="AL159" s="100"/>
      <c r="AM159" s="100"/>
      <c r="AN159" s="100"/>
      <c r="AO159" s="100"/>
      <c r="AP159" s="100"/>
      <c r="AQ159" s="100"/>
      <c r="AR159" s="100"/>
      <c r="AS159" s="100"/>
      <c r="AT159" s="100"/>
      <c r="AU159" s="100"/>
      <c r="AV159" s="100"/>
      <c r="AW159" s="100"/>
      <c r="AX159" s="100"/>
      <c r="AY159" s="100"/>
      <c r="AZ159" s="100"/>
      <c r="BA159" s="100"/>
      <c r="BB159" s="100"/>
      <c r="BC159" s="100"/>
      <c r="BD159" s="100"/>
      <c r="BE159" s="100"/>
    </row>
    <row r="160" spans="23:57" ht="17.25">
      <c r="W160" s="100"/>
      <c r="X160" s="152"/>
      <c r="Y160" s="156" t="s">
        <v>225</v>
      </c>
      <c r="Z160" s="100"/>
      <c r="AA160" s="100"/>
      <c r="AB160" s="100"/>
      <c r="AC160" s="100"/>
      <c r="AD160" s="100"/>
      <c r="AE160" s="100"/>
      <c r="AF160" s="100"/>
      <c r="AG160" s="100"/>
      <c r="AH160" s="100"/>
      <c r="AI160" s="100"/>
      <c r="AJ160" s="100"/>
      <c r="AK160" s="100"/>
      <c r="AL160" s="100"/>
      <c r="AM160" s="100"/>
      <c r="AN160" s="100"/>
      <c r="AO160" s="100"/>
      <c r="AP160" s="100"/>
      <c r="AQ160" s="100"/>
      <c r="AR160" s="100"/>
      <c r="AS160" s="100"/>
      <c r="AT160" s="100"/>
      <c r="AU160" s="100"/>
      <c r="AV160" s="100"/>
      <c r="AW160" s="100"/>
      <c r="AX160" s="100"/>
      <c r="AY160" s="100"/>
      <c r="AZ160" s="100"/>
      <c r="BA160" s="100"/>
      <c r="BB160" s="100"/>
      <c r="BC160" s="100"/>
      <c r="BD160" s="100"/>
      <c r="BE160" s="100"/>
    </row>
    <row r="161" spans="23:57" ht="17.25">
      <c r="W161" s="100"/>
      <c r="X161" s="156" t="s">
        <v>226</v>
      </c>
      <c r="Y161" s="152"/>
      <c r="Z161" s="100"/>
      <c r="AA161" s="100"/>
      <c r="AB161" s="100"/>
      <c r="AC161" s="100"/>
      <c r="AD161" s="100"/>
      <c r="AE161" s="100"/>
      <c r="AF161" s="100"/>
      <c r="AG161" s="100"/>
      <c r="AH161" s="100"/>
      <c r="AI161" s="100"/>
      <c r="AJ161" s="100"/>
      <c r="AK161" s="100"/>
      <c r="AL161" s="100"/>
      <c r="AM161" s="100"/>
      <c r="AN161" s="100"/>
      <c r="AO161" s="100"/>
      <c r="AP161" s="100"/>
      <c r="AQ161" s="100"/>
      <c r="AR161" s="100"/>
      <c r="AS161" s="100"/>
      <c r="AT161" s="100"/>
      <c r="AU161" s="100"/>
      <c r="AV161" s="100"/>
      <c r="AW161" s="100"/>
      <c r="AX161" s="100"/>
      <c r="AY161" s="100"/>
      <c r="AZ161" s="100"/>
      <c r="BA161" s="100"/>
      <c r="BB161" s="100"/>
      <c r="BC161" s="100"/>
      <c r="BD161" s="100"/>
      <c r="BE161" s="100"/>
    </row>
    <row r="162" spans="23:57" ht="17.25">
      <c r="W162" s="100"/>
      <c r="X162" s="156" t="s">
        <v>227</v>
      </c>
      <c r="Y162" s="152"/>
      <c r="Z162" s="100"/>
      <c r="AA162" s="100"/>
      <c r="AB162" s="100"/>
      <c r="AC162" s="100"/>
      <c r="AD162" s="100"/>
      <c r="AE162" s="100"/>
      <c r="AF162" s="100"/>
      <c r="AG162" s="100"/>
      <c r="AH162" s="100"/>
      <c r="AI162" s="100"/>
      <c r="AJ162" s="100"/>
      <c r="AK162" s="100"/>
      <c r="AL162" s="100"/>
      <c r="AM162" s="100"/>
      <c r="AN162" s="100"/>
      <c r="AO162" s="100"/>
      <c r="AP162" s="100"/>
      <c r="AQ162" s="100"/>
      <c r="AR162" s="100"/>
      <c r="AS162" s="100"/>
      <c r="AT162" s="100"/>
      <c r="AU162" s="100"/>
      <c r="AV162" s="100"/>
      <c r="AW162" s="100"/>
      <c r="AX162" s="100"/>
      <c r="AY162" s="100"/>
      <c r="AZ162" s="100"/>
      <c r="BA162" s="100"/>
      <c r="BB162" s="100"/>
      <c r="BC162" s="100"/>
      <c r="BD162" s="100"/>
      <c r="BE162" s="100"/>
    </row>
    <row r="163" spans="23:57" ht="17.25">
      <c r="W163" s="100"/>
      <c r="X163" s="156"/>
      <c r="Y163" s="152"/>
      <c r="Z163" s="100"/>
      <c r="AA163" s="100"/>
      <c r="AB163" s="100"/>
      <c r="AC163" s="100"/>
      <c r="AD163" s="100"/>
      <c r="AE163" s="100"/>
      <c r="AF163" s="100"/>
      <c r="AG163" s="100"/>
      <c r="AH163" s="100"/>
      <c r="AI163" s="100"/>
      <c r="AJ163" s="100"/>
      <c r="AK163" s="100"/>
      <c r="AL163" s="100"/>
      <c r="AM163" s="100"/>
      <c r="AN163" s="100"/>
      <c r="AO163" s="100"/>
      <c r="AP163" s="100"/>
      <c r="AQ163" s="100"/>
      <c r="AR163" s="100"/>
      <c r="AS163" s="100"/>
      <c r="AT163" s="100"/>
      <c r="AU163" s="100"/>
      <c r="AV163" s="100"/>
      <c r="AW163" s="100"/>
      <c r="AX163" s="100"/>
      <c r="AY163" s="100"/>
      <c r="AZ163" s="100"/>
      <c r="BA163" s="100"/>
      <c r="BB163" s="100"/>
      <c r="BC163" s="100"/>
      <c r="BD163" s="100"/>
      <c r="BE163" s="100"/>
    </row>
    <row r="164" spans="23:57" ht="17.25">
      <c r="W164" s="100"/>
      <c r="X164" s="156"/>
      <c r="Y164" s="152"/>
      <c r="Z164" s="100"/>
      <c r="AA164" s="100"/>
      <c r="AB164" s="100"/>
      <c r="AC164" s="100"/>
      <c r="AD164" s="100"/>
      <c r="AE164" s="100"/>
      <c r="AF164" s="100"/>
      <c r="AG164" s="100"/>
      <c r="AH164" s="100"/>
      <c r="AI164" s="100"/>
      <c r="AJ164" s="100"/>
      <c r="AK164" s="100"/>
      <c r="AL164" s="100"/>
      <c r="AM164" s="100"/>
      <c r="AN164" s="100"/>
      <c r="AO164" s="100"/>
      <c r="AP164" s="100"/>
      <c r="AQ164" s="100"/>
      <c r="AR164" s="100"/>
      <c r="AS164" s="100"/>
      <c r="AT164" s="100"/>
      <c r="AU164" s="100"/>
      <c r="AV164" s="100"/>
      <c r="AW164" s="100"/>
      <c r="AX164" s="100"/>
      <c r="AY164" s="100"/>
      <c r="AZ164" s="100"/>
      <c r="BA164" s="100"/>
      <c r="BB164" s="100"/>
      <c r="BC164" s="100"/>
      <c r="BD164" s="100"/>
      <c r="BE164" s="100"/>
    </row>
    <row r="165" spans="23:57" ht="16.5" thickBot="1">
      <c r="W165" s="100"/>
      <c r="X165" s="100"/>
      <c r="Y165" s="100"/>
      <c r="Z165" s="100"/>
      <c r="AA165" s="100"/>
      <c r="AB165" s="100"/>
      <c r="AC165" s="100"/>
      <c r="AD165" s="100"/>
      <c r="AE165" s="100"/>
      <c r="AF165" s="102"/>
      <c r="AG165" s="102"/>
      <c r="AH165" s="102"/>
      <c r="AI165" s="212"/>
      <c r="AJ165" s="212"/>
      <c r="AK165" s="212"/>
      <c r="AL165" s="212"/>
      <c r="AM165" s="212" t="s">
        <v>279</v>
      </c>
      <c r="AN165" s="212"/>
      <c r="AO165" s="212"/>
      <c r="AP165" s="212"/>
      <c r="AQ165" s="212"/>
      <c r="AR165" s="212"/>
      <c r="AS165" s="212"/>
      <c r="AT165" s="212"/>
      <c r="AU165" s="212"/>
      <c r="AV165" s="102"/>
      <c r="AW165" s="102"/>
      <c r="AX165" s="102"/>
      <c r="AZ165" s="100"/>
      <c r="BA165" s="100"/>
      <c r="BB165" s="100"/>
      <c r="BC165" s="100"/>
      <c r="BD165" s="100"/>
      <c r="BE165" s="100"/>
    </row>
    <row r="166" spans="23:57" ht="15.75">
      <c r="W166" s="100"/>
      <c r="Z166" s="102"/>
      <c r="AA166" s="102"/>
      <c r="AB166" s="102"/>
      <c r="AC166" s="102"/>
      <c r="AD166" s="102"/>
      <c r="AE166" s="102"/>
      <c r="AF166" s="252" t="s">
        <v>228</v>
      </c>
      <c r="AG166" s="252"/>
      <c r="AH166" s="252"/>
      <c r="AI166" s="252"/>
      <c r="AJ166" s="252"/>
      <c r="AK166" s="252"/>
      <c r="AL166" s="252"/>
      <c r="AM166" s="252"/>
      <c r="AN166" s="252"/>
      <c r="AO166" s="252"/>
      <c r="AP166" s="252"/>
      <c r="AQ166" s="252"/>
      <c r="AR166" s="252"/>
      <c r="AS166" s="252"/>
      <c r="AT166" s="252"/>
      <c r="AU166" s="252"/>
      <c r="AV166" s="252"/>
      <c r="AW166" s="252"/>
      <c r="AX166" s="252"/>
      <c r="AY166" s="102"/>
      <c r="AZ166" s="102"/>
      <c r="BA166" s="102"/>
      <c r="BB166" s="102"/>
      <c r="BC166" s="102"/>
      <c r="BD166" s="102"/>
      <c r="BE166" s="102"/>
    </row>
    <row r="167" spans="23:57" ht="15.75">
      <c r="W167" s="100"/>
      <c r="X167" s="100"/>
      <c r="Y167" s="100"/>
      <c r="Z167" s="100"/>
      <c r="AA167" s="100"/>
      <c r="AB167" s="102"/>
      <c r="AC167" s="100"/>
      <c r="AD167" s="100"/>
      <c r="AE167" s="100"/>
      <c r="AF167" s="100"/>
      <c r="AG167" s="100"/>
      <c r="AH167" s="100"/>
      <c r="AI167" s="100"/>
      <c r="AJ167" s="100"/>
      <c r="AK167" s="100"/>
      <c r="AL167" s="100"/>
      <c r="AM167" s="100"/>
      <c r="AN167" s="100"/>
      <c r="AO167" s="100"/>
      <c r="AP167" s="100"/>
      <c r="AQ167" s="100"/>
      <c r="AR167" s="100"/>
      <c r="AS167" s="100"/>
      <c r="AT167" s="100"/>
      <c r="AU167" s="100"/>
      <c r="AV167" s="100"/>
      <c r="AW167" s="100"/>
      <c r="AX167" s="100"/>
      <c r="AY167" s="100"/>
      <c r="AZ167" s="100"/>
      <c r="BA167" s="100"/>
      <c r="BB167" s="100"/>
      <c r="BC167" s="100"/>
      <c r="BD167" s="100"/>
      <c r="BE167" s="100"/>
    </row>
  </sheetData>
  <protectedRanges>
    <protectedRange sqref="E25" name="Range20_1"/>
    <protectedRange sqref="G24" name="Range19_1"/>
    <protectedRange sqref="E24" name="Range18_1"/>
    <protectedRange sqref="D23" name="Range17_1"/>
    <protectedRange sqref="G24" name="Range15_1"/>
    <protectedRange sqref="D22" name="Range13_1"/>
    <protectedRange sqref="C1" name="Range12_1"/>
    <protectedRange sqref="C3:C9" name="Range11_1"/>
    <protectedRange sqref="C10:CT10" name="Range21_1"/>
    <protectedRange sqref="C12" name="Range22_1"/>
    <protectedRange sqref="B28:C72 B73:B87" name="Range23_1"/>
  </protectedRanges>
  <mergeCells count="222">
    <mergeCell ref="O92:S92"/>
    <mergeCell ref="P93:S93"/>
    <mergeCell ref="AF166:AX166"/>
    <mergeCell ref="K61:M61"/>
    <mergeCell ref="P69:T69"/>
    <mergeCell ref="N79:Q79"/>
    <mergeCell ref="M80:R80"/>
    <mergeCell ref="N81:Q81"/>
    <mergeCell ref="M83:R83"/>
    <mergeCell ref="R85:S85"/>
    <mergeCell ref="R86:S86"/>
    <mergeCell ref="K90:M90"/>
    <mergeCell ref="AI155:AS155"/>
    <mergeCell ref="X156:BD156"/>
    <mergeCell ref="X158:BD158"/>
    <mergeCell ref="AA142:AC142"/>
    <mergeCell ref="AA143:AC143"/>
    <mergeCell ref="AA144:AC144"/>
    <mergeCell ref="AA145:AC145"/>
    <mergeCell ref="X147:BD147"/>
    <mergeCell ref="AD151:AG151"/>
    <mergeCell ref="AH151:AK151"/>
    <mergeCell ref="AU151:AY151"/>
    <mergeCell ref="AB127:AI127"/>
    <mergeCell ref="AT127:AX127"/>
    <mergeCell ref="AZ127:BD127"/>
    <mergeCell ref="X130:BE130"/>
    <mergeCell ref="X135:BD135"/>
    <mergeCell ref="X136:BD139"/>
    <mergeCell ref="X116:BD119"/>
    <mergeCell ref="AT120:AX126"/>
    <mergeCell ref="AZ120:BD126"/>
    <mergeCell ref="Z123:AH123"/>
    <mergeCell ref="AO123:AQ123"/>
    <mergeCell ref="X124:AJ124"/>
    <mergeCell ref="Z126:AI126"/>
    <mergeCell ref="X103:AA103"/>
    <mergeCell ref="AB103:BD103"/>
    <mergeCell ref="X104:BD104"/>
    <mergeCell ref="X105:BD107"/>
    <mergeCell ref="X108:BD110"/>
    <mergeCell ref="X111:BD115"/>
    <mergeCell ref="X93:AN93"/>
    <mergeCell ref="AO93:BD93"/>
    <mergeCell ref="X100:AK100"/>
    <mergeCell ref="Y101:AX101"/>
    <mergeCell ref="AY101:BD101"/>
    <mergeCell ref="X102:Z102"/>
    <mergeCell ref="AC102:AM102"/>
    <mergeCell ref="AN102:AQ102"/>
    <mergeCell ref="AR102:BD102"/>
    <mergeCell ref="X84:BD84"/>
    <mergeCell ref="AJ86:AS86"/>
    <mergeCell ref="W87:BE87"/>
    <mergeCell ref="X90:AN90"/>
    <mergeCell ref="AO90:BD90"/>
    <mergeCell ref="AB92:AJ92"/>
    <mergeCell ref="AS92:AZ92"/>
    <mergeCell ref="X83:AB83"/>
    <mergeCell ref="AC83:AF83"/>
    <mergeCell ref="AG83:AJ83"/>
    <mergeCell ref="AK83:AQ83"/>
    <mergeCell ref="AR83:AV83"/>
    <mergeCell ref="AW83:BD83"/>
    <mergeCell ref="X81:BD81"/>
    <mergeCell ref="X82:AB82"/>
    <mergeCell ref="AC82:AF82"/>
    <mergeCell ref="AG82:AJ82"/>
    <mergeCell ref="AK82:AQ82"/>
    <mergeCell ref="AR82:AV82"/>
    <mergeCell ref="AW82:BD82"/>
    <mergeCell ref="AU78:AY78"/>
    <mergeCell ref="AZ78:BD78"/>
    <mergeCell ref="X79:Z79"/>
    <mergeCell ref="AA79:AD79"/>
    <mergeCell ref="AE79:AI79"/>
    <mergeCell ref="AJ79:AL79"/>
    <mergeCell ref="AM79:AQ79"/>
    <mergeCell ref="AR79:AT79"/>
    <mergeCell ref="AU79:AY79"/>
    <mergeCell ref="AZ79:BD79"/>
    <mergeCell ref="X78:Z78"/>
    <mergeCell ref="AA78:AD78"/>
    <mergeCell ref="AE78:AI78"/>
    <mergeCell ref="AJ78:AL78"/>
    <mergeCell ref="AM78:AQ78"/>
    <mergeCell ref="AR78:AT78"/>
    <mergeCell ref="AU76:AY76"/>
    <mergeCell ref="AZ76:BD76"/>
    <mergeCell ref="X77:Z77"/>
    <mergeCell ref="AA77:AD77"/>
    <mergeCell ref="AE77:AI77"/>
    <mergeCell ref="AJ77:AL77"/>
    <mergeCell ref="AM77:AQ77"/>
    <mergeCell ref="AR77:AT77"/>
    <mergeCell ref="AU77:AY77"/>
    <mergeCell ref="AZ77:BD77"/>
    <mergeCell ref="X76:Z76"/>
    <mergeCell ref="AA76:AD76"/>
    <mergeCell ref="AE76:AI76"/>
    <mergeCell ref="AJ76:AL76"/>
    <mergeCell ref="AM76:AQ76"/>
    <mergeCell ref="AR76:AT76"/>
    <mergeCell ref="X73:AE73"/>
    <mergeCell ref="X74:BD74"/>
    <mergeCell ref="X75:Z75"/>
    <mergeCell ref="AA75:AD75"/>
    <mergeCell ref="AE75:AI75"/>
    <mergeCell ref="AJ75:AL75"/>
    <mergeCell ref="AM75:AQ75"/>
    <mergeCell ref="AR75:AT75"/>
    <mergeCell ref="AU75:AY75"/>
    <mergeCell ref="AZ75:BD75"/>
    <mergeCell ref="X71:AE71"/>
    <mergeCell ref="AG71:AM71"/>
    <mergeCell ref="AP71:AV71"/>
    <mergeCell ref="AX71:BD71"/>
    <mergeCell ref="X72:AE72"/>
    <mergeCell ref="AG72:AM72"/>
    <mergeCell ref="AP72:AV72"/>
    <mergeCell ref="AX72:BD72"/>
    <mergeCell ref="R61:T61"/>
    <mergeCell ref="AU64:BC64"/>
    <mergeCell ref="AU65:BC65"/>
    <mergeCell ref="X66:BD66"/>
    <mergeCell ref="AT55:BD55"/>
    <mergeCell ref="X56:AF56"/>
    <mergeCell ref="AG56:AS56"/>
    <mergeCell ref="AB57:BD57"/>
    <mergeCell ref="X58:BD58"/>
    <mergeCell ref="K60:M60"/>
    <mergeCell ref="R60:T60"/>
    <mergeCell ref="R53:T53"/>
    <mergeCell ref="X53:AD53"/>
    <mergeCell ref="AE53:AT53"/>
    <mergeCell ref="X54:AD54"/>
    <mergeCell ref="AE54:AW54"/>
    <mergeCell ref="AX54:BD54"/>
    <mergeCell ref="AU51:AW51"/>
    <mergeCell ref="AX51:BD51"/>
    <mergeCell ref="R52:T52"/>
    <mergeCell ref="X52:AD52"/>
    <mergeCell ref="AE52:AL52"/>
    <mergeCell ref="AR52:AS52"/>
    <mergeCell ref="AU52:AW52"/>
    <mergeCell ref="AX52:BD52"/>
    <mergeCell ref="R49:T49"/>
    <mergeCell ref="R50:T50"/>
    <mergeCell ref="R51:T51"/>
    <mergeCell ref="AK51:AL51"/>
    <mergeCell ref="AM51:AP52"/>
    <mergeCell ref="AR51:AS51"/>
    <mergeCell ref="X47:AC47"/>
    <mergeCell ref="AD47:AH47"/>
    <mergeCell ref="AI47:AN47"/>
    <mergeCell ref="AO47:AV47"/>
    <mergeCell ref="AW47:BD47"/>
    <mergeCell ref="R48:S48"/>
    <mergeCell ref="X48:AC48"/>
    <mergeCell ref="AD48:AH48"/>
    <mergeCell ref="AI48:AN48"/>
    <mergeCell ref="R44:T44"/>
    <mergeCell ref="X44:BD44"/>
    <mergeCell ref="X45:AC45"/>
    <mergeCell ref="AD45:AM45"/>
    <mergeCell ref="AN45:AY45"/>
    <mergeCell ref="AZ45:BA45"/>
    <mergeCell ref="R42:T42"/>
    <mergeCell ref="X42:Y43"/>
    <mergeCell ref="Z42:AE43"/>
    <mergeCell ref="AS42:AU42"/>
    <mergeCell ref="R43:T43"/>
    <mergeCell ref="AS43:AU43"/>
    <mergeCell ref="R39:T39"/>
    <mergeCell ref="AB39:AM40"/>
    <mergeCell ref="AT39:BD40"/>
    <mergeCell ref="R40:T40"/>
    <mergeCell ref="R41:T41"/>
    <mergeCell ref="X41:Y41"/>
    <mergeCell ref="Z41:AE41"/>
    <mergeCell ref="AJ41:AQ41"/>
    <mergeCell ref="AV41:BD41"/>
    <mergeCell ref="R37:T37"/>
    <mergeCell ref="Y37:AD37"/>
    <mergeCell ref="AF37:AL37"/>
    <mergeCell ref="R38:T38"/>
    <mergeCell ref="X38:AD38"/>
    <mergeCell ref="AH38:AL38"/>
    <mergeCell ref="Y35:AD35"/>
    <mergeCell ref="AF35:AL35"/>
    <mergeCell ref="AW35:BA35"/>
    <mergeCell ref="R36:T36"/>
    <mergeCell ref="Y36:AD36"/>
    <mergeCell ref="AF36:AL36"/>
    <mergeCell ref="AP38:AT38"/>
    <mergeCell ref="N33:S33"/>
    <mergeCell ref="Y33:AD33"/>
    <mergeCell ref="AF33:AL33"/>
    <mergeCell ref="AU33:BD33"/>
    <mergeCell ref="N34:S34"/>
    <mergeCell ref="Y34:AD34"/>
    <mergeCell ref="AF34:AL34"/>
    <mergeCell ref="AU34:BD34"/>
    <mergeCell ref="S30:T30"/>
    <mergeCell ref="AU30:AV30"/>
    <mergeCell ref="N32:S32"/>
    <mergeCell ref="X32:AD32"/>
    <mergeCell ref="AE32:AL32"/>
    <mergeCell ref="AM32:AS32"/>
    <mergeCell ref="AT32:BD32"/>
    <mergeCell ref="X25:BD25"/>
    <mergeCell ref="X26:BD26"/>
    <mergeCell ref="K27:T27"/>
    <mergeCell ref="X27:BD27"/>
    <mergeCell ref="S29:T29"/>
    <mergeCell ref="X29:BD29"/>
    <mergeCell ref="C20:H21"/>
    <mergeCell ref="D22:F22"/>
    <mergeCell ref="C24:C27"/>
    <mergeCell ref="K24:T24"/>
    <mergeCell ref="K25:T25"/>
    <mergeCell ref="F23:H23"/>
  </mergeCells>
  <hyperlinks>
    <hyperlink ref="AG56" r:id="rId1" xr:uid="{3E711175-04E0-461A-B9F1-A16153040E7C}"/>
  </hyperlinks>
  <printOptions horizontalCentered="1" verticalCentered="1"/>
  <pageMargins left="0" right="0" top="0" bottom="0" header="0" footer="0"/>
  <pageSetup scale="62" orientation="portrait" horizontalDpi="0" verticalDpi="0" r:id="rId2"/>
  <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3" master="" otherUserPermission="visible"/>
  <rangeList sheetStid="2" master="" otherUserPermission="visible"/>
  <rangeList sheetStid="1"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6</vt:i4>
      </vt:variant>
    </vt:vector>
  </HeadingPairs>
  <TitlesOfParts>
    <vt:vector size="13" baseType="lpstr">
      <vt:lpstr>Data Entry</vt:lpstr>
      <vt:lpstr>Computation Table</vt:lpstr>
      <vt:lpstr>Amortization  Table</vt:lpstr>
      <vt:lpstr>1 Yr</vt:lpstr>
      <vt:lpstr>2 Yrs</vt:lpstr>
      <vt:lpstr>3 years</vt:lpstr>
      <vt:lpstr>Marquez </vt:lpstr>
      <vt:lpstr>'1 Yr'!Print_Area</vt:lpstr>
      <vt:lpstr>'2 Yrs'!Print_Area</vt:lpstr>
      <vt:lpstr>'3 years'!Print_Area</vt:lpstr>
      <vt:lpstr>'Amortization  Table'!Print_Area</vt:lpstr>
      <vt:lpstr>'Data Entry'!Print_Area</vt:lpstr>
      <vt:lpstr>'Marquez '!Print_Area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Alexander Feria</dc:creator>
  <cp:lastModifiedBy>Xander Feria</cp:lastModifiedBy>
  <cp:lastPrinted>2025-06-27T07:32:41Z</cp:lastPrinted>
  <dcterms:created xsi:type="dcterms:W3CDTF">2025-01-13T10:36:00Z</dcterms:created>
  <dcterms:modified xsi:type="dcterms:W3CDTF">2025-10-07T09:06:15Z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9EACEE1BDE6948B991BB5F1435882EAE_13</vt:lpwstr>
  </property>
  <property fmtid="{D5CDD505-2E9C-101B-9397-08002B2CF9AE}" pid="3" name="KSOProductBuildVer">
    <vt:lpwstr>1033-12.2.0.19805</vt:lpwstr>
  </property>
</Properties>
</file>