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effr\Desktop\Computation\"/>
    </mc:Choice>
  </mc:AlternateContent>
  <xr:revisionPtr revIDLastSave="0" documentId="13_ncr:1_{86E3C5F0-CFC2-4051-9266-2C5DCEFAD4CD}" xr6:coauthVersionLast="47" xr6:coauthVersionMax="47" xr10:uidLastSave="{00000000-0000-0000-0000-000000000000}"/>
  <bookViews>
    <workbookView xWindow="-120" yWindow="-120" windowWidth="21840" windowHeight="13140" activeTab="5" xr2:uid="{00000000-000D-0000-FFFF-FFFF00000000}"/>
  </bookViews>
  <sheets>
    <sheet name="DATA ENTRY" sheetId="3" r:id="rId1"/>
    <sheet name="Amortization  Table" sheetId="2" r:id="rId2"/>
    <sheet name="Computation Table" sheetId="1" r:id="rId3"/>
    <sheet name="2 years" sheetId="9" r:id="rId4"/>
    <sheet name="3 years" sheetId="5" r:id="rId5"/>
    <sheet name="4 years" sheetId="8" r:id="rId6"/>
    <sheet name="5 years" sheetId="7" r:id="rId7"/>
  </sheets>
  <definedNames>
    <definedName name="_xlnm.Print_Area" localSheetId="3">'2 years'!$W$20:$BE$95</definedName>
    <definedName name="_xlnm.Print_Area" localSheetId="4">'3 years'!$J$20:$U$71</definedName>
    <definedName name="_xlnm.Print_Area" localSheetId="5">'4 years'!$J$20:$U$71</definedName>
    <definedName name="_xlnm.Print_Area" localSheetId="6">'5 years'!$W$99:$BE$168</definedName>
    <definedName name="_xlnm.Print_Area" localSheetId="1">'Amortization  Table'!$A$3:$H$29</definedName>
  </definedNames>
  <calcPr calcId="181029"/>
</workbook>
</file>

<file path=xl/calcChain.xml><?xml version="1.0" encoding="utf-8"?>
<calcChain xmlns="http://schemas.openxmlformats.org/spreadsheetml/2006/main">
  <c r="K14" i="3" l="1"/>
  <c r="R38" i="7"/>
  <c r="C4" i="9"/>
  <c r="C10" i="9" s="1"/>
  <c r="C3" i="1" l="1"/>
  <c r="C9" i="1"/>
  <c r="AJ86" i="7" l="1"/>
  <c r="AG83" i="7"/>
  <c r="S29" i="7"/>
  <c r="S30" i="7"/>
  <c r="AL100" i="7" s="1"/>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R51" i="7" s="1"/>
  <c r="C15" i="7" l="1"/>
  <c r="C16" i="7"/>
  <c r="C12" i="1"/>
  <c r="G15" i="3"/>
  <c r="X83" i="9" l="1"/>
  <c r="B29" i="9"/>
  <c r="B30" i="9"/>
  <c r="B31" i="9"/>
  <c r="B32" i="9"/>
  <c r="B33" i="9"/>
  <c r="B34" i="9"/>
  <c r="B35" i="9"/>
  <c r="B36" i="9"/>
  <c r="B37" i="9"/>
  <c r="B38" i="9"/>
  <c r="B39" i="9"/>
  <c r="B40" i="9"/>
  <c r="B41" i="9"/>
  <c r="B42" i="9"/>
  <c r="B43" i="9"/>
  <c r="B44" i="9"/>
  <c r="B45" i="9"/>
  <c r="B46" i="9"/>
  <c r="B47" i="9"/>
  <c r="B48" i="9"/>
  <c r="B49" i="9"/>
  <c r="B50" i="9"/>
  <c r="B51" i="9"/>
  <c r="B28" i="9"/>
  <c r="AJ86" i="9"/>
  <c r="R53" i="9"/>
  <c r="R52" i="9"/>
  <c r="E52" i="9" l="1"/>
  <c r="C31" i="9"/>
  <c r="C32" i="9"/>
  <c r="C35" i="9"/>
  <c r="C36" i="9"/>
  <c r="C38" i="9"/>
  <c r="C40" i="9"/>
  <c r="C43" i="9"/>
  <c r="C44" i="9"/>
  <c r="C47" i="9"/>
  <c r="C48" i="9"/>
  <c r="C50" i="9"/>
  <c r="C16" i="9"/>
  <c r="C15" i="9"/>
  <c r="C12" i="9"/>
  <c r="C9" i="9"/>
  <c r="C8" i="9"/>
  <c r="R39" i="9" s="1"/>
  <c r="C6" i="9"/>
  <c r="R42" i="9" s="1"/>
  <c r="C7" i="9"/>
  <c r="R40" i="9" s="1"/>
  <c r="C5" i="9"/>
  <c r="R41" i="9" s="1"/>
  <c r="C3" i="9"/>
  <c r="AW83" i="9" s="1"/>
  <c r="C1" i="9"/>
  <c r="E51" i="9" s="1"/>
  <c r="K69" i="9"/>
  <c r="AU64" i="9"/>
  <c r="C49" i="9"/>
  <c r="AD48" i="9"/>
  <c r="R48" i="9"/>
  <c r="AG83" i="9" s="1"/>
  <c r="AB102" i="9" s="1"/>
  <c r="AL151" i="9" s="1"/>
  <c r="E48" i="9"/>
  <c r="E46" i="9"/>
  <c r="C46" i="9"/>
  <c r="E45" i="9"/>
  <c r="C45" i="9"/>
  <c r="E43" i="9"/>
  <c r="C42" i="9"/>
  <c r="E41" i="9"/>
  <c r="C41" i="9"/>
  <c r="E39" i="9"/>
  <c r="C39" i="9"/>
  <c r="C37" i="9"/>
  <c r="R36" i="9"/>
  <c r="E36" i="9"/>
  <c r="E35" i="9"/>
  <c r="N34" i="9"/>
  <c r="AB57" i="9" s="1"/>
  <c r="C34" i="9"/>
  <c r="N33" i="9"/>
  <c r="E33" i="9"/>
  <c r="C33" i="9"/>
  <c r="N32" i="9"/>
  <c r="Z123" i="9" s="1"/>
  <c r="AM155" i="9" s="1"/>
  <c r="S30" i="9"/>
  <c r="AL100" i="9" s="1"/>
  <c r="E30" i="9"/>
  <c r="C30" i="9"/>
  <c r="S29" i="9"/>
  <c r="C29" i="9"/>
  <c r="H27" i="9"/>
  <c r="R38" i="9"/>
  <c r="Z4" i="9"/>
  <c r="Y4" i="9"/>
  <c r="X4" i="9"/>
  <c r="V4" i="9"/>
  <c r="U4" i="9"/>
  <c r="T4" i="9"/>
  <c r="R4" i="9"/>
  <c r="Q4" i="9"/>
  <c r="P4" i="9"/>
  <c r="N4" i="9"/>
  <c r="M4" i="9"/>
  <c r="L4" i="9"/>
  <c r="J4" i="9"/>
  <c r="I4" i="9"/>
  <c r="H4" i="9"/>
  <c r="F4" i="9"/>
  <c r="E4" i="9"/>
  <c r="D4" i="9"/>
  <c r="R43" i="9"/>
  <c r="S29" i="8"/>
  <c r="S30" i="8"/>
  <c r="AB101" i="8"/>
  <c r="AG83" i="8"/>
  <c r="AB57" i="8"/>
  <c r="AU64" i="8"/>
  <c r="AD4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G24" i="8" s="1"/>
  <c r="B28" i="8"/>
  <c r="X102" i="8" s="1"/>
  <c r="C7" i="8"/>
  <c r="C51" i="9" l="1"/>
  <c r="R51" i="9"/>
  <c r="G24" i="9"/>
  <c r="R50" i="9"/>
  <c r="X103" i="9" s="1"/>
  <c r="C28" i="9"/>
  <c r="H23" i="9"/>
  <c r="E47" i="9"/>
  <c r="E49" i="9"/>
  <c r="R49" i="9"/>
  <c r="R44" i="9"/>
  <c r="AB39" i="9" s="1"/>
  <c r="AY101" i="9"/>
  <c r="AU151" i="9"/>
  <c r="G4" i="9"/>
  <c r="K4" i="9"/>
  <c r="O4" i="9"/>
  <c r="S4" i="9"/>
  <c r="W4" i="9"/>
  <c r="AA4" i="9"/>
  <c r="E28" i="9"/>
  <c r="E31" i="9"/>
  <c r="E34" i="9"/>
  <c r="E37" i="9"/>
  <c r="E42" i="9"/>
  <c r="E29" i="9"/>
  <c r="E32" i="9"/>
  <c r="E38" i="9"/>
  <c r="E40" i="9"/>
  <c r="E44" i="9"/>
  <c r="E50" i="9"/>
  <c r="D12" i="9" l="1"/>
  <c r="G28" i="9"/>
  <c r="AC83" i="9"/>
  <c r="AN102" i="9" s="1"/>
  <c r="AD151" i="9" s="1"/>
  <c r="AT39" i="9"/>
  <c r="E88" i="9"/>
  <c r="C75" i="8"/>
  <c r="C74" i="8"/>
  <c r="C73" i="8"/>
  <c r="C72" i="8"/>
  <c r="C71" i="8"/>
  <c r="C70" i="8"/>
  <c r="K69" i="8"/>
  <c r="C69" i="8"/>
  <c r="C68" i="8"/>
  <c r="C67" i="8"/>
  <c r="C66" i="8"/>
  <c r="C65" i="8"/>
  <c r="C64" i="8"/>
  <c r="C63" i="8"/>
  <c r="C62" i="8"/>
  <c r="C61" i="8"/>
  <c r="C60" i="8"/>
  <c r="C59" i="8"/>
  <c r="C58" i="8"/>
  <c r="C57" i="8"/>
  <c r="C56" i="8"/>
  <c r="C55" i="8"/>
  <c r="C54" i="8"/>
  <c r="C53" i="8"/>
  <c r="C52" i="8"/>
  <c r="C51" i="8"/>
  <c r="R50" i="8"/>
  <c r="C50" i="8"/>
  <c r="C49" i="8"/>
  <c r="R48" i="8"/>
  <c r="AL150" i="8" s="1"/>
  <c r="C48" i="8"/>
  <c r="C47" i="8"/>
  <c r="C46" i="8"/>
  <c r="C45" i="8"/>
  <c r="C44" i="8"/>
  <c r="C43" i="8"/>
  <c r="C42" i="8"/>
  <c r="C41" i="8"/>
  <c r="C40" i="8"/>
  <c r="C39" i="8"/>
  <c r="R38" i="8"/>
  <c r="C38" i="8"/>
  <c r="C37" i="8"/>
  <c r="C36" i="8"/>
  <c r="C35" i="8"/>
  <c r="N34" i="8"/>
  <c r="C34" i="8"/>
  <c r="N33" i="8"/>
  <c r="C33" i="8"/>
  <c r="N32" i="8"/>
  <c r="Z122" i="8" s="1"/>
  <c r="AM154" i="8" s="1"/>
  <c r="C32" i="8"/>
  <c r="C31" i="8"/>
  <c r="C30" i="8"/>
  <c r="C29" i="8"/>
  <c r="C8" i="8"/>
  <c r="R39" i="8" s="1"/>
  <c r="R40" i="8"/>
  <c r="C14" i="5"/>
  <c r="G15" i="5"/>
  <c r="AG83" i="5"/>
  <c r="AL100" i="5"/>
  <c r="X103" i="5"/>
  <c r="K69" i="5"/>
  <c r="K69" i="7"/>
  <c r="C15" i="5"/>
  <c r="R53" i="5" s="1"/>
  <c r="C16" i="5"/>
  <c r="R52" i="5" s="1"/>
  <c r="R51" i="5"/>
  <c r="R50" i="5"/>
  <c r="S29" i="5"/>
  <c r="G24"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28" i="5"/>
  <c r="S30" i="5"/>
  <c r="R38" i="5"/>
  <c r="C4" i="1"/>
  <c r="F28" i="9" l="1"/>
  <c r="H28" i="9"/>
  <c r="C28" i="8"/>
  <c r="R51" i="8"/>
  <c r="C67" i="7"/>
  <c r="C71" i="7"/>
  <c r="C74" i="7"/>
  <c r="C75" i="7"/>
  <c r="C79" i="7"/>
  <c r="C83" i="7"/>
  <c r="C86" i="7"/>
  <c r="C87" i="7"/>
  <c r="B28" i="7"/>
  <c r="C28" i="7" s="1"/>
  <c r="C85" i="7"/>
  <c r="C84" i="7"/>
  <c r="C82" i="7"/>
  <c r="C81" i="7"/>
  <c r="C80" i="7"/>
  <c r="C78" i="7"/>
  <c r="C77" i="7"/>
  <c r="C76" i="7"/>
  <c r="C73" i="7"/>
  <c r="C72" i="7"/>
  <c r="C70" i="7"/>
  <c r="C69" i="7"/>
  <c r="C68" i="7"/>
  <c r="C66" i="7"/>
  <c r="C65" i="7"/>
  <c r="C64" i="7"/>
  <c r="G29" i="9" l="1"/>
  <c r="C8" i="7"/>
  <c r="C7" i="7"/>
  <c r="F29" i="9" l="1"/>
  <c r="AB102" i="7"/>
  <c r="AL151" i="7" s="1"/>
  <c r="AU64" i="7"/>
  <c r="C63" i="7"/>
  <c r="C62" i="7"/>
  <c r="C61" i="7"/>
  <c r="C60" i="7"/>
  <c r="C59" i="7"/>
  <c r="C58" i="7"/>
  <c r="C57" i="7"/>
  <c r="C56" i="7"/>
  <c r="C55" i="7"/>
  <c r="C54" i="7"/>
  <c r="C53" i="7"/>
  <c r="C52" i="7"/>
  <c r="C51" i="7"/>
  <c r="C50" i="7"/>
  <c r="C49" i="7"/>
  <c r="R48" i="7"/>
  <c r="C48" i="7"/>
  <c r="C47" i="7"/>
  <c r="C46" i="7"/>
  <c r="C45" i="7"/>
  <c r="C44" i="7"/>
  <c r="C43" i="7"/>
  <c r="C42" i="7"/>
  <c r="C41" i="7"/>
  <c r="C40" i="7"/>
  <c r="R39" i="7"/>
  <c r="C39" i="7"/>
  <c r="C38" i="7"/>
  <c r="C37" i="7"/>
  <c r="C36" i="7"/>
  <c r="C35" i="7"/>
  <c r="N34" i="7"/>
  <c r="AB57" i="7" s="1"/>
  <c r="C34" i="7"/>
  <c r="N33" i="7"/>
  <c r="AD48" i="7" s="1"/>
  <c r="C33" i="7"/>
  <c r="N32" i="7"/>
  <c r="Z123" i="7" s="1"/>
  <c r="AI155" i="7" s="1"/>
  <c r="C32" i="7"/>
  <c r="C31" i="7"/>
  <c r="C30" i="7"/>
  <c r="C29" i="7"/>
  <c r="X103" i="7"/>
  <c r="G24" i="7"/>
  <c r="R40" i="7"/>
  <c r="C117" i="1"/>
  <c r="C8" i="5"/>
  <c r="C7" i="5"/>
  <c r="E37"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F58" i="1"/>
  <c r="E58"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G31" i="1"/>
  <c r="F31" i="1"/>
  <c r="E31" i="1"/>
  <c r="D31" i="1"/>
  <c r="AU64" i="5"/>
  <c r="AD48" i="5"/>
  <c r="H29" i="9" l="1"/>
  <c r="R39" i="5"/>
  <c r="R40" i="5"/>
  <c r="C63" i="5"/>
  <c r="C62" i="5"/>
  <c r="C61" i="5"/>
  <c r="C60" i="5"/>
  <c r="C59" i="5"/>
  <c r="C58" i="5"/>
  <c r="C57" i="5"/>
  <c r="C56" i="5"/>
  <c r="C55" i="5"/>
  <c r="C54" i="5"/>
  <c r="C53" i="5"/>
  <c r="C52" i="5"/>
  <c r="C51" i="5"/>
  <c r="C50" i="5"/>
  <c r="C49" i="5"/>
  <c r="R48" i="5"/>
  <c r="AB102" i="5" s="1"/>
  <c r="AL151" i="5" s="1"/>
  <c r="C48" i="5"/>
  <c r="C47" i="5"/>
  <c r="C46" i="5"/>
  <c r="C45" i="5"/>
  <c r="C44" i="5"/>
  <c r="C43" i="5"/>
  <c r="C42" i="5"/>
  <c r="C41" i="5"/>
  <c r="C40" i="5"/>
  <c r="C39" i="5"/>
  <c r="C38" i="5"/>
  <c r="C37" i="5"/>
  <c r="C36" i="5"/>
  <c r="C35" i="5"/>
  <c r="N34" i="5"/>
  <c r="AB57" i="5" s="1"/>
  <c r="C34" i="5"/>
  <c r="N33" i="5"/>
  <c r="C33" i="5"/>
  <c r="N32" i="5"/>
  <c r="C32" i="5"/>
  <c r="C31" i="5"/>
  <c r="C30" i="5"/>
  <c r="C29" i="5"/>
  <c r="O120" i="1"/>
  <c r="O111" i="1" s="1"/>
  <c r="M120" i="1"/>
  <c r="K120" i="1"/>
  <c r="K111" i="1" s="1"/>
  <c r="J120" i="1"/>
  <c r="J111" i="1" s="1"/>
  <c r="I120" i="1"/>
  <c r="H120" i="1"/>
  <c r="G120" i="1"/>
  <c r="F120" i="1"/>
  <c r="E120" i="1"/>
  <c r="E111" i="1" s="1"/>
  <c r="C120" i="1"/>
  <c r="C119" i="1"/>
  <c r="C122" i="1" s="1"/>
  <c r="Q118" i="1"/>
  <c r="U118" i="1" s="1"/>
  <c r="Y118" i="1" s="1"/>
  <c r="O118" i="1"/>
  <c r="S118" i="1" s="1"/>
  <c r="S120" i="1" s="1"/>
  <c r="S111" i="1" s="1"/>
  <c r="N118" i="1"/>
  <c r="M118" i="1"/>
  <c r="L118" i="1"/>
  <c r="P118" i="1" s="1"/>
  <c r="E116" i="1"/>
  <c r="F116" i="1" s="1"/>
  <c r="M113" i="1"/>
  <c r="O113" i="1" s="1"/>
  <c r="Q113" i="1" s="1"/>
  <c r="S113" i="1" s="1"/>
  <c r="U113" i="1" s="1"/>
  <c r="W113" i="1" s="1"/>
  <c r="Y113" i="1" s="1"/>
  <c r="AA113" i="1" s="1"/>
  <c r="AC113" i="1" s="1"/>
  <c r="AE113" i="1" s="1"/>
  <c r="AG113" i="1" s="1"/>
  <c r="AI113" i="1" s="1"/>
  <c r="AK113" i="1" s="1"/>
  <c r="AM113" i="1" s="1"/>
  <c r="AO113" i="1" s="1"/>
  <c r="AQ113" i="1" s="1"/>
  <c r="I113" i="1"/>
  <c r="K113" i="1" s="1"/>
  <c r="G113" i="1"/>
  <c r="C113" i="1"/>
  <c r="F113" i="1" s="1"/>
  <c r="H113" i="1" s="1"/>
  <c r="J113" i="1" s="1"/>
  <c r="L113" i="1" s="1"/>
  <c r="N113" i="1" s="1"/>
  <c r="P113" i="1" s="1"/>
  <c r="R113" i="1" s="1"/>
  <c r="T113" i="1" s="1"/>
  <c r="V113" i="1" s="1"/>
  <c r="X113" i="1" s="1"/>
  <c r="Z113" i="1" s="1"/>
  <c r="AB113" i="1" s="1"/>
  <c r="AD113" i="1" s="1"/>
  <c r="AF113" i="1" s="1"/>
  <c r="AH113" i="1" s="1"/>
  <c r="AJ113" i="1" s="1"/>
  <c r="AL113" i="1" s="1"/>
  <c r="AN113" i="1" s="1"/>
  <c r="AP113" i="1" s="1"/>
  <c r="AR113" i="1" s="1"/>
  <c r="G112" i="1"/>
  <c r="I112" i="1" s="1"/>
  <c r="K112" i="1" s="1"/>
  <c r="M112" i="1" s="1"/>
  <c r="O112" i="1" s="1"/>
  <c r="Q112" i="1" s="1"/>
  <c r="S112" i="1" s="1"/>
  <c r="U112" i="1" s="1"/>
  <c r="W112" i="1" s="1"/>
  <c r="Y112" i="1" s="1"/>
  <c r="AA112" i="1" s="1"/>
  <c r="AC112" i="1" s="1"/>
  <c r="AE112" i="1" s="1"/>
  <c r="AG112" i="1" s="1"/>
  <c r="AI112" i="1" s="1"/>
  <c r="AK112" i="1" s="1"/>
  <c r="AM112" i="1" s="1"/>
  <c r="AO112" i="1" s="1"/>
  <c r="AQ112" i="1" s="1"/>
  <c r="C112" i="1"/>
  <c r="F112" i="1" s="1"/>
  <c r="M111" i="1"/>
  <c r="I111" i="1"/>
  <c r="H111" i="1"/>
  <c r="G111" i="1"/>
  <c r="F111"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E110" i="1"/>
  <c r="C109" i="1"/>
  <c r="C110" i="1" s="1"/>
  <c r="C8" i="3" s="1"/>
  <c r="K94" i="1"/>
  <c r="J94" i="1"/>
  <c r="J85" i="1" s="1"/>
  <c r="I94" i="1"/>
  <c r="I85" i="1" s="1"/>
  <c r="H94" i="1"/>
  <c r="G94" i="1"/>
  <c r="F94" i="1"/>
  <c r="E94" i="1"/>
  <c r="E85" i="1" s="1"/>
  <c r="C94" i="1"/>
  <c r="C93" i="1"/>
  <c r="C96" i="1" s="1"/>
  <c r="O92" i="1"/>
  <c r="O94" i="1" s="1"/>
  <c r="O85" i="1" s="1"/>
  <c r="N92" i="1"/>
  <c r="R92" i="1" s="1"/>
  <c r="M92" i="1"/>
  <c r="Q92" i="1" s="1"/>
  <c r="L92" i="1"/>
  <c r="P92" i="1" s="1"/>
  <c r="T92" i="1" s="1"/>
  <c r="C91" i="1"/>
  <c r="F90" i="1"/>
  <c r="E90" i="1"/>
  <c r="E93" i="1" s="1"/>
  <c r="G87" i="1"/>
  <c r="I87" i="1" s="1"/>
  <c r="K87" i="1" s="1"/>
  <c r="M87" i="1" s="1"/>
  <c r="O87" i="1" s="1"/>
  <c r="Q87" i="1" s="1"/>
  <c r="S87" i="1" s="1"/>
  <c r="U87" i="1" s="1"/>
  <c r="W87" i="1" s="1"/>
  <c r="Y87" i="1" s="1"/>
  <c r="AA87" i="1" s="1"/>
  <c r="AC87" i="1" s="1"/>
  <c r="AE87" i="1" s="1"/>
  <c r="AG87" i="1" s="1"/>
  <c r="AI87" i="1" s="1"/>
  <c r="AK87" i="1" s="1"/>
  <c r="AM87" i="1" s="1"/>
  <c r="AO87" i="1" s="1"/>
  <c r="AQ87" i="1" s="1"/>
  <c r="C87" i="1"/>
  <c r="F87" i="1" s="1"/>
  <c r="H87" i="1" s="1"/>
  <c r="J87" i="1" s="1"/>
  <c r="L87" i="1" s="1"/>
  <c r="N87" i="1" s="1"/>
  <c r="P87" i="1" s="1"/>
  <c r="R87" i="1" s="1"/>
  <c r="T87" i="1" s="1"/>
  <c r="V87" i="1" s="1"/>
  <c r="X87" i="1" s="1"/>
  <c r="Z87" i="1" s="1"/>
  <c r="AB87" i="1" s="1"/>
  <c r="AD87" i="1" s="1"/>
  <c r="AF87" i="1" s="1"/>
  <c r="AH87" i="1" s="1"/>
  <c r="AJ87" i="1" s="1"/>
  <c r="AL87" i="1" s="1"/>
  <c r="AN87" i="1" s="1"/>
  <c r="AP87" i="1" s="1"/>
  <c r="AR87" i="1" s="1"/>
  <c r="I86" i="1"/>
  <c r="K86" i="1" s="1"/>
  <c r="M86" i="1" s="1"/>
  <c r="G86" i="1"/>
  <c r="C86" i="1"/>
  <c r="F86" i="1" s="1"/>
  <c r="K85" i="1"/>
  <c r="H85" i="1"/>
  <c r="G85" i="1"/>
  <c r="F85"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C83" i="1"/>
  <c r="C88" i="1" s="1"/>
  <c r="D12" i="3" s="1"/>
  <c r="K68" i="1"/>
  <c r="K59" i="1" s="1"/>
  <c r="J68" i="1"/>
  <c r="I68" i="1"/>
  <c r="I59" i="1" s="1"/>
  <c r="H68" i="1"/>
  <c r="H59" i="1" s="1"/>
  <c r="G68" i="1"/>
  <c r="F68" i="1"/>
  <c r="E68" i="1"/>
  <c r="E59" i="1" s="1"/>
  <c r="C68" i="1"/>
  <c r="C67" i="1"/>
  <c r="R66" i="1"/>
  <c r="V66" i="1" s="1"/>
  <c r="P66" i="1"/>
  <c r="P68" i="1" s="1"/>
  <c r="P59" i="1" s="1"/>
  <c r="O66" i="1"/>
  <c r="N66" i="1"/>
  <c r="N68" i="1" s="1"/>
  <c r="N59" i="1" s="1"/>
  <c r="M66" i="1"/>
  <c r="Q66" i="1" s="1"/>
  <c r="Q68" i="1" s="1"/>
  <c r="L66" i="1"/>
  <c r="L68" i="1" s="1"/>
  <c r="L59" i="1" s="1"/>
  <c r="H64" i="1"/>
  <c r="F64" i="1"/>
  <c r="F67" i="1" s="1"/>
  <c r="E64" i="1"/>
  <c r="E67" i="1" s="1"/>
  <c r="E62" i="1" s="1"/>
  <c r="K61" i="1"/>
  <c r="M61" i="1" s="1"/>
  <c r="O61" i="1" s="1"/>
  <c r="Q61" i="1" s="1"/>
  <c r="S61" i="1" s="1"/>
  <c r="U61" i="1" s="1"/>
  <c r="W61" i="1" s="1"/>
  <c r="Y61" i="1" s="1"/>
  <c r="AA61" i="1" s="1"/>
  <c r="AC61" i="1" s="1"/>
  <c r="AE61" i="1" s="1"/>
  <c r="AG61" i="1" s="1"/>
  <c r="AI61" i="1" s="1"/>
  <c r="AK61" i="1" s="1"/>
  <c r="AM61" i="1" s="1"/>
  <c r="AO61" i="1" s="1"/>
  <c r="AQ61" i="1" s="1"/>
  <c r="I61" i="1"/>
  <c r="G61" i="1"/>
  <c r="C61" i="1"/>
  <c r="F61" i="1" s="1"/>
  <c r="H61" i="1" s="1"/>
  <c r="J61" i="1" s="1"/>
  <c r="L61" i="1" s="1"/>
  <c r="N61" i="1" s="1"/>
  <c r="P61" i="1" s="1"/>
  <c r="R61" i="1" s="1"/>
  <c r="T61" i="1" s="1"/>
  <c r="V61" i="1" s="1"/>
  <c r="X61" i="1" s="1"/>
  <c r="Z61" i="1" s="1"/>
  <c r="AB61" i="1" s="1"/>
  <c r="AD61" i="1" s="1"/>
  <c r="AF61" i="1" s="1"/>
  <c r="AH61" i="1" s="1"/>
  <c r="AJ61" i="1" s="1"/>
  <c r="AL61" i="1" s="1"/>
  <c r="AN61" i="1" s="1"/>
  <c r="AP61" i="1" s="1"/>
  <c r="AR61" i="1" s="1"/>
  <c r="G60" i="1"/>
  <c r="I60" i="1" s="1"/>
  <c r="K60" i="1" s="1"/>
  <c r="M60" i="1" s="1"/>
  <c r="O60" i="1" s="1"/>
  <c r="Q60" i="1" s="1"/>
  <c r="S60" i="1" s="1"/>
  <c r="U60" i="1" s="1"/>
  <c r="W60" i="1" s="1"/>
  <c r="Y60" i="1" s="1"/>
  <c r="AA60" i="1" s="1"/>
  <c r="AC60" i="1" s="1"/>
  <c r="AE60" i="1" s="1"/>
  <c r="AG60" i="1" s="1"/>
  <c r="AI60" i="1" s="1"/>
  <c r="AK60" i="1" s="1"/>
  <c r="AM60" i="1" s="1"/>
  <c r="AO60" i="1" s="1"/>
  <c r="AQ60" i="1" s="1"/>
  <c r="C60" i="1"/>
  <c r="Q59" i="1"/>
  <c r="J59" i="1"/>
  <c r="G59" i="1"/>
  <c r="F59" i="1"/>
  <c r="C57" i="1"/>
  <c r="K41" i="1"/>
  <c r="K32" i="1" s="1"/>
  <c r="J41" i="1"/>
  <c r="I41" i="1"/>
  <c r="I32" i="1" s="1"/>
  <c r="H41" i="1"/>
  <c r="G41" i="1"/>
  <c r="F41" i="1"/>
  <c r="F32" i="1" s="1"/>
  <c r="E41" i="1"/>
  <c r="E38" i="1" s="1"/>
  <c r="C41" i="1"/>
  <c r="C38" i="1" s="1"/>
  <c r="F15" i="3" s="1"/>
  <c r="E40" i="1"/>
  <c r="C40" i="1"/>
  <c r="Q39" i="1"/>
  <c r="O39" i="1"/>
  <c r="N39" i="1"/>
  <c r="M39" i="1"/>
  <c r="M41" i="1" s="1"/>
  <c r="M32" i="1" s="1"/>
  <c r="L39" i="1"/>
  <c r="P39" i="1" s="1"/>
  <c r="F37" i="1"/>
  <c r="G37" i="1" s="1"/>
  <c r="G34" i="1"/>
  <c r="I34" i="1" s="1"/>
  <c r="K34" i="1" s="1"/>
  <c r="M34" i="1" s="1"/>
  <c r="O34" i="1" s="1"/>
  <c r="Q34" i="1" s="1"/>
  <c r="S34" i="1" s="1"/>
  <c r="U34" i="1" s="1"/>
  <c r="W34" i="1" s="1"/>
  <c r="Y34" i="1" s="1"/>
  <c r="AA34" i="1" s="1"/>
  <c r="AC34" i="1" s="1"/>
  <c r="AE34" i="1" s="1"/>
  <c r="AG34" i="1" s="1"/>
  <c r="AI34" i="1" s="1"/>
  <c r="AK34" i="1" s="1"/>
  <c r="AM34" i="1" s="1"/>
  <c r="AO34" i="1" s="1"/>
  <c r="AQ34" i="1" s="1"/>
  <c r="C34" i="1"/>
  <c r="F34" i="1" s="1"/>
  <c r="H34" i="1" s="1"/>
  <c r="J34" i="1" s="1"/>
  <c r="L34" i="1" s="1"/>
  <c r="N34" i="1" s="1"/>
  <c r="P34" i="1" s="1"/>
  <c r="R34" i="1" s="1"/>
  <c r="T34" i="1" s="1"/>
  <c r="V34" i="1" s="1"/>
  <c r="X34" i="1" s="1"/>
  <c r="Z34" i="1" s="1"/>
  <c r="AB34" i="1" s="1"/>
  <c r="AD34" i="1" s="1"/>
  <c r="AF34" i="1" s="1"/>
  <c r="AH34" i="1" s="1"/>
  <c r="AJ34" i="1" s="1"/>
  <c r="AL34" i="1" s="1"/>
  <c r="AN34" i="1" s="1"/>
  <c r="AP34" i="1" s="1"/>
  <c r="AR34" i="1" s="1"/>
  <c r="G33" i="1"/>
  <c r="I33" i="1" s="1"/>
  <c r="K33" i="1" s="1"/>
  <c r="M33" i="1" s="1"/>
  <c r="O33" i="1" s="1"/>
  <c r="Q33" i="1" s="1"/>
  <c r="S33" i="1" s="1"/>
  <c r="U33" i="1" s="1"/>
  <c r="W33" i="1" s="1"/>
  <c r="Y33" i="1" s="1"/>
  <c r="AA33" i="1" s="1"/>
  <c r="AC33" i="1" s="1"/>
  <c r="AE33" i="1" s="1"/>
  <c r="AG33" i="1" s="1"/>
  <c r="AI33" i="1" s="1"/>
  <c r="AK33" i="1" s="1"/>
  <c r="AM33" i="1" s="1"/>
  <c r="AO33" i="1" s="1"/>
  <c r="AQ33" i="1" s="1"/>
  <c r="C33" i="1"/>
  <c r="F33" i="1" s="1"/>
  <c r="J32" i="1"/>
  <c r="H32" i="1"/>
  <c r="G32" i="1"/>
  <c r="G36" i="1" s="1"/>
  <c r="S15" i="1"/>
  <c r="S6" i="1" s="1"/>
  <c r="R15" i="1"/>
  <c r="R6" i="1" s="1"/>
  <c r="Q15" i="1"/>
  <c r="Q6" i="1" s="1"/>
  <c r="P15" i="1"/>
  <c r="O15" i="1"/>
  <c r="N15" i="1"/>
  <c r="N6" i="1" s="1"/>
  <c r="M15" i="1"/>
  <c r="M6" i="1" s="1"/>
  <c r="L15" i="1"/>
  <c r="L6" i="1" s="1"/>
  <c r="K15" i="1"/>
  <c r="J15" i="1"/>
  <c r="I15" i="1"/>
  <c r="I6" i="1" s="1"/>
  <c r="H15" i="1"/>
  <c r="H6" i="1" s="1"/>
  <c r="G15" i="1"/>
  <c r="G6" i="1" s="1"/>
  <c r="F15" i="1"/>
  <c r="E15" i="1"/>
  <c r="E6" i="1" s="1"/>
  <c r="C15" i="1"/>
  <c r="C14" i="1"/>
  <c r="Y13" i="1"/>
  <c r="AC13" i="1" s="1"/>
  <c r="W13" i="1"/>
  <c r="W15" i="1" s="1"/>
  <c r="W6" i="1" s="1"/>
  <c r="V13" i="1"/>
  <c r="U13" i="1"/>
  <c r="U15" i="1" s="1"/>
  <c r="U6" i="1" s="1"/>
  <c r="T13" i="1"/>
  <c r="X13" i="1" s="1"/>
  <c r="X15" i="1" s="1"/>
  <c r="F11" i="1"/>
  <c r="E11" i="1"/>
  <c r="E14" i="1" s="1"/>
  <c r="G8" i="1"/>
  <c r="I8" i="1" s="1"/>
  <c r="K8" i="1" s="1"/>
  <c r="M8" i="1" s="1"/>
  <c r="O8" i="1" s="1"/>
  <c r="Q8" i="1" s="1"/>
  <c r="S8" i="1" s="1"/>
  <c r="U8" i="1" s="1"/>
  <c r="W8" i="1" s="1"/>
  <c r="Y8" i="1" s="1"/>
  <c r="AA8" i="1" s="1"/>
  <c r="AC8" i="1" s="1"/>
  <c r="AE8" i="1" s="1"/>
  <c r="AG8" i="1" s="1"/>
  <c r="AI8" i="1" s="1"/>
  <c r="AK8" i="1" s="1"/>
  <c r="AM8" i="1" s="1"/>
  <c r="AO8" i="1" s="1"/>
  <c r="AQ8" i="1" s="1"/>
  <c r="C8" i="1"/>
  <c r="F8" i="1" s="1"/>
  <c r="H8" i="1" s="1"/>
  <c r="J8" i="1" s="1"/>
  <c r="L8" i="1" s="1"/>
  <c r="N8" i="1" s="1"/>
  <c r="P8" i="1" s="1"/>
  <c r="R8" i="1" s="1"/>
  <c r="T8" i="1" s="1"/>
  <c r="V8" i="1" s="1"/>
  <c r="X8" i="1" s="1"/>
  <c r="Z8" i="1" s="1"/>
  <c r="AB8" i="1" s="1"/>
  <c r="AD8" i="1" s="1"/>
  <c r="AF8" i="1" s="1"/>
  <c r="AH8" i="1" s="1"/>
  <c r="AJ8" i="1" s="1"/>
  <c r="AL8" i="1" s="1"/>
  <c r="AN8" i="1" s="1"/>
  <c r="AP8" i="1" s="1"/>
  <c r="AR8" i="1" s="1"/>
  <c r="I7" i="1"/>
  <c r="K7" i="1" s="1"/>
  <c r="M7" i="1" s="1"/>
  <c r="G7" i="1"/>
  <c r="C7" i="1"/>
  <c r="P6" i="1"/>
  <c r="O6" i="1"/>
  <c r="K6" i="1"/>
  <c r="J6" i="1"/>
  <c r="F6"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C5" i="1"/>
  <c r="C15" i="3"/>
  <c r="G14" i="3"/>
  <c r="F14" i="3"/>
  <c r="E14" i="3"/>
  <c r="D14" i="3"/>
  <c r="C14" i="3"/>
  <c r="C58" i="1" l="1"/>
  <c r="E8" i="3" s="1"/>
  <c r="C5" i="5" s="1"/>
  <c r="R41" i="5" s="1"/>
  <c r="C62" i="1"/>
  <c r="F60" i="1"/>
  <c r="R53" i="7"/>
  <c r="C15" i="8"/>
  <c r="R53" i="8" s="1"/>
  <c r="R52" i="7"/>
  <c r="C16" i="8"/>
  <c r="R52" i="8" s="1"/>
  <c r="G30" i="9"/>
  <c r="Z123" i="5"/>
  <c r="AM155" i="5" s="1"/>
  <c r="E12" i="1"/>
  <c r="G8" i="3"/>
  <c r="P41" i="1"/>
  <c r="P32" i="1" s="1"/>
  <c r="T39" i="1"/>
  <c r="I36" i="1"/>
  <c r="E32" i="1"/>
  <c r="E36" i="1" s="1"/>
  <c r="L41" i="1"/>
  <c r="L32" i="1" s="1"/>
  <c r="Q120" i="1"/>
  <c r="Q111" i="1" s="1"/>
  <c r="M94" i="1"/>
  <c r="M85" i="1" s="1"/>
  <c r="U120" i="1"/>
  <c r="U111" i="1" s="1"/>
  <c r="AA13" i="1"/>
  <c r="M68" i="1"/>
  <c r="M59" i="1" s="1"/>
  <c r="C43" i="1"/>
  <c r="C45" i="1" s="1"/>
  <c r="R68" i="1"/>
  <c r="R59" i="1" s="1"/>
  <c r="E17" i="1"/>
  <c r="E18" i="1" s="1"/>
  <c r="E43" i="1"/>
  <c r="E45" i="1" s="1"/>
  <c r="S92" i="1"/>
  <c r="T66" i="1"/>
  <c r="Y15" i="1"/>
  <c r="Y6" i="1" s="1"/>
  <c r="T15" i="1"/>
  <c r="T6" i="1" s="1"/>
  <c r="C123" i="1"/>
  <c r="C124" i="1"/>
  <c r="C97" i="1"/>
  <c r="C98" i="1"/>
  <c r="E70" i="1"/>
  <c r="E35" i="1"/>
  <c r="F40" i="1"/>
  <c r="H37" i="1"/>
  <c r="J37" i="1" s="1"/>
  <c r="J40" i="1" s="1"/>
  <c r="H38" i="1"/>
  <c r="F38" i="1"/>
  <c r="C17" i="1"/>
  <c r="C18" i="1" s="1"/>
  <c r="C28" i="5"/>
  <c r="O7" i="1"/>
  <c r="Q7" i="1" s="1"/>
  <c r="S7" i="1" s="1"/>
  <c r="U7" i="1" s="1"/>
  <c r="W7" i="1" s="1"/>
  <c r="Y7" i="1" s="1"/>
  <c r="AA7" i="1" s="1"/>
  <c r="AC7" i="1" s="1"/>
  <c r="AE7" i="1" s="1"/>
  <c r="AG7" i="1" s="1"/>
  <c r="AI7" i="1" s="1"/>
  <c r="AK7" i="1" s="1"/>
  <c r="AM7" i="1" s="1"/>
  <c r="AO7" i="1" s="1"/>
  <c r="AQ7" i="1" s="1"/>
  <c r="G11" i="1"/>
  <c r="F14" i="1"/>
  <c r="F12" i="1"/>
  <c r="V15" i="1"/>
  <c r="V6" i="1" s="1"/>
  <c r="Z13" i="1"/>
  <c r="G40" i="1"/>
  <c r="I37" i="1"/>
  <c r="AG13" i="1"/>
  <c r="AC15" i="1"/>
  <c r="AC6" i="1" s="1"/>
  <c r="X6" i="1"/>
  <c r="AE13" i="1"/>
  <c r="AA15" i="1"/>
  <c r="AA6" i="1" s="1"/>
  <c r="Q41" i="1"/>
  <c r="Q32" i="1" s="1"/>
  <c r="Q36" i="1" s="1"/>
  <c r="U39" i="1"/>
  <c r="AB13" i="1"/>
  <c r="T41" i="1"/>
  <c r="T32" i="1" s="1"/>
  <c r="X39" i="1"/>
  <c r="F70" i="1"/>
  <c r="F62" i="1"/>
  <c r="F63" i="1" s="1"/>
  <c r="G38" i="1"/>
  <c r="E9" i="1"/>
  <c r="E10" i="1" s="1"/>
  <c r="M36" i="1"/>
  <c r="O86" i="1"/>
  <c r="Q86" i="1" s="1"/>
  <c r="S86" i="1" s="1"/>
  <c r="U86" i="1" s="1"/>
  <c r="W86" i="1" s="1"/>
  <c r="Y86" i="1" s="1"/>
  <c r="AA86" i="1" s="1"/>
  <c r="AC86" i="1" s="1"/>
  <c r="AE86" i="1" s="1"/>
  <c r="AG86" i="1" s="1"/>
  <c r="AI86" i="1" s="1"/>
  <c r="AK86" i="1" s="1"/>
  <c r="AM86" i="1" s="1"/>
  <c r="AO86" i="1" s="1"/>
  <c r="AQ86" i="1" s="1"/>
  <c r="S39" i="1"/>
  <c r="O41" i="1"/>
  <c r="O32" i="1" s="1"/>
  <c r="O36" i="1" s="1"/>
  <c r="F35" i="1"/>
  <c r="F43" i="1"/>
  <c r="X66" i="1"/>
  <c r="T68" i="1"/>
  <c r="T59" i="1" s="1"/>
  <c r="H40" i="1"/>
  <c r="H67" i="1"/>
  <c r="J64" i="1"/>
  <c r="H65" i="1"/>
  <c r="T118" i="1"/>
  <c r="P120" i="1"/>
  <c r="P111" i="1" s="1"/>
  <c r="E88" i="1"/>
  <c r="E89" i="1" s="1"/>
  <c r="E96" i="1"/>
  <c r="L120" i="1"/>
  <c r="L111" i="1" s="1"/>
  <c r="K36" i="1"/>
  <c r="R39" i="1"/>
  <c r="N41" i="1"/>
  <c r="N32" i="1" s="1"/>
  <c r="Z66" i="1"/>
  <c r="V68" i="1"/>
  <c r="V59" i="1" s="1"/>
  <c r="C65" i="1"/>
  <c r="C70" i="1"/>
  <c r="N120" i="1"/>
  <c r="N111" i="1" s="1"/>
  <c r="R118" i="1"/>
  <c r="X92" i="1"/>
  <c r="T94" i="1"/>
  <c r="T85" i="1" s="1"/>
  <c r="AC118" i="1"/>
  <c r="Y120" i="1"/>
  <c r="Y111" i="1" s="1"/>
  <c r="V92" i="1"/>
  <c r="R94" i="1"/>
  <c r="R85" i="1" s="1"/>
  <c r="E65" i="1"/>
  <c r="G90" i="1"/>
  <c r="F93" i="1"/>
  <c r="H90" i="1"/>
  <c r="F91" i="1"/>
  <c r="D15" i="3" s="1"/>
  <c r="F65" i="1"/>
  <c r="E15" i="3" s="1"/>
  <c r="S66" i="1"/>
  <c r="O68" i="1"/>
  <c r="O59" i="1" s="1"/>
  <c r="U92" i="1"/>
  <c r="Q94" i="1"/>
  <c r="Q85" i="1" s="1"/>
  <c r="G64" i="1"/>
  <c r="L94" i="1"/>
  <c r="L85" i="1" s="1"/>
  <c r="C59" i="1"/>
  <c r="E9" i="3" s="1"/>
  <c r="C6" i="5" s="1"/>
  <c r="U66" i="1"/>
  <c r="N94" i="1"/>
  <c r="N85" i="1" s="1"/>
  <c r="G116" i="1"/>
  <c r="E117" i="1"/>
  <c r="E119" i="1"/>
  <c r="P94" i="1"/>
  <c r="P85" i="1" s="1"/>
  <c r="C111" i="1"/>
  <c r="C9" i="3" s="1"/>
  <c r="C114" i="1"/>
  <c r="C12" i="3" s="1"/>
  <c r="F119" i="1"/>
  <c r="F117" i="1"/>
  <c r="H116" i="1"/>
  <c r="C99" i="1"/>
  <c r="C84" i="1"/>
  <c r="D8" i="3" s="1"/>
  <c r="C85" i="1"/>
  <c r="D9" i="3" s="1"/>
  <c r="D13" i="3" s="1"/>
  <c r="W118" i="1"/>
  <c r="E91" i="1"/>
  <c r="F36" i="1"/>
  <c r="H33" i="1"/>
  <c r="H112" i="1"/>
  <c r="H86" i="1"/>
  <c r="H60" i="1"/>
  <c r="C6" i="1"/>
  <c r="G9" i="3" s="1"/>
  <c r="G12" i="3"/>
  <c r="F7" i="1"/>
  <c r="C63" i="1" l="1"/>
  <c r="E12" i="3"/>
  <c r="C9" i="5" s="1"/>
  <c r="R43" i="5" s="1"/>
  <c r="C10" i="1"/>
  <c r="F30" i="9"/>
  <c r="C5" i="7"/>
  <c r="R41" i="7" s="1"/>
  <c r="C9" i="7"/>
  <c r="R43" i="7" s="1"/>
  <c r="C6" i="7"/>
  <c r="R42" i="7" s="1"/>
  <c r="W92" i="1"/>
  <c r="S94" i="1"/>
  <c r="S85" i="1" s="1"/>
  <c r="C44" i="1"/>
  <c r="J38" i="1"/>
  <c r="E19" i="1"/>
  <c r="E20" i="1" s="1"/>
  <c r="E21" i="1" s="1"/>
  <c r="C19" i="1"/>
  <c r="C20" i="1" s="1"/>
  <c r="E44" i="1"/>
  <c r="E46" i="1" s="1"/>
  <c r="E47" i="1" s="1"/>
  <c r="L37" i="1"/>
  <c r="C125" i="1"/>
  <c r="E72" i="1"/>
  <c r="E71" i="1"/>
  <c r="E73" i="1" s="1"/>
  <c r="J67" i="1"/>
  <c r="L64" i="1"/>
  <c r="J65" i="1"/>
  <c r="AF13" i="1"/>
  <c r="AB15" i="1"/>
  <c r="AB6" i="1" s="1"/>
  <c r="I40" i="1"/>
  <c r="K37" i="1"/>
  <c r="I38" i="1"/>
  <c r="U41" i="1"/>
  <c r="U32" i="1" s="1"/>
  <c r="U36" i="1" s="1"/>
  <c r="Y39" i="1"/>
  <c r="Z68" i="1"/>
  <c r="Z59" i="1" s="1"/>
  <c r="AD66" i="1"/>
  <c r="Z92" i="1"/>
  <c r="V94" i="1"/>
  <c r="V85" i="1" s="1"/>
  <c r="E29" i="1"/>
  <c r="E49" i="1" s="1"/>
  <c r="E50" i="1" s="1"/>
  <c r="F7" i="2"/>
  <c r="H70" i="1"/>
  <c r="H62" i="1"/>
  <c r="H63" i="1" s="1"/>
  <c r="R41" i="1"/>
  <c r="R32" i="1" s="1"/>
  <c r="V39" i="1"/>
  <c r="E97" i="1"/>
  <c r="E98" i="1"/>
  <c r="AE15" i="1"/>
  <c r="AE6" i="1" s="1"/>
  <c r="AI13" i="1"/>
  <c r="L38" i="1"/>
  <c r="N37" i="1"/>
  <c r="L40" i="1"/>
  <c r="Z15" i="1"/>
  <c r="Z6" i="1" s="1"/>
  <c r="AD13" i="1"/>
  <c r="C13" i="3"/>
  <c r="AC120" i="1"/>
  <c r="AC111" i="1" s="1"/>
  <c r="AG118" i="1"/>
  <c r="Y66" i="1"/>
  <c r="U68" i="1"/>
  <c r="U59" i="1" s="1"/>
  <c r="H43" i="1"/>
  <c r="H35" i="1"/>
  <c r="F45" i="1"/>
  <c r="F44" i="1"/>
  <c r="X94" i="1"/>
  <c r="X85" i="1" s="1"/>
  <c r="AB92" i="1"/>
  <c r="V118" i="1"/>
  <c r="R120" i="1"/>
  <c r="R111" i="1" s="1"/>
  <c r="F72" i="1"/>
  <c r="F71" i="1"/>
  <c r="C46" i="1"/>
  <c r="G43" i="1"/>
  <c r="G35" i="1"/>
  <c r="W120" i="1"/>
  <c r="W111" i="1" s="1"/>
  <c r="AA118" i="1"/>
  <c r="Y92" i="1"/>
  <c r="U94" i="1"/>
  <c r="U85" i="1" s="1"/>
  <c r="X68" i="1"/>
  <c r="X59" i="1" s="1"/>
  <c r="AB66" i="1"/>
  <c r="I116" i="1"/>
  <c r="G117" i="1"/>
  <c r="G119" i="1"/>
  <c r="C115" i="1"/>
  <c r="C126" i="1" s="1"/>
  <c r="C16" i="3" s="1"/>
  <c r="C89" i="1"/>
  <c r="C100" i="1" s="1"/>
  <c r="D16" i="3" s="1"/>
  <c r="H119" i="1"/>
  <c r="H117" i="1"/>
  <c r="J116" i="1"/>
  <c r="F96" i="1"/>
  <c r="F88" i="1"/>
  <c r="F89" i="1" s="1"/>
  <c r="F17" i="1"/>
  <c r="F9" i="1"/>
  <c r="F10" i="1" s="1"/>
  <c r="S68" i="1"/>
  <c r="S59" i="1" s="1"/>
  <c r="W66" i="1"/>
  <c r="J90" i="1"/>
  <c r="H91" i="1"/>
  <c r="H93" i="1"/>
  <c r="S41" i="1"/>
  <c r="S32" i="1" s="1"/>
  <c r="S36" i="1" s="1"/>
  <c r="W39" i="1"/>
  <c r="H11" i="1"/>
  <c r="G14" i="1"/>
  <c r="G12" i="1"/>
  <c r="C71" i="1"/>
  <c r="C72" i="1"/>
  <c r="J35" i="1"/>
  <c r="J43" i="1"/>
  <c r="E114" i="1"/>
  <c r="E115" i="1" s="1"/>
  <c r="E122" i="1"/>
  <c r="F122" i="1"/>
  <c r="F114" i="1"/>
  <c r="F115" i="1" s="1"/>
  <c r="G91" i="1"/>
  <c r="I90" i="1"/>
  <c r="G93" i="1"/>
  <c r="G13" i="3"/>
  <c r="I64" i="1"/>
  <c r="G65" i="1"/>
  <c r="G67" i="1"/>
  <c r="X118" i="1"/>
  <c r="T120" i="1"/>
  <c r="T111" i="1" s="1"/>
  <c r="AB39" i="1"/>
  <c r="X41" i="1"/>
  <c r="X32" i="1" s="1"/>
  <c r="AK13" i="1"/>
  <c r="AG15" i="1"/>
  <c r="AG6" i="1" s="1"/>
  <c r="R42" i="5"/>
  <c r="J86" i="1"/>
  <c r="J112" i="1"/>
  <c r="E13" i="3"/>
  <c r="C4" i="5" s="1"/>
  <c r="E63" i="1"/>
  <c r="E74" i="1" s="1"/>
  <c r="J60" i="1"/>
  <c r="H36" i="1"/>
  <c r="J33" i="1"/>
  <c r="H7" i="1"/>
  <c r="H30" i="9" l="1"/>
  <c r="C4" i="7"/>
  <c r="C12" i="5"/>
  <c r="H27" i="5"/>
  <c r="D7" i="2"/>
  <c r="AA92" i="1"/>
  <c r="W94" i="1"/>
  <c r="W85" i="1" s="1"/>
  <c r="C108" i="1"/>
  <c r="C82" i="1"/>
  <c r="C73" i="1"/>
  <c r="C74" i="1"/>
  <c r="AD68" i="1"/>
  <c r="AD59" i="1" s="1"/>
  <c r="AH66" i="1"/>
  <c r="H14" i="1"/>
  <c r="H12" i="1"/>
  <c r="I11" i="1"/>
  <c r="F73" i="1"/>
  <c r="F74" i="1" s="1"/>
  <c r="M37" i="1"/>
  <c r="K40" i="1"/>
  <c r="K38" i="1"/>
  <c r="F97" i="1"/>
  <c r="F98" i="1"/>
  <c r="AA39" i="1"/>
  <c r="W41" i="1"/>
  <c r="W32" i="1" s="1"/>
  <c r="W36" i="1" s="1"/>
  <c r="I35" i="1"/>
  <c r="I43" i="1"/>
  <c r="C21" i="1"/>
  <c r="G16" i="3" s="1"/>
  <c r="G96" i="1"/>
  <c r="G88" i="1"/>
  <c r="G89" i="1" s="1"/>
  <c r="G122" i="1"/>
  <c r="G114" i="1"/>
  <c r="G115" i="1" s="1"/>
  <c r="AH13" i="1"/>
  <c r="AD15" i="1"/>
  <c r="AD6" i="1" s="1"/>
  <c r="H71" i="1"/>
  <c r="H72" i="1"/>
  <c r="G70" i="1"/>
  <c r="G62" i="1"/>
  <c r="G63" i="1" s="1"/>
  <c r="E99" i="1"/>
  <c r="E100" i="1" s="1"/>
  <c r="E82" i="1" s="1"/>
  <c r="E102" i="1" s="1"/>
  <c r="E103" i="1" s="1"/>
  <c r="G17" i="1"/>
  <c r="G9" i="1"/>
  <c r="G10" i="1" s="1"/>
  <c r="I91" i="1"/>
  <c r="I93" i="1"/>
  <c r="K90" i="1"/>
  <c r="H88" i="1"/>
  <c r="H89" i="1" s="1"/>
  <c r="H96" i="1"/>
  <c r="Z118" i="1"/>
  <c r="V120" i="1"/>
  <c r="V111" i="1" s="1"/>
  <c r="E3" i="1"/>
  <c r="E23" i="1" s="1"/>
  <c r="E24" i="1" s="1"/>
  <c r="G7" i="2"/>
  <c r="AJ13" i="1"/>
  <c r="AF15" i="1"/>
  <c r="AF6" i="1" s="1"/>
  <c r="AK118" i="1"/>
  <c r="AG120" i="1"/>
  <c r="AG111" i="1" s="1"/>
  <c r="J117" i="1"/>
  <c r="L116" i="1"/>
  <c r="J119" i="1"/>
  <c r="I65" i="1"/>
  <c r="K64" i="1"/>
  <c r="I67" i="1"/>
  <c r="I117" i="1"/>
  <c r="I119" i="1"/>
  <c r="K116" i="1"/>
  <c r="AB94" i="1"/>
  <c r="AB85" i="1" s="1"/>
  <c r="AF92" i="1"/>
  <c r="L43" i="1"/>
  <c r="L35" i="1"/>
  <c r="AM13" i="1"/>
  <c r="AI15" i="1"/>
  <c r="AI6" i="1" s="1"/>
  <c r="AC39" i="1"/>
  <c r="Y41" i="1"/>
  <c r="Y32" i="1" s="1"/>
  <c r="Y36" i="1" s="1"/>
  <c r="J91" i="1"/>
  <c r="L90" i="1"/>
  <c r="J93" i="1"/>
  <c r="AB68" i="1"/>
  <c r="AB59" i="1" s="1"/>
  <c r="AF66" i="1"/>
  <c r="N38" i="1"/>
  <c r="P37" i="1"/>
  <c r="N40" i="1"/>
  <c r="L67" i="1"/>
  <c r="L65" i="1"/>
  <c r="N64" i="1"/>
  <c r="F123" i="1"/>
  <c r="F124" i="1"/>
  <c r="W68" i="1"/>
  <c r="W59" i="1" s="1"/>
  <c r="AA66" i="1"/>
  <c r="F46" i="1"/>
  <c r="F47" i="1" s="1"/>
  <c r="J70" i="1"/>
  <c r="J62" i="1"/>
  <c r="E123" i="1"/>
  <c r="E124" i="1"/>
  <c r="AK15" i="1"/>
  <c r="AK6" i="1" s="1"/>
  <c r="AO13" i="1"/>
  <c r="AO15" i="1" s="1"/>
  <c r="AO6" i="1" s="1"/>
  <c r="AC92" i="1"/>
  <c r="Y94" i="1"/>
  <c r="Y85" i="1" s="1"/>
  <c r="AD92" i="1"/>
  <c r="Z94" i="1"/>
  <c r="Z85" i="1" s="1"/>
  <c r="Y68" i="1"/>
  <c r="Y59" i="1" s="1"/>
  <c r="AC66" i="1"/>
  <c r="X120" i="1"/>
  <c r="X111" i="1" s="1"/>
  <c r="AB118" i="1"/>
  <c r="G45" i="1"/>
  <c r="G44" i="1"/>
  <c r="G46" i="1" s="1"/>
  <c r="G47" i="1" s="1"/>
  <c r="H122" i="1"/>
  <c r="H114" i="1"/>
  <c r="H115" i="1" s="1"/>
  <c r="J45" i="1"/>
  <c r="J44" i="1"/>
  <c r="J46" i="1" s="1"/>
  <c r="F18" i="1"/>
  <c r="F19" i="1"/>
  <c r="AE118" i="1"/>
  <c r="AA120" i="1"/>
  <c r="AA111" i="1" s="1"/>
  <c r="H45" i="1"/>
  <c r="H44" i="1"/>
  <c r="H46" i="1" s="1"/>
  <c r="H47" i="1" s="1"/>
  <c r="V41" i="1"/>
  <c r="V32" i="1" s="1"/>
  <c r="Z39" i="1"/>
  <c r="AF39" i="1"/>
  <c r="AB41" i="1"/>
  <c r="AB32" i="1" s="1"/>
  <c r="J63" i="1"/>
  <c r="L60" i="1"/>
  <c r="E7" i="2"/>
  <c r="E56" i="1"/>
  <c r="E76" i="1" s="1"/>
  <c r="E77" i="1" s="1"/>
  <c r="D4" i="3"/>
  <c r="C102" i="1"/>
  <c r="C103" i="1" s="1"/>
  <c r="C4" i="3"/>
  <c r="C128" i="1"/>
  <c r="C129" i="1" s="1"/>
  <c r="J36" i="1"/>
  <c r="L33" i="1"/>
  <c r="L86" i="1"/>
  <c r="L112" i="1"/>
  <c r="J7" i="1"/>
  <c r="C10" i="7" l="1"/>
  <c r="H23" i="7" s="1"/>
  <c r="X83" i="7"/>
  <c r="R36" i="7"/>
  <c r="R44" i="7" s="1"/>
  <c r="H27" i="7"/>
  <c r="G31" i="9"/>
  <c r="C1" i="7"/>
  <c r="J47" i="1"/>
  <c r="AE92" i="1"/>
  <c r="AA94" i="1"/>
  <c r="AA85" i="1" s="1"/>
  <c r="F99" i="1"/>
  <c r="F100" i="1" s="1"/>
  <c r="F82" i="1" s="1"/>
  <c r="F102" i="1" s="1"/>
  <c r="F103" i="1" s="1"/>
  <c r="G4" i="3"/>
  <c r="H29" i="1"/>
  <c r="H49" i="1" s="1"/>
  <c r="H50" i="1" s="1"/>
  <c r="F10" i="2"/>
  <c r="AC41" i="1"/>
  <c r="AC32" i="1" s="1"/>
  <c r="AC36" i="1" s="1"/>
  <c r="AG39" i="1"/>
  <c r="G71" i="1"/>
  <c r="G72" i="1"/>
  <c r="K35" i="1"/>
  <c r="K43" i="1"/>
  <c r="AQ13" i="1"/>
  <c r="AQ15" i="1" s="1"/>
  <c r="AQ6" i="1" s="1"/>
  <c r="AM15" i="1"/>
  <c r="AM6" i="1" s="1"/>
  <c r="M38" i="1"/>
  <c r="O37" i="1"/>
  <c r="M40" i="1"/>
  <c r="AA41" i="1"/>
  <c r="AA32" i="1" s="1"/>
  <c r="AA36" i="1" s="1"/>
  <c r="AE39" i="1"/>
  <c r="L45" i="1"/>
  <c r="L44" i="1"/>
  <c r="L46" i="1" s="1"/>
  <c r="F20" i="1"/>
  <c r="F21" i="1" s="1"/>
  <c r="L70" i="1"/>
  <c r="L62" i="1"/>
  <c r="L63" i="1" s="1"/>
  <c r="AJ92" i="1"/>
  <c r="AF94" i="1"/>
  <c r="AF85" i="1" s="1"/>
  <c r="AH15" i="1"/>
  <c r="AH6" i="1" s="1"/>
  <c r="AL13" i="1"/>
  <c r="F56" i="1"/>
  <c r="F76" i="1" s="1"/>
  <c r="F77" i="1" s="1"/>
  <c r="E8" i="2"/>
  <c r="AD94" i="1"/>
  <c r="AD85" i="1" s="1"/>
  <c r="AH92" i="1"/>
  <c r="N67" i="1"/>
  <c r="P64" i="1"/>
  <c r="N65" i="1"/>
  <c r="AG92" i="1"/>
  <c r="AC94" i="1"/>
  <c r="AC85" i="1" s="1"/>
  <c r="N43" i="1"/>
  <c r="N35" i="1"/>
  <c r="I14" i="1"/>
  <c r="I12" i="1"/>
  <c r="J11" i="1"/>
  <c r="R37" i="1"/>
  <c r="P40" i="1"/>
  <c r="P38" i="1"/>
  <c r="K117" i="1"/>
  <c r="K119" i="1"/>
  <c r="M116" i="1"/>
  <c r="Z120" i="1"/>
  <c r="Z111" i="1" s="1"/>
  <c r="AD118" i="1"/>
  <c r="G123" i="1"/>
  <c r="G124" i="1"/>
  <c r="AI118" i="1"/>
  <c r="AE120" i="1"/>
  <c r="AE111" i="1" s="1"/>
  <c r="I122" i="1"/>
  <c r="I114" i="1"/>
  <c r="I115" i="1" s="1"/>
  <c r="H97" i="1"/>
  <c r="H98" i="1"/>
  <c r="H17" i="1"/>
  <c r="H9" i="1"/>
  <c r="H10" i="1" s="1"/>
  <c r="G98" i="1"/>
  <c r="G97" i="1"/>
  <c r="AL66" i="1"/>
  <c r="AH68" i="1"/>
  <c r="AH59" i="1" s="1"/>
  <c r="AO118" i="1"/>
  <c r="AO120" i="1" s="1"/>
  <c r="AO111" i="1" s="1"/>
  <c r="AK120" i="1"/>
  <c r="AK111" i="1" s="1"/>
  <c r="H73" i="1"/>
  <c r="H74" i="1" s="1"/>
  <c r="I96" i="1"/>
  <c r="I88" i="1"/>
  <c r="I89" i="1" s="1"/>
  <c r="C56" i="1"/>
  <c r="E16" i="3"/>
  <c r="C1" i="5" s="1"/>
  <c r="AG66" i="1"/>
  <c r="AC68" i="1"/>
  <c r="AC59" i="1" s="1"/>
  <c r="AN13" i="1"/>
  <c r="AJ15" i="1"/>
  <c r="AJ6" i="1" s="1"/>
  <c r="AF41" i="1"/>
  <c r="AF32" i="1" s="1"/>
  <c r="AJ39" i="1"/>
  <c r="N90" i="1"/>
  <c r="L93" i="1"/>
  <c r="L91" i="1"/>
  <c r="AA68" i="1"/>
  <c r="AA59" i="1" s="1"/>
  <c r="AE66" i="1"/>
  <c r="F125" i="1"/>
  <c r="F126" i="1" s="1"/>
  <c r="AF68" i="1"/>
  <c r="AF59" i="1" s="1"/>
  <c r="AJ66" i="1"/>
  <c r="H124" i="1"/>
  <c r="H123" i="1"/>
  <c r="I62" i="1"/>
  <c r="I63" i="1" s="1"/>
  <c r="I70" i="1"/>
  <c r="G29" i="1"/>
  <c r="G49" i="1" s="1"/>
  <c r="G50" i="1" s="1"/>
  <c r="F9" i="2"/>
  <c r="J88" i="1"/>
  <c r="J89" i="1" s="1"/>
  <c r="J96" i="1"/>
  <c r="AD39" i="1"/>
  <c r="Z41" i="1"/>
  <c r="Z32" i="1" s="1"/>
  <c r="I44" i="1"/>
  <c r="I45" i="1"/>
  <c r="AF118" i="1"/>
  <c r="AB120" i="1"/>
  <c r="AB111" i="1" s="1"/>
  <c r="J71" i="1"/>
  <c r="J72" i="1"/>
  <c r="J114" i="1"/>
  <c r="J115" i="1" s="1"/>
  <c r="J122" i="1"/>
  <c r="K91" i="1"/>
  <c r="K93" i="1"/>
  <c r="M90" i="1"/>
  <c r="E125" i="1"/>
  <c r="E126" i="1" s="1"/>
  <c r="K65" i="1"/>
  <c r="M64" i="1"/>
  <c r="K67" i="1"/>
  <c r="F29" i="1"/>
  <c r="F49" i="1" s="1"/>
  <c r="F50" i="1" s="1"/>
  <c r="F8" i="2"/>
  <c r="N116" i="1"/>
  <c r="L117" i="1"/>
  <c r="L119" i="1"/>
  <c r="G18" i="1"/>
  <c r="G19" i="1"/>
  <c r="C10" i="5"/>
  <c r="R36" i="5"/>
  <c r="N112" i="1"/>
  <c r="N60" i="1"/>
  <c r="L36" i="1"/>
  <c r="N33" i="1"/>
  <c r="J29" i="1"/>
  <c r="J49" i="1" s="1"/>
  <c r="J50" i="1" s="1"/>
  <c r="F11" i="2"/>
  <c r="N86" i="1"/>
  <c r="L7" i="1"/>
  <c r="H23" i="5" l="1"/>
  <c r="E13" i="5"/>
  <c r="AB39" i="7"/>
  <c r="E70" i="7"/>
  <c r="AC83" i="7"/>
  <c r="E37" i="7"/>
  <c r="AQ4" i="7"/>
  <c r="E31" i="7"/>
  <c r="BB4" i="7"/>
  <c r="E39" i="7"/>
  <c r="U4" i="7"/>
  <c r="K4" i="7"/>
  <c r="E29" i="7"/>
  <c r="E55" i="7"/>
  <c r="AE4" i="7"/>
  <c r="E56" i="7"/>
  <c r="E28" i="7"/>
  <c r="AH4" i="7"/>
  <c r="H4" i="7"/>
  <c r="E44" i="7"/>
  <c r="E62" i="7"/>
  <c r="E66" i="7"/>
  <c r="BE4" i="7"/>
  <c r="E48" i="7"/>
  <c r="J4" i="7"/>
  <c r="Z4" i="7"/>
  <c r="BC4" i="7"/>
  <c r="W4" i="7"/>
  <c r="E72" i="7"/>
  <c r="F4" i="7"/>
  <c r="G4" i="7"/>
  <c r="BA4" i="7"/>
  <c r="AD4" i="7"/>
  <c r="E38" i="7"/>
  <c r="E51" i="7"/>
  <c r="Y4" i="7"/>
  <c r="E69" i="7"/>
  <c r="F31" i="9"/>
  <c r="D8" i="2"/>
  <c r="BG4" i="7"/>
  <c r="AT4" i="7"/>
  <c r="Q4" i="7"/>
  <c r="AX4" i="7"/>
  <c r="D4" i="7"/>
  <c r="E46" i="7"/>
  <c r="BH4" i="7"/>
  <c r="AS4" i="7"/>
  <c r="AN4" i="7"/>
  <c r="E57" i="7"/>
  <c r="E33" i="7"/>
  <c r="AP4" i="7"/>
  <c r="E77" i="7"/>
  <c r="R4" i="7"/>
  <c r="M4" i="7"/>
  <c r="E59" i="7"/>
  <c r="AA4" i="7"/>
  <c r="AI4" i="7"/>
  <c r="P4" i="7"/>
  <c r="E50" i="7"/>
  <c r="E63" i="7"/>
  <c r="E82" i="7"/>
  <c r="E75" i="7"/>
  <c r="C3" i="7"/>
  <c r="AW83" i="7" s="1"/>
  <c r="AY101" i="7" s="1"/>
  <c r="AU151" i="7" s="1"/>
  <c r="O4" i="7"/>
  <c r="R49" i="7"/>
  <c r="AT39" i="7" s="1"/>
  <c r="E35" i="7"/>
  <c r="E34" i="7"/>
  <c r="AU4" i="7"/>
  <c r="AK4" i="7"/>
  <c r="E58" i="7"/>
  <c r="AZ4" i="7"/>
  <c r="E42" i="7"/>
  <c r="E47" i="7"/>
  <c r="BK4" i="7"/>
  <c r="AC4" i="7"/>
  <c r="E54" i="7"/>
  <c r="E41" i="7"/>
  <c r="N4" i="7"/>
  <c r="BF4" i="7"/>
  <c r="E43" i="7"/>
  <c r="E45" i="7"/>
  <c r="E52" i="7"/>
  <c r="AJ4" i="7"/>
  <c r="AO4" i="7"/>
  <c r="E60" i="7"/>
  <c r="E36" i="7"/>
  <c r="E84" i="7"/>
  <c r="E68" i="7"/>
  <c r="E87" i="7"/>
  <c r="E71" i="7"/>
  <c r="E73" i="7"/>
  <c r="E78" i="7"/>
  <c r="E40" i="7"/>
  <c r="E80" i="7"/>
  <c r="E64" i="7"/>
  <c r="E83" i="7"/>
  <c r="E67" i="7"/>
  <c r="E65" i="7"/>
  <c r="E74" i="7"/>
  <c r="AV4" i="7"/>
  <c r="AW4" i="7"/>
  <c r="BD4" i="7"/>
  <c r="AB4" i="7"/>
  <c r="V4" i="7"/>
  <c r="E4" i="7"/>
  <c r="E30" i="7"/>
  <c r="E53" i="7"/>
  <c r="AY4" i="7"/>
  <c r="AM4" i="7"/>
  <c r="AF4" i="7"/>
  <c r="S4" i="7"/>
  <c r="BI4" i="7"/>
  <c r="E49" i="7"/>
  <c r="BJ4" i="7"/>
  <c r="L4" i="7"/>
  <c r="AG4" i="7"/>
  <c r="T4" i="7"/>
  <c r="AR4" i="7"/>
  <c r="AL4" i="7"/>
  <c r="I4" i="7"/>
  <c r="E32" i="7"/>
  <c r="E61" i="7"/>
  <c r="X4" i="7"/>
  <c r="E76" i="7"/>
  <c r="E81" i="7"/>
  <c r="E79" i="7"/>
  <c r="E85" i="7"/>
  <c r="E86" i="7"/>
  <c r="E53" i="5"/>
  <c r="E33" i="5"/>
  <c r="J10" i="5"/>
  <c r="E61" i="5"/>
  <c r="T10" i="5"/>
  <c r="W10" i="5"/>
  <c r="M10" i="5"/>
  <c r="E30" i="5"/>
  <c r="S10" i="5"/>
  <c r="AL10" i="5"/>
  <c r="O10" i="5"/>
  <c r="E48" i="5"/>
  <c r="E46" i="5"/>
  <c r="E59" i="5"/>
  <c r="E35" i="5"/>
  <c r="I10" i="5"/>
  <c r="E32" i="5"/>
  <c r="E37" i="5"/>
  <c r="E44" i="5"/>
  <c r="AA10" i="5"/>
  <c r="D10" i="5"/>
  <c r="E50" i="5"/>
  <c r="H10" i="5"/>
  <c r="E55" i="5"/>
  <c r="K10" i="5"/>
  <c r="AJ10" i="5"/>
  <c r="E62" i="5"/>
  <c r="E45" i="5"/>
  <c r="AC10" i="5"/>
  <c r="E54" i="5"/>
  <c r="E28" i="5"/>
  <c r="E43" i="5"/>
  <c r="E52" i="5"/>
  <c r="AI10" i="5"/>
  <c r="L10" i="5"/>
  <c r="E49" i="5"/>
  <c r="Y10" i="5"/>
  <c r="E41" i="5"/>
  <c r="N10" i="5"/>
  <c r="E63" i="5"/>
  <c r="AM10" i="5"/>
  <c r="E58" i="5"/>
  <c r="P10" i="5"/>
  <c r="E34" i="5"/>
  <c r="E10" i="5"/>
  <c r="R10" i="5"/>
  <c r="E31" i="5"/>
  <c r="E36" i="5"/>
  <c r="F10" i="5"/>
  <c r="U10" i="5"/>
  <c r="AE10" i="5"/>
  <c r="E60" i="5"/>
  <c r="AF10" i="5"/>
  <c r="V10" i="5"/>
  <c r="E40" i="5"/>
  <c r="E51" i="5"/>
  <c r="AH10" i="5"/>
  <c r="E56" i="5"/>
  <c r="X10" i="5"/>
  <c r="E29" i="5"/>
  <c r="E57" i="5"/>
  <c r="AK10" i="5"/>
  <c r="R49" i="5"/>
  <c r="Z10" i="5"/>
  <c r="E38" i="5"/>
  <c r="AG10" i="5"/>
  <c r="AB10" i="5"/>
  <c r="E42" i="5"/>
  <c r="Q10" i="5"/>
  <c r="E39" i="5"/>
  <c r="AD10" i="5"/>
  <c r="E47" i="5"/>
  <c r="G10" i="5"/>
  <c r="C23" i="1"/>
  <c r="C24" i="1" s="1"/>
  <c r="G125" i="1"/>
  <c r="G126" i="1" s="1"/>
  <c r="AI92" i="1"/>
  <c r="AE94" i="1"/>
  <c r="AE85" i="1" s="1"/>
  <c r="H125" i="1"/>
  <c r="H126" i="1" s="1"/>
  <c r="G99" i="1"/>
  <c r="G100" i="1" s="1"/>
  <c r="J73" i="1"/>
  <c r="J74" i="1" s="1"/>
  <c r="J56" i="1" s="1"/>
  <c r="J76" i="1" s="1"/>
  <c r="J77" i="1" s="1"/>
  <c r="I46" i="1"/>
  <c r="I47" i="1" s="1"/>
  <c r="I29" i="1" s="1"/>
  <c r="I49" i="1" s="1"/>
  <c r="I50" i="1" s="1"/>
  <c r="R44" i="5"/>
  <c r="AB39" i="5" s="1"/>
  <c r="C10" i="2"/>
  <c r="H108" i="1"/>
  <c r="H128" i="1" s="1"/>
  <c r="H129" i="1" s="1"/>
  <c r="G20" i="1"/>
  <c r="G21" i="1" s="1"/>
  <c r="F108" i="1"/>
  <c r="F128" i="1" s="1"/>
  <c r="F129" i="1" s="1"/>
  <c r="C8" i="2"/>
  <c r="AM118" i="1"/>
  <c r="AI120" i="1"/>
  <c r="AI111" i="1" s="1"/>
  <c r="L72" i="1"/>
  <c r="L71" i="1"/>
  <c r="K45" i="1"/>
  <c r="K44" i="1"/>
  <c r="M65" i="1"/>
  <c r="M67" i="1"/>
  <c r="O64" i="1"/>
  <c r="AJ118" i="1"/>
  <c r="AF120" i="1"/>
  <c r="AF111" i="1" s="1"/>
  <c r="G8" i="2"/>
  <c r="F3" i="1"/>
  <c r="F23" i="1" s="1"/>
  <c r="F24" i="1" s="1"/>
  <c r="H18" i="1"/>
  <c r="H19" i="1"/>
  <c r="G108" i="1"/>
  <c r="G128" i="1" s="1"/>
  <c r="G129" i="1" s="1"/>
  <c r="C9" i="2"/>
  <c r="J12" i="1"/>
  <c r="J14" i="1"/>
  <c r="K11" i="1"/>
  <c r="K96" i="1"/>
  <c r="K88" i="1"/>
  <c r="K89" i="1" s="1"/>
  <c r="L88" i="1"/>
  <c r="L89" i="1" s="1"/>
  <c r="L96" i="1"/>
  <c r="AD120" i="1"/>
  <c r="AD111" i="1" s="1"/>
  <c r="AH118" i="1"/>
  <c r="R64" i="1"/>
  <c r="P67" i="1"/>
  <c r="P65" i="1"/>
  <c r="I72" i="1"/>
  <c r="I71" i="1"/>
  <c r="I73" i="1" s="1"/>
  <c r="I74" i="1" s="1"/>
  <c r="I56" i="1" s="1"/>
  <c r="I76" i="1" s="1"/>
  <c r="I77" i="1" s="1"/>
  <c r="N91" i="1"/>
  <c r="P90" i="1"/>
  <c r="N93" i="1"/>
  <c r="H99" i="1"/>
  <c r="H100" i="1" s="1"/>
  <c r="I9" i="1"/>
  <c r="I10" i="1" s="1"/>
  <c r="I17" i="1"/>
  <c r="N62" i="1"/>
  <c r="N70" i="1"/>
  <c r="G73" i="1"/>
  <c r="G74" i="1" s="1"/>
  <c r="I97" i="1"/>
  <c r="I98" i="1"/>
  <c r="AJ41" i="1"/>
  <c r="AJ32" i="1" s="1"/>
  <c r="AN39" i="1"/>
  <c r="E10" i="2"/>
  <c r="H56" i="1"/>
  <c r="H76" i="1" s="1"/>
  <c r="H77" i="1" s="1"/>
  <c r="M119" i="1"/>
  <c r="O116" i="1"/>
  <c r="M117" i="1"/>
  <c r="AK92" i="1"/>
  <c r="AG94" i="1"/>
  <c r="AG85" i="1" s="1"/>
  <c r="I123" i="1"/>
  <c r="I124" i="1"/>
  <c r="K122" i="1"/>
  <c r="K114" i="1"/>
  <c r="K115" i="1" s="1"/>
  <c r="N45" i="1"/>
  <c r="N44" i="1"/>
  <c r="N46" i="1" s="1"/>
  <c r="AL92" i="1"/>
  <c r="AH94" i="1"/>
  <c r="AH85" i="1" s="1"/>
  <c r="AI39" i="1"/>
  <c r="AE41" i="1"/>
  <c r="AE32" i="1" s="1"/>
  <c r="AE36" i="1" s="1"/>
  <c r="AG41" i="1"/>
  <c r="AG32" i="1" s="1"/>
  <c r="AG36" i="1" s="1"/>
  <c r="AK39" i="1"/>
  <c r="M43" i="1"/>
  <c r="M35" i="1"/>
  <c r="E4" i="3"/>
  <c r="C3" i="5" s="1"/>
  <c r="AW83" i="5" s="1"/>
  <c r="C76" i="1"/>
  <c r="C77" i="1" s="1"/>
  <c r="O40" i="1"/>
  <c r="O38" i="1"/>
  <c r="Q37" i="1"/>
  <c r="L114" i="1"/>
  <c r="L115" i="1" s="1"/>
  <c r="L122" i="1"/>
  <c r="AP66" i="1"/>
  <c r="AP68" i="1" s="1"/>
  <c r="AP59" i="1" s="1"/>
  <c r="AL68" i="1"/>
  <c r="AL59" i="1" s="1"/>
  <c r="R40" i="1"/>
  <c r="R38" i="1"/>
  <c r="T37" i="1"/>
  <c r="AL15" i="1"/>
  <c r="AL6" i="1" s="1"/>
  <c r="AP13" i="1"/>
  <c r="AP15" i="1" s="1"/>
  <c r="AP6" i="1" s="1"/>
  <c r="AI66" i="1"/>
  <c r="AE68" i="1"/>
  <c r="AE59" i="1" s="1"/>
  <c r="N117" i="1"/>
  <c r="P116" i="1"/>
  <c r="N119" i="1"/>
  <c r="AH39" i="1"/>
  <c r="AD41" i="1"/>
  <c r="AD32" i="1" s="1"/>
  <c r="AN15" i="1"/>
  <c r="AN6" i="1" s="1"/>
  <c r="AR13" i="1"/>
  <c r="AR15" i="1" s="1"/>
  <c r="P43" i="1"/>
  <c r="P35" i="1"/>
  <c r="AN66" i="1"/>
  <c r="AJ68" i="1"/>
  <c r="AJ59" i="1" s="1"/>
  <c r="G82" i="1"/>
  <c r="G102" i="1" s="1"/>
  <c r="G103" i="1" s="1"/>
  <c r="D9" i="2"/>
  <c r="J97" i="1"/>
  <c r="J99" i="1" s="1"/>
  <c r="J100" i="1" s="1"/>
  <c r="J98" i="1"/>
  <c r="AG68" i="1"/>
  <c r="AG59" i="1" s="1"/>
  <c r="AK66" i="1"/>
  <c r="E108" i="1"/>
  <c r="E128" i="1" s="1"/>
  <c r="E129" i="1" s="1"/>
  <c r="C7" i="2"/>
  <c r="M93" i="1"/>
  <c r="O90" i="1"/>
  <c r="M91" i="1"/>
  <c r="L47" i="1"/>
  <c r="L29" i="1" s="1"/>
  <c r="L49" i="1" s="1"/>
  <c r="L50" i="1" s="1"/>
  <c r="J123" i="1"/>
  <c r="J124" i="1"/>
  <c r="K70" i="1"/>
  <c r="K62" i="1"/>
  <c r="K63" i="1" s="1"/>
  <c r="AN92" i="1"/>
  <c r="AJ94" i="1"/>
  <c r="AJ85" i="1" s="1"/>
  <c r="AZ76" i="5"/>
  <c r="P33" i="1"/>
  <c r="N36" i="1"/>
  <c r="P60" i="1"/>
  <c r="N63" i="1"/>
  <c r="P86" i="1"/>
  <c r="P112" i="1"/>
  <c r="N7" i="1"/>
  <c r="AN102" i="7" l="1"/>
  <c r="AD151" i="7" s="1"/>
  <c r="C12" i="7"/>
  <c r="H31" i="9"/>
  <c r="E88" i="7"/>
  <c r="E11" i="2"/>
  <c r="AT39" i="5"/>
  <c r="AC83" i="5"/>
  <c r="AN102" i="5" s="1"/>
  <c r="AD151" i="5" s="1"/>
  <c r="E64" i="5"/>
  <c r="E88" i="5" s="1"/>
  <c r="AY101" i="5"/>
  <c r="AU151" i="5"/>
  <c r="N47" i="1"/>
  <c r="AM92" i="1"/>
  <c r="AI94" i="1"/>
  <c r="AI85" i="1" s="1"/>
  <c r="L73" i="1"/>
  <c r="L74" i="1" s="1"/>
  <c r="E12" i="2" s="1"/>
  <c r="X83" i="5"/>
  <c r="D11" i="2"/>
  <c r="J82" i="1"/>
  <c r="J102" i="1" s="1"/>
  <c r="J103" i="1" s="1"/>
  <c r="L56" i="1"/>
  <c r="L76" i="1" s="1"/>
  <c r="L77" i="1" s="1"/>
  <c r="M44" i="1"/>
  <c r="M45" i="1"/>
  <c r="AO92" i="1"/>
  <c r="AO94" i="1" s="1"/>
  <c r="AO85" i="1" s="1"/>
  <c r="AK94" i="1"/>
  <c r="AK85" i="1" s="1"/>
  <c r="H82" i="1"/>
  <c r="H102" i="1" s="1"/>
  <c r="H103" i="1" s="1"/>
  <c r="D10" i="2"/>
  <c r="K14" i="1"/>
  <c r="K12" i="1"/>
  <c r="L11" i="1"/>
  <c r="M70" i="1"/>
  <c r="M62" i="1"/>
  <c r="M63" i="1" s="1"/>
  <c r="K46" i="1"/>
  <c r="K47" i="1" s="1"/>
  <c r="K29" i="1" s="1"/>
  <c r="K49" i="1" s="1"/>
  <c r="K50" i="1" s="1"/>
  <c r="K72" i="1"/>
  <c r="K71" i="1"/>
  <c r="K73" i="1" s="1"/>
  <c r="K74" i="1" s="1"/>
  <c r="K56" i="1" s="1"/>
  <c r="K76" i="1" s="1"/>
  <c r="K77" i="1" s="1"/>
  <c r="J17" i="1"/>
  <c r="J9" i="1"/>
  <c r="J10" i="1" s="1"/>
  <c r="O119" i="1"/>
  <c r="O117" i="1"/>
  <c r="Q116" i="1"/>
  <c r="M122" i="1"/>
  <c r="M114" i="1"/>
  <c r="M115" i="1" s="1"/>
  <c r="R43" i="1"/>
  <c r="R35" i="1"/>
  <c r="AN68" i="1"/>
  <c r="AN59" i="1" s="1"/>
  <c r="AR66" i="1"/>
  <c r="AR68" i="1" s="1"/>
  <c r="AR59" i="1" s="1"/>
  <c r="F12" i="2"/>
  <c r="P44" i="1"/>
  <c r="P45" i="1"/>
  <c r="AM39" i="1"/>
  <c r="AI41" i="1"/>
  <c r="AI32" i="1" s="1"/>
  <c r="AI36" i="1" s="1"/>
  <c r="AR39" i="1"/>
  <c r="AR41" i="1" s="1"/>
  <c r="AR32" i="1" s="1"/>
  <c r="AN41" i="1"/>
  <c r="AN32" i="1" s="1"/>
  <c r="H20" i="1"/>
  <c r="H21" i="1" s="1"/>
  <c r="O67" i="1"/>
  <c r="Q64" i="1"/>
  <c r="O65" i="1"/>
  <c r="AO39" i="1"/>
  <c r="AO41" i="1" s="1"/>
  <c r="AO32" i="1" s="1"/>
  <c r="AO36" i="1" s="1"/>
  <c r="AK41" i="1"/>
  <c r="AK32" i="1" s="1"/>
  <c r="AK36" i="1" s="1"/>
  <c r="J125" i="1"/>
  <c r="J126" i="1" s="1"/>
  <c r="AR6" i="1"/>
  <c r="P70" i="1"/>
  <c r="P62" i="1"/>
  <c r="P63" i="1" s="1"/>
  <c r="T38" i="1"/>
  <c r="T40" i="1"/>
  <c r="V37" i="1"/>
  <c r="M96" i="1"/>
  <c r="M88" i="1"/>
  <c r="M89" i="1" s="1"/>
  <c r="L124" i="1"/>
  <c r="L123" i="1"/>
  <c r="L125" i="1" s="1"/>
  <c r="L126" i="1" s="1"/>
  <c r="AP92" i="1"/>
  <c r="AP94" i="1" s="1"/>
  <c r="AP85" i="1" s="1"/>
  <c r="AL94" i="1"/>
  <c r="AL85" i="1" s="1"/>
  <c r="T64" i="1"/>
  <c r="R65" i="1"/>
  <c r="R67" i="1"/>
  <c r="AM120" i="1"/>
  <c r="AM111" i="1" s="1"/>
  <c r="AQ118" i="1"/>
  <c r="AQ120" i="1" s="1"/>
  <c r="AQ111" i="1" s="1"/>
  <c r="AL118" i="1"/>
  <c r="AH120" i="1"/>
  <c r="AH111" i="1" s="1"/>
  <c r="N96" i="1"/>
  <c r="N88" i="1"/>
  <c r="N89" i="1" s="1"/>
  <c r="AI68" i="1"/>
  <c r="AI59" i="1" s="1"/>
  <c r="AM66" i="1"/>
  <c r="P93" i="1"/>
  <c r="R90" i="1"/>
  <c r="P91" i="1"/>
  <c r="O93" i="1"/>
  <c r="O91" i="1"/>
  <c r="Q90" i="1"/>
  <c r="S37" i="1"/>
  <c r="Q40" i="1"/>
  <c r="Q38" i="1"/>
  <c r="I99" i="1"/>
  <c r="I100" i="1" s="1"/>
  <c r="I82" i="1" s="1"/>
  <c r="I102" i="1" s="1"/>
  <c r="I103" i="1" s="1"/>
  <c r="P117" i="1"/>
  <c r="P119" i="1"/>
  <c r="R116" i="1"/>
  <c r="G56" i="1"/>
  <c r="G76" i="1" s="1"/>
  <c r="G77" i="1" s="1"/>
  <c r="E9" i="2"/>
  <c r="G9" i="2"/>
  <c r="G3" i="1"/>
  <c r="G23" i="1" s="1"/>
  <c r="G24" i="1" s="1"/>
  <c r="O43" i="1"/>
  <c r="O35" i="1"/>
  <c r="AL39" i="1"/>
  <c r="AH41" i="1"/>
  <c r="AH32" i="1" s="1"/>
  <c r="N122" i="1"/>
  <c r="N114" i="1"/>
  <c r="N115" i="1" s="1"/>
  <c r="L98" i="1"/>
  <c r="L97" i="1"/>
  <c r="AO66" i="1"/>
  <c r="AO68" i="1" s="1"/>
  <c r="AO59" i="1" s="1"/>
  <c r="AK68" i="1"/>
  <c r="AK59" i="1" s="1"/>
  <c r="K123" i="1"/>
  <c r="K124" i="1"/>
  <c r="N72" i="1"/>
  <c r="N71" i="1"/>
  <c r="AN94" i="1"/>
  <c r="AN85" i="1" s="1"/>
  <c r="AR92" i="1"/>
  <c r="AR94" i="1" s="1"/>
  <c r="AR85" i="1" s="1"/>
  <c r="I125" i="1"/>
  <c r="I126" i="1" s="1"/>
  <c r="I108" i="1" s="1"/>
  <c r="I128" i="1" s="1"/>
  <c r="I129" i="1" s="1"/>
  <c r="I19" i="1"/>
  <c r="I18" i="1"/>
  <c r="K98" i="1"/>
  <c r="K97" i="1"/>
  <c r="AN118" i="1"/>
  <c r="AJ120" i="1"/>
  <c r="AJ111" i="1" s="1"/>
  <c r="R60" i="1"/>
  <c r="R33" i="1"/>
  <c r="P36" i="1"/>
  <c r="R112" i="1"/>
  <c r="R86" i="1"/>
  <c r="N29" i="1"/>
  <c r="N49" i="1" s="1"/>
  <c r="N50" i="1" s="1"/>
  <c r="F13" i="2"/>
  <c r="P7" i="1"/>
  <c r="G32" i="9" l="1"/>
  <c r="G28" i="7"/>
  <c r="F28" i="7" s="1"/>
  <c r="H28" i="7" s="1"/>
  <c r="G29" i="7" s="1"/>
  <c r="F29" i="7" s="1"/>
  <c r="H29" i="7" s="1"/>
  <c r="G30" i="7" s="1"/>
  <c r="I20" i="1"/>
  <c r="I21" i="1" s="1"/>
  <c r="I3" i="1" s="1"/>
  <c r="I23" i="1" s="1"/>
  <c r="I24" i="1" s="1"/>
  <c r="L99" i="1"/>
  <c r="L100" i="1" s="1"/>
  <c r="AM94" i="1"/>
  <c r="AM85" i="1" s="1"/>
  <c r="AQ92" i="1"/>
  <c r="AQ94" i="1" s="1"/>
  <c r="AQ85" i="1" s="1"/>
  <c r="K99" i="1"/>
  <c r="K100" i="1" s="1"/>
  <c r="K82" i="1" s="1"/>
  <c r="K102" i="1" s="1"/>
  <c r="K103" i="1" s="1"/>
  <c r="N73" i="1"/>
  <c r="N74" i="1" s="1"/>
  <c r="M46" i="1"/>
  <c r="M47" i="1" s="1"/>
  <c r="M29" i="1" s="1"/>
  <c r="M49" i="1" s="1"/>
  <c r="M50" i="1" s="1"/>
  <c r="P46" i="1"/>
  <c r="P47" i="1" s="1"/>
  <c r="F14" i="2" s="1"/>
  <c r="Q93" i="1"/>
  <c r="S90" i="1"/>
  <c r="Q91" i="1"/>
  <c r="K17" i="1"/>
  <c r="K9" i="1"/>
  <c r="K10" i="1" s="1"/>
  <c r="L82" i="1"/>
  <c r="L102" i="1" s="1"/>
  <c r="L103" i="1" s="1"/>
  <c r="D12" i="2"/>
  <c r="R45" i="1"/>
  <c r="R44" i="1"/>
  <c r="M72" i="1"/>
  <c r="M71" i="1"/>
  <c r="M73" i="1" s="1"/>
  <c r="M74" i="1" s="1"/>
  <c r="M56" i="1" s="1"/>
  <c r="M76" i="1" s="1"/>
  <c r="M77" i="1" s="1"/>
  <c r="T65" i="1"/>
  <c r="T67" i="1"/>
  <c r="V64" i="1"/>
  <c r="P88" i="1"/>
  <c r="P89" i="1" s="1"/>
  <c r="P96" i="1"/>
  <c r="K125" i="1"/>
  <c r="K126" i="1" s="1"/>
  <c r="K108" i="1" s="1"/>
  <c r="K128" i="1" s="1"/>
  <c r="K129" i="1" s="1"/>
  <c r="M98" i="1"/>
  <c r="M97" i="1"/>
  <c r="M124" i="1"/>
  <c r="M123" i="1"/>
  <c r="O45" i="1"/>
  <c r="O44" i="1"/>
  <c r="O46" i="1" s="1"/>
  <c r="O47" i="1" s="1"/>
  <c r="O29" i="1" s="1"/>
  <c r="O49" i="1" s="1"/>
  <c r="O50" i="1" s="1"/>
  <c r="Q67" i="1"/>
  <c r="S64" i="1"/>
  <c r="Q65" i="1"/>
  <c r="Q119" i="1"/>
  <c r="S116" i="1"/>
  <c r="Q117" i="1"/>
  <c r="T116" i="1"/>
  <c r="R119" i="1"/>
  <c r="R117" i="1"/>
  <c r="AN120" i="1"/>
  <c r="AN111" i="1" s="1"/>
  <c r="AR118" i="1"/>
  <c r="AR120" i="1" s="1"/>
  <c r="AR111" i="1" s="1"/>
  <c r="P122" i="1"/>
  <c r="P114" i="1"/>
  <c r="P115" i="1" s="1"/>
  <c r="O70" i="1"/>
  <c r="O62" i="1"/>
  <c r="O63" i="1" s="1"/>
  <c r="P71" i="1"/>
  <c r="P73" i="1" s="1"/>
  <c r="P74" i="1" s="1"/>
  <c r="P72" i="1"/>
  <c r="L14" i="1"/>
  <c r="M11" i="1"/>
  <c r="L12" i="1"/>
  <c r="O122" i="1"/>
  <c r="O114" i="1"/>
  <c r="O115" i="1" s="1"/>
  <c r="N98" i="1"/>
  <c r="N97" i="1"/>
  <c r="V40" i="1"/>
  <c r="V38" i="1"/>
  <c r="X37" i="1"/>
  <c r="AP118" i="1"/>
  <c r="AP120" i="1" s="1"/>
  <c r="AP111" i="1" s="1"/>
  <c r="AL120" i="1"/>
  <c r="AL111" i="1" s="1"/>
  <c r="T43" i="1"/>
  <c r="T35" i="1"/>
  <c r="AM68" i="1"/>
  <c r="AM59" i="1" s="1"/>
  <c r="AQ66" i="1"/>
  <c r="AQ68" i="1" s="1"/>
  <c r="AQ59" i="1" s="1"/>
  <c r="J19" i="1"/>
  <c r="J18" i="1"/>
  <c r="C12" i="2"/>
  <c r="L108" i="1"/>
  <c r="L128" i="1" s="1"/>
  <c r="L129" i="1" s="1"/>
  <c r="J108" i="1"/>
  <c r="J128" i="1" s="1"/>
  <c r="J129" i="1" s="1"/>
  <c r="C11" i="2"/>
  <c r="G10" i="2"/>
  <c r="H3" i="1"/>
  <c r="H23" i="1" s="1"/>
  <c r="H24" i="1" s="1"/>
  <c r="R62" i="1"/>
  <c r="R63" i="1" s="1"/>
  <c r="R70" i="1"/>
  <c r="O96" i="1"/>
  <c r="O88" i="1"/>
  <c r="O89" i="1" s="1"/>
  <c r="T90" i="1"/>
  <c r="R93" i="1"/>
  <c r="R91" i="1"/>
  <c r="N124" i="1"/>
  <c r="N123" i="1"/>
  <c r="Q43" i="1"/>
  <c r="Q35" i="1"/>
  <c r="AL41" i="1"/>
  <c r="AL32" i="1" s="1"/>
  <c r="AP39" i="1"/>
  <c r="AP41" i="1" s="1"/>
  <c r="AP32" i="1" s="1"/>
  <c r="S38" i="1"/>
  <c r="S40" i="1"/>
  <c r="U37" i="1"/>
  <c r="AQ39" i="1"/>
  <c r="AQ41" i="1" s="1"/>
  <c r="AQ32" i="1" s="1"/>
  <c r="AQ36" i="1" s="1"/>
  <c r="AM41" i="1"/>
  <c r="AM32" i="1" s="1"/>
  <c r="AM36" i="1" s="1"/>
  <c r="T86" i="1"/>
  <c r="T112" i="1"/>
  <c r="T33" i="1"/>
  <c r="R36" i="1"/>
  <c r="T60" i="1"/>
  <c r="R7" i="1"/>
  <c r="F32" i="9" l="1"/>
  <c r="J20" i="1"/>
  <c r="J21" i="1" s="1"/>
  <c r="F30" i="7"/>
  <c r="N99" i="1"/>
  <c r="N100" i="1" s="1"/>
  <c r="N82" i="1" s="1"/>
  <c r="N102" i="1" s="1"/>
  <c r="N103" i="1" s="1"/>
  <c r="M99" i="1"/>
  <c r="M100" i="1" s="1"/>
  <c r="M82" i="1" s="1"/>
  <c r="M102" i="1" s="1"/>
  <c r="M103" i="1" s="1"/>
  <c r="N56" i="1"/>
  <c r="N76" i="1" s="1"/>
  <c r="N77" i="1" s="1"/>
  <c r="E13" i="2"/>
  <c r="P29" i="1"/>
  <c r="P49" i="1" s="1"/>
  <c r="P50" i="1" s="1"/>
  <c r="R46" i="1"/>
  <c r="R47" i="1" s="1"/>
  <c r="E14" i="2"/>
  <c r="P56" i="1"/>
  <c r="P76" i="1" s="1"/>
  <c r="P77" i="1" s="1"/>
  <c r="T93" i="1"/>
  <c r="V90" i="1"/>
  <c r="T91" i="1"/>
  <c r="Q70" i="1"/>
  <c r="Q62" i="1"/>
  <c r="Q63" i="1" s="1"/>
  <c r="U40" i="1"/>
  <c r="W37" i="1"/>
  <c r="U38" i="1"/>
  <c r="O98" i="1"/>
  <c r="O97" i="1"/>
  <c r="O99" i="1" s="1"/>
  <c r="O100" i="1" s="1"/>
  <c r="O82" i="1" s="1"/>
  <c r="O102" i="1" s="1"/>
  <c r="O103" i="1" s="1"/>
  <c r="K19" i="1"/>
  <c r="K18" i="1"/>
  <c r="S43" i="1"/>
  <c r="S35" i="1"/>
  <c r="T44" i="1"/>
  <c r="T45" i="1"/>
  <c r="X40" i="1"/>
  <c r="X38" i="1"/>
  <c r="Z37" i="1"/>
  <c r="J3" i="1"/>
  <c r="J23" i="1" s="1"/>
  <c r="J24" i="1" s="1"/>
  <c r="G11" i="2"/>
  <c r="O72" i="1"/>
  <c r="O71" i="1"/>
  <c r="S67" i="1"/>
  <c r="U64" i="1"/>
  <c r="S65" i="1"/>
  <c r="R71" i="1"/>
  <c r="R72" i="1"/>
  <c r="P98" i="1"/>
  <c r="P97" i="1"/>
  <c r="S91" i="1"/>
  <c r="U90" i="1"/>
  <c r="S93" i="1"/>
  <c r="P124" i="1"/>
  <c r="P123" i="1"/>
  <c r="P125" i="1" s="1"/>
  <c r="P126" i="1" s="1"/>
  <c r="Q88" i="1"/>
  <c r="Q89" i="1" s="1"/>
  <c r="Q96" i="1"/>
  <c r="V43" i="1"/>
  <c r="V35" i="1"/>
  <c r="Q44" i="1"/>
  <c r="Q45" i="1"/>
  <c r="R122" i="1"/>
  <c r="R114" i="1"/>
  <c r="R115" i="1" s="1"/>
  <c r="N125" i="1"/>
  <c r="N126" i="1" s="1"/>
  <c r="T119" i="1"/>
  <c r="T117" i="1"/>
  <c r="V116" i="1"/>
  <c r="M12" i="1"/>
  <c r="M14" i="1"/>
  <c r="N11" i="1"/>
  <c r="U116" i="1"/>
  <c r="S117" i="1"/>
  <c r="S119" i="1"/>
  <c r="X64" i="1"/>
  <c r="V67" i="1"/>
  <c r="V65" i="1"/>
  <c r="M125" i="1"/>
  <c r="M126" i="1" s="1"/>
  <c r="M108" i="1" s="1"/>
  <c r="M128" i="1" s="1"/>
  <c r="M129" i="1" s="1"/>
  <c r="O124" i="1"/>
  <c r="O123" i="1"/>
  <c r="O125" i="1" s="1"/>
  <c r="O126" i="1" s="1"/>
  <c r="O108" i="1" s="1"/>
  <c r="O128" i="1" s="1"/>
  <c r="O129" i="1" s="1"/>
  <c r="R96" i="1"/>
  <c r="R88" i="1"/>
  <c r="R89" i="1" s="1"/>
  <c r="L9" i="1"/>
  <c r="L10" i="1" s="1"/>
  <c r="L17" i="1"/>
  <c r="Q114" i="1"/>
  <c r="Q115" i="1" s="1"/>
  <c r="Q122" i="1"/>
  <c r="T62" i="1"/>
  <c r="T63" i="1" s="1"/>
  <c r="T70" i="1"/>
  <c r="V60" i="1"/>
  <c r="V33" i="1"/>
  <c r="T36" i="1"/>
  <c r="V112" i="1"/>
  <c r="V86" i="1"/>
  <c r="T7" i="1"/>
  <c r="H32" i="9" l="1"/>
  <c r="D13" i="2"/>
  <c r="H30" i="7"/>
  <c r="O73" i="1"/>
  <c r="O74" i="1" s="1"/>
  <c r="O56" i="1" s="1"/>
  <c r="O76" i="1" s="1"/>
  <c r="O77" i="1" s="1"/>
  <c r="P99" i="1"/>
  <c r="P100" i="1" s="1"/>
  <c r="P82" i="1" s="1"/>
  <c r="P102" i="1" s="1"/>
  <c r="P103" i="1" s="1"/>
  <c r="R29" i="1"/>
  <c r="R49" i="1" s="1"/>
  <c r="R50" i="1" s="1"/>
  <c r="F15" i="2"/>
  <c r="Q46" i="1"/>
  <c r="Q47" i="1" s="1"/>
  <c r="Q29" i="1" s="1"/>
  <c r="Q49" i="1" s="1"/>
  <c r="Q50" i="1" s="1"/>
  <c r="C14" i="2"/>
  <c r="P108" i="1"/>
  <c r="P128" i="1" s="1"/>
  <c r="P129" i="1" s="1"/>
  <c r="S114" i="1"/>
  <c r="S115" i="1" s="1"/>
  <c r="S122" i="1"/>
  <c r="W40" i="1"/>
  <c r="W38" i="1"/>
  <c r="Y37" i="1"/>
  <c r="Q71" i="1"/>
  <c r="Q72" i="1"/>
  <c r="U67" i="1"/>
  <c r="W64" i="1"/>
  <c r="U65" i="1"/>
  <c r="X67" i="1"/>
  <c r="Z64" i="1"/>
  <c r="X65" i="1"/>
  <c r="T71" i="1"/>
  <c r="T72" i="1"/>
  <c r="U43" i="1"/>
  <c r="U35" i="1"/>
  <c r="V70" i="1"/>
  <c r="V62" i="1"/>
  <c r="V63" i="1" s="1"/>
  <c r="W90" i="1"/>
  <c r="U91" i="1"/>
  <c r="U93" i="1"/>
  <c r="V91" i="1"/>
  <c r="X90" i="1"/>
  <c r="V93" i="1"/>
  <c r="V45" i="1"/>
  <c r="V44" i="1"/>
  <c r="Q124" i="1"/>
  <c r="Q123" i="1"/>
  <c r="N14" i="1"/>
  <c r="O11" i="1"/>
  <c r="N12" i="1"/>
  <c r="M17" i="1"/>
  <c r="M9" i="1"/>
  <c r="M10" i="1" s="1"/>
  <c r="Z40" i="1"/>
  <c r="AB37" i="1"/>
  <c r="Z38" i="1"/>
  <c r="V119" i="1"/>
  <c r="X116" i="1"/>
  <c r="V117" i="1"/>
  <c r="X43" i="1"/>
  <c r="X35" i="1"/>
  <c r="R97" i="1"/>
  <c r="R98" i="1"/>
  <c r="T122" i="1"/>
  <c r="T114" i="1"/>
  <c r="T115" i="1" s="1"/>
  <c r="N108" i="1"/>
  <c r="N128" i="1" s="1"/>
  <c r="N129" i="1" s="1"/>
  <c r="C13" i="2"/>
  <c r="T46" i="1"/>
  <c r="T47" i="1" s="1"/>
  <c r="T29" i="1" s="1"/>
  <c r="T49" i="1" s="1"/>
  <c r="T50" i="1" s="1"/>
  <c r="R124" i="1"/>
  <c r="R123" i="1"/>
  <c r="R125" i="1" s="1"/>
  <c r="S44" i="1"/>
  <c r="S45" i="1"/>
  <c r="S70" i="1"/>
  <c r="S62" i="1"/>
  <c r="S63" i="1" s="1"/>
  <c r="Q97" i="1"/>
  <c r="Q98" i="1"/>
  <c r="W116" i="1"/>
  <c r="U117" i="1"/>
  <c r="U119" i="1"/>
  <c r="L19" i="1"/>
  <c r="L18" i="1"/>
  <c r="S88" i="1"/>
  <c r="S89" i="1" s="1"/>
  <c r="S96" i="1"/>
  <c r="T88" i="1"/>
  <c r="T89" i="1" s="1"/>
  <c r="T96" i="1"/>
  <c r="R126" i="1"/>
  <c r="R73" i="1"/>
  <c r="R74" i="1" s="1"/>
  <c r="K20" i="1"/>
  <c r="K21" i="1" s="1"/>
  <c r="K3" i="1" s="1"/>
  <c r="K23" i="1" s="1"/>
  <c r="K24" i="1" s="1"/>
  <c r="X112" i="1"/>
  <c r="X86" i="1"/>
  <c r="V36" i="1"/>
  <c r="X33" i="1"/>
  <c r="X60" i="1"/>
  <c r="V7" i="1"/>
  <c r="G33" i="9" l="1"/>
  <c r="F33" i="9" s="1"/>
  <c r="H33" i="9" s="1"/>
  <c r="D14" i="2"/>
  <c r="L20" i="1"/>
  <c r="L21" i="1" s="1"/>
  <c r="L3" i="1" s="1"/>
  <c r="L23" i="1" s="1"/>
  <c r="L24" i="1" s="1"/>
  <c r="G31" i="7"/>
  <c r="V46" i="1"/>
  <c r="Q125" i="1"/>
  <c r="Q126" i="1" s="1"/>
  <c r="Q108" i="1" s="1"/>
  <c r="Q128" i="1" s="1"/>
  <c r="Q129" i="1" s="1"/>
  <c r="Y64" i="1"/>
  <c r="W67" i="1"/>
  <c r="W65" i="1"/>
  <c r="X45" i="1"/>
  <c r="X44" i="1"/>
  <c r="S72" i="1"/>
  <c r="S71" i="1"/>
  <c r="S73" i="1" s="1"/>
  <c r="S74" i="1" s="1"/>
  <c r="S56" i="1" s="1"/>
  <c r="S76" i="1" s="1"/>
  <c r="S77" i="1" s="1"/>
  <c r="C15" i="2"/>
  <c r="R108" i="1"/>
  <c r="R128" i="1" s="1"/>
  <c r="R129" i="1" s="1"/>
  <c r="U62" i="1"/>
  <c r="U63" i="1" s="1"/>
  <c r="U70" i="1"/>
  <c r="Z43" i="1"/>
  <c r="Z35" i="1"/>
  <c r="S97" i="1"/>
  <c r="S98" i="1"/>
  <c r="V72" i="1"/>
  <c r="V71" i="1"/>
  <c r="V73" i="1" s="1"/>
  <c r="V74" i="1" s="1"/>
  <c r="S124" i="1"/>
  <c r="S123" i="1"/>
  <c r="S125" i="1" s="1"/>
  <c r="S126" i="1" s="1"/>
  <c r="S108" i="1" s="1"/>
  <c r="S128" i="1" s="1"/>
  <c r="S129" i="1" s="1"/>
  <c r="Y116" i="1"/>
  <c r="W117" i="1"/>
  <c r="W119" i="1"/>
  <c r="E15" i="2"/>
  <c r="R56" i="1"/>
  <c r="R76" i="1" s="1"/>
  <c r="R77" i="1" s="1"/>
  <c r="X70" i="1"/>
  <c r="X62" i="1"/>
  <c r="X63" i="1" s="1"/>
  <c r="V96" i="1"/>
  <c r="V88" i="1"/>
  <c r="V89" i="1" s="1"/>
  <c r="V47" i="1"/>
  <c r="V29" i="1" s="1"/>
  <c r="V49" i="1" s="1"/>
  <c r="V50" i="1" s="1"/>
  <c r="V122" i="1"/>
  <c r="V114" i="1"/>
  <c r="V115" i="1" s="1"/>
  <c r="T97" i="1"/>
  <c r="T98" i="1"/>
  <c r="Y40" i="1"/>
  <c r="Y38" i="1"/>
  <c r="AA37" i="1"/>
  <c r="W43" i="1"/>
  <c r="W35" i="1"/>
  <c r="M18" i="1"/>
  <c r="M19" i="1"/>
  <c r="O14" i="1"/>
  <c r="P11" i="1"/>
  <c r="O12" i="1"/>
  <c r="Q99" i="1"/>
  <c r="Q100" i="1" s="1"/>
  <c r="Q82" i="1" s="1"/>
  <c r="Q102" i="1" s="1"/>
  <c r="Q103" i="1" s="1"/>
  <c r="Q73" i="1"/>
  <c r="Q74" i="1" s="1"/>
  <c r="Q56" i="1" s="1"/>
  <c r="Q76" i="1" s="1"/>
  <c r="Q77" i="1" s="1"/>
  <c r="W91" i="1"/>
  <c r="W93" i="1"/>
  <c r="Y90" i="1"/>
  <c r="F16" i="2"/>
  <c r="G12" i="2"/>
  <c r="T123" i="1"/>
  <c r="T124" i="1"/>
  <c r="T73" i="1"/>
  <c r="T74" i="1" s="1"/>
  <c r="Z90" i="1"/>
  <c r="X93" i="1"/>
  <c r="X91" i="1"/>
  <c r="U88" i="1"/>
  <c r="U89" i="1" s="1"/>
  <c r="U96" i="1"/>
  <c r="X119" i="1"/>
  <c r="X117" i="1"/>
  <c r="Z116" i="1"/>
  <c r="S46" i="1"/>
  <c r="S47" i="1" s="1"/>
  <c r="S29" i="1" s="1"/>
  <c r="S49" i="1" s="1"/>
  <c r="S50" i="1" s="1"/>
  <c r="AB38" i="1"/>
  <c r="AB40" i="1"/>
  <c r="AD37" i="1"/>
  <c r="U44" i="1"/>
  <c r="U45" i="1"/>
  <c r="N17" i="1"/>
  <c r="N9" i="1"/>
  <c r="N10" i="1" s="1"/>
  <c r="U114" i="1"/>
  <c r="U115" i="1" s="1"/>
  <c r="U122" i="1"/>
  <c r="R99" i="1"/>
  <c r="R100" i="1" s="1"/>
  <c r="Z67" i="1"/>
  <c r="AB64" i="1"/>
  <c r="Z65" i="1"/>
  <c r="Z60" i="1"/>
  <c r="X36" i="1"/>
  <c r="Z33" i="1"/>
  <c r="Z112" i="1"/>
  <c r="Z86" i="1"/>
  <c r="X7" i="1"/>
  <c r="G34" i="9" l="1"/>
  <c r="F34" i="9" s="1"/>
  <c r="H34" i="9" s="1"/>
  <c r="F31" i="7"/>
  <c r="T125" i="1"/>
  <c r="T126" i="1" s="1"/>
  <c r="E17" i="2"/>
  <c r="V56" i="1"/>
  <c r="V76" i="1" s="1"/>
  <c r="V77" i="1" s="1"/>
  <c r="X46" i="1"/>
  <c r="D15" i="2"/>
  <c r="R82" i="1"/>
  <c r="R102" i="1" s="1"/>
  <c r="R103" i="1" s="1"/>
  <c r="X114" i="1"/>
  <c r="X115" i="1" s="1"/>
  <c r="X122" i="1"/>
  <c r="V123" i="1"/>
  <c r="V124" i="1"/>
  <c r="U97" i="1"/>
  <c r="U98" i="1"/>
  <c r="AB67" i="1"/>
  <c r="AB65" i="1"/>
  <c r="AD64" i="1"/>
  <c r="P12" i="1"/>
  <c r="Q11" i="1"/>
  <c r="P14" i="1"/>
  <c r="O17" i="1"/>
  <c r="O9" i="1"/>
  <c r="O10" i="1" s="1"/>
  <c r="X96" i="1"/>
  <c r="X88" i="1"/>
  <c r="X89" i="1" s="1"/>
  <c r="S99" i="1"/>
  <c r="S100" i="1" s="1"/>
  <c r="S82" i="1" s="1"/>
  <c r="S102" i="1" s="1"/>
  <c r="S103" i="1" s="1"/>
  <c r="Z70" i="1"/>
  <c r="Z62" i="1"/>
  <c r="Z63" i="1" s="1"/>
  <c r="U123" i="1"/>
  <c r="U124" i="1"/>
  <c r="V97" i="1"/>
  <c r="V98" i="1"/>
  <c r="Z91" i="1"/>
  <c r="AB90" i="1"/>
  <c r="Z93" i="1"/>
  <c r="M20" i="1"/>
  <c r="M21" i="1" s="1"/>
  <c r="M3" i="1" s="1"/>
  <c r="M23" i="1" s="1"/>
  <c r="M24" i="1" s="1"/>
  <c r="U71" i="1"/>
  <c r="U72" i="1"/>
  <c r="W45" i="1"/>
  <c r="W44" i="1"/>
  <c r="W46" i="1" s="1"/>
  <c r="W47" i="1" s="1"/>
  <c r="W29" i="1" s="1"/>
  <c r="W49" i="1" s="1"/>
  <c r="W50" i="1" s="1"/>
  <c r="Z45" i="1"/>
  <c r="Z44" i="1"/>
  <c r="Z46" i="1" s="1"/>
  <c r="C16" i="2"/>
  <c r="T108" i="1"/>
  <c r="T128" i="1" s="1"/>
  <c r="T129" i="1" s="1"/>
  <c r="U46" i="1"/>
  <c r="U47" i="1" s="1"/>
  <c r="U29" i="1" s="1"/>
  <c r="U49" i="1" s="1"/>
  <c r="U50" i="1" s="1"/>
  <c r="F17" i="2"/>
  <c r="T56" i="1"/>
  <c r="T76" i="1" s="1"/>
  <c r="T77" i="1" s="1"/>
  <c r="E16" i="2"/>
  <c r="W114" i="1"/>
  <c r="W115" i="1" s="1"/>
  <c r="W122" i="1"/>
  <c r="AC37" i="1"/>
  <c r="AA38" i="1"/>
  <c r="AA40" i="1"/>
  <c r="AD38" i="1"/>
  <c r="AF37" i="1"/>
  <c r="AD40" i="1"/>
  <c r="Y117" i="1"/>
  <c r="AA116" i="1"/>
  <c r="Y119" i="1"/>
  <c r="X47" i="1"/>
  <c r="F18" i="2" s="1"/>
  <c r="Y91" i="1"/>
  <c r="Y93" i="1"/>
  <c r="AA90" i="1"/>
  <c r="W88" i="1"/>
  <c r="W89" i="1" s="1"/>
  <c r="W96" i="1"/>
  <c r="T99" i="1"/>
  <c r="T100" i="1" s="1"/>
  <c r="W62" i="1"/>
  <c r="W63" i="1" s="1"/>
  <c r="W70" i="1"/>
  <c r="X71" i="1"/>
  <c r="X72" i="1"/>
  <c r="N19" i="1"/>
  <c r="N18" i="1"/>
  <c r="AB35" i="1"/>
  <c r="AB43" i="1"/>
  <c r="Y43" i="1"/>
  <c r="Y35" i="1"/>
  <c r="Z117" i="1"/>
  <c r="Z119" i="1"/>
  <c r="AB116" i="1"/>
  <c r="Y65" i="1"/>
  <c r="AA64" i="1"/>
  <c r="Y67" i="1"/>
  <c r="AB86" i="1"/>
  <c r="AB112" i="1"/>
  <c r="Z36" i="1"/>
  <c r="AB33" i="1"/>
  <c r="AB60" i="1"/>
  <c r="Z7" i="1"/>
  <c r="G35" i="9" l="1"/>
  <c r="F35" i="9" s="1"/>
  <c r="H35" i="9" s="1"/>
  <c r="H31" i="7"/>
  <c r="Z47" i="1"/>
  <c r="X73" i="1"/>
  <c r="X74" i="1" s="1"/>
  <c r="X56" i="1" s="1"/>
  <c r="X76" i="1" s="1"/>
  <c r="X77" i="1" s="1"/>
  <c r="X29" i="1"/>
  <c r="X49" i="1" s="1"/>
  <c r="X50" i="1" s="1"/>
  <c r="U125" i="1"/>
  <c r="U126" i="1" s="1"/>
  <c r="U108" i="1" s="1"/>
  <c r="U128" i="1" s="1"/>
  <c r="U129" i="1" s="1"/>
  <c r="N20" i="1"/>
  <c r="N21" i="1" s="1"/>
  <c r="G13" i="2" s="1"/>
  <c r="U73" i="1"/>
  <c r="U74" i="1" s="1"/>
  <c r="U56" i="1" s="1"/>
  <c r="U76" i="1" s="1"/>
  <c r="U77" i="1" s="1"/>
  <c r="D16" i="2"/>
  <c r="T82" i="1"/>
  <c r="T102" i="1" s="1"/>
  <c r="T103" i="1" s="1"/>
  <c r="P9" i="1"/>
  <c r="P10" i="1" s="1"/>
  <c r="P17" i="1"/>
  <c r="Z88" i="1"/>
  <c r="Z89" i="1" s="1"/>
  <c r="Z96" i="1"/>
  <c r="O19" i="1"/>
  <c r="O18" i="1"/>
  <c r="Y70" i="1"/>
  <c r="Y62" i="1"/>
  <c r="Y63" i="1" s="1"/>
  <c r="AA65" i="1"/>
  <c r="AC64" i="1"/>
  <c r="AA67" i="1"/>
  <c r="V99" i="1"/>
  <c r="V100" i="1" s="1"/>
  <c r="Y96" i="1"/>
  <c r="Y88" i="1"/>
  <c r="Y89" i="1" s="1"/>
  <c r="V125" i="1"/>
  <c r="V126" i="1" s="1"/>
  <c r="W123" i="1"/>
  <c r="W124" i="1"/>
  <c r="U99" i="1"/>
  <c r="U100" i="1" s="1"/>
  <c r="U82" i="1" s="1"/>
  <c r="U102" i="1" s="1"/>
  <c r="U103" i="1" s="1"/>
  <c r="X123" i="1"/>
  <c r="X124" i="1"/>
  <c r="W72" i="1"/>
  <c r="W71" i="1"/>
  <c r="Z114" i="1"/>
  <c r="Z115" i="1" s="1"/>
  <c r="Z122" i="1"/>
  <c r="AA91" i="1"/>
  <c r="AA93" i="1"/>
  <c r="AC90" i="1"/>
  <c r="AB45" i="1"/>
  <c r="AB44" i="1"/>
  <c r="Q12" i="1"/>
  <c r="R11" i="1"/>
  <c r="Q14" i="1"/>
  <c r="AD90" i="1"/>
  <c r="AB93" i="1"/>
  <c r="AB91" i="1"/>
  <c r="W98" i="1"/>
  <c r="W97" i="1"/>
  <c r="W99" i="1" s="1"/>
  <c r="W100" i="1" s="1"/>
  <c r="W82" i="1" s="1"/>
  <c r="W102" i="1" s="1"/>
  <c r="W103" i="1" s="1"/>
  <c r="AA43" i="1"/>
  <c r="AA35" i="1"/>
  <c r="AC38" i="1"/>
  <c r="AE37" i="1"/>
  <c r="AC40" i="1"/>
  <c r="Y45" i="1"/>
  <c r="Y44" i="1"/>
  <c r="Y46" i="1" s="1"/>
  <c r="Y47" i="1" s="1"/>
  <c r="Y29" i="1" s="1"/>
  <c r="Y49" i="1" s="1"/>
  <c r="Y50" i="1" s="1"/>
  <c r="Y122" i="1"/>
  <c r="Y114" i="1"/>
  <c r="Y115" i="1" s="1"/>
  <c r="AD35" i="1"/>
  <c r="AD43" i="1"/>
  <c r="X97" i="1"/>
  <c r="X98" i="1"/>
  <c r="AF64" i="1"/>
  <c r="AD65" i="1"/>
  <c r="AD67" i="1"/>
  <c r="AD116" i="1"/>
  <c r="AB117" i="1"/>
  <c r="AB119" i="1"/>
  <c r="AB62" i="1"/>
  <c r="AB63" i="1" s="1"/>
  <c r="AB70" i="1"/>
  <c r="Z72" i="1"/>
  <c r="Z71" i="1"/>
  <c r="Z73" i="1" s="1"/>
  <c r="Z74" i="1" s="1"/>
  <c r="AA117" i="1"/>
  <c r="AA119" i="1"/>
  <c r="AC116" i="1"/>
  <c r="AH37" i="1"/>
  <c r="AF40" i="1"/>
  <c r="AF38" i="1"/>
  <c r="AD60" i="1"/>
  <c r="Z29" i="1"/>
  <c r="Z49" i="1" s="1"/>
  <c r="Z50" i="1" s="1"/>
  <c r="F19" i="2"/>
  <c r="AB36" i="1"/>
  <c r="AD33" i="1"/>
  <c r="AD112" i="1"/>
  <c r="AD86" i="1"/>
  <c r="AB7" i="1"/>
  <c r="E18" i="2" l="1"/>
  <c r="G36" i="9"/>
  <c r="F36" i="9" s="1"/>
  <c r="H36" i="9" s="1"/>
  <c r="N3" i="1"/>
  <c r="N23" i="1" s="1"/>
  <c r="N24" i="1" s="1"/>
  <c r="G32" i="7"/>
  <c r="F32" i="7" s="1"/>
  <c r="H32" i="7" s="1"/>
  <c r="O20" i="1"/>
  <c r="O21" i="1" s="1"/>
  <c r="O3" i="1" s="1"/>
  <c r="O23" i="1" s="1"/>
  <c r="O24" i="1" s="1"/>
  <c r="W73" i="1"/>
  <c r="W74" i="1" s="1"/>
  <c r="W56" i="1" s="1"/>
  <c r="W76" i="1" s="1"/>
  <c r="W77" i="1" s="1"/>
  <c r="E19" i="2"/>
  <c r="Z56" i="1"/>
  <c r="Z76" i="1" s="1"/>
  <c r="Z77" i="1" s="1"/>
  <c r="Z124" i="1"/>
  <c r="Z123" i="1"/>
  <c r="AD117" i="1"/>
  <c r="AF116" i="1"/>
  <c r="AD119" i="1"/>
  <c r="Y71" i="1"/>
  <c r="Y72" i="1"/>
  <c r="X99" i="1"/>
  <c r="X100" i="1" s="1"/>
  <c r="P19" i="1"/>
  <c r="P18" i="1"/>
  <c r="C17" i="2"/>
  <c r="V108" i="1"/>
  <c r="V128" i="1" s="1"/>
  <c r="V129" i="1" s="1"/>
  <c r="AA45" i="1"/>
  <c r="AA44" i="1"/>
  <c r="Z97" i="1"/>
  <c r="Z98" i="1"/>
  <c r="AB88" i="1"/>
  <c r="AB89" i="1" s="1"/>
  <c r="AB96" i="1"/>
  <c r="AH40" i="1"/>
  <c r="AJ37" i="1"/>
  <c r="AH38" i="1"/>
  <c r="AD91" i="1"/>
  <c r="AF90" i="1"/>
  <c r="AD93" i="1"/>
  <c r="Q17" i="1"/>
  <c r="Q9" i="1"/>
  <c r="Q10" i="1" s="1"/>
  <c r="AC119" i="1"/>
  <c r="AC117" i="1"/>
  <c r="AE116" i="1"/>
  <c r="Y123" i="1"/>
  <c r="Y124" i="1"/>
  <c r="AD70" i="1"/>
  <c r="AD62" i="1"/>
  <c r="AD63" i="1" s="1"/>
  <c r="X125" i="1"/>
  <c r="X126" i="1" s="1"/>
  <c r="W125" i="1"/>
  <c r="W126" i="1" s="1"/>
  <c r="W108" i="1" s="1"/>
  <c r="W128" i="1" s="1"/>
  <c r="W129" i="1" s="1"/>
  <c r="AB46" i="1"/>
  <c r="AB47" i="1" s="1"/>
  <c r="AB72" i="1"/>
  <c r="AB71" i="1"/>
  <c r="AB73" i="1" s="1"/>
  <c r="AB74" i="1" s="1"/>
  <c r="AC35" i="1"/>
  <c r="AC43" i="1"/>
  <c r="V82" i="1"/>
  <c r="V102" i="1" s="1"/>
  <c r="V103" i="1" s="1"/>
  <c r="D17" i="2"/>
  <c r="AC93" i="1"/>
  <c r="AC91" i="1"/>
  <c r="AE90" i="1"/>
  <c r="AB114" i="1"/>
  <c r="AB115" i="1" s="1"/>
  <c r="AB122" i="1"/>
  <c r="AA96" i="1"/>
  <c r="AA88" i="1"/>
  <c r="AA89" i="1" s="1"/>
  <c r="AE64" i="1"/>
  <c r="AC67" i="1"/>
  <c r="AC65" i="1"/>
  <c r="AH64" i="1"/>
  <c r="AF67" i="1"/>
  <c r="AF65" i="1"/>
  <c r="AF43" i="1"/>
  <c r="AF35" i="1"/>
  <c r="AD45" i="1"/>
  <c r="AD44" i="1"/>
  <c r="AA122" i="1"/>
  <c r="AA114" i="1"/>
  <c r="AA115" i="1" s="1"/>
  <c r="S11" i="1"/>
  <c r="R12" i="1"/>
  <c r="R14" i="1"/>
  <c r="Y97" i="1"/>
  <c r="Y98" i="1"/>
  <c r="AG37" i="1"/>
  <c r="AE40" i="1"/>
  <c r="AE38" i="1"/>
  <c r="AA62" i="1"/>
  <c r="AA63" i="1" s="1"/>
  <c r="AA70" i="1"/>
  <c r="AF112" i="1"/>
  <c r="AF86" i="1"/>
  <c r="AF33" i="1"/>
  <c r="AD36" i="1"/>
  <c r="AF60" i="1"/>
  <c r="AD7" i="1"/>
  <c r="G37" i="9" l="1"/>
  <c r="F37" i="9" s="1"/>
  <c r="H37" i="9"/>
  <c r="G33" i="7"/>
  <c r="F33" i="7" s="1"/>
  <c r="H33" i="7" s="1"/>
  <c r="Z125" i="1"/>
  <c r="Z126" i="1" s="1"/>
  <c r="P20" i="1"/>
  <c r="P21" i="1" s="1"/>
  <c r="G14" i="2" s="1"/>
  <c r="E20" i="2"/>
  <c r="AB56" i="1"/>
  <c r="AB76" i="1" s="1"/>
  <c r="AB77" i="1" s="1"/>
  <c r="AB29" i="1"/>
  <c r="AB49" i="1" s="1"/>
  <c r="AB50" i="1" s="1"/>
  <c r="F20" i="2"/>
  <c r="AA72" i="1"/>
  <c r="AA71" i="1"/>
  <c r="AA73" i="1" s="1"/>
  <c r="AA74" i="1" s="1"/>
  <c r="AA56" i="1" s="1"/>
  <c r="AA76" i="1" s="1"/>
  <c r="AA77" i="1" s="1"/>
  <c r="AE43" i="1"/>
  <c r="AE35" i="1"/>
  <c r="AF93" i="1"/>
  <c r="AH90" i="1"/>
  <c r="AF91" i="1"/>
  <c r="Y73" i="1"/>
  <c r="Y74" i="1" s="1"/>
  <c r="Y56" i="1" s="1"/>
  <c r="Y76" i="1" s="1"/>
  <c r="Y77" i="1" s="1"/>
  <c r="AF45" i="1"/>
  <c r="AF44" i="1"/>
  <c r="Q19" i="1"/>
  <c r="Q18" i="1"/>
  <c r="AD96" i="1"/>
  <c r="AD88" i="1"/>
  <c r="AD89" i="1" s="1"/>
  <c r="AD122" i="1"/>
  <c r="AD114" i="1"/>
  <c r="AD115" i="1" s="1"/>
  <c r="AA98" i="1"/>
  <c r="AA97" i="1"/>
  <c r="AA99" i="1" s="1"/>
  <c r="AA100" i="1" s="1"/>
  <c r="AA82" i="1" s="1"/>
  <c r="AA102" i="1" s="1"/>
  <c r="AA103" i="1" s="1"/>
  <c r="AG40" i="1"/>
  <c r="AI37" i="1"/>
  <c r="AG38" i="1"/>
  <c r="AC70" i="1"/>
  <c r="AC62" i="1"/>
  <c r="AC63" i="1" s="1"/>
  <c r="AB124" i="1"/>
  <c r="AB123" i="1"/>
  <c r="AB125" i="1" s="1"/>
  <c r="AB126" i="1" s="1"/>
  <c r="AC44" i="1"/>
  <c r="AC45" i="1"/>
  <c r="AE67" i="1"/>
  <c r="AG64" i="1"/>
  <c r="AE65" i="1"/>
  <c r="Y99" i="1"/>
  <c r="Y100" i="1" s="1"/>
  <c r="Y82" i="1" s="1"/>
  <c r="Y102" i="1" s="1"/>
  <c r="Y103" i="1" s="1"/>
  <c r="Z108" i="1"/>
  <c r="Z128" i="1" s="1"/>
  <c r="Z129" i="1" s="1"/>
  <c r="C19" i="2"/>
  <c r="AH43" i="1"/>
  <c r="AH35" i="1"/>
  <c r="D18" i="2"/>
  <c r="X82" i="1"/>
  <c r="X102" i="1" s="1"/>
  <c r="X103" i="1" s="1"/>
  <c r="AJ38" i="1"/>
  <c r="AJ40" i="1"/>
  <c r="AL37" i="1"/>
  <c r="AB98" i="1"/>
  <c r="AB97" i="1"/>
  <c r="T11" i="1"/>
  <c r="S12" i="1"/>
  <c r="S14" i="1"/>
  <c r="AD71" i="1"/>
  <c r="AD72" i="1"/>
  <c r="Z99" i="1"/>
  <c r="Z100" i="1" s="1"/>
  <c r="AC122" i="1"/>
  <c r="AC114" i="1"/>
  <c r="AC115" i="1" s="1"/>
  <c r="AF70" i="1"/>
  <c r="AF62" i="1"/>
  <c r="AF63" i="1" s="1"/>
  <c r="AJ64" i="1"/>
  <c r="AH65" i="1"/>
  <c r="AH67" i="1"/>
  <c r="X108" i="1"/>
  <c r="X128" i="1" s="1"/>
  <c r="X129" i="1" s="1"/>
  <c r="C18" i="2"/>
  <c r="R17" i="1"/>
  <c r="R9" i="1"/>
  <c r="R10" i="1" s="1"/>
  <c r="AF117" i="1"/>
  <c r="AF119" i="1"/>
  <c r="AH116" i="1"/>
  <c r="AE93" i="1"/>
  <c r="AE91" i="1"/>
  <c r="AG90" i="1"/>
  <c r="AA123" i="1"/>
  <c r="AA124" i="1"/>
  <c r="Y125" i="1"/>
  <c r="Y126" i="1" s="1"/>
  <c r="Y108" i="1" s="1"/>
  <c r="Y128" i="1" s="1"/>
  <c r="Y129" i="1" s="1"/>
  <c r="AD46" i="1"/>
  <c r="AD47" i="1" s="1"/>
  <c r="AC96" i="1"/>
  <c r="AC88" i="1"/>
  <c r="AC89" i="1" s="1"/>
  <c r="AE119" i="1"/>
  <c r="AE117" i="1"/>
  <c r="AG116" i="1"/>
  <c r="AA46" i="1"/>
  <c r="AA47" i="1" s="1"/>
  <c r="AA29" i="1" s="1"/>
  <c r="AA49" i="1" s="1"/>
  <c r="AA50" i="1" s="1"/>
  <c r="AH60" i="1"/>
  <c r="AH33" i="1"/>
  <c r="AF36" i="1"/>
  <c r="AH86" i="1"/>
  <c r="AH112" i="1"/>
  <c r="AF7" i="1"/>
  <c r="G38" i="9" l="1"/>
  <c r="F38" i="9" s="1"/>
  <c r="H38" i="9" s="1"/>
  <c r="Q20" i="1"/>
  <c r="Q21" i="1" s="1"/>
  <c r="Q3" i="1" s="1"/>
  <c r="Q23" i="1" s="1"/>
  <c r="Q24" i="1" s="1"/>
  <c r="P3" i="1"/>
  <c r="P23" i="1" s="1"/>
  <c r="P24" i="1" s="1"/>
  <c r="G34" i="7"/>
  <c r="F34" i="7" s="1"/>
  <c r="H34" i="7" s="1"/>
  <c r="AB99" i="1"/>
  <c r="AB100" i="1" s="1"/>
  <c r="AB82" i="1" s="1"/>
  <c r="AB102" i="1" s="1"/>
  <c r="AB103" i="1" s="1"/>
  <c r="AD73" i="1"/>
  <c r="AD74" i="1" s="1"/>
  <c r="E21" i="2" s="1"/>
  <c r="C20" i="2"/>
  <c r="AB108" i="1"/>
  <c r="AB128" i="1" s="1"/>
  <c r="AB129" i="1" s="1"/>
  <c r="AD29" i="1"/>
  <c r="AD49" i="1" s="1"/>
  <c r="AD50" i="1" s="1"/>
  <c r="F21" i="2"/>
  <c r="AD56" i="1"/>
  <c r="AD76" i="1" s="1"/>
  <c r="AD77" i="1" s="1"/>
  <c r="AC72" i="1"/>
  <c r="AC71" i="1"/>
  <c r="AJ90" i="1"/>
  <c r="AH93" i="1"/>
  <c r="AH91" i="1"/>
  <c r="AJ65" i="1"/>
  <c r="AL64" i="1"/>
  <c r="AJ67" i="1"/>
  <c r="AF71" i="1"/>
  <c r="AF72" i="1"/>
  <c r="AH45" i="1"/>
  <c r="AH44" i="1"/>
  <c r="AH46" i="1" s="1"/>
  <c r="AC124" i="1"/>
  <c r="AC123" i="1"/>
  <c r="AC125" i="1" s="1"/>
  <c r="AC126" i="1" s="1"/>
  <c r="AC108" i="1" s="1"/>
  <c r="AC128" i="1" s="1"/>
  <c r="AC129" i="1" s="1"/>
  <c r="AE96" i="1"/>
  <c r="AE88" i="1"/>
  <c r="AE89" i="1" s="1"/>
  <c r="AD124" i="1"/>
  <c r="AD123" i="1"/>
  <c r="AD125" i="1" s="1"/>
  <c r="AD126" i="1" s="1"/>
  <c r="AJ43" i="1"/>
  <c r="AJ35" i="1"/>
  <c r="D20" i="2"/>
  <c r="AH70" i="1"/>
  <c r="AH62" i="1"/>
  <c r="AH63" i="1" s="1"/>
  <c r="AG43" i="1"/>
  <c r="AG35" i="1"/>
  <c r="AG93" i="1"/>
  <c r="AI90" i="1"/>
  <c r="AG91" i="1"/>
  <c r="AI38" i="1"/>
  <c r="AI40" i="1"/>
  <c r="AK37" i="1"/>
  <c r="AH119" i="1"/>
  <c r="AJ116" i="1"/>
  <c r="AH117" i="1"/>
  <c r="AC98" i="1"/>
  <c r="AC97" i="1"/>
  <c r="AC99" i="1" s="1"/>
  <c r="AC100" i="1" s="1"/>
  <c r="AC82" i="1" s="1"/>
  <c r="AC102" i="1" s="1"/>
  <c r="AC103" i="1" s="1"/>
  <c r="AA125" i="1"/>
  <c r="AA126" i="1" s="1"/>
  <c r="AA108" i="1" s="1"/>
  <c r="AA128" i="1" s="1"/>
  <c r="AA129" i="1" s="1"/>
  <c r="AE45" i="1"/>
  <c r="AE44" i="1"/>
  <c r="AF122" i="1"/>
  <c r="AF114" i="1"/>
  <c r="AF115" i="1" s="1"/>
  <c r="S9" i="1"/>
  <c r="S10" i="1" s="1"/>
  <c r="S17" i="1"/>
  <c r="AG119" i="1"/>
  <c r="AI116" i="1"/>
  <c r="AG117" i="1"/>
  <c r="AD98" i="1"/>
  <c r="AD97" i="1"/>
  <c r="AD99" i="1" s="1"/>
  <c r="AD100" i="1" s="1"/>
  <c r="AF88" i="1"/>
  <c r="AF89" i="1" s="1"/>
  <c r="AF96" i="1"/>
  <c r="Z82" i="1"/>
  <c r="Z102" i="1" s="1"/>
  <c r="Z103" i="1" s="1"/>
  <c r="D19" i="2"/>
  <c r="T14" i="1"/>
  <c r="T12" i="1"/>
  <c r="U11" i="1"/>
  <c r="AG67" i="1"/>
  <c r="AG65" i="1"/>
  <c r="AI64" i="1"/>
  <c r="R18" i="1"/>
  <c r="R19" i="1"/>
  <c r="AE70" i="1"/>
  <c r="AE62" i="1"/>
  <c r="AE63" i="1" s="1"/>
  <c r="AE122" i="1"/>
  <c r="AE114" i="1"/>
  <c r="AE115" i="1" s="1"/>
  <c r="AN37" i="1"/>
  <c r="AL38" i="1"/>
  <c r="AL40" i="1"/>
  <c r="AC46" i="1"/>
  <c r="AC47" i="1" s="1"/>
  <c r="AC29" i="1" s="1"/>
  <c r="AC49" i="1" s="1"/>
  <c r="AC50" i="1" s="1"/>
  <c r="AF46" i="1"/>
  <c r="AF47" i="1" s="1"/>
  <c r="AJ112" i="1"/>
  <c r="AJ86" i="1"/>
  <c r="AJ33" i="1"/>
  <c r="AH36" i="1"/>
  <c r="AJ60" i="1"/>
  <c r="AH7" i="1"/>
  <c r="G39" i="9" l="1"/>
  <c r="F39" i="9" s="1"/>
  <c r="H39" i="9" s="1"/>
  <c r="G35" i="7"/>
  <c r="F35" i="7" s="1"/>
  <c r="H35" i="7" s="1"/>
  <c r="AH47" i="1"/>
  <c r="AC73" i="1"/>
  <c r="AC74" i="1" s="1"/>
  <c r="AC56" i="1" s="1"/>
  <c r="AC76" i="1" s="1"/>
  <c r="AC77" i="1" s="1"/>
  <c r="AF29" i="1"/>
  <c r="AF49" i="1" s="1"/>
  <c r="AF50" i="1" s="1"/>
  <c r="F22" i="2"/>
  <c r="AD108" i="1"/>
  <c r="AD128" i="1" s="1"/>
  <c r="AD129" i="1" s="1"/>
  <c r="C21" i="2"/>
  <c r="D21" i="2"/>
  <c r="AD82" i="1"/>
  <c r="AD102" i="1" s="1"/>
  <c r="AD103" i="1" s="1"/>
  <c r="AL67" i="1"/>
  <c r="AN64" i="1"/>
  <c r="AL65" i="1"/>
  <c r="AJ70" i="1"/>
  <c r="AJ62" i="1"/>
  <c r="AJ63" i="1" s="1"/>
  <c r="AF98" i="1"/>
  <c r="AF97" i="1"/>
  <c r="AF99" i="1" s="1"/>
  <c r="AF100" i="1" s="1"/>
  <c r="AG122" i="1"/>
  <c r="AG114" i="1"/>
  <c r="AG115" i="1" s="1"/>
  <c r="AJ44" i="1"/>
  <c r="AJ45" i="1"/>
  <c r="AI43" i="1"/>
  <c r="AI35" i="1"/>
  <c r="AJ119" i="1"/>
  <c r="AL116" i="1"/>
  <c r="AJ117" i="1"/>
  <c r="AJ93" i="1"/>
  <c r="AJ91" i="1"/>
  <c r="AL90" i="1"/>
  <c r="AE72" i="1"/>
  <c r="AE71" i="1"/>
  <c r="AE73" i="1" s="1"/>
  <c r="AE74" i="1" s="1"/>
  <c r="AE56" i="1" s="1"/>
  <c r="AE76" i="1" s="1"/>
  <c r="AE77" i="1" s="1"/>
  <c r="R20" i="1"/>
  <c r="R21" i="1" s="1"/>
  <c r="AL43" i="1"/>
  <c r="AL35" i="1"/>
  <c r="AP37" i="1"/>
  <c r="AN38" i="1"/>
  <c r="AN40" i="1"/>
  <c r="AE123" i="1"/>
  <c r="AE124" i="1"/>
  <c r="AI117" i="1"/>
  <c r="AI119" i="1"/>
  <c r="AK116" i="1"/>
  <c r="AI67" i="1"/>
  <c r="AK64" i="1"/>
  <c r="AI65" i="1"/>
  <c r="AG70" i="1"/>
  <c r="AG62" i="1"/>
  <c r="AG63" i="1" s="1"/>
  <c r="AI91" i="1"/>
  <c r="AK90" i="1"/>
  <c r="AI93" i="1"/>
  <c r="AH72" i="1"/>
  <c r="AH71" i="1"/>
  <c r="AH96" i="1"/>
  <c r="AH88" i="1"/>
  <c r="AH89" i="1" s="1"/>
  <c r="AK40" i="1"/>
  <c r="AM37" i="1"/>
  <c r="AK38" i="1"/>
  <c r="AE97" i="1"/>
  <c r="AE98" i="1"/>
  <c r="U12" i="1"/>
  <c r="V11" i="1"/>
  <c r="U14" i="1"/>
  <c r="AF124" i="1"/>
  <c r="AF123" i="1"/>
  <c r="AG96" i="1"/>
  <c r="AG88" i="1"/>
  <c r="AG89" i="1" s="1"/>
  <c r="S19" i="1"/>
  <c r="S18" i="1"/>
  <c r="S20" i="1" s="1"/>
  <c r="S21" i="1" s="1"/>
  <c r="S3" i="1" s="1"/>
  <c r="S23" i="1" s="1"/>
  <c r="S24" i="1" s="1"/>
  <c r="AH122" i="1"/>
  <c r="AH114" i="1"/>
  <c r="AH115" i="1" s="1"/>
  <c r="T9" i="1"/>
  <c r="T10" i="1" s="1"/>
  <c r="T17" i="1"/>
  <c r="AE46" i="1"/>
  <c r="AE47" i="1" s="1"/>
  <c r="AE29" i="1" s="1"/>
  <c r="AE49" i="1" s="1"/>
  <c r="AE50" i="1" s="1"/>
  <c r="AG45" i="1"/>
  <c r="AG44" i="1"/>
  <c r="AG46" i="1" s="1"/>
  <c r="AG47" i="1" s="1"/>
  <c r="AG29" i="1" s="1"/>
  <c r="AG49" i="1" s="1"/>
  <c r="AG50" i="1" s="1"/>
  <c r="AF73" i="1"/>
  <c r="AF74" i="1" s="1"/>
  <c r="AL33" i="1"/>
  <c r="AJ36" i="1"/>
  <c r="AL86" i="1"/>
  <c r="AL60" i="1"/>
  <c r="F23" i="2"/>
  <c r="AH29" i="1"/>
  <c r="AH49" i="1" s="1"/>
  <c r="AH50" i="1" s="1"/>
  <c r="AL112" i="1"/>
  <c r="AJ7" i="1"/>
  <c r="G40" i="9" l="1"/>
  <c r="F40" i="9" s="1"/>
  <c r="H40" i="9" s="1"/>
  <c r="G36" i="7"/>
  <c r="F36" i="7" s="1"/>
  <c r="H36" i="7" s="1"/>
  <c r="AF125" i="1"/>
  <c r="AF126" i="1" s="1"/>
  <c r="AH73" i="1"/>
  <c r="AH74" i="1" s="1"/>
  <c r="AH56" i="1" s="1"/>
  <c r="AH76" i="1" s="1"/>
  <c r="AH77" i="1" s="1"/>
  <c r="AJ46" i="1"/>
  <c r="AF82" i="1"/>
  <c r="AF102" i="1" s="1"/>
  <c r="AF103" i="1" s="1"/>
  <c r="D22" i="2"/>
  <c r="AF108" i="1"/>
  <c r="AF128" i="1" s="1"/>
  <c r="AF129" i="1" s="1"/>
  <c r="C22" i="2"/>
  <c r="AL45" i="1"/>
  <c r="AL44" i="1"/>
  <c r="AJ71" i="1"/>
  <c r="AJ72" i="1"/>
  <c r="AP40" i="1"/>
  <c r="AR37" i="1"/>
  <c r="AP38" i="1"/>
  <c r="AG98" i="1"/>
  <c r="AG97" i="1"/>
  <c r="AG99" i="1" s="1"/>
  <c r="AG100" i="1" s="1"/>
  <c r="AG82" i="1" s="1"/>
  <c r="AG102" i="1" s="1"/>
  <c r="AG103" i="1" s="1"/>
  <c r="AJ47" i="1"/>
  <c r="AJ29" i="1" s="1"/>
  <c r="AJ49" i="1" s="1"/>
  <c r="AJ50" i="1" s="1"/>
  <c r="W11" i="1"/>
  <c r="X11" i="1" s="1"/>
  <c r="V14" i="1"/>
  <c r="V12" i="1"/>
  <c r="AG71" i="1"/>
  <c r="AG72" i="1"/>
  <c r="AK67" i="1"/>
  <c r="AM64" i="1"/>
  <c r="AK65" i="1"/>
  <c r="AI62" i="1"/>
  <c r="AI63" i="1" s="1"/>
  <c r="AI70" i="1"/>
  <c r="G15" i="2"/>
  <c r="R3" i="1"/>
  <c r="R23" i="1" s="1"/>
  <c r="R24" i="1" s="1"/>
  <c r="U9" i="1"/>
  <c r="U10" i="1" s="1"/>
  <c r="U17" i="1"/>
  <c r="AN67" i="1"/>
  <c r="AP64" i="1"/>
  <c r="AN65" i="1"/>
  <c r="AJ122" i="1"/>
  <c r="AJ114" i="1"/>
  <c r="AJ115" i="1" s="1"/>
  <c r="AG124" i="1"/>
  <c r="AG123" i="1"/>
  <c r="AG125" i="1" s="1"/>
  <c r="AG126" i="1" s="1"/>
  <c r="AG108" i="1" s="1"/>
  <c r="AG128" i="1" s="1"/>
  <c r="AG129" i="1" s="1"/>
  <c r="AL62" i="1"/>
  <c r="AL63" i="1" s="1"/>
  <c r="AL70" i="1"/>
  <c r="AF56" i="1"/>
  <c r="AF76" i="1" s="1"/>
  <c r="AF77" i="1" s="1"/>
  <c r="E22" i="2"/>
  <c r="AJ88" i="1"/>
  <c r="AJ89" i="1" s="1"/>
  <c r="AJ96" i="1"/>
  <c r="AE99" i="1"/>
  <c r="AE100" i="1" s="1"/>
  <c r="AE82" i="1" s="1"/>
  <c r="AE102" i="1" s="1"/>
  <c r="AE103" i="1" s="1"/>
  <c r="T19" i="1"/>
  <c r="T18" i="1"/>
  <c r="AI114" i="1"/>
  <c r="AI115" i="1" s="1"/>
  <c r="AI122" i="1"/>
  <c r="AL119" i="1"/>
  <c r="AL117" i="1"/>
  <c r="AN116" i="1"/>
  <c r="AK43" i="1"/>
  <c r="AK35" i="1"/>
  <c r="AE125" i="1"/>
  <c r="AE126" i="1" s="1"/>
  <c r="AE108" i="1" s="1"/>
  <c r="AE128" i="1" s="1"/>
  <c r="AE129" i="1" s="1"/>
  <c r="AI44" i="1"/>
  <c r="AI45" i="1"/>
  <c r="AI88" i="1"/>
  <c r="AI89" i="1" s="1"/>
  <c r="AI96" i="1"/>
  <c r="AM90" i="1"/>
  <c r="AK91" i="1"/>
  <c r="AK93" i="1"/>
  <c r="AL91" i="1"/>
  <c r="AL93" i="1"/>
  <c r="AN90" i="1"/>
  <c r="AM116" i="1"/>
  <c r="AK117" i="1"/>
  <c r="AK119" i="1"/>
  <c r="AM40" i="1"/>
  <c r="AO37" i="1"/>
  <c r="AM38" i="1"/>
  <c r="AH124" i="1"/>
  <c r="AH123" i="1"/>
  <c r="AH125" i="1" s="1"/>
  <c r="AH126" i="1" s="1"/>
  <c r="AH97" i="1"/>
  <c r="AH98" i="1"/>
  <c r="AN43" i="1"/>
  <c r="AN35" i="1"/>
  <c r="AL36" i="1"/>
  <c r="AN33" i="1"/>
  <c r="AN112" i="1"/>
  <c r="AN60" i="1"/>
  <c r="AN86" i="1"/>
  <c r="AL7" i="1"/>
  <c r="E23" i="2" l="1"/>
  <c r="G41" i="9"/>
  <c r="F41" i="9" s="1"/>
  <c r="H41" i="9"/>
  <c r="G37" i="7"/>
  <c r="F37" i="7" s="1"/>
  <c r="H37" i="7" s="1"/>
  <c r="X14" i="1"/>
  <c r="X12" i="1"/>
  <c r="AL46" i="1"/>
  <c r="F24" i="2"/>
  <c r="T20" i="1"/>
  <c r="T21" i="1" s="1"/>
  <c r="T3" i="1" s="1"/>
  <c r="T23" i="1" s="1"/>
  <c r="T24" i="1" s="1"/>
  <c r="C23" i="2"/>
  <c r="AH108" i="1"/>
  <c r="AH128" i="1" s="1"/>
  <c r="AH129" i="1" s="1"/>
  <c r="AI97" i="1"/>
  <c r="AI98" i="1"/>
  <c r="AH99" i="1"/>
  <c r="AH100" i="1" s="1"/>
  <c r="AI72" i="1"/>
  <c r="AI71" i="1"/>
  <c r="AI73" i="1" s="1"/>
  <c r="AI74" i="1" s="1"/>
  <c r="AI56" i="1" s="1"/>
  <c r="AI76" i="1" s="1"/>
  <c r="AI77" i="1" s="1"/>
  <c r="AO40" i="1"/>
  <c r="AQ37" i="1"/>
  <c r="AO38" i="1"/>
  <c r="U18" i="1"/>
  <c r="U19" i="1"/>
  <c r="AK96" i="1"/>
  <c r="AK88" i="1"/>
  <c r="AK89" i="1" s="1"/>
  <c r="AO64" i="1"/>
  <c r="AM67" i="1"/>
  <c r="AM65" i="1"/>
  <c r="AM43" i="1"/>
  <c r="AM35" i="1"/>
  <c r="AL88" i="1"/>
  <c r="AL89" i="1" s="1"/>
  <c r="AL96" i="1"/>
  <c r="AM91" i="1"/>
  <c r="AM93" i="1"/>
  <c r="AO90" i="1"/>
  <c r="AR38" i="1"/>
  <c r="AR40" i="1"/>
  <c r="AN119" i="1"/>
  <c r="AP116" i="1"/>
  <c r="AN117" i="1"/>
  <c r="AN45" i="1"/>
  <c r="AN44" i="1"/>
  <c r="AN46" i="1" s="1"/>
  <c r="AJ97" i="1"/>
  <c r="AJ98" i="1"/>
  <c r="AK62" i="1"/>
  <c r="AK63" i="1" s="1"/>
  <c r="AK70" i="1"/>
  <c r="AK45" i="1"/>
  <c r="AK44" i="1"/>
  <c r="AL47" i="1"/>
  <c r="F25" i="2" s="1"/>
  <c r="AJ123" i="1"/>
  <c r="AJ124" i="1"/>
  <c r="V17" i="1"/>
  <c r="V9" i="1"/>
  <c r="V10" i="1" s="1"/>
  <c r="AN62" i="1"/>
  <c r="AN63" i="1" s="1"/>
  <c r="AN70" i="1"/>
  <c r="AP43" i="1"/>
  <c r="AP35" i="1"/>
  <c r="AJ73" i="1"/>
  <c r="AJ74" i="1" s="1"/>
  <c r="AL72" i="1"/>
  <c r="AL71" i="1"/>
  <c r="AL122" i="1"/>
  <c r="AL114" i="1"/>
  <c r="AL115" i="1" s="1"/>
  <c r="Y11" i="1"/>
  <c r="W14" i="1"/>
  <c r="W12" i="1"/>
  <c r="AI46" i="1"/>
  <c r="AI47" i="1" s="1"/>
  <c r="AI29" i="1" s="1"/>
  <c r="AI49" i="1" s="1"/>
  <c r="AI50" i="1" s="1"/>
  <c r="AG73" i="1"/>
  <c r="AG74" i="1" s="1"/>
  <c r="AG56" i="1" s="1"/>
  <c r="AG76" i="1" s="1"/>
  <c r="AG77" i="1" s="1"/>
  <c r="AK114" i="1"/>
  <c r="AK115" i="1" s="1"/>
  <c r="AK122" i="1"/>
  <c r="AO116" i="1"/>
  <c r="AM117" i="1"/>
  <c r="AM119" i="1"/>
  <c r="AP90" i="1"/>
  <c r="AN91" i="1"/>
  <c r="AN93" i="1"/>
  <c r="AI123" i="1"/>
  <c r="AI124" i="1"/>
  <c r="AP67" i="1"/>
  <c r="AR64" i="1"/>
  <c r="AP65" i="1"/>
  <c r="AP112" i="1"/>
  <c r="AP86" i="1"/>
  <c r="AP60" i="1"/>
  <c r="AN36" i="1"/>
  <c r="AN47" i="1" s="1"/>
  <c r="AP33" i="1"/>
  <c r="AN7" i="1"/>
  <c r="G42" i="9" l="1"/>
  <c r="F42" i="9" s="1"/>
  <c r="H42" i="9" s="1"/>
  <c r="G38" i="7"/>
  <c r="F38" i="7" s="1"/>
  <c r="H38" i="7" s="1"/>
  <c r="AL29" i="1"/>
  <c r="AL49" i="1" s="1"/>
  <c r="AL50" i="1" s="1"/>
  <c r="X9" i="1"/>
  <c r="X10" i="1" s="1"/>
  <c r="X17" i="1"/>
  <c r="AL73" i="1"/>
  <c r="AL74" i="1" s="1"/>
  <c r="AK46" i="1"/>
  <c r="AK47" i="1" s="1"/>
  <c r="AK29" i="1" s="1"/>
  <c r="AK49" i="1" s="1"/>
  <c r="AK50" i="1" s="1"/>
  <c r="G16" i="2"/>
  <c r="AN71" i="1"/>
  <c r="AN72" i="1"/>
  <c r="AP117" i="1"/>
  <c r="AP119" i="1"/>
  <c r="AR116" i="1"/>
  <c r="V19" i="1"/>
  <c r="V18" i="1"/>
  <c r="AJ125" i="1"/>
  <c r="AJ126" i="1" s="1"/>
  <c r="AN122" i="1"/>
  <c r="AN114" i="1"/>
  <c r="AN115" i="1" s="1"/>
  <c r="AO35" i="1"/>
  <c r="AO43" i="1"/>
  <c r="AM96" i="1"/>
  <c r="AM88" i="1"/>
  <c r="AM89" i="1" s="1"/>
  <c r="AI99" i="1"/>
  <c r="AI100" i="1" s="1"/>
  <c r="AI82" i="1" s="1"/>
  <c r="AI102" i="1" s="1"/>
  <c r="AI103" i="1" s="1"/>
  <c r="AO91" i="1"/>
  <c r="AQ90" i="1"/>
  <c r="AO93" i="1"/>
  <c r="Y14" i="1"/>
  <c r="Y12" i="1"/>
  <c r="Z11" i="1"/>
  <c r="AH82" i="1"/>
  <c r="AH102" i="1" s="1"/>
  <c r="AH103" i="1" s="1"/>
  <c r="D23" i="2"/>
  <c r="AM45" i="1"/>
  <c r="AM44" i="1"/>
  <c r="AK97" i="1"/>
  <c r="AK98" i="1"/>
  <c r="AL97" i="1"/>
  <c r="AL98" i="1"/>
  <c r="AK123" i="1"/>
  <c r="AK124" i="1"/>
  <c r="U20" i="1"/>
  <c r="U21" i="1" s="1"/>
  <c r="U3" i="1" s="1"/>
  <c r="U23" i="1" s="1"/>
  <c r="U24" i="1" s="1"/>
  <c r="AR67" i="1"/>
  <c r="AR65" i="1"/>
  <c r="AP70" i="1"/>
  <c r="AP62" i="1"/>
  <c r="AP63" i="1" s="1"/>
  <c r="AL123" i="1"/>
  <c r="AL124" i="1"/>
  <c r="AI125" i="1"/>
  <c r="AI126" i="1" s="1"/>
  <c r="AI108" i="1" s="1"/>
  <c r="AI128" i="1" s="1"/>
  <c r="AI129" i="1" s="1"/>
  <c r="AN88" i="1"/>
  <c r="AN89" i="1" s="1"/>
  <c r="AN96" i="1"/>
  <c r="AP91" i="1"/>
  <c r="AR90" i="1"/>
  <c r="AP93" i="1"/>
  <c r="AM114" i="1"/>
  <c r="AM115" i="1" s="1"/>
  <c r="AM122" i="1"/>
  <c r="AM70" i="1"/>
  <c r="AM62" i="1"/>
  <c r="AM63" i="1" s="1"/>
  <c r="AO117" i="1"/>
  <c r="AQ116" i="1"/>
  <c r="AO119" i="1"/>
  <c r="AR43" i="1"/>
  <c r="AR35" i="1"/>
  <c r="AQ38" i="1"/>
  <c r="AQ40" i="1"/>
  <c r="W17" i="1"/>
  <c r="W9" i="1"/>
  <c r="W10" i="1" s="1"/>
  <c r="AK71" i="1"/>
  <c r="AK72" i="1"/>
  <c r="AJ99" i="1"/>
  <c r="AJ100" i="1" s="1"/>
  <c r="E24" i="2"/>
  <c r="AJ56" i="1"/>
  <c r="AJ76" i="1" s="1"/>
  <c r="AJ77" i="1" s="1"/>
  <c r="AP45" i="1"/>
  <c r="AP44" i="1"/>
  <c r="AP46" i="1" s="1"/>
  <c r="AO65" i="1"/>
  <c r="AQ64" i="1"/>
  <c r="AO67" i="1"/>
  <c r="AN29" i="1"/>
  <c r="AN49" i="1" s="1"/>
  <c r="AN50" i="1" s="1"/>
  <c r="F26" i="2"/>
  <c r="AR60" i="1"/>
  <c r="AR86" i="1"/>
  <c r="AP36" i="1"/>
  <c r="AR33" i="1"/>
  <c r="AR36" i="1" s="1"/>
  <c r="AR112" i="1"/>
  <c r="AP7" i="1"/>
  <c r="G43" i="9" l="1"/>
  <c r="F43" i="9" s="1"/>
  <c r="H43" i="9" s="1"/>
  <c r="V20" i="1"/>
  <c r="V21" i="1" s="1"/>
  <c r="G17" i="2" s="1"/>
  <c r="G39" i="7"/>
  <c r="F39" i="7" s="1"/>
  <c r="H39" i="7" s="1"/>
  <c r="X18" i="1"/>
  <c r="X19" i="1"/>
  <c r="E25" i="2"/>
  <c r="AL56" i="1"/>
  <c r="AL76" i="1" s="1"/>
  <c r="AL77" i="1" s="1"/>
  <c r="AM46" i="1"/>
  <c r="AM47" i="1" s="1"/>
  <c r="AM29" i="1" s="1"/>
  <c r="AM49" i="1" s="1"/>
  <c r="AM50" i="1" s="1"/>
  <c r="AM98" i="1"/>
  <c r="AM97" i="1"/>
  <c r="AM99" i="1" s="1"/>
  <c r="AM100" i="1" s="1"/>
  <c r="AM82" i="1" s="1"/>
  <c r="AM102" i="1" s="1"/>
  <c r="AM103" i="1" s="1"/>
  <c r="AR93" i="1"/>
  <c r="AR91" i="1"/>
  <c r="AN124" i="1"/>
  <c r="AN123" i="1"/>
  <c r="AN125" i="1" s="1"/>
  <c r="AN126" i="1" s="1"/>
  <c r="AJ82" i="1"/>
  <c r="AJ102" i="1" s="1"/>
  <c r="AJ103" i="1" s="1"/>
  <c r="D24" i="2"/>
  <c r="AO45" i="1"/>
  <c r="AO44" i="1"/>
  <c r="AN97" i="1"/>
  <c r="AN98" i="1"/>
  <c r="AQ43" i="1"/>
  <c r="AQ35" i="1"/>
  <c r="AP71" i="1"/>
  <c r="AP72" i="1"/>
  <c r="AO70" i="1"/>
  <c r="AO62" i="1"/>
  <c r="AO63" i="1" s="1"/>
  <c r="AQ91" i="1"/>
  <c r="AQ93" i="1"/>
  <c r="AL99" i="1"/>
  <c r="AL100" i="1" s="1"/>
  <c r="AP88" i="1"/>
  <c r="AP89" i="1" s="1"/>
  <c r="AP96" i="1"/>
  <c r="AK99" i="1"/>
  <c r="AK100" i="1" s="1"/>
  <c r="AK82" i="1" s="1"/>
  <c r="AK102" i="1" s="1"/>
  <c r="AK103" i="1" s="1"/>
  <c r="W18" i="1"/>
  <c r="W19" i="1"/>
  <c r="C24" i="2"/>
  <c r="AJ108" i="1"/>
  <c r="AJ128" i="1" s="1"/>
  <c r="AJ129" i="1" s="1"/>
  <c r="AL125" i="1"/>
  <c r="AL126" i="1" s="1"/>
  <c r="AO122" i="1"/>
  <c r="AO114" i="1"/>
  <c r="AO115" i="1" s="1"/>
  <c r="Y17" i="1"/>
  <c r="Y9" i="1"/>
  <c r="Y10" i="1" s="1"/>
  <c r="AR70" i="1"/>
  <c r="AR62" i="1"/>
  <c r="AR63" i="1" s="1"/>
  <c r="AN73" i="1"/>
  <c r="AN74" i="1" s="1"/>
  <c r="AK73" i="1"/>
  <c r="AK74" i="1" s="1"/>
  <c r="AK56" i="1" s="1"/>
  <c r="AK76" i="1" s="1"/>
  <c r="AK77" i="1" s="1"/>
  <c r="Z12" i="1"/>
  <c r="AA11" i="1"/>
  <c r="Z14" i="1"/>
  <c r="AR45" i="1"/>
  <c r="AR44" i="1"/>
  <c r="AR117" i="1"/>
  <c r="AR119" i="1"/>
  <c r="AQ65" i="1"/>
  <c r="AQ67" i="1"/>
  <c r="AP114" i="1"/>
  <c r="AP115" i="1" s="1"/>
  <c r="AP122" i="1"/>
  <c r="AQ117" i="1"/>
  <c r="AQ119" i="1"/>
  <c r="AO96" i="1"/>
  <c r="AO88" i="1"/>
  <c r="AO89" i="1" s="1"/>
  <c r="AP47" i="1"/>
  <c r="AP29" i="1" s="1"/>
  <c r="AP49" i="1" s="1"/>
  <c r="AP50" i="1" s="1"/>
  <c r="AM72" i="1"/>
  <c r="AM71" i="1"/>
  <c r="AM73" i="1" s="1"/>
  <c r="AM74" i="1" s="1"/>
  <c r="AM56" i="1" s="1"/>
  <c r="AM76" i="1" s="1"/>
  <c r="AM77" i="1" s="1"/>
  <c r="AM123" i="1"/>
  <c r="AM124" i="1"/>
  <c r="AK125" i="1"/>
  <c r="AK126" i="1" s="1"/>
  <c r="AK108" i="1" s="1"/>
  <c r="AK128" i="1" s="1"/>
  <c r="AK129" i="1" s="1"/>
  <c r="AR7" i="1"/>
  <c r="G44" i="9" l="1"/>
  <c r="F44" i="9" s="1"/>
  <c r="H44" i="9" s="1"/>
  <c r="V3" i="1"/>
  <c r="V23" i="1" s="1"/>
  <c r="V24" i="1" s="1"/>
  <c r="G40" i="7"/>
  <c r="F40" i="7" s="1"/>
  <c r="H40" i="7" s="1"/>
  <c r="AN99" i="1"/>
  <c r="AN100" i="1" s="1"/>
  <c r="X20" i="1"/>
  <c r="X21" i="1" s="1"/>
  <c r="AR46" i="1"/>
  <c r="AR47" i="1" s="1"/>
  <c r="AR29" i="1" s="1"/>
  <c r="AR49" i="1" s="1"/>
  <c r="AR50" i="1" s="1"/>
  <c r="AO46" i="1"/>
  <c r="AO47" i="1" s="1"/>
  <c r="AO29" i="1" s="1"/>
  <c r="AO49" i="1" s="1"/>
  <c r="AO50" i="1" s="1"/>
  <c r="AN82" i="1"/>
  <c r="AN102" i="1" s="1"/>
  <c r="AN103" i="1" s="1"/>
  <c r="D26" i="2"/>
  <c r="C26" i="2"/>
  <c r="AN108" i="1"/>
  <c r="AN128" i="1" s="1"/>
  <c r="AN129" i="1" s="1"/>
  <c r="AN56" i="1"/>
  <c r="AN76" i="1" s="1"/>
  <c r="AN77" i="1" s="1"/>
  <c r="E26" i="2"/>
  <c r="AR72" i="1"/>
  <c r="AR71" i="1"/>
  <c r="AQ122" i="1"/>
  <c r="AQ114" i="1"/>
  <c r="AQ115" i="1" s="1"/>
  <c r="F27" i="2"/>
  <c r="AQ96" i="1"/>
  <c r="AQ88" i="1"/>
  <c r="AQ89" i="1" s="1"/>
  <c r="AQ62" i="1"/>
  <c r="AQ63" i="1" s="1"/>
  <c r="AQ70" i="1"/>
  <c r="AO123" i="1"/>
  <c r="AO124" i="1"/>
  <c r="AO97" i="1"/>
  <c r="AO98" i="1"/>
  <c r="Y18" i="1"/>
  <c r="Y19" i="1"/>
  <c r="AR88" i="1"/>
  <c r="AR89" i="1" s="1"/>
  <c r="AR96" i="1"/>
  <c r="AP98" i="1"/>
  <c r="AP97" i="1"/>
  <c r="D25" i="2"/>
  <c r="AL82" i="1"/>
  <c r="AL102" i="1" s="1"/>
  <c r="AL103" i="1" s="1"/>
  <c r="AP123" i="1"/>
  <c r="AP124" i="1"/>
  <c r="AO72" i="1"/>
  <c r="AO71" i="1"/>
  <c r="AO73" i="1" s="1"/>
  <c r="AO74" i="1" s="1"/>
  <c r="AO56" i="1" s="1"/>
  <c r="AO76" i="1" s="1"/>
  <c r="AO77" i="1" s="1"/>
  <c r="C25" i="2"/>
  <c r="AL108" i="1"/>
  <c r="AL128" i="1" s="1"/>
  <c r="AL129" i="1" s="1"/>
  <c r="AR114" i="1"/>
  <c r="AR115" i="1" s="1"/>
  <c r="AR122" i="1"/>
  <c r="AQ45" i="1"/>
  <c r="AQ44" i="1"/>
  <c r="AA14" i="1"/>
  <c r="AA12" i="1"/>
  <c r="AB11" i="1"/>
  <c r="AP73" i="1"/>
  <c r="AP74" i="1" s="1"/>
  <c r="W20" i="1"/>
  <c r="W21" i="1" s="1"/>
  <c r="W3" i="1" s="1"/>
  <c r="W23" i="1" s="1"/>
  <c r="W24" i="1" s="1"/>
  <c r="AM125" i="1"/>
  <c r="AM126" i="1" s="1"/>
  <c r="AM108" i="1" s="1"/>
  <c r="AM128" i="1" s="1"/>
  <c r="AM129" i="1" s="1"/>
  <c r="Z9" i="1"/>
  <c r="Z10" i="1" s="1"/>
  <c r="Z17" i="1"/>
  <c r="G45" i="9" l="1"/>
  <c r="F45" i="9" s="1"/>
  <c r="H45" i="9" s="1"/>
  <c r="F28" i="2"/>
  <c r="G41" i="7"/>
  <c r="F41" i="7" s="1"/>
  <c r="H41" i="7" s="1"/>
  <c r="AR73" i="1"/>
  <c r="AR74" i="1" s="1"/>
  <c r="AR56" i="1" s="1"/>
  <c r="AR76" i="1" s="1"/>
  <c r="AR77" i="1" s="1"/>
  <c r="X3" i="1"/>
  <c r="X23" i="1" s="1"/>
  <c r="X24" i="1" s="1"/>
  <c r="G18" i="2"/>
  <c r="AP125" i="1"/>
  <c r="AP126" i="1" s="1"/>
  <c r="AP99" i="1"/>
  <c r="AP100" i="1" s="1"/>
  <c r="AP82" i="1" s="1"/>
  <c r="AP102" i="1" s="1"/>
  <c r="AP103" i="1" s="1"/>
  <c r="AQ46" i="1"/>
  <c r="AQ47" i="1" s="1"/>
  <c r="AQ29" i="1" s="1"/>
  <c r="AQ49" i="1" s="1"/>
  <c r="AQ50" i="1" s="1"/>
  <c r="AP108" i="1"/>
  <c r="AP128" i="1" s="1"/>
  <c r="AP129" i="1" s="1"/>
  <c r="C27" i="2"/>
  <c r="AQ98" i="1"/>
  <c r="AQ97" i="1"/>
  <c r="AQ99" i="1" s="1"/>
  <c r="AQ100" i="1" s="1"/>
  <c r="AQ82" i="1" s="1"/>
  <c r="AQ102" i="1" s="1"/>
  <c r="AQ103" i="1" s="1"/>
  <c r="AB14" i="1"/>
  <c r="AB12" i="1"/>
  <c r="AC11" i="1"/>
  <c r="AR98" i="1"/>
  <c r="AR97" i="1"/>
  <c r="AR99" i="1" s="1"/>
  <c r="AR100" i="1" s="1"/>
  <c r="Z18" i="1"/>
  <c r="Z19" i="1"/>
  <c r="E27" i="2"/>
  <c r="AP56" i="1"/>
  <c r="AP76" i="1" s="1"/>
  <c r="AP77" i="1" s="1"/>
  <c r="AQ123" i="1"/>
  <c r="AQ124" i="1"/>
  <c r="Y20" i="1"/>
  <c r="Y21" i="1" s="1"/>
  <c r="Y3" i="1" s="1"/>
  <c r="Y23" i="1" s="1"/>
  <c r="Y24" i="1" s="1"/>
  <c r="AR124" i="1"/>
  <c r="AR123" i="1"/>
  <c r="AR125" i="1" s="1"/>
  <c r="AR126" i="1" s="1"/>
  <c r="AA17" i="1"/>
  <c r="AA9" i="1"/>
  <c r="AA10" i="1" s="1"/>
  <c r="AO99" i="1"/>
  <c r="AO100" i="1" s="1"/>
  <c r="AO82" i="1" s="1"/>
  <c r="AO102" i="1" s="1"/>
  <c r="AO103" i="1" s="1"/>
  <c r="AO125" i="1"/>
  <c r="AO126" i="1" s="1"/>
  <c r="AO108" i="1" s="1"/>
  <c r="AO128" i="1" s="1"/>
  <c r="AO129" i="1" s="1"/>
  <c r="AQ72" i="1"/>
  <c r="AQ71" i="1"/>
  <c r="AQ73" i="1" s="1"/>
  <c r="AQ74" i="1" s="1"/>
  <c r="AQ56" i="1" s="1"/>
  <c r="AQ76" i="1" s="1"/>
  <c r="AQ77" i="1" s="1"/>
  <c r="G46" i="9" l="1"/>
  <c r="F46" i="9" s="1"/>
  <c r="H46" i="9" s="1"/>
  <c r="D27" i="2"/>
  <c r="E28" i="2"/>
  <c r="G42" i="7"/>
  <c r="F42" i="7" s="1"/>
  <c r="H42" i="7" s="1"/>
  <c r="D28" i="2"/>
  <c r="AR82" i="1"/>
  <c r="AR102" i="1" s="1"/>
  <c r="AR103" i="1" s="1"/>
  <c r="Z20" i="1"/>
  <c r="Z21" i="1" s="1"/>
  <c r="AC12" i="1"/>
  <c r="AD11" i="1"/>
  <c r="AC14" i="1"/>
  <c r="AB17" i="1"/>
  <c r="AB9" i="1"/>
  <c r="AB10" i="1" s="1"/>
  <c r="AA19" i="1"/>
  <c r="AA18" i="1"/>
  <c r="AA20" i="1" s="1"/>
  <c r="AA21" i="1" s="1"/>
  <c r="AA3" i="1" s="1"/>
  <c r="AA23" i="1" s="1"/>
  <c r="AA24" i="1" s="1"/>
  <c r="C28" i="2"/>
  <c r="AR108" i="1"/>
  <c r="AR128" i="1" s="1"/>
  <c r="AR129" i="1" s="1"/>
  <c r="AQ125" i="1"/>
  <c r="AQ126" i="1" s="1"/>
  <c r="AQ108" i="1" s="1"/>
  <c r="AQ128" i="1" s="1"/>
  <c r="AQ129" i="1" s="1"/>
  <c r="G47" i="9" l="1"/>
  <c r="F47" i="9" s="1"/>
  <c r="H47" i="9"/>
  <c r="G43" i="7"/>
  <c r="F43" i="7" s="1"/>
  <c r="H43" i="7" s="1"/>
  <c r="AB19" i="1"/>
  <c r="AB18" i="1"/>
  <c r="AD14" i="1"/>
  <c r="AD12" i="1"/>
  <c r="AE11" i="1"/>
  <c r="AC9" i="1"/>
  <c r="AC10" i="1" s="1"/>
  <c r="AC17" i="1"/>
  <c r="Z3" i="1"/>
  <c r="Z23" i="1" s="1"/>
  <c r="Z24" i="1" s="1"/>
  <c r="G19" i="2"/>
  <c r="AB20" i="1" l="1"/>
  <c r="AB21" i="1" s="1"/>
  <c r="G48" i="9"/>
  <c r="F48" i="9" s="1"/>
  <c r="H48" i="9" s="1"/>
  <c r="G44" i="7"/>
  <c r="F44" i="7" s="1"/>
  <c r="H44" i="7" s="1"/>
  <c r="G20" i="2"/>
  <c r="AB3" i="1"/>
  <c r="AB23" i="1" s="1"/>
  <c r="AB24" i="1" s="1"/>
  <c r="AE14" i="1"/>
  <c r="AF11" i="1"/>
  <c r="AE12" i="1"/>
  <c r="AD17" i="1"/>
  <c r="AD9" i="1"/>
  <c r="AD10" i="1" s="1"/>
  <c r="AC19" i="1"/>
  <c r="AC18" i="1"/>
  <c r="G49" i="9" l="1"/>
  <c r="F49" i="9" s="1"/>
  <c r="H49" i="9" s="1"/>
  <c r="G45" i="7"/>
  <c r="F45" i="7" s="1"/>
  <c r="H45" i="7" s="1"/>
  <c r="AC20" i="1"/>
  <c r="AC21" i="1" s="1"/>
  <c r="AC3" i="1" s="1"/>
  <c r="AC23" i="1" s="1"/>
  <c r="AC24" i="1" s="1"/>
  <c r="AE17" i="1"/>
  <c r="AE9" i="1"/>
  <c r="AE10" i="1" s="1"/>
  <c r="AD19" i="1"/>
  <c r="AD18" i="1"/>
  <c r="AF12" i="1"/>
  <c r="AG11" i="1"/>
  <c r="AF14" i="1"/>
  <c r="G50" i="9" l="1"/>
  <c r="F50" i="9" s="1"/>
  <c r="H50" i="9" s="1"/>
  <c r="G46" i="7"/>
  <c r="F46" i="7" s="1"/>
  <c r="H46" i="7" s="1"/>
  <c r="AD20" i="1"/>
  <c r="AD21" i="1" s="1"/>
  <c r="G21" i="2" s="1"/>
  <c r="AF9" i="1"/>
  <c r="AF10" i="1" s="1"/>
  <c r="AF17" i="1"/>
  <c r="AG12" i="1"/>
  <c r="AH11" i="1"/>
  <c r="AG14" i="1"/>
  <c r="AE19" i="1"/>
  <c r="AE18" i="1"/>
  <c r="G51" i="9" l="1"/>
  <c r="AE20" i="1"/>
  <c r="AE21" i="1" s="1"/>
  <c r="AE3" i="1" s="1"/>
  <c r="AE23" i="1" s="1"/>
  <c r="AE24" i="1" s="1"/>
  <c r="G47" i="7"/>
  <c r="F47" i="7" s="1"/>
  <c r="H47" i="7" s="1"/>
  <c r="AD3" i="1"/>
  <c r="AD23" i="1" s="1"/>
  <c r="AD24" i="1" s="1"/>
  <c r="AG17" i="1"/>
  <c r="AG9" i="1"/>
  <c r="AG10" i="1" s="1"/>
  <c r="AI11" i="1"/>
  <c r="AH12" i="1"/>
  <c r="AH14" i="1"/>
  <c r="AF19" i="1"/>
  <c r="AF18" i="1"/>
  <c r="F51" i="9" l="1"/>
  <c r="G52" i="9"/>
  <c r="G48" i="7"/>
  <c r="F48" i="7" s="1"/>
  <c r="H48" i="7" s="1"/>
  <c r="AF20" i="1"/>
  <c r="AF21" i="1" s="1"/>
  <c r="G22" i="2" s="1"/>
  <c r="AH17" i="1"/>
  <c r="AH9" i="1"/>
  <c r="AH10" i="1" s="1"/>
  <c r="AI12" i="1"/>
  <c r="AI14" i="1"/>
  <c r="AJ11" i="1"/>
  <c r="AG18" i="1"/>
  <c r="AG19" i="1"/>
  <c r="AF3" i="1" l="1"/>
  <c r="AF23" i="1" s="1"/>
  <c r="AF24" i="1" s="1"/>
  <c r="H51" i="9"/>
  <c r="F52" i="9"/>
  <c r="G49" i="7"/>
  <c r="F49" i="7" s="1"/>
  <c r="H49" i="7" s="1"/>
  <c r="AG20" i="1"/>
  <c r="AG21" i="1" s="1"/>
  <c r="AG3" i="1" s="1"/>
  <c r="AG23" i="1" s="1"/>
  <c r="AG24" i="1" s="1"/>
  <c r="AK11" i="1"/>
  <c r="AJ14" i="1"/>
  <c r="AJ12" i="1"/>
  <c r="AI9" i="1"/>
  <c r="AI10" i="1" s="1"/>
  <c r="AI17" i="1"/>
  <c r="AH19" i="1"/>
  <c r="AH18" i="1"/>
  <c r="AH20" i="1" l="1"/>
  <c r="AH21" i="1" s="1"/>
  <c r="G23" i="2" s="1"/>
  <c r="G50" i="7"/>
  <c r="F50" i="7" s="1"/>
  <c r="H50" i="7" s="1"/>
  <c r="AK12" i="1"/>
  <c r="AK14" i="1"/>
  <c r="AL11" i="1"/>
  <c r="AI19" i="1"/>
  <c r="AI18" i="1"/>
  <c r="AJ9" i="1"/>
  <c r="AJ10" i="1" s="1"/>
  <c r="AJ17" i="1"/>
  <c r="AH3" i="1" l="1"/>
  <c r="AH23" i="1" s="1"/>
  <c r="AH24" i="1" s="1"/>
  <c r="AI20" i="1"/>
  <c r="AI21" i="1" s="1"/>
  <c r="AI3" i="1" s="1"/>
  <c r="AI23" i="1" s="1"/>
  <c r="AI24" i="1" s="1"/>
  <c r="G51" i="7"/>
  <c r="F51" i="7" s="1"/>
  <c r="H51" i="7" s="1"/>
  <c r="AJ19" i="1"/>
  <c r="AJ18" i="1"/>
  <c r="AK17" i="1"/>
  <c r="AK9" i="1"/>
  <c r="AK10" i="1" s="1"/>
  <c r="AL14" i="1"/>
  <c r="AL12" i="1"/>
  <c r="AM11" i="1"/>
  <c r="G52" i="7" l="1"/>
  <c r="F52" i="7" s="1"/>
  <c r="H52" i="7" s="1"/>
  <c r="AJ20" i="1"/>
  <c r="AJ21" i="1" s="1"/>
  <c r="G24" i="2" s="1"/>
  <c r="AN11" i="1"/>
  <c r="AM14" i="1"/>
  <c r="AM12" i="1"/>
  <c r="AK19" i="1"/>
  <c r="AK18" i="1"/>
  <c r="AK20" i="1" s="1"/>
  <c r="AK21" i="1" s="1"/>
  <c r="AK3" i="1" s="1"/>
  <c r="AK23" i="1" s="1"/>
  <c r="AK24" i="1" s="1"/>
  <c r="AL9" i="1"/>
  <c r="AL10" i="1" s="1"/>
  <c r="AL17" i="1"/>
  <c r="AJ3" i="1"/>
  <c r="AJ23" i="1" s="1"/>
  <c r="AJ24" i="1" s="1"/>
  <c r="G53" i="7" l="1"/>
  <c r="F53" i="7" s="1"/>
  <c r="H53" i="7" s="1"/>
  <c r="AL18" i="1"/>
  <c r="AL19" i="1"/>
  <c r="AM17" i="1"/>
  <c r="AM9" i="1"/>
  <c r="AM10" i="1" s="1"/>
  <c r="AO11" i="1"/>
  <c r="AN12" i="1"/>
  <c r="AN14" i="1"/>
  <c r="G54" i="7" l="1"/>
  <c r="F54" i="7" s="1"/>
  <c r="H54" i="7" s="1"/>
  <c r="AN17" i="1"/>
  <c r="AN9" i="1"/>
  <c r="AN10" i="1" s="1"/>
  <c r="AO14" i="1"/>
  <c r="AO12" i="1"/>
  <c r="AP11" i="1"/>
  <c r="AM18" i="1"/>
  <c r="AM19" i="1"/>
  <c r="AL20" i="1"/>
  <c r="AL21" i="1" s="1"/>
  <c r="G55" i="7" l="1"/>
  <c r="F55" i="7" s="1"/>
  <c r="H55" i="7" s="1"/>
  <c r="G25" i="2"/>
  <c r="AL3" i="1"/>
  <c r="AL23" i="1" s="1"/>
  <c r="AL24" i="1" s="1"/>
  <c r="AM20" i="1"/>
  <c r="AM21" i="1" s="1"/>
  <c r="AM3" i="1" s="1"/>
  <c r="AM23" i="1" s="1"/>
  <c r="AM24" i="1" s="1"/>
  <c r="AP12" i="1"/>
  <c r="AQ11" i="1"/>
  <c r="AR11" i="1" s="1"/>
  <c r="AP14" i="1"/>
  <c r="AO17" i="1"/>
  <c r="AO9" i="1"/>
  <c r="AO10" i="1" s="1"/>
  <c r="AN18" i="1"/>
  <c r="AN19" i="1"/>
  <c r="G56" i="7" l="1"/>
  <c r="F56" i="7" s="1"/>
  <c r="H56" i="7" s="1"/>
  <c r="AR14" i="1"/>
  <c r="AR12" i="1"/>
  <c r="AN20" i="1"/>
  <c r="AN21" i="1" s="1"/>
  <c r="AO18" i="1"/>
  <c r="AO19" i="1"/>
  <c r="AP17" i="1"/>
  <c r="AP9" i="1"/>
  <c r="AP10" i="1" s="1"/>
  <c r="AQ14" i="1"/>
  <c r="AQ12" i="1"/>
  <c r="G57" i="7" l="1"/>
  <c r="F57" i="7" s="1"/>
  <c r="H57" i="7" s="1"/>
  <c r="AR9" i="1"/>
  <c r="AR10" i="1" s="1"/>
  <c r="AR17" i="1"/>
  <c r="AQ9" i="1"/>
  <c r="AQ10" i="1" s="1"/>
  <c r="AQ17" i="1"/>
  <c r="AP18" i="1"/>
  <c r="AP19" i="1"/>
  <c r="AO20" i="1"/>
  <c r="AO21" i="1" s="1"/>
  <c r="AO3" i="1" s="1"/>
  <c r="AO23" i="1" s="1"/>
  <c r="AO24" i="1" s="1"/>
  <c r="G26" i="2"/>
  <c r="AN3" i="1"/>
  <c r="AN23" i="1" s="1"/>
  <c r="AN24" i="1" s="1"/>
  <c r="G58" i="7" l="1"/>
  <c r="F58" i="7" s="1"/>
  <c r="H58" i="7" s="1"/>
  <c r="AR18" i="1"/>
  <c r="AR19" i="1"/>
  <c r="AP20" i="1"/>
  <c r="AP21" i="1" s="1"/>
  <c r="G27" i="2" s="1"/>
  <c r="AQ18" i="1"/>
  <c r="AQ19" i="1"/>
  <c r="AP3" i="1" l="1"/>
  <c r="AP23" i="1" s="1"/>
  <c r="AP24" i="1" s="1"/>
  <c r="G59" i="7"/>
  <c r="F59" i="7" s="1"/>
  <c r="H59" i="7" s="1"/>
  <c r="AQ20" i="1"/>
  <c r="AQ21" i="1" s="1"/>
  <c r="AQ3" i="1" s="1"/>
  <c r="AQ23" i="1" s="1"/>
  <c r="AQ24" i="1" s="1"/>
  <c r="AR20" i="1"/>
  <c r="AR21" i="1" s="1"/>
  <c r="G88" i="9" l="1"/>
  <c r="G60" i="7"/>
  <c r="F60" i="7" s="1"/>
  <c r="H60" i="7" s="1"/>
  <c r="G28" i="2"/>
  <c r="AR3" i="1"/>
  <c r="AR23" i="1" s="1"/>
  <c r="AR24" i="1" s="1"/>
  <c r="F88" i="9" l="1"/>
  <c r="G61" i="7"/>
  <c r="F61" i="7" s="1"/>
  <c r="H61" i="7" s="1"/>
  <c r="G62" i="7" l="1"/>
  <c r="F62" i="7" s="1"/>
  <c r="H62" i="7" s="1"/>
  <c r="G63" i="7" l="1"/>
  <c r="F63" i="7" l="1"/>
  <c r="H63" i="7" l="1"/>
  <c r="G64" i="7" s="1"/>
  <c r="F64" i="7" l="1"/>
  <c r="H64" i="7" l="1"/>
  <c r="G65" i="7" s="1"/>
  <c r="F65" i="7" l="1"/>
  <c r="H65" i="7" l="1"/>
  <c r="G66" i="7" s="1"/>
  <c r="F66" i="7" l="1"/>
  <c r="H66" i="7" l="1"/>
  <c r="G67" i="7" s="1"/>
  <c r="F67" i="7" l="1"/>
  <c r="H67" i="7" l="1"/>
  <c r="G68" i="7" s="1"/>
  <c r="F68" i="7" l="1"/>
  <c r="H68" i="7" l="1"/>
  <c r="G69" i="7" s="1"/>
  <c r="F69" i="7" s="1"/>
  <c r="H69" i="7" s="1"/>
  <c r="G70" i="7" s="1"/>
  <c r="F70" i="7" s="1"/>
  <c r="H70" i="7" s="1"/>
  <c r="G71" i="7" s="1"/>
  <c r="F71" i="7" s="1"/>
  <c r="H71" i="7" s="1"/>
  <c r="G72" i="7" s="1"/>
  <c r="F72" i="7" s="1"/>
  <c r="H72" i="7" s="1"/>
  <c r="G73" i="7" s="1"/>
  <c r="F73" i="7" s="1"/>
  <c r="H73" i="7" s="1"/>
  <c r="G74" i="7" s="1"/>
  <c r="F74" i="7" s="1"/>
  <c r="H74" i="7" s="1"/>
  <c r="G75" i="7" s="1"/>
  <c r="F75" i="7" s="1"/>
  <c r="H75" i="7" s="1"/>
  <c r="G76" i="7" s="1"/>
  <c r="F76" i="7" s="1"/>
  <c r="H76" i="7" s="1"/>
  <c r="G77" i="7" s="1"/>
  <c r="F77" i="7" s="1"/>
  <c r="H77" i="7" s="1"/>
  <c r="G78" i="7" s="1"/>
  <c r="F78" i="7" s="1"/>
  <c r="H78" i="7" s="1"/>
  <c r="G79" i="7" s="1"/>
  <c r="F79" i="7" s="1"/>
  <c r="H79" i="7" s="1"/>
  <c r="G80" i="7" s="1"/>
  <c r="F80" i="7" s="1"/>
  <c r="H80" i="7" s="1"/>
  <c r="G81" i="7" s="1"/>
  <c r="F81" i="7" s="1"/>
  <c r="H81" i="7" s="1"/>
  <c r="G82" i="7" s="1"/>
  <c r="F82" i="7" s="1"/>
  <c r="H82" i="7" s="1"/>
  <c r="G83" i="7" s="1"/>
  <c r="F83" i="7" s="1"/>
  <c r="H83" i="7" s="1"/>
  <c r="G84" i="7" l="1"/>
  <c r="F84" i="7" s="1"/>
  <c r="H84" i="7" s="1"/>
  <c r="G85" i="7" s="1"/>
  <c r="F85" i="7" s="1"/>
  <c r="H85" i="7" s="1"/>
  <c r="G86" i="7" s="1"/>
  <c r="F86" i="7" s="1"/>
  <c r="H86" i="7" s="1"/>
  <c r="G87" i="7" s="1"/>
  <c r="F87" i="7" l="1"/>
  <c r="G88" i="7"/>
  <c r="H87" i="7" l="1"/>
  <c r="F88" i="7"/>
  <c r="E92" i="7" s="1"/>
  <c r="F93" i="7" s="1"/>
  <c r="G94" i="7" s="1"/>
  <c r="G28" i="5" l="1"/>
  <c r="D12" i="5"/>
  <c r="F28" i="5" l="1"/>
  <c r="H28" i="5" s="1"/>
  <c r="G29" i="5" l="1"/>
  <c r="F29" i="5" l="1"/>
  <c r="H29" i="5" l="1"/>
  <c r="G30" i="5" s="1"/>
  <c r="F30" i="5" l="1"/>
  <c r="H30" i="5" l="1"/>
  <c r="G31" i="5" s="1"/>
  <c r="F31" i="5" l="1"/>
  <c r="H31" i="5" l="1"/>
  <c r="G32" i="5" s="1"/>
  <c r="F32" i="5" l="1"/>
  <c r="H32" i="5" l="1"/>
  <c r="G33" i="5" s="1"/>
  <c r="F33" i="5" s="1"/>
  <c r="H33" i="5" s="1"/>
  <c r="G34" i="5" l="1"/>
  <c r="F34" i="5" s="1"/>
  <c r="H34" i="5" l="1"/>
  <c r="G35" i="5" s="1"/>
  <c r="F35" i="5" s="1"/>
  <c r="H35" i="5" s="1"/>
  <c r="G36" i="5" s="1"/>
  <c r="F36" i="5" s="1"/>
  <c r="H36" i="5" s="1"/>
  <c r="G37" i="5" s="1"/>
  <c r="F37" i="5" s="1"/>
  <c r="H37" i="5" s="1"/>
  <c r="G38" i="5" s="1"/>
  <c r="F38" i="5" s="1"/>
  <c r="H38" i="5" s="1"/>
  <c r="G39" i="5" s="1"/>
  <c r="F39" i="5" s="1"/>
  <c r="H39" i="5" s="1"/>
  <c r="G40" i="5" l="1"/>
  <c r="F40" i="5" s="1"/>
  <c r="H40" i="5" s="1"/>
  <c r="G41" i="5" l="1"/>
  <c r="F41" i="5" s="1"/>
  <c r="H41" i="5" s="1"/>
  <c r="G42" i="5" l="1"/>
  <c r="F42" i="5" s="1"/>
  <c r="H42" i="5" s="1"/>
  <c r="G43" i="5" l="1"/>
  <c r="F43" i="5" s="1"/>
  <c r="H43" i="5" s="1"/>
  <c r="G44" i="5" l="1"/>
  <c r="F44" i="5" s="1"/>
  <c r="H44" i="5" s="1"/>
  <c r="G45" i="5" l="1"/>
  <c r="F45" i="5" s="1"/>
  <c r="H45" i="5" s="1"/>
  <c r="G46" i="5" l="1"/>
  <c r="F46" i="5" s="1"/>
  <c r="H46" i="5" s="1"/>
  <c r="G47" i="5" l="1"/>
  <c r="F47" i="5" s="1"/>
  <c r="H47" i="5" s="1"/>
  <c r="G48" i="5" l="1"/>
  <c r="F48" i="5" s="1"/>
  <c r="H48" i="5" s="1"/>
  <c r="G49" i="5" l="1"/>
  <c r="F49" i="5" s="1"/>
  <c r="H49" i="5" s="1"/>
  <c r="G50" i="5" l="1"/>
  <c r="F50" i="5" s="1"/>
  <c r="H50" i="5" s="1"/>
  <c r="G51" i="5" l="1"/>
  <c r="F51" i="5" s="1"/>
  <c r="H51" i="5" s="1"/>
  <c r="G52" i="5" l="1"/>
  <c r="F52" i="5" s="1"/>
  <c r="H52" i="5" s="1"/>
  <c r="G53" i="5" l="1"/>
  <c r="F53" i="5" s="1"/>
  <c r="H53" i="5" s="1"/>
  <c r="G54" i="5" l="1"/>
  <c r="F54" i="5" s="1"/>
  <c r="H54" i="5" s="1"/>
  <c r="G55" i="5" l="1"/>
  <c r="F55" i="5" s="1"/>
  <c r="H55" i="5" s="1"/>
  <c r="G56" i="5" l="1"/>
  <c r="F56" i="5" s="1"/>
  <c r="H56" i="5" s="1"/>
  <c r="G57" i="5" l="1"/>
  <c r="F57" i="5" s="1"/>
  <c r="H57" i="5" s="1"/>
  <c r="G58" i="5" l="1"/>
  <c r="F58" i="5" s="1"/>
  <c r="H58" i="5" s="1"/>
  <c r="G59" i="5" l="1"/>
  <c r="F59" i="5" s="1"/>
  <c r="H59" i="5" s="1"/>
  <c r="G60" i="5" l="1"/>
  <c r="F60" i="5" s="1"/>
  <c r="H60" i="5" s="1"/>
  <c r="G61" i="5" l="1"/>
  <c r="F61" i="5" s="1"/>
  <c r="H61" i="5" s="1"/>
  <c r="G62" i="5" l="1"/>
  <c r="F62" i="5" s="1"/>
  <c r="H62" i="5" s="1"/>
  <c r="G63" i="5" l="1"/>
  <c r="G64" i="5" s="1"/>
  <c r="F63" i="5" l="1"/>
  <c r="F64" i="5" s="1"/>
  <c r="G88" i="5"/>
  <c r="H63" i="5" l="1"/>
  <c r="F88" i="5"/>
  <c r="C30" i="1" l="1"/>
  <c r="C35" i="1" l="1"/>
  <c r="F12" i="3" s="1"/>
  <c r="C31" i="1"/>
  <c r="F8" i="3" s="1"/>
  <c r="C32" i="1"/>
  <c r="F9" i="3" s="1"/>
  <c r="C36" i="1" l="1"/>
  <c r="C47" i="1" s="1"/>
  <c r="C6" i="8"/>
  <c r="R42" i="8" s="1"/>
  <c r="C5" i="8"/>
  <c r="R41" i="8" s="1"/>
  <c r="F13" i="3"/>
  <c r="C9" i="8"/>
  <c r="R43" i="8" s="1"/>
  <c r="C4" i="8" l="1"/>
  <c r="F16" i="3"/>
  <c r="C29" i="1"/>
  <c r="C1" i="8" l="1"/>
  <c r="C49" i="1"/>
  <c r="C50" i="1" s="1"/>
  <c r="F4" i="3"/>
  <c r="X83" i="8"/>
  <c r="C10" i="8"/>
  <c r="H23" i="8" s="1"/>
  <c r="R36" i="8"/>
  <c r="R44" i="8" s="1"/>
  <c r="AB39" i="8" s="1"/>
  <c r="H27" i="8"/>
  <c r="C3" i="8" l="1"/>
  <c r="AW83" i="8" s="1"/>
  <c r="AY100" i="8" s="1"/>
  <c r="AU150" i="8" s="1"/>
  <c r="F10" i="8"/>
  <c r="F4" i="8" s="1"/>
  <c r="E10" i="8"/>
  <c r="E4" i="8" s="1"/>
  <c r="AJ10" i="8"/>
  <c r="AJ4" i="8" s="1"/>
  <c r="I10" i="8"/>
  <c r="I4" i="8" s="1"/>
  <c r="D10" i="8"/>
  <c r="D4" i="8" s="1"/>
  <c r="AG10" i="8"/>
  <c r="AG4" i="8" s="1"/>
  <c r="E30" i="8"/>
  <c r="E32" i="8"/>
  <c r="E34" i="8"/>
  <c r="E36" i="8"/>
  <c r="E38" i="8"/>
  <c r="E40" i="8"/>
  <c r="E42" i="8"/>
  <c r="E44" i="8"/>
  <c r="E46" i="8"/>
  <c r="E48" i="8"/>
  <c r="E50" i="8"/>
  <c r="E52" i="8"/>
  <c r="E54" i="8"/>
  <c r="E56" i="8"/>
  <c r="E58" i="8"/>
  <c r="E60" i="8"/>
  <c r="E62" i="8"/>
  <c r="E64" i="8"/>
  <c r="E66" i="8"/>
  <c r="E68" i="8"/>
  <c r="E70" i="8"/>
  <c r="E72" i="8"/>
  <c r="E74" i="8"/>
  <c r="N10" i="8"/>
  <c r="N4" i="8" s="1"/>
  <c r="J10" i="8"/>
  <c r="J4" i="8" s="1"/>
  <c r="AF10" i="8"/>
  <c r="AF4" i="8" s="1"/>
  <c r="W10" i="8"/>
  <c r="W4" i="8" s="1"/>
  <c r="Y10" i="8"/>
  <c r="Y4" i="8" s="1"/>
  <c r="AE10" i="8"/>
  <c r="AE4" i="8" s="1"/>
  <c r="AZ10" i="8"/>
  <c r="AZ4" i="8" s="1"/>
  <c r="BG10" i="8"/>
  <c r="BG4" i="8" s="1"/>
  <c r="AD10" i="8"/>
  <c r="AD4" i="8" s="1"/>
  <c r="AQ10" i="8"/>
  <c r="AQ4" i="8" s="1"/>
  <c r="BE10" i="8"/>
  <c r="BE4" i="8" s="1"/>
  <c r="AM10" i="8"/>
  <c r="AM4" i="8" s="1"/>
  <c r="AC83" i="8"/>
  <c r="AN101" i="8" s="1"/>
  <c r="AD150" i="8" s="1"/>
  <c r="E75" i="8"/>
  <c r="E28" i="8"/>
  <c r="L10" i="8"/>
  <c r="L4" i="8" s="1"/>
  <c r="AR10" i="8"/>
  <c r="AR4" i="8" s="1"/>
  <c r="M10" i="8"/>
  <c r="M4" i="8" s="1"/>
  <c r="AO10" i="8"/>
  <c r="AO4" i="8" s="1"/>
  <c r="K10" i="8"/>
  <c r="K4" i="8" s="1"/>
  <c r="AW10" i="8"/>
  <c r="AW4" i="8" s="1"/>
  <c r="V10" i="8"/>
  <c r="V4" i="8" s="1"/>
  <c r="Q10" i="8"/>
  <c r="Q4" i="8" s="1"/>
  <c r="BH10" i="8"/>
  <c r="BH4" i="8" s="1"/>
  <c r="BC10" i="8"/>
  <c r="BC4" i="8" s="1"/>
  <c r="BI10" i="8"/>
  <c r="BI4" i="8" s="1"/>
  <c r="AH10" i="8"/>
  <c r="AH4" i="8" s="1"/>
  <c r="BK10" i="8"/>
  <c r="BK4" i="8" s="1"/>
  <c r="O10" i="8"/>
  <c r="O4" i="8" s="1"/>
  <c r="AN10" i="8"/>
  <c r="AN4" i="8" s="1"/>
  <c r="BF10" i="8"/>
  <c r="BF4" i="8" s="1"/>
  <c r="AK10" i="8"/>
  <c r="AK4" i="8" s="1"/>
  <c r="E29" i="8"/>
  <c r="E31" i="8"/>
  <c r="E33" i="8"/>
  <c r="E35" i="8"/>
  <c r="E37" i="8"/>
  <c r="E39" i="8"/>
  <c r="E41" i="8"/>
  <c r="E43" i="8"/>
  <c r="E45" i="8"/>
  <c r="E47" i="8"/>
  <c r="E49" i="8"/>
  <c r="E51" i="8"/>
  <c r="E53" i="8"/>
  <c r="E55" i="8"/>
  <c r="E57" i="8"/>
  <c r="E59" i="8"/>
  <c r="E61" i="8"/>
  <c r="E63" i="8"/>
  <c r="E65" i="8"/>
  <c r="E67" i="8"/>
  <c r="E69" i="8"/>
  <c r="E71" i="8"/>
  <c r="E73" i="8"/>
  <c r="Z10" i="8"/>
  <c r="Z4" i="8" s="1"/>
  <c r="BD10" i="8"/>
  <c r="BD4" i="8" s="1"/>
  <c r="AA10" i="8"/>
  <c r="AA4" i="8" s="1"/>
  <c r="AP10" i="8"/>
  <c r="AP4" i="8" s="1"/>
  <c r="R10" i="8"/>
  <c r="R4" i="8" s="1"/>
  <c r="BJ10" i="8"/>
  <c r="BJ4" i="8" s="1"/>
  <c r="X10" i="8"/>
  <c r="X4" i="8" s="1"/>
  <c r="AS10" i="8"/>
  <c r="AS4" i="8" s="1"/>
  <c r="R49" i="8"/>
  <c r="AT39" i="8" s="1"/>
  <c r="AT10" i="8"/>
  <c r="AT4" i="8" s="1"/>
  <c r="AU10" i="8"/>
  <c r="AU4" i="8" s="1"/>
  <c r="P10" i="8"/>
  <c r="P4" i="8" s="1"/>
  <c r="H10" i="8"/>
  <c r="H4" i="8" s="1"/>
  <c r="U10" i="8"/>
  <c r="U4" i="8" s="1"/>
  <c r="AL10" i="8"/>
  <c r="AL4" i="8" s="1"/>
  <c r="AY10" i="8"/>
  <c r="AY4" i="8" s="1"/>
  <c r="AX10" i="8"/>
  <c r="AX4" i="8" s="1"/>
  <c r="AC10" i="8"/>
  <c r="AC4" i="8" s="1"/>
  <c r="S10" i="8"/>
  <c r="S4" i="8" s="1"/>
  <c r="BB10" i="8"/>
  <c r="BB4" i="8" s="1"/>
  <c r="BA10" i="8"/>
  <c r="BA4" i="8" s="1"/>
  <c r="T10" i="8"/>
  <c r="T4" i="8" s="1"/>
  <c r="AV10" i="8"/>
  <c r="AV4" i="8" s="1"/>
  <c r="AB10" i="8"/>
  <c r="AB4" i="8" s="1"/>
  <c r="G10" i="8"/>
  <c r="G4" i="8" s="1"/>
  <c r="AI10" i="8"/>
  <c r="AI4" i="8" s="1"/>
  <c r="E76" i="8" l="1"/>
  <c r="C12" i="8"/>
  <c r="D12" i="8" l="1"/>
  <c r="G28" i="8"/>
  <c r="F28" i="8" l="1"/>
  <c r="H28" i="8" l="1"/>
  <c r="G29" i="8" l="1"/>
  <c r="F29" i="8" l="1"/>
  <c r="H29" i="8" l="1"/>
  <c r="G30" i="8" l="1"/>
  <c r="F30" i="8" l="1"/>
  <c r="H30" i="8" l="1"/>
  <c r="G31" i="8" l="1"/>
  <c r="F31" i="8" l="1"/>
  <c r="H31" i="8" l="1"/>
  <c r="G32" i="8" l="1"/>
  <c r="F32" i="8" l="1"/>
  <c r="H32" i="8" l="1"/>
  <c r="G33" i="8" l="1"/>
  <c r="F33" i="8" s="1"/>
  <c r="H33" i="8" s="1"/>
  <c r="G34" i="8" l="1"/>
  <c r="F34" i="8" s="1"/>
  <c r="H34" i="8" s="1"/>
  <c r="G35" i="8" l="1"/>
  <c r="F35" i="8" s="1"/>
  <c r="H35" i="8" s="1"/>
  <c r="G36" i="8" l="1"/>
  <c r="F36" i="8" s="1"/>
  <c r="H36" i="8" s="1"/>
  <c r="G37" i="8" l="1"/>
  <c r="F37" i="8" s="1"/>
  <c r="H37" i="8"/>
  <c r="G38" i="8" l="1"/>
  <c r="F38" i="8" s="1"/>
  <c r="H38" i="8" s="1"/>
  <c r="G39" i="8" l="1"/>
  <c r="F39" i="8" s="1"/>
  <c r="H39" i="8"/>
  <c r="G40" i="8" l="1"/>
  <c r="F40" i="8" s="1"/>
  <c r="H40" i="8" s="1"/>
  <c r="G41" i="8" l="1"/>
  <c r="F41" i="8" s="1"/>
  <c r="H41" i="8"/>
  <c r="G42" i="8" l="1"/>
  <c r="F42" i="8" s="1"/>
  <c r="H42" i="8" s="1"/>
  <c r="G43" i="8" l="1"/>
  <c r="F43" i="8" s="1"/>
  <c r="H43" i="8"/>
  <c r="G44" i="8" l="1"/>
  <c r="F44" i="8" s="1"/>
  <c r="H44" i="8" s="1"/>
  <c r="G45" i="8" l="1"/>
  <c r="F45" i="8" s="1"/>
  <c r="H45" i="8"/>
  <c r="G46" i="8" l="1"/>
  <c r="F46" i="8" s="1"/>
  <c r="H46" i="8" s="1"/>
  <c r="G47" i="8" l="1"/>
  <c r="F47" i="8" s="1"/>
  <c r="H47" i="8"/>
  <c r="G48" i="8" l="1"/>
  <c r="F48" i="8" s="1"/>
  <c r="H48" i="8" s="1"/>
  <c r="G49" i="8" l="1"/>
  <c r="F49" i="8" s="1"/>
  <c r="H49" i="8"/>
  <c r="G50" i="8" l="1"/>
  <c r="F50" i="8" s="1"/>
  <c r="H50" i="8" s="1"/>
  <c r="G51" i="8" l="1"/>
  <c r="F51" i="8" s="1"/>
  <c r="H51" i="8" s="1"/>
  <c r="G52" i="8" l="1"/>
  <c r="F52" i="8" s="1"/>
  <c r="H52" i="8" s="1"/>
  <c r="G53" i="8" l="1"/>
  <c r="F53" i="8" s="1"/>
  <c r="H53" i="8" s="1"/>
  <c r="G54" i="8" l="1"/>
  <c r="F54" i="8" s="1"/>
  <c r="H54" i="8" s="1"/>
  <c r="G55" i="8" l="1"/>
  <c r="F55" i="8" s="1"/>
  <c r="H55" i="8"/>
  <c r="G56" i="8" l="1"/>
  <c r="F56" i="8" s="1"/>
  <c r="H56" i="8" s="1"/>
  <c r="G57" i="8" l="1"/>
  <c r="F57" i="8" s="1"/>
  <c r="H57" i="8"/>
  <c r="G58" i="8" l="1"/>
  <c r="F58" i="8" s="1"/>
  <c r="H58" i="8" s="1"/>
  <c r="G59" i="8" l="1"/>
  <c r="F59" i="8" s="1"/>
  <c r="H59" i="8"/>
  <c r="G60" i="8" l="1"/>
  <c r="F60" i="8" s="1"/>
  <c r="H60" i="8" s="1"/>
  <c r="G61" i="8" l="1"/>
  <c r="F61" i="8" s="1"/>
  <c r="H61" i="8"/>
  <c r="G62" i="8" l="1"/>
  <c r="F62" i="8" s="1"/>
  <c r="H62" i="8" s="1"/>
  <c r="G63" i="8" l="1"/>
  <c r="F63" i="8" s="1"/>
  <c r="H63" i="8"/>
  <c r="G64" i="8" l="1"/>
  <c r="F64" i="8" s="1"/>
  <c r="H64" i="8" s="1"/>
  <c r="G65" i="8" l="1"/>
  <c r="F65" i="8" s="1"/>
  <c r="H65" i="8"/>
  <c r="G66" i="8" l="1"/>
  <c r="F66" i="8" s="1"/>
  <c r="H66" i="8" s="1"/>
  <c r="G67" i="8" l="1"/>
  <c r="F67" i="8" s="1"/>
  <c r="H67" i="8"/>
  <c r="G68" i="8" l="1"/>
  <c r="F68" i="8" s="1"/>
  <c r="H68" i="8" s="1"/>
  <c r="G69" i="8" l="1"/>
  <c r="F69" i="8" s="1"/>
  <c r="H69" i="8"/>
  <c r="G70" i="8" l="1"/>
  <c r="F70" i="8" s="1"/>
  <c r="H70" i="8" s="1"/>
  <c r="G71" i="8" l="1"/>
  <c r="F71" i="8" s="1"/>
  <c r="H71" i="8"/>
  <c r="G72" i="8" l="1"/>
  <c r="F72" i="8" s="1"/>
  <c r="H72" i="8" s="1"/>
  <c r="G73" i="8" l="1"/>
  <c r="F73" i="8" s="1"/>
  <c r="H73" i="8"/>
  <c r="G74" i="8" l="1"/>
  <c r="F74" i="8" s="1"/>
  <c r="H74" i="8" s="1"/>
  <c r="G75" i="8" l="1"/>
  <c r="F75" i="8" l="1"/>
  <c r="G76" i="8"/>
  <c r="F76" i="8" l="1"/>
  <c r="H75" i="8"/>
</calcChain>
</file>

<file path=xl/sharedStrings.xml><?xml version="1.0" encoding="utf-8"?>
<sst xmlns="http://schemas.openxmlformats.org/spreadsheetml/2006/main" count="1182" uniqueCount="283">
  <si>
    <t>Editable</t>
  </si>
  <si>
    <t>1 Yr</t>
  </si>
  <si>
    <t>2 Yrs</t>
  </si>
  <si>
    <t>3 Yrs</t>
  </si>
  <si>
    <t>4 Yrs</t>
  </si>
  <si>
    <t>5 Yrs</t>
  </si>
  <si>
    <t>GROSS AMOUNT</t>
  </si>
  <si>
    <t>NET PROCEEDS</t>
  </si>
  <si>
    <t>Add:</t>
  </si>
  <si>
    <t>Service Fee</t>
  </si>
  <si>
    <t>Insurance</t>
  </si>
  <si>
    <t>CapCon</t>
  </si>
  <si>
    <t>membership fee</t>
  </si>
  <si>
    <t>Advance Interest</t>
  </si>
  <si>
    <t>LOAN AMOUNT</t>
  </si>
  <si>
    <t>Annual Interest Rate</t>
  </si>
  <si>
    <t>Effective Interest Rate</t>
  </si>
  <si>
    <t>Monthly Amortization</t>
  </si>
  <si>
    <t>PEOPLE'S MULTI-PURPOSE COOPERATIVE  EFFECTIVE ON JANUARY 16, 2025</t>
  </si>
  <si>
    <t>Net Proceeds</t>
  </si>
  <si>
    <t>1 Yr                    12 Months</t>
  </si>
  <si>
    <t>2 Yrs                24 Months</t>
  </si>
  <si>
    <t>3 Yrs                  36 Months</t>
  </si>
  <si>
    <t>4 Yrs               48 Months</t>
  </si>
  <si>
    <t>5 Yrs               60 Months</t>
  </si>
  <si>
    <t>GROSS</t>
  </si>
  <si>
    <t>NET</t>
  </si>
  <si>
    <t>SF</t>
  </si>
  <si>
    <t xml:space="preserve">LOAN AMOUNT </t>
  </si>
  <si>
    <t>Annual Interest</t>
  </si>
  <si>
    <t>Effective Interest rate</t>
  </si>
  <si>
    <t>Loan Term</t>
  </si>
  <si>
    <t>Monthly Interest Rate</t>
  </si>
  <si>
    <t>Nr of Payments</t>
  </si>
  <si>
    <t>Income</t>
  </si>
  <si>
    <t>% Income</t>
  </si>
  <si>
    <t>4 yrs</t>
  </si>
  <si>
    <t>Amortization</t>
  </si>
  <si>
    <t>Timeline</t>
  </si>
  <si>
    <t>NET PROCEEDS/CASH FLOW</t>
  </si>
  <si>
    <t>Interest Rate of Return</t>
  </si>
  <si>
    <t>LOAN LEDGER CARD</t>
  </si>
  <si>
    <t>Name:</t>
  </si>
  <si>
    <t>ALEXANDER L FERIA</t>
  </si>
  <si>
    <t>Loan Voucher No.</t>
  </si>
  <si>
    <t>Serial Nr:</t>
  </si>
  <si>
    <t>Address:</t>
  </si>
  <si>
    <t>Amount:</t>
  </si>
  <si>
    <t>Posting date</t>
  </si>
  <si>
    <t>Date of Loan:</t>
  </si>
  <si>
    <t>Maturity Date</t>
  </si>
  <si>
    <t>Term:</t>
  </si>
  <si>
    <t>MOS</t>
  </si>
  <si>
    <t>Loan</t>
  </si>
  <si>
    <t>Installment</t>
  </si>
  <si>
    <t>Principal</t>
  </si>
  <si>
    <t>EIR</t>
  </si>
  <si>
    <t>Balance</t>
  </si>
  <si>
    <t>Month 0</t>
  </si>
  <si>
    <t>PEOPLE'S MULTI-PURPOSE COOPERATIVE</t>
  </si>
  <si>
    <t>20-E 2nd Camarilla St. corner 15th Ave., Brgy. San Roque, Murphy Cubao, Quezon City</t>
  </si>
  <si>
    <t>LOAN RELEASE VOUCHER</t>
  </si>
  <si>
    <t>Date:</t>
  </si>
  <si>
    <t>LV No:</t>
  </si>
  <si>
    <t>Name of Borrower:</t>
  </si>
  <si>
    <t>Serial No.:</t>
  </si>
  <si>
    <t>Principal Amount</t>
  </si>
  <si>
    <t>(-)</t>
  </si>
  <si>
    <t>Balance Old Loan(s)</t>
  </si>
  <si>
    <t>Membership Fee:</t>
  </si>
  <si>
    <t>Paid up Capital:</t>
  </si>
  <si>
    <t>Insurance Premium - Paramount</t>
  </si>
  <si>
    <t>NET PROCEEDS (Php):</t>
  </si>
  <si>
    <t>PAYMENT</t>
  </si>
  <si>
    <t>First Payment Due On:</t>
  </si>
  <si>
    <t>Maturity:</t>
  </si>
  <si>
    <t>EIR (%):</t>
  </si>
  <si>
    <t>Interest Rate per Month (%):</t>
  </si>
  <si>
    <t>Certified &amp; Corrected by:</t>
  </si>
  <si>
    <t>Approved By:</t>
  </si>
  <si>
    <t>Processor</t>
  </si>
  <si>
    <t>President</t>
  </si>
  <si>
    <t>Received By:</t>
  </si>
  <si>
    <t>Signature Over Printed Name/Date</t>
  </si>
  <si>
    <t>month(s)</t>
  </si>
  <si>
    <t>Loan  Balance</t>
  </si>
  <si>
    <t xml:space="preserve">Monthly Amortization </t>
  </si>
  <si>
    <t>Verified by:</t>
  </si>
  <si>
    <t>Verifier/PELVAMS Liason</t>
  </si>
  <si>
    <t>Term  of loan in months:</t>
  </si>
  <si>
    <t>Previous Loan Balance</t>
  </si>
  <si>
    <t>\</t>
  </si>
  <si>
    <t xml:space="preserve">20-E 2nd Camarilla St corner 15th Avenue, </t>
  </si>
  <si>
    <t>Brgy San Roque, Murphy Cubao, Quezon City</t>
  </si>
  <si>
    <t>Mobile No. (+63)953-033-1580 (GLOBE)</t>
  </si>
  <si>
    <t>LOAN APPLICATION FORM</t>
  </si>
  <si>
    <t>,</t>
  </si>
  <si>
    <t>m</t>
  </si>
  <si>
    <t>d</t>
  </si>
  <si>
    <t>y</t>
  </si>
  <si>
    <t>APPLICATION TYPE</t>
  </si>
  <si>
    <t>LOAN CLASSIFICATION</t>
  </si>
  <si>
    <t>TERM</t>
  </si>
  <si>
    <t>RELEASE OF LOAN PROCEEDS</t>
  </si>
  <si>
    <t>New</t>
  </si>
  <si>
    <t>Salary Loan</t>
  </si>
  <si>
    <t>12 Months</t>
  </si>
  <si>
    <t>Check</t>
  </si>
  <si>
    <t>Renewal</t>
  </si>
  <si>
    <t>Pension Loan</t>
  </si>
  <si>
    <t>24 Months</t>
  </si>
  <si>
    <t>Bank Electronic Transfer to Borrowers Account</t>
  </si>
  <si>
    <t>Additional</t>
  </si>
  <si>
    <t>Emergency</t>
  </si>
  <si>
    <t>36 Months</t>
  </si>
  <si>
    <t>Others:</t>
  </si>
  <si>
    <t>Reloan</t>
  </si>
  <si>
    <t>Health Assistance Loan</t>
  </si>
  <si>
    <t>48 Months</t>
  </si>
  <si>
    <t>Restructure</t>
  </si>
  <si>
    <t>Educational Loan</t>
  </si>
  <si>
    <t>60 Months</t>
  </si>
  <si>
    <t xml:space="preserve">Others: </t>
  </si>
  <si>
    <t>AMOUNT APPLIED:</t>
  </si>
  <si>
    <t>MONTHLY AMORTIZATION:</t>
  </si>
  <si>
    <t>LOAN ID:</t>
  </si>
  <si>
    <t>DEDUCTION CODE:</t>
  </si>
  <si>
    <t>LOAN PURPOSE:</t>
  </si>
  <si>
    <t>MEM ID:</t>
  </si>
  <si>
    <t>Regular Member</t>
  </si>
  <si>
    <t>Old Member</t>
  </si>
  <si>
    <t>Associate Member</t>
  </si>
  <si>
    <t>New Member</t>
  </si>
  <si>
    <t>BORROWER'S INFORMATION</t>
  </si>
  <si>
    <t>(LAST NAME)</t>
  </si>
  <si>
    <t>(FIRST NAME)</t>
  </si>
  <si>
    <t>(MIDDLE NAME)</t>
  </si>
  <si>
    <t>(SUFFIX)</t>
  </si>
  <si>
    <t>Rank/Position:</t>
  </si>
  <si>
    <t>Branch of Service:</t>
  </si>
  <si>
    <t>Date of Appointment:</t>
  </si>
  <si>
    <t>Date of Retirement:</t>
  </si>
  <si>
    <t>Length of Service:</t>
  </si>
  <si>
    <t>Date of Birth:</t>
  </si>
  <si>
    <t>Age:</t>
  </si>
  <si>
    <t>Civil Status:</t>
  </si>
  <si>
    <t>Single</t>
  </si>
  <si>
    <t>Widower</t>
  </si>
  <si>
    <t>Home Phone No.</t>
  </si>
  <si>
    <t>FEBRUARY 14 1959</t>
  </si>
  <si>
    <t xml:space="preserve">Married </t>
  </si>
  <si>
    <t>Separated</t>
  </si>
  <si>
    <t>Unit Assignment:</t>
  </si>
  <si>
    <t>Unit/Office/Business Address:</t>
  </si>
  <si>
    <t>Unit/Office Telephone No/s:</t>
  </si>
  <si>
    <t>0956-936-5968</t>
  </si>
  <si>
    <t>AFP/Company ID No:</t>
  </si>
  <si>
    <t>Email Address:</t>
  </si>
  <si>
    <t>Tax Identification No/s:</t>
  </si>
  <si>
    <t>-</t>
  </si>
  <si>
    <t>Present Address:</t>
  </si>
  <si>
    <t>NOTIFICATION CLAUSE</t>
  </si>
  <si>
    <t>I  hereby  acknowledge and authorized the People's Multi-Purpose Cooperative (PMPC) for the following: 1) the regular submission and disclosure</t>
  </si>
  <si>
    <t>of  my basic credit data  (as defined under Republic Act Nr 9510 and its Implementing Rules and Regulations) to the  Credit Information Corporation (CIC)</t>
  </si>
  <si>
    <t xml:space="preserve">as  well  as  any  updates  or  corrections  thereof;  and  2)  the sharing of my basic data and with other lenders authorized by the CIC, and credit reporting </t>
  </si>
  <si>
    <t>agencies duly accredited by the CIC.</t>
  </si>
  <si>
    <t>Printed Name &amp; Signature of Borrower</t>
  </si>
  <si>
    <t>CERTIFICATION</t>
  </si>
  <si>
    <t>I hereby certify that the applicant is assigned to this Office; is not on leave without pay; has no pending case; and, that all information he/she</t>
  </si>
  <si>
    <t>provided is true and correct.</t>
  </si>
  <si>
    <t>CERTIFYING OFFICER</t>
  </si>
  <si>
    <t>DESIGNATION</t>
  </si>
  <si>
    <t>OFFICE</t>
  </si>
  <si>
    <t>CONTACT NUMBER</t>
  </si>
  <si>
    <t>(Signature Over Printed Name)</t>
  </si>
  <si>
    <t>CREDIT HISTORY</t>
  </si>
  <si>
    <t>Loan ID</t>
  </si>
  <si>
    <t>Date Granted</t>
  </si>
  <si>
    <t>Loan Granted</t>
  </si>
  <si>
    <t>Term</t>
  </si>
  <si>
    <t>MA</t>
  </si>
  <si>
    <t>Status/Remarks</t>
  </si>
  <si>
    <t>Principal Balance</t>
  </si>
  <si>
    <t>LOAN APPROVAL</t>
  </si>
  <si>
    <t>Loan Amount:</t>
  </si>
  <si>
    <t>MA:</t>
  </si>
  <si>
    <t>Required NTHP:</t>
  </si>
  <si>
    <t>NTHP after MA</t>
  </si>
  <si>
    <t>Total Loan Exposure:</t>
  </si>
  <si>
    <t>PROCESSED &amp; VERIFIED BY:</t>
  </si>
  <si>
    <t>SIGNATURE OVER PRINTED NAME</t>
  </si>
  <si>
    <t>RECOMMEND APPROVAL/DISAPPROVAL:</t>
  </si>
  <si>
    <t>APPROVED/DISAPPROVED:</t>
  </si>
  <si>
    <t>PROMISORY NOTE NO:</t>
  </si>
  <si>
    <t xml:space="preserve">     I hereby waive presentment for payment and notice of dishonor. PMPC may accept partial payment reserving its right of recourse against me. PMPC is hereby authorized and empowered to set off or apply without notice what is due under this Note from whatever funds I have in the Cooperative.</t>
  </si>
  <si>
    <t xml:space="preserve">     It is further agreed that in case of separation from the service of whatever cause, the unpaid balance with its accumulated surcharges  and  interest  as stipulated above be deducted from my last paymnet, commutation of leave/furlough and/or from my pension.</t>
  </si>
  <si>
    <t xml:space="preserve">     It is further agreed that  when installments are not paid when due and payable, the whole of the principal sum remaining unpaid shall forthwith become due and payable at the election of the Cooperative. I promise and agree to pay for a reasonable attorney's fee if this note is not paid  according  to  its  legal tenor and effect when palced in a lawyer's hand for collection. In case litigation, venue shall be vested in the competent court as may be allowed by the Rules of Court at the sole option of PMPC.</t>
  </si>
  <si>
    <t xml:space="preserve">     Further, I hereby agree and authorized PMPC to encumber, assign or sell to any person or entity any right which it may have under thi Note, and/or any assignment, mortgage lien, pledge or other encumbrances constituted in favor of PMPC pursuant to the provisions of this Note if any.  The  consent  herein granted is recognized and acknowledged by me/us as a waiver, to all intent and purposes of whatever right I may have to notice of actual encumbrance/ assignment.</t>
  </si>
  <si>
    <t>Military/Pensioners ID</t>
  </si>
  <si>
    <t>Employee's ID/Office ID</t>
  </si>
  <si>
    <t>Driver's License</t>
  </si>
  <si>
    <t>Signature over Printed Name</t>
  </si>
  <si>
    <t xml:space="preserve">ID No: </t>
  </si>
  <si>
    <t xml:space="preserve">Expiration Date: </t>
  </si>
  <si>
    <t>LEFT THUMBMARK</t>
  </si>
  <si>
    <t>RIGHT THUMBMARK</t>
  </si>
  <si>
    <t>ACKNOWLEDGEMENT</t>
  </si>
  <si>
    <t>REPUBLIC OF THE PHILIPPINES</t>
  </si>
  <si>
    <t>(20-E, 2nd Camarilla St., Cor. 15th Ave.,BRGY San Roque, Murphy Cubao, Quezon City)  S.S</t>
  </si>
  <si>
    <t xml:space="preserve">     BEFORE ME, a Notary Public for and in Cubao, Quezon City this _______ day of _______________, 20_____, personally appeared __________________</t>
  </si>
  <si>
    <t>__________, who presented to me the Identification Cards mentioned above, known to me to  be  the  same  person  who  executed  the forgoing application for loan and promissory note and acknowledged that the same as his/her true act and deed and took oath  that  the  statement  herein are true and correct and that the application is made for the purpose under consideration.</t>
  </si>
  <si>
    <t>WITNESS MY HAND AND NOTARIAL SEAL, on the date, year and palce first above written.</t>
  </si>
  <si>
    <t>Doc No.</t>
  </si>
  <si>
    <t>Page No.</t>
  </si>
  <si>
    <t>Book No.</t>
  </si>
  <si>
    <t>Series of.</t>
  </si>
  <si>
    <t>AUTHORITY TO DEDUCT</t>
  </si>
  <si>
    <t>In connection with my loan described above, I  hereby  authorize  the  Finance/ Agent/ Disburing  Officer  of  the  AFP  Finance  Center,  subdivision  or</t>
  </si>
  <si>
    <t>instrumentality of the Government or any other office to which I may subsequently be detailed, assigned or appointed to deduct and /or withhold from my</t>
  </si>
  <si>
    <r>
      <t xml:space="preserve">monthly payment of </t>
    </r>
    <r>
      <rPr>
        <b/>
        <sz val="13"/>
        <color rgb="FF000000"/>
        <rFont val="Calibri"/>
        <family val="2"/>
        <scheme val="minor"/>
      </rPr>
      <t>Php</t>
    </r>
  </si>
  <si>
    <t>, for the period of</t>
  </si>
  <si>
    <r>
      <t xml:space="preserve">months with the total amount of </t>
    </r>
    <r>
      <rPr>
        <b/>
        <sz val="12"/>
        <color theme="1"/>
        <rFont val="Calibri"/>
        <family val="2"/>
        <scheme val="minor"/>
      </rPr>
      <t>Php</t>
    </r>
  </si>
  <si>
    <t>has been fully paid.</t>
  </si>
  <si>
    <t>Likewise, I hereby authorize the above-mentioned official to deduct and/or withhold part of my pension, commutation, salary or any amount due me</t>
  </si>
  <si>
    <t xml:space="preserve">and my heirs for the payment of said loan together with the surcharges interest, if any, until the same have been paid in fully. </t>
  </si>
  <si>
    <t>(Signature of Borrower Over Printed Name)</t>
  </si>
  <si>
    <t>THIS IS TO CERTIFY that the applicant is under my paying jurisdiction and the amount stated above can be sufficiently deducted from monthly pay.</t>
  </si>
  <si>
    <t>I guarantee to deduct the amount as stipulated above and to remit the same to the Treasurer, PEOPLE'S MULTI-PURPOSE COOPERATIVE (PMCP) as soon</t>
  </si>
  <si>
    <t>as possible.</t>
  </si>
  <si>
    <t xml:space="preserve">(Signature of Finance/Agent/Disbursing Officer over Printed Name) </t>
  </si>
  <si>
    <t>FOR VALUE RECEIVED,  the undersigned  promise  to  pay  the  People's Multi-Purpose Cooperative (PMPC)  the sum of Php</t>
  </si>
  <si>
    <t>in</t>
  </si>
  <si>
    <t xml:space="preserve"> equal monthly installments amounting to Php</t>
  </si>
  <si>
    <r>
      <t>each, to be paid on the</t>
    </r>
    <r>
      <rPr>
        <b/>
        <sz val="14"/>
        <rFont val="Calibri"/>
        <family val="2"/>
        <scheme val="minor"/>
      </rPr>
      <t xml:space="preserve"> 28th</t>
    </r>
    <r>
      <rPr>
        <sz val="14"/>
        <rFont val="Calibri"/>
        <family val="2"/>
        <scheme val="minor"/>
      </rPr>
      <t xml:space="preserve"> day of every month starting on </t>
    </r>
  </si>
  <si>
    <t>PAMELA CHERRY A REYES</t>
  </si>
  <si>
    <t>ALEXANDER A FERIA JR</t>
  </si>
  <si>
    <r>
      <t xml:space="preserve">at the rate of </t>
    </r>
    <r>
      <rPr>
        <b/>
        <sz val="14"/>
        <rFont val="Calibri"/>
        <family val="2"/>
        <scheme val="minor"/>
      </rPr>
      <t>2% per month</t>
    </r>
    <r>
      <rPr>
        <sz val="14"/>
        <rFont val="Calibri"/>
        <family val="2"/>
        <scheme val="minor"/>
      </rPr>
      <t xml:space="preserve"> as penatly thereof.</t>
    </r>
  </si>
  <si>
    <r>
      <t>/ Single Payment of</t>
    </r>
    <r>
      <rPr>
        <u/>
        <sz val="14"/>
        <rFont val="Calibri"/>
        <family val="2"/>
        <scheme val="minor"/>
      </rPr>
      <t xml:space="preserve">                                </t>
    </r>
    <r>
      <rPr>
        <sz val="14"/>
        <rFont val="Calibri"/>
        <family val="2"/>
        <scheme val="minor"/>
      </rPr>
      <t xml:space="preserve"> due on</t>
    </r>
    <r>
      <rPr>
        <u/>
        <sz val="14"/>
        <rFont val="Calibri"/>
        <family val="2"/>
        <scheme val="minor"/>
      </rPr>
      <t xml:space="preserve">                                    </t>
    </r>
    <r>
      <rPr>
        <sz val="14"/>
        <rFont val="Calibri"/>
        <family val="2"/>
        <scheme val="minor"/>
      </rPr>
      <t xml:space="preserve"> unpaid installments from maturity will bear charges on unpaid  principal </t>
    </r>
  </si>
  <si>
    <t>APPROVED</t>
  </si>
  <si>
    <t>AFP  LOAN TABLE - BUY OUT</t>
  </si>
  <si>
    <t>LV- 004-BO</t>
  </si>
  <si>
    <t>O-121408</t>
  </si>
  <si>
    <t>COL</t>
  </si>
  <si>
    <t>PA</t>
  </si>
  <si>
    <t>SEVERO B. SINENSE</t>
  </si>
  <si>
    <t>PAMELA CHERRY A. REYES</t>
  </si>
  <si>
    <t>ALEXANDER A. FERIA JR.</t>
  </si>
  <si>
    <t>COL.ALEXANDER L. FERIA (RET) CPA MNSA</t>
  </si>
  <si>
    <t>SINENSE</t>
  </si>
  <si>
    <t>SEVERO</t>
  </si>
  <si>
    <t>BATOBATO</t>
  </si>
  <si>
    <t>P7 CABUGAO, ECHAGUE ISABELA</t>
  </si>
  <si>
    <t>sinense LB</t>
  </si>
  <si>
    <t>P7 CABUGAO, ECHAGUE, ISABELA</t>
  </si>
  <si>
    <t/>
  </si>
  <si>
    <t>OCTOBER 10 1954</t>
  </si>
  <si>
    <t>severo1954.55@gmail.com</t>
  </si>
  <si>
    <t>ZYRENE MAE T. DAMASO</t>
  </si>
  <si>
    <t>PUROK 3 ,DAET, CAMARINEZ NORTE</t>
  </si>
  <si>
    <t>734219</t>
  </si>
  <si>
    <t>MARIA CRISELDA G. MACAPILI</t>
  </si>
  <si>
    <t>ALEXANDER A. FERIA JR</t>
  </si>
  <si>
    <t>LV-052</t>
  </si>
  <si>
    <t>MACAPILI</t>
  </si>
  <si>
    <t>MARIA CRISELDA</t>
  </si>
  <si>
    <t>GINAGA</t>
  </si>
  <si>
    <t>BENEFICIARY - W</t>
  </si>
  <si>
    <t>6</t>
  </si>
  <si>
    <t>7</t>
  </si>
  <si>
    <t>1</t>
  </si>
  <si>
    <t>2</t>
  </si>
  <si>
    <t xml:space="preserve"> </t>
  </si>
  <si>
    <t>ALBERTO B MAGISTRADO</t>
  </si>
  <si>
    <t>665147</t>
  </si>
  <si>
    <t xml:space="preserve">BLK 7 LOT 11 PHASE 2 REGINA VILLE 2000 BRGY INCENCIO TRECE MARTIRES CITY CAVITE </t>
  </si>
  <si>
    <t>LV- 005-BO</t>
  </si>
  <si>
    <t>MAGISTRADO</t>
  </si>
  <si>
    <t>ALBERTO</t>
  </si>
  <si>
    <t>BENJAMIN</t>
  </si>
  <si>
    <t>MSGT</t>
  </si>
  <si>
    <t>PN</t>
  </si>
  <si>
    <t>DECEMBER 25 1956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</si>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</sst>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_-;\-* #,##0_-;_-* &quot;-&quot;??_-;_-@_-"/>
    <numFmt numFmtId="166" formatCode="[$-3409]dd\-mmm\-yy;@"/>
    <numFmt numFmtId="167" formatCode="dd/mm/yyyy;@"/>
    <numFmt numFmtId="168" formatCode="0.0000%"/>
    <numFmt numFmtId="169" formatCode="0.0%"/>
    <numFmt numFmtId="170" formatCode="_-* #,##0.000000_-;\-* #,##0.000000_-;_-* &quot;-&quot;??_-;_-@_-"/>
    <numFmt numFmtId="171" formatCode="_-* #,##0.0000_-;\-* #,##0.0000_-;_-* &quot;-&quot;??_-;_-@_-"/>
    <numFmt numFmtId="172" formatCode="&quot;₱&quot;#,##0.00"/>
  </numFmts>
  <fonts count="4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b/>
      <sz val="11"/>
      <color rgb="FFFF0000"/>
      <name val="Calibri"/>
      <family val="2"/>
      <scheme val="minor"/>
    </font>
    <font>
      <sz val="16"/>
      <color rgb="FFFF0000"/>
      <name val="Calibri"/>
      <family val="2"/>
      <scheme val="minor"/>
    </font>
    <font>
      <sz val="11"/>
      <color rgb="FFFF0000"/>
      <name val="Calibri"/>
      <family val="2"/>
      <scheme val="minor"/>
    </font>
    <font>
      <sz val="11"/>
      <color theme="1"/>
      <name val="Arial"/>
      <family val="2"/>
    </font>
    <font>
      <sz val="11"/>
      <color theme="1"/>
      <name val="Bahnschrift Light Condensed"/>
      <family val="2"/>
    </font>
    <font>
      <b/>
      <sz val="18"/>
      <color theme="1"/>
      <name val="MS Gothic"/>
      <family val="3"/>
    </font>
    <font>
      <sz val="10"/>
      <color theme="1"/>
      <name val="Arial"/>
      <family val="2"/>
    </font>
    <font>
      <b/>
      <sz val="14"/>
      <color theme="0"/>
      <name val="Arial"/>
      <family val="2"/>
    </font>
    <font>
      <b/>
      <sz val="12"/>
      <color theme="1"/>
      <name val="Arial"/>
      <family val="2"/>
    </font>
    <font>
      <sz val="12"/>
      <color theme="1"/>
      <name val="Arial"/>
      <family val="2"/>
    </font>
    <font>
      <sz val="12"/>
      <color theme="1"/>
      <name val="Bahnschrift Light Condensed"/>
      <family val="2"/>
    </font>
    <font>
      <sz val="11"/>
      <color theme="0"/>
      <name val="Arial"/>
      <family val="2"/>
    </font>
    <font>
      <sz val="12"/>
      <color theme="1"/>
      <name val="MS Gothic"/>
      <family val="3"/>
    </font>
    <font>
      <b/>
      <sz val="16"/>
      <color theme="1"/>
      <name val="Calibri"/>
      <family val="2"/>
      <scheme val="minor"/>
    </font>
    <font>
      <b/>
      <sz val="11"/>
      <color theme="0"/>
      <name val="Calibri"/>
      <family val="2"/>
      <scheme val="minor"/>
    </font>
    <font>
      <b/>
      <sz val="11"/>
      <color theme="1"/>
      <name val="Century Gothic"/>
      <family val="2"/>
    </font>
    <font>
      <sz val="11"/>
      <color theme="1"/>
      <name val="Century Gothic"/>
      <family val="2"/>
    </font>
    <font>
      <sz val="11"/>
      <color theme="1"/>
      <name val="Calibri"/>
      <family val="2"/>
      <scheme val="minor"/>
    </font>
    <font>
      <b/>
      <sz val="11"/>
      <color theme="1"/>
      <name val="Calibri"/>
      <family val="2"/>
      <scheme val="minor"/>
    </font>
    <font>
      <sz val="12"/>
      <color theme="1"/>
      <name val="Arial"/>
      <family val="2"/>
    </font>
    <font>
      <b/>
      <sz val="14"/>
      <color theme="1"/>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sz val="13"/>
      <color theme="1"/>
      <name val="Calibri"/>
      <family val="2"/>
      <scheme val="minor"/>
    </font>
    <font>
      <sz val="14"/>
      <name val="Calibri"/>
      <family val="2"/>
      <scheme val="minor"/>
    </font>
    <font>
      <b/>
      <sz val="14"/>
      <name val="Calibri"/>
      <family val="2"/>
      <scheme val="minor"/>
    </font>
    <font>
      <sz val="12"/>
      <color theme="1"/>
      <name val="Calibri"/>
      <family val="2"/>
    </font>
    <font>
      <sz val="14"/>
      <color theme="0"/>
      <name val="Calibri"/>
      <family val="2"/>
      <scheme val="minor"/>
    </font>
    <font>
      <sz val="13"/>
      <color rgb="FF000000"/>
      <name val="Calibri"/>
      <family val="2"/>
      <scheme val="minor"/>
    </font>
    <font>
      <sz val="12"/>
      <color rgb="FF000000"/>
      <name val="Calibri"/>
      <family val="2"/>
      <scheme val="minor"/>
    </font>
    <font>
      <b/>
      <sz val="12"/>
      <color theme="0"/>
      <name val="Calibri"/>
      <family val="2"/>
      <scheme val="minor"/>
    </font>
    <font>
      <sz val="12"/>
      <color theme="0"/>
      <name val="Calibri"/>
      <family val="2"/>
      <scheme val="minor"/>
    </font>
    <font>
      <b/>
      <sz val="13"/>
      <color rgb="FF000000"/>
      <name val="Calibri"/>
      <family val="2"/>
      <scheme val="minor"/>
    </font>
    <font>
      <u/>
      <sz val="14"/>
      <name val="Calibri"/>
      <family val="2"/>
      <scheme val="minor"/>
    </font>
    <font>
      <b/>
      <sz val="12"/>
      <name val="Arial"/>
      <family val="2"/>
    </font>
    <font>
      <b/>
      <sz val="11"/>
      <name val="Arial"/>
      <family val="2"/>
    </font>
    <font>
      <b/>
      <i/>
      <sz val="12"/>
      <color theme="1"/>
      <name val="Calibri"/>
      <family val="2"/>
      <scheme val="minor"/>
    </font>
    <font>
      <u/>
      <sz val="11"/>
      <color theme="10"/>
      <name val="Calibri"/>
      <charset val="134"/>
      <scheme val="minor"/>
    </font>
  </fonts>
  <fills count="8">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9" tint="0.39991454817346722"/>
        <bgColor indexed="64"/>
      </patternFill>
    </fill>
    <fill>
      <patternFill patternType="solid">
        <fgColor theme="9" tint="0.39994506668294322"/>
        <bgColor indexed="64"/>
      </patternFill>
    </fill>
    <fill>
      <patternFill patternType="solid">
        <fgColor theme="1"/>
        <bgColor indexed="64"/>
      </patternFill>
    </fill>
    <fill>
      <patternFill patternType="solid">
        <fgColor theme="0" tint="-0.499984740745262"/>
        <bgColor indexed="64"/>
      </patternFill>
    </fill>
  </fills>
  <borders count="3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top/>
      <bottom style="thin">
        <color auto="1"/>
      </bottom>
      <diagonal/>
    </border>
    <border>
      <left/>
      <right style="medium">
        <color auto="1"/>
      </right>
      <top/>
      <bottom/>
      <diagonal/>
    </border>
    <border>
      <left/>
      <right/>
      <top/>
      <bottom style="double">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s>
  <cellStyleXfs count="4">
    <xf numFmtId="0" fontId="0" fillId="0" borderId="0"/>
    <xf numFmtId="164" fontId="26" fillId="0" borderId="0" applyFont="0" applyFill="0" applyBorder="0" applyAlignment="0" applyProtection="0"/>
    <xf numFmtId="9" fontId="26" fillId="0" borderId="0" applyFont="0" applyFill="0" applyBorder="0" applyAlignment="0" applyProtection="0"/>
    <xf numFmtId="0" fontId="47" fillId="0" borderId="0" applyNumberFormat="0" applyFill="0" applyBorder="0" applyAlignment="0" applyProtection="0"/>
  </cellStyleXfs>
  <cellXfs count="393">
    <xf numFmtId="0" fontId="0" fillId="0" borderId="0" xfId="0"/>
    <xf numFmtId="164" fontId="0" fillId="0" borderId="0" xfId="0" applyNumberFormat="1"/>
    <xf numFmtId="0" fontId="0" fillId="0" borderId="1" xfId="0" applyBorder="1"/>
    <xf numFmtId="0" fontId="0" fillId="2" borderId="0" xfId="0" applyFill="1" applyAlignment="1">
      <alignment horizontal="center"/>
    </xf>
    <xf numFmtId="164" fontId="0" fillId="0" borderId="0" xfId="1" applyFont="1"/>
    <xf numFmtId="0" fontId="8" fillId="2" borderId="0" xfId="0" applyFont="1" applyFill="1"/>
    <xf numFmtId="164" fontId="0" fillId="0" borderId="2" xfId="1" applyFont="1" applyBorder="1"/>
    <xf numFmtId="10" fontId="0" fillId="0" borderId="0" xfId="2" applyNumberFormat="1" applyFont="1"/>
    <xf numFmtId="164" fontId="9" fillId="0" borderId="0" xfId="2" applyNumberFormat="1" applyFont="1" applyFill="1"/>
    <xf numFmtId="164" fontId="0" fillId="2" borderId="0" xfId="0" applyNumberFormat="1" applyFill="1"/>
    <xf numFmtId="10" fontId="0" fillId="0" borderId="0" xfId="2" applyNumberFormat="1" applyFont="1" applyFill="1"/>
    <xf numFmtId="164" fontId="0" fillId="0" borderId="0" xfId="1" applyFont="1" applyFill="1"/>
    <xf numFmtId="0" fontId="0" fillId="0" borderId="9" xfId="0" applyBorder="1"/>
    <xf numFmtId="0" fontId="0" fillId="0" borderId="2" xfId="0" applyBorder="1"/>
    <xf numFmtId="0" fontId="0" fillId="0" borderId="11" xfId="0" applyBorder="1"/>
    <xf numFmtId="0" fontId="0" fillId="0" borderId="12" xfId="0" applyBorder="1"/>
    <xf numFmtId="0" fontId="0" fillId="0" borderId="13" xfId="0" applyBorder="1"/>
    <xf numFmtId="14" fontId="0" fillId="0" borderId="2" xfId="0" applyNumberFormat="1" applyBorder="1"/>
    <xf numFmtId="164" fontId="0" fillId="0" borderId="12" xfId="0" applyNumberFormat="1" applyBorder="1"/>
    <xf numFmtId="14" fontId="0" fillId="0" borderId="1" xfId="0" applyNumberFormat="1" applyBorder="1"/>
    <xf numFmtId="165" fontId="0" fillId="0" borderId="12" xfId="0" applyNumberFormat="1" applyBorder="1"/>
    <xf numFmtId="14" fontId="0" fillId="0" borderId="0" xfId="0" applyNumberFormat="1"/>
    <xf numFmtId="14" fontId="0" fillId="0" borderId="9" xfId="0" applyNumberFormat="1" applyBorder="1" applyAlignment="1">
      <alignment horizontal="right" vertical="center"/>
    </xf>
    <xf numFmtId="0" fontId="11" fillId="0" borderId="1" xfId="0" applyFont="1" applyBorder="1"/>
    <xf numFmtId="0" fontId="9" fillId="0" borderId="0" xfId="0" applyFont="1"/>
    <xf numFmtId="164" fontId="0" fillId="0" borderId="0" xfId="1" applyFont="1" applyBorder="1" applyProtection="1"/>
    <xf numFmtId="164" fontId="0" fillId="0" borderId="0" xfId="1" applyFont="1" applyFill="1" applyBorder="1" applyProtection="1"/>
    <xf numFmtId="10" fontId="0" fillId="0" borderId="0" xfId="2" applyNumberFormat="1" applyFont="1" applyFill="1" applyBorder="1" applyProtection="1"/>
    <xf numFmtId="10" fontId="0" fillId="0" borderId="0" xfId="2" applyNumberFormat="1" applyFont="1" applyFill="1" applyBorder="1"/>
    <xf numFmtId="0" fontId="12" fillId="0" borderId="14" xfId="0" applyFont="1" applyBorder="1"/>
    <xf numFmtId="0" fontId="12" fillId="0" borderId="15" xfId="0" applyFont="1" applyBorder="1"/>
    <xf numFmtId="0" fontId="13" fillId="0" borderId="15" xfId="0" applyFont="1" applyBorder="1"/>
    <xf numFmtId="0" fontId="12" fillId="0" borderId="13" xfId="0" applyFont="1" applyBorder="1"/>
    <xf numFmtId="0" fontId="12" fillId="0" borderId="0" xfId="0" applyFont="1"/>
    <xf numFmtId="0" fontId="13" fillId="0" borderId="0" xfId="0" applyFont="1"/>
    <xf numFmtId="0" fontId="17" fillId="0" borderId="13" xfId="0" applyFont="1" applyBorder="1"/>
    <xf numFmtId="0" fontId="18" fillId="0" borderId="0" xfId="0" applyFont="1"/>
    <xf numFmtId="0" fontId="18" fillId="0" borderId="17" xfId="0" applyFont="1" applyBorder="1"/>
    <xf numFmtId="0" fontId="17" fillId="0" borderId="0" xfId="0" applyFont="1"/>
    <xf numFmtId="0" fontId="18" fillId="0" borderId="13" xfId="0" applyFont="1" applyBorder="1"/>
    <xf numFmtId="0" fontId="12" fillId="0" borderId="18" xfId="0" applyFont="1" applyBorder="1"/>
    <xf numFmtId="0" fontId="13" fillId="0" borderId="18" xfId="0" applyFont="1" applyBorder="1"/>
    <xf numFmtId="0" fontId="12" fillId="0" borderId="19" xfId="0" applyFont="1" applyBorder="1" applyAlignment="1">
      <alignment vertical="center"/>
    </xf>
    <xf numFmtId="0" fontId="12" fillId="0" borderId="20" xfId="0" applyFont="1" applyBorder="1"/>
    <xf numFmtId="0" fontId="12" fillId="0" borderId="21" xfId="0" applyFont="1" applyBorder="1"/>
    <xf numFmtId="0" fontId="13" fillId="0" borderId="21" xfId="0" applyFont="1" applyBorder="1"/>
    <xf numFmtId="0" fontId="12" fillId="0" borderId="22" xfId="0" applyFont="1" applyBorder="1"/>
    <xf numFmtId="0" fontId="12" fillId="0" borderId="17" xfId="0" applyFont="1" applyBorder="1"/>
    <xf numFmtId="0" fontId="17" fillId="0" borderId="17" xfId="0" applyFont="1" applyBorder="1"/>
    <xf numFmtId="0" fontId="12" fillId="0" borderId="23" xfId="0" applyFont="1" applyBorder="1"/>
    <xf numFmtId="167" fontId="0" fillId="0" borderId="1" xfId="0" applyNumberFormat="1" applyBorder="1"/>
    <xf numFmtId="0" fontId="0" fillId="2" borderId="0" xfId="0" applyFill="1"/>
    <xf numFmtId="0" fontId="0" fillId="4" borderId="0" xfId="0" applyFill="1"/>
    <xf numFmtId="0" fontId="22" fillId="0" borderId="0" xfId="0" applyFont="1"/>
    <xf numFmtId="164" fontId="0" fillId="2" borderId="0" xfId="1" applyFont="1" applyFill="1"/>
    <xf numFmtId="168" fontId="0" fillId="4" borderId="0" xfId="1" applyNumberFormat="1" applyFont="1" applyFill="1"/>
    <xf numFmtId="169" fontId="0" fillId="0" borderId="1" xfId="2" applyNumberFormat="1" applyFont="1" applyBorder="1"/>
    <xf numFmtId="165" fontId="0" fillId="0" borderId="0" xfId="1" applyNumberFormat="1" applyFont="1"/>
    <xf numFmtId="10" fontId="0" fillId="2" borderId="0" xfId="2" applyNumberFormat="1" applyFont="1" applyFill="1"/>
    <xf numFmtId="10" fontId="0" fillId="0" borderId="0" xfId="1" applyNumberFormat="1" applyFont="1"/>
    <xf numFmtId="170" fontId="0" fillId="0" borderId="0" xfId="1" applyNumberFormat="1" applyFont="1"/>
    <xf numFmtId="171" fontId="0" fillId="0" borderId="0" xfId="1" applyNumberFormat="1" applyFont="1"/>
    <xf numFmtId="0" fontId="0" fillId="5" borderId="0" xfId="0" applyFill="1"/>
    <xf numFmtId="168" fontId="0" fillId="5" borderId="0" xfId="1" applyNumberFormat="1" applyFont="1" applyFill="1"/>
    <xf numFmtId="164" fontId="0" fillId="0" borderId="0" xfId="1" applyFont="1" applyFill="1" applyBorder="1"/>
    <xf numFmtId="168" fontId="0" fillId="0" borderId="0" xfId="1" applyNumberFormat="1" applyFont="1" applyFill="1" applyBorder="1"/>
    <xf numFmtId="169" fontId="0" fillId="0" borderId="10" xfId="2" applyNumberFormat="1" applyFont="1" applyBorder="1"/>
    <xf numFmtId="169" fontId="0" fillId="0" borderId="0" xfId="2" applyNumberFormat="1" applyFont="1" applyFill="1" applyBorder="1"/>
    <xf numFmtId="165" fontId="0" fillId="0" borderId="0" xfId="1" applyNumberFormat="1" applyFont="1" applyFill="1" applyBorder="1"/>
    <xf numFmtId="10" fontId="0" fillId="0" borderId="0" xfId="1" applyNumberFormat="1" applyFont="1" applyFill="1" applyBorder="1"/>
    <xf numFmtId="170" fontId="0" fillId="0" borderId="0" xfId="1" applyNumberFormat="1" applyFont="1" applyFill="1" applyBorder="1"/>
    <xf numFmtId="171" fontId="0" fillId="0" borderId="0" xfId="1" applyNumberFormat="1" applyFont="1" applyFill="1" applyBorder="1"/>
    <xf numFmtId="0" fontId="0" fillId="0" borderId="0" xfId="0" applyAlignment="1">
      <alignment vertical="center"/>
    </xf>
    <xf numFmtId="168" fontId="0" fillId="0" borderId="0" xfId="1" applyNumberFormat="1" applyFont="1" applyFill="1"/>
    <xf numFmtId="165" fontId="0" fillId="0" borderId="0" xfId="1" applyNumberFormat="1" applyFont="1" applyFill="1"/>
    <xf numFmtId="10" fontId="0" fillId="0" borderId="0" xfId="1" applyNumberFormat="1" applyFont="1" applyFill="1"/>
    <xf numFmtId="170" fontId="0" fillId="0" borderId="0" xfId="1" applyNumberFormat="1" applyFont="1" applyFill="1"/>
    <xf numFmtId="171" fontId="0" fillId="0" borderId="0" xfId="1" applyNumberFormat="1" applyFont="1" applyFill="1"/>
    <xf numFmtId="164" fontId="0" fillId="0" borderId="0" xfId="1" applyFont="1" applyFill="1" applyAlignment="1">
      <alignment vertical="center"/>
    </xf>
    <xf numFmtId="0" fontId="24" fillId="0" borderId="0" xfId="0" applyFont="1" applyAlignment="1">
      <alignment horizontal="center" wrapText="1"/>
    </xf>
    <xf numFmtId="4" fontId="25" fillId="0" borderId="9" xfId="0" applyNumberFormat="1" applyFont="1" applyBorder="1"/>
    <xf numFmtId="164" fontId="25" fillId="0" borderId="1" xfId="1" applyFont="1" applyBorder="1"/>
    <xf numFmtId="4" fontId="25" fillId="0" borderId="1" xfId="0" applyNumberFormat="1" applyFont="1" applyBorder="1"/>
    <xf numFmtId="4" fontId="25" fillId="0" borderId="12" xfId="0" applyNumberFormat="1" applyFont="1" applyBorder="1"/>
    <xf numFmtId="4" fontId="25" fillId="0" borderId="0" xfId="0" applyNumberFormat="1" applyFont="1"/>
    <xf numFmtId="4" fontId="25" fillId="0" borderId="25" xfId="0" applyNumberFormat="1" applyFont="1" applyBorder="1"/>
    <xf numFmtId="164" fontId="25" fillId="0" borderId="24" xfId="1" applyFont="1" applyBorder="1"/>
    <xf numFmtId="4" fontId="25" fillId="0" borderId="24" xfId="0" applyNumberFormat="1" applyFont="1" applyBorder="1"/>
    <xf numFmtId="4" fontId="25" fillId="0" borderId="26" xfId="0" applyNumberFormat="1" applyFont="1" applyBorder="1"/>
    <xf numFmtId="4" fontId="0" fillId="0" borderId="0" xfId="0" applyNumberFormat="1"/>
    <xf numFmtId="0" fontId="0" fillId="2" borderId="1" xfId="0" applyFill="1" applyBorder="1"/>
    <xf numFmtId="0" fontId="0" fillId="0" borderId="1" xfId="0" applyBorder="1" applyAlignment="1">
      <alignment horizontal="center"/>
    </xf>
    <xf numFmtId="164" fontId="0" fillId="0" borderId="1" xfId="0" applyNumberFormat="1" applyBorder="1"/>
    <xf numFmtId="164" fontId="0" fillId="2" borderId="1" xfId="1" applyFont="1" applyFill="1" applyBorder="1"/>
    <xf numFmtId="164" fontId="0" fillId="0" borderId="1" xfId="1" applyFont="1" applyBorder="1"/>
    <xf numFmtId="10" fontId="0" fillId="0" borderId="1" xfId="2" applyNumberFormat="1" applyFont="1" applyBorder="1"/>
    <xf numFmtId="164" fontId="0" fillId="0" borderId="1" xfId="1" applyFont="1" applyFill="1" applyBorder="1"/>
    <xf numFmtId="165" fontId="21" fillId="0" borderId="16" xfId="1" applyNumberFormat="1" applyFont="1" applyBorder="1" applyAlignment="1">
      <alignment vertical="center"/>
    </xf>
    <xf numFmtId="10" fontId="0" fillId="0" borderId="0" xfId="0" applyNumberFormat="1"/>
    <xf numFmtId="0" fontId="13" fillId="0" borderId="0" xfId="0" applyFont="1" applyAlignment="1">
      <alignment vertical="center"/>
    </xf>
    <xf numFmtId="0" fontId="12" fillId="0" borderId="0" xfId="0" applyFont="1" applyAlignment="1">
      <alignment vertical="center"/>
    </xf>
    <xf numFmtId="0" fontId="17" fillId="0" borderId="0" xfId="0" applyFont="1" applyAlignment="1">
      <alignment vertical="center"/>
    </xf>
    <xf numFmtId="49" fontId="12" fillId="0" borderId="0" xfId="0" applyNumberFormat="1" applyFont="1" applyAlignment="1">
      <alignment horizontal="right" vertical="center"/>
    </xf>
    <xf numFmtId="0" fontId="12" fillId="0" borderId="0" xfId="0" applyFont="1" applyAlignment="1">
      <alignment horizontal="right" vertical="center"/>
    </xf>
    <xf numFmtId="0" fontId="18" fillId="0" borderId="0" xfId="0" applyFont="1" applyAlignment="1">
      <alignment vertical="center"/>
    </xf>
    <xf numFmtId="0" fontId="18" fillId="0" borderId="0" xfId="0" applyFont="1" applyAlignment="1">
      <alignment horizontal="right" vertical="center"/>
    </xf>
    <xf numFmtId="0" fontId="19" fillId="0" borderId="0" xfId="0" applyFont="1" applyAlignment="1">
      <alignment vertical="center"/>
    </xf>
    <xf numFmtId="0" fontId="0" fillId="0" borderId="17" xfId="0" applyBorder="1"/>
    <xf numFmtId="0" fontId="20" fillId="3" borderId="0" xfId="0" applyFont="1" applyFill="1" applyAlignment="1">
      <alignment horizontal="center" vertical="center"/>
    </xf>
    <xf numFmtId="0" fontId="28" fillId="0" borderId="0" xfId="0" applyFont="1" applyAlignment="1">
      <alignment vertical="center"/>
    </xf>
    <xf numFmtId="0" fontId="7" fillId="0" borderId="1" xfId="0" applyFont="1" applyBorder="1"/>
    <xf numFmtId="0" fontId="6" fillId="0" borderId="0" xfId="0" applyFont="1"/>
    <xf numFmtId="0" fontId="31" fillId="0" borderId="10" xfId="1" applyNumberFormat="1" applyFont="1" applyBorder="1" applyAlignment="1">
      <alignment vertical="center"/>
    </xf>
    <xf numFmtId="0" fontId="31" fillId="0" borderId="2" xfId="1" applyNumberFormat="1" applyFont="1" applyBorder="1" applyAlignment="1">
      <alignment vertical="center"/>
    </xf>
    <xf numFmtId="0" fontId="31" fillId="0" borderId="11" xfId="1" applyNumberFormat="1" applyFont="1" applyBorder="1" applyAlignment="1">
      <alignment vertical="center"/>
    </xf>
    <xf numFmtId="0" fontId="31" fillId="0" borderId="0" xfId="0" applyFont="1"/>
    <xf numFmtId="164" fontId="31" fillId="0" borderId="0" xfId="1" quotePrefix="1" applyFont="1" applyBorder="1" applyAlignment="1">
      <alignment vertical="center"/>
    </xf>
    <xf numFmtId="164" fontId="31" fillId="0" borderId="0" xfId="1" applyFont="1" applyBorder="1" applyAlignment="1">
      <alignment vertical="center"/>
    </xf>
    <xf numFmtId="0" fontId="32" fillId="0" borderId="0" xfId="0" applyFont="1"/>
    <xf numFmtId="0" fontId="33" fillId="0" borderId="0" xfId="0" applyFont="1"/>
    <xf numFmtId="0" fontId="33" fillId="0" borderId="0" xfId="0" applyFont="1" applyAlignment="1">
      <alignment vertical="center"/>
    </xf>
    <xf numFmtId="0" fontId="33" fillId="0" borderId="0" xfId="0" applyFont="1" applyAlignment="1">
      <alignment horizontal="left" vertical="center"/>
    </xf>
    <xf numFmtId="0" fontId="32" fillId="0" borderId="0" xfId="0" applyFont="1" applyAlignment="1">
      <alignment vertical="top"/>
    </xf>
    <xf numFmtId="0" fontId="32" fillId="0" borderId="1" xfId="0" applyFont="1" applyBorder="1"/>
    <xf numFmtId="0" fontId="36" fillId="0" borderId="0" xfId="0" applyFont="1"/>
    <xf numFmtId="0" fontId="32" fillId="0" borderId="21" xfId="0" applyFont="1" applyBorder="1"/>
    <xf numFmtId="0" fontId="32" fillId="0" borderId="35" xfId="0" applyFont="1" applyBorder="1"/>
    <xf numFmtId="0" fontId="38" fillId="0" borderId="0" xfId="0" applyFont="1" applyAlignment="1">
      <alignment horizontal="left" vertical="center"/>
    </xf>
    <xf numFmtId="0" fontId="32" fillId="0" borderId="0" xfId="0" applyFont="1" applyAlignment="1">
      <alignment vertical="center"/>
    </xf>
    <xf numFmtId="0" fontId="33" fillId="0" borderId="0" xfId="0" applyFont="1" applyAlignment="1">
      <alignment horizontal="left" vertical="top" wrapText="1"/>
    </xf>
    <xf numFmtId="0" fontId="38" fillId="0" borderId="0" xfId="0" applyFont="1"/>
    <xf numFmtId="0" fontId="39" fillId="0" borderId="0" xfId="0" applyFont="1"/>
    <xf numFmtId="0" fontId="32" fillId="0" borderId="0" xfId="0" applyFont="1" applyAlignment="1">
      <alignment horizontal="center"/>
    </xf>
    <xf numFmtId="0" fontId="40" fillId="0" borderId="0" xfId="0" applyFont="1" applyAlignment="1">
      <alignment horizontal="center"/>
    </xf>
    <xf numFmtId="0" fontId="41" fillId="0" borderId="0" xfId="0" applyFont="1" applyAlignment="1">
      <alignment horizontal="center"/>
    </xf>
    <xf numFmtId="0" fontId="38" fillId="0" borderId="0" xfId="0" applyFont="1" applyAlignment="1">
      <alignment vertical="center"/>
    </xf>
    <xf numFmtId="0" fontId="32" fillId="0" borderId="21" xfId="0" applyFont="1" applyBorder="1" applyAlignment="1">
      <alignment vertical="center"/>
    </xf>
    <xf numFmtId="0" fontId="31" fillId="0" borderId="16" xfId="0" applyFont="1" applyBorder="1" applyAlignment="1">
      <alignment horizontal="center"/>
    </xf>
    <xf numFmtId="0" fontId="34" fillId="0" borderId="0" xfId="0" applyFont="1" applyAlignment="1">
      <alignment vertical="top" wrapText="1"/>
    </xf>
    <xf numFmtId="0" fontId="34" fillId="0" borderId="0" xfId="0" applyFont="1" applyAlignment="1">
      <alignment wrapText="1"/>
    </xf>
    <xf numFmtId="0" fontId="29" fillId="0" borderId="21" xfId="0" applyFont="1" applyBorder="1"/>
    <xf numFmtId="0" fontId="31" fillId="0" borderId="0" xfId="0" applyFont="1" applyAlignment="1">
      <alignment horizontal="left"/>
    </xf>
    <xf numFmtId="0" fontId="31" fillId="0" borderId="0" xfId="0" applyFont="1" applyAlignment="1">
      <alignment horizontal="center"/>
    </xf>
    <xf numFmtId="0" fontId="31" fillId="0" borderId="0" xfId="0" applyFont="1" applyAlignment="1">
      <alignment horizontal="center" vertical="top"/>
    </xf>
    <xf numFmtId="0" fontId="32" fillId="0" borderId="19" xfId="0" applyFont="1" applyBorder="1" applyAlignment="1">
      <alignment vertical="top"/>
    </xf>
    <xf numFmtId="0" fontId="32" fillId="0" borderId="16" xfId="0" applyFont="1" applyBorder="1" applyAlignment="1">
      <alignment vertical="top"/>
    </xf>
    <xf numFmtId="0" fontId="31" fillId="0" borderId="0" xfId="0" applyFont="1" applyAlignment="1">
      <alignment vertical="top"/>
    </xf>
    <xf numFmtId="0" fontId="31" fillId="0" borderId="19" xfId="0" applyFont="1" applyBorder="1" applyAlignment="1">
      <alignment vertical="top"/>
    </xf>
    <xf numFmtId="0" fontId="37" fillId="0" borderId="0" xfId="0" applyFont="1" applyAlignment="1">
      <alignment vertical="center"/>
    </xf>
    <xf numFmtId="0" fontId="29" fillId="0" borderId="0" xfId="0" applyFont="1" applyAlignment="1">
      <alignment vertical="center"/>
    </xf>
    <xf numFmtId="0" fontId="33" fillId="0" borderId="0" xfId="0" applyFont="1" applyAlignment="1">
      <alignment vertical="top" wrapText="1"/>
    </xf>
    <xf numFmtId="0" fontId="32" fillId="0" borderId="0" xfId="0" applyFont="1" applyAlignment="1">
      <alignment horizontal="left"/>
    </xf>
    <xf numFmtId="0" fontId="32" fillId="0" borderId="7" xfId="0" applyFont="1" applyBorder="1"/>
    <xf numFmtId="0" fontId="31" fillId="0" borderId="28" xfId="0" applyFont="1" applyBorder="1" applyAlignment="1">
      <alignment vertical="top"/>
    </xf>
    <xf numFmtId="0" fontId="31" fillId="0" borderId="30" xfId="0" applyFont="1" applyBorder="1" applyAlignment="1">
      <alignment vertical="top"/>
    </xf>
    <xf numFmtId="0" fontId="31" fillId="0" borderId="16" xfId="0" applyFont="1" applyBorder="1" applyAlignment="1">
      <alignment vertical="top"/>
    </xf>
    <xf numFmtId="0" fontId="31" fillId="0" borderId="30" xfId="0" applyFont="1" applyBorder="1" applyAlignment="1">
      <alignment horizontal="left" vertical="center"/>
    </xf>
    <xf numFmtId="0" fontId="31" fillId="0" borderId="30" xfId="0" applyFont="1" applyBorder="1" applyAlignment="1">
      <alignment vertical="center"/>
    </xf>
    <xf numFmtId="0" fontId="31" fillId="0" borderId="10" xfId="0" applyFont="1" applyBorder="1" applyAlignment="1">
      <alignment vertical="center"/>
    </xf>
    <xf numFmtId="0" fontId="31" fillId="0" borderId="2" xfId="0" applyFont="1" applyBorder="1" applyAlignment="1">
      <alignment vertical="top"/>
    </xf>
    <xf numFmtId="0" fontId="31" fillId="0" borderId="28" xfId="0" applyFont="1" applyBorder="1" applyAlignment="1">
      <alignment horizontal="left" vertical="center"/>
    </xf>
    <xf numFmtId="0" fontId="31" fillId="0" borderId="1" xfId="0" applyFont="1" applyBorder="1"/>
    <xf numFmtId="0" fontId="32" fillId="0" borderId="19" xfId="0" applyFont="1" applyBorder="1"/>
    <xf numFmtId="0" fontId="32" fillId="0" borderId="29" xfId="0" applyFont="1" applyBorder="1"/>
    <xf numFmtId="0" fontId="32" fillId="0" borderId="32" xfId="0" applyFont="1" applyBorder="1"/>
    <xf numFmtId="0" fontId="32" fillId="0" borderId="16" xfId="0" applyFont="1" applyBorder="1"/>
    <xf numFmtId="0" fontId="32" fillId="0" borderId="31" xfId="0" applyFont="1" applyBorder="1"/>
    <xf numFmtId="0" fontId="31" fillId="0" borderId="21" xfId="0" applyFont="1" applyBorder="1" applyAlignment="1">
      <alignment vertical="center"/>
    </xf>
    <xf numFmtId="0" fontId="46" fillId="0" borderId="0" xfId="0" applyFont="1" applyAlignment="1">
      <alignment horizontal="center" vertical="top"/>
    </xf>
    <xf numFmtId="0" fontId="31" fillId="0" borderId="0" xfId="0" applyFont="1" applyAlignment="1">
      <alignment vertical="center"/>
    </xf>
    <xf numFmtId="0" fontId="31" fillId="0" borderId="1" xfId="0" applyFont="1" applyBorder="1" applyAlignment="1">
      <alignment horizontal="center" vertical="center"/>
    </xf>
    <xf numFmtId="165" fontId="31" fillId="0" borderId="1" xfId="1" applyNumberFormat="1" applyFont="1" applyBorder="1" applyAlignment="1">
      <alignment horizontal="center" vertical="center"/>
    </xf>
    <xf numFmtId="165" fontId="31" fillId="0" borderId="7" xfId="1" applyNumberFormat="1" applyFont="1" applyBorder="1" applyAlignment="1">
      <alignment horizontal="center" vertical="center"/>
    </xf>
    <xf numFmtId="49" fontId="31" fillId="0" borderId="0" xfId="1" applyNumberFormat="1" applyFont="1" applyAlignment="1">
      <alignment horizontal="center" vertical="center"/>
    </xf>
    <xf numFmtId="0" fontId="31" fillId="0" borderId="0" xfId="0" applyFont="1" applyAlignment="1">
      <alignment horizontal="left" vertical="center"/>
    </xf>
    <xf numFmtId="0" fontId="31" fillId="0" borderId="33" xfId="0" applyFont="1" applyBorder="1" applyAlignment="1">
      <alignment horizontal="center"/>
    </xf>
    <xf numFmtId="0" fontId="31" fillId="0" borderId="34" xfId="0" applyFont="1" applyBorder="1" applyAlignment="1">
      <alignment horizontal="center"/>
    </xf>
    <xf numFmtId="0" fontId="32" fillId="0" borderId="33" xfId="0" applyFont="1" applyBorder="1"/>
    <xf numFmtId="0" fontId="32" fillId="0" borderId="0" xfId="0" applyFont="1" applyAlignment="1">
      <alignment wrapText="1"/>
    </xf>
    <xf numFmtId="0" fontId="32" fillId="0" borderId="34" xfId="0" applyFont="1" applyBorder="1" applyAlignment="1">
      <alignment horizontal="center"/>
    </xf>
    <xf numFmtId="0" fontId="32" fillId="0" borderId="34" xfId="0" applyFont="1" applyBorder="1"/>
    <xf numFmtId="165" fontId="44" fillId="0" borderId="0" xfId="0" applyNumberFormat="1" applyFont="1" applyAlignment="1">
      <alignment wrapText="1"/>
    </xf>
    <xf numFmtId="165" fontId="32" fillId="0" borderId="21" xfId="0" applyNumberFormat="1" applyFont="1" applyBorder="1" applyAlignment="1">
      <alignment vertical="center"/>
    </xf>
    <xf numFmtId="14" fontId="0" fillId="0" borderId="0" xfId="0" applyNumberFormat="1" applyAlignment="1">
      <alignment horizontal="right" vertical="center"/>
    </xf>
    <xf numFmtId="165" fontId="0" fillId="0" borderId="0" xfId="0" applyNumberFormat="1"/>
    <xf numFmtId="165" fontId="0" fillId="0" borderId="0" xfId="1" applyNumberFormat="1" applyFont="1" applyFill="1" applyBorder="1" applyProtection="1"/>
    <xf numFmtId="0" fontId="0" fillId="0" borderId="12" xfId="0" applyBorder="1" applyAlignment="1">
      <alignment horizontal="center"/>
    </xf>
    <xf numFmtId="165" fontId="0" fillId="0" borderId="1" xfId="0" applyNumberFormat="1" applyBorder="1"/>
    <xf numFmtId="165" fontId="0" fillId="0" borderId="1" xfId="1" applyNumberFormat="1" applyFont="1" applyFill="1" applyBorder="1" applyProtection="1"/>
    <xf numFmtId="14" fontId="0" fillId="0" borderId="1" xfId="0" applyNumberFormat="1" applyBorder="1" applyAlignment="1">
      <alignment horizontal="right" vertical="center"/>
    </xf>
    <xf numFmtId="0" fontId="5" fillId="0" borderId="10" xfId="0" applyFont="1" applyBorder="1"/>
    <xf numFmtId="0" fontId="5" fillId="0" borderId="12" xfId="0" applyFont="1" applyBorder="1"/>
    <xf numFmtId="49" fontId="5" fillId="0" borderId="10" xfId="0" applyNumberFormat="1" applyFont="1" applyBorder="1"/>
    <xf numFmtId="14" fontId="5" fillId="0" borderId="11" xfId="0" applyNumberFormat="1" applyFont="1" applyBorder="1"/>
    <xf numFmtId="0" fontId="27" fillId="0" borderId="17" xfId="0" applyFont="1" applyBorder="1"/>
    <xf numFmtId="43" fontId="0" fillId="0" borderId="0" xfId="0" applyNumberFormat="1"/>
    <xf numFmtId="0" fontId="4" fillId="0" borderId="0" xfId="0" applyFont="1"/>
    <xf numFmtId="0" fontId="3" fillId="0" borderId="10" xfId="0" applyFont="1" applyBorder="1"/>
    <xf numFmtId="49" fontId="3" fillId="0" borderId="10" xfId="0" applyNumberFormat="1" applyFont="1" applyBorder="1"/>
    <xf numFmtId="14" fontId="3" fillId="0" borderId="11" xfId="0" applyNumberFormat="1" applyFont="1" applyBorder="1"/>
    <xf numFmtId="0" fontId="3" fillId="0" borderId="12" xfId="0" applyFont="1" applyBorder="1"/>
    <xf numFmtId="164" fontId="0" fillId="0" borderId="1" xfId="1" quotePrefix="1" applyFont="1" applyBorder="1"/>
    <xf numFmtId="14" fontId="2" fillId="0" borderId="11" xfId="0" applyNumberFormat="1" applyFont="1" applyBorder="1"/>
    <xf numFmtId="49" fontId="2" fillId="0" borderId="10" xfId="0" applyNumberFormat="1" applyFont="1" applyBorder="1"/>
    <xf numFmtId="0" fontId="2" fillId="0" borderId="10" xfId="0" applyFont="1" applyBorder="1"/>
    <xf numFmtId="49" fontId="31" fillId="0" borderId="7" xfId="1" applyNumberFormat="1" applyFont="1" applyBorder="1" applyAlignment="1">
      <alignment horizontal="center" vertical="center"/>
    </xf>
    <xf numFmtId="49" fontId="0" fillId="0" borderId="17" xfId="0" applyNumberFormat="1" applyBorder="1"/>
    <xf numFmtId="14" fontId="0" fillId="0" borderId="25" xfId="0" applyNumberFormat="1" applyBorder="1" applyAlignment="1">
      <alignment horizontal="right" vertical="center"/>
    </xf>
    <xf numFmtId="0" fontId="0" fillId="0" borderId="24" xfId="0" applyBorder="1"/>
    <xf numFmtId="164" fontId="0" fillId="0" borderId="24" xfId="0" applyNumberFormat="1" applyBorder="1"/>
    <xf numFmtId="165" fontId="0" fillId="0" borderId="24" xfId="0" applyNumberFormat="1" applyBorder="1"/>
    <xf numFmtId="165" fontId="0" fillId="0" borderId="24" xfId="1" applyNumberFormat="1" applyFont="1" applyFill="1" applyBorder="1" applyProtection="1"/>
    <xf numFmtId="165" fontId="0" fillId="0" borderId="26" xfId="0" applyNumberFormat="1" applyBorder="1"/>
    <xf numFmtId="0" fontId="1" fillId="0" borderId="10" xfId="0" applyFont="1" applyBorder="1"/>
    <xf numFmtId="49" fontId="1" fillId="0" borderId="10" xfId="0" applyNumberFormat="1" applyFont="1" applyBorder="1"/>
    <xf numFmtId="14" fontId="1" fillId="0" borderId="11" xfId="0" applyNumberFormat="1" applyFont="1" applyBorder="1"/>
    <xf numFmtId="0" fontId="1" fillId="0" borderId="12" xfId="0" applyFont="1" applyBorder="1"/>
    <xf numFmtId="49" fontId="31" fillId="0" borderId="1" xfId="1" applyNumberFormat="1" applyFont="1" applyBorder="1" applyAlignment="1">
      <alignment horizontal="center" vertical="center"/>
    </xf>
    <xf numFmtId="0" fontId="0" fillId="0" borderId="10" xfId="0"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24" fillId="0" borderId="0" xfId="0" applyFont="1" applyAlignment="1">
      <alignment horizontal="center" wrapText="1"/>
    </xf>
    <xf numFmtId="0" fontId="22" fillId="0" borderId="0" xfId="0" applyFont="1" applyAlignment="1">
      <alignment horizontal="center" vertical="center" wrapText="1"/>
    </xf>
    <xf numFmtId="0" fontId="23" fillId="6" borderId="0" xfId="0" applyFont="1" applyFill="1" applyAlignment="1">
      <alignment horizontal="center"/>
    </xf>
    <xf numFmtId="4" fontId="25" fillId="7" borderId="15" xfId="0" applyNumberFormat="1" applyFont="1" applyFill="1" applyBorder="1" applyAlignment="1">
      <alignment horizontal="center"/>
    </xf>
    <xf numFmtId="0" fontId="24" fillId="0" borderId="3" xfId="0" applyFont="1" applyBorder="1" applyAlignment="1">
      <alignment horizontal="center"/>
    </xf>
    <xf numFmtId="0" fontId="24" fillId="0" borderId="9" xfId="0" applyFont="1" applyBorder="1" applyAlignment="1">
      <alignment horizontal="center"/>
    </xf>
    <xf numFmtId="0" fontId="24" fillId="0" borderId="4" xfId="0" applyFont="1" applyBorder="1" applyAlignment="1">
      <alignment horizontal="center" wrapText="1"/>
    </xf>
    <xf numFmtId="0" fontId="24" fillId="0" borderId="1" xfId="0" applyFont="1" applyBorder="1" applyAlignment="1">
      <alignment horizontal="center" wrapText="1"/>
    </xf>
    <xf numFmtId="0" fontId="24" fillId="0" borderId="5" xfId="0" applyFont="1" applyBorder="1" applyAlignment="1">
      <alignment horizontal="center" wrapText="1"/>
    </xf>
    <xf numFmtId="0" fontId="24" fillId="0" borderId="12" xfId="0" applyFont="1" applyBorder="1" applyAlignment="1">
      <alignment horizontal="center" wrapText="1"/>
    </xf>
    <xf numFmtId="0" fontId="31" fillId="0" borderId="0" xfId="0" applyFont="1" applyAlignment="1">
      <alignment horizontal="center"/>
    </xf>
    <xf numFmtId="0" fontId="30" fillId="3" borderId="10" xfId="0" applyFont="1" applyFill="1" applyBorder="1" applyAlignment="1">
      <alignment horizontal="center" vertical="center"/>
    </xf>
    <xf numFmtId="0" fontId="30" fillId="3" borderId="2" xfId="0" applyFont="1" applyFill="1" applyBorder="1" applyAlignment="1">
      <alignment horizontal="center" vertical="center"/>
    </xf>
    <xf numFmtId="0" fontId="33" fillId="0" borderId="35" xfId="0" applyFont="1" applyBorder="1" applyAlignment="1">
      <alignment horizontal="left" vertical="center"/>
    </xf>
    <xf numFmtId="164" fontId="31" fillId="0" borderId="21" xfId="1" applyFont="1" applyBorder="1" applyAlignment="1">
      <alignment horizontal="center" vertical="center"/>
    </xf>
    <xf numFmtId="0" fontId="32" fillId="0" borderId="0" xfId="0" applyFont="1" applyAlignment="1">
      <alignment horizontal="left" vertical="center"/>
    </xf>
    <xf numFmtId="4" fontId="29" fillId="0" borderId="0" xfId="0" applyNumberFormat="1" applyFont="1" applyAlignment="1">
      <alignment horizontal="center" vertical="center"/>
    </xf>
    <xf numFmtId="0" fontId="31" fillId="0" borderId="15" xfId="0" applyFont="1" applyBorder="1" applyAlignment="1">
      <alignment horizontal="center" vertical="top"/>
    </xf>
    <xf numFmtId="0" fontId="33" fillId="0" borderId="0" xfId="0" applyFont="1" applyAlignment="1">
      <alignment horizontal="center" vertical="top" wrapText="1"/>
    </xf>
    <xf numFmtId="0" fontId="33" fillId="0" borderId="0" xfId="0" applyFont="1" applyAlignment="1">
      <alignment horizontal="left" vertical="top" wrapText="1"/>
    </xf>
    <xf numFmtId="0" fontId="33" fillId="0" borderId="21" xfId="0" applyFont="1" applyBorder="1" applyAlignment="1">
      <alignment horizontal="left" vertical="center"/>
    </xf>
    <xf numFmtId="0" fontId="34" fillId="0" borderId="0" xfId="0" applyFont="1" applyAlignment="1">
      <alignment horizontal="left" vertical="top" wrapText="1"/>
    </xf>
    <xf numFmtId="0" fontId="32" fillId="0" borderId="3" xfId="0" applyFont="1" applyBorder="1" applyAlignment="1">
      <alignment horizontal="center" vertical="top"/>
    </xf>
    <xf numFmtId="0" fontId="32" fillId="0" borderId="4" xfId="0" applyFont="1" applyBorder="1" applyAlignment="1">
      <alignment horizontal="center" vertical="top"/>
    </xf>
    <xf numFmtId="0" fontId="32" fillId="0" borderId="5" xfId="0" applyFont="1" applyBorder="1" applyAlignment="1">
      <alignment horizontal="center" vertical="top"/>
    </xf>
    <xf numFmtId="0" fontId="32" fillId="0" borderId="9" xfId="0" applyFont="1" applyBorder="1" applyAlignment="1">
      <alignment horizontal="center" vertical="top"/>
    </xf>
    <xf numFmtId="0" fontId="32" fillId="0" borderId="1" xfId="0" applyFont="1" applyBorder="1" applyAlignment="1">
      <alignment horizontal="center" vertical="top"/>
    </xf>
    <xf numFmtId="0" fontId="32" fillId="0" borderId="12" xfId="0" applyFont="1" applyBorder="1" applyAlignment="1">
      <alignment horizontal="center" vertical="top"/>
    </xf>
    <xf numFmtId="0" fontId="32" fillId="0" borderId="25" xfId="0" applyFont="1" applyBorder="1" applyAlignment="1">
      <alignment horizontal="center" vertical="top"/>
    </xf>
    <xf numFmtId="0" fontId="32" fillId="0" borderId="24" xfId="0" applyFont="1" applyBorder="1" applyAlignment="1">
      <alignment horizontal="center" vertical="top"/>
    </xf>
    <xf numFmtId="0" fontId="32" fillId="0" borderId="26" xfId="0" applyFont="1" applyBorder="1" applyAlignment="1">
      <alignment horizontal="center" vertical="top"/>
    </xf>
    <xf numFmtId="0" fontId="32" fillId="0" borderId="14" xfId="0" applyFont="1" applyBorder="1" applyAlignment="1">
      <alignment horizontal="center" vertical="top"/>
    </xf>
    <xf numFmtId="0" fontId="32" fillId="0" borderId="15" xfId="0" applyFont="1" applyBorder="1" applyAlignment="1">
      <alignment horizontal="center" vertical="top"/>
    </xf>
    <xf numFmtId="0" fontId="32" fillId="0" borderId="22" xfId="0" applyFont="1" applyBorder="1" applyAlignment="1">
      <alignment horizontal="center" vertical="top"/>
    </xf>
    <xf numFmtId="0" fontId="32" fillId="0" borderId="13" xfId="0" applyFont="1" applyBorder="1" applyAlignment="1">
      <alignment horizontal="center" vertical="top"/>
    </xf>
    <xf numFmtId="0" fontId="32" fillId="0" borderId="0" xfId="0" applyFont="1" applyAlignment="1">
      <alignment horizontal="center" vertical="top"/>
    </xf>
    <xf numFmtId="0" fontId="32" fillId="0" borderId="17" xfId="0" applyFont="1" applyBorder="1" applyAlignment="1">
      <alignment horizontal="center" vertical="top"/>
    </xf>
    <xf numFmtId="0" fontId="32" fillId="0" borderId="20" xfId="0" applyFont="1" applyBorder="1" applyAlignment="1">
      <alignment horizontal="center" vertical="top"/>
    </xf>
    <xf numFmtId="0" fontId="32" fillId="0" borderId="21" xfId="0" applyFont="1" applyBorder="1" applyAlignment="1">
      <alignment horizontal="center" vertical="top"/>
    </xf>
    <xf numFmtId="0" fontId="32" fillId="0" borderId="23" xfId="0" applyFont="1" applyBorder="1" applyAlignment="1">
      <alignment horizontal="center" vertical="top"/>
    </xf>
    <xf numFmtId="0" fontId="17" fillId="0" borderId="21" xfId="0" applyFont="1" applyBorder="1" applyAlignment="1">
      <alignment horizontal="center"/>
    </xf>
    <xf numFmtId="0" fontId="31" fillId="0" borderId="0" xfId="0" applyFont="1" applyAlignment="1">
      <alignment horizontal="center" vertical="top"/>
    </xf>
    <xf numFmtId="172" fontId="45" fillId="0" borderId="0" xfId="1" applyNumberFormat="1" applyFont="1" applyAlignment="1">
      <alignment horizontal="center" wrapText="1"/>
    </xf>
    <xf numFmtId="164" fontId="45" fillId="0" borderId="0" xfId="1" applyFont="1" applyAlignment="1">
      <alignment horizontal="center" wrapText="1"/>
    </xf>
    <xf numFmtId="0" fontId="34" fillId="0" borderId="0" xfId="0" applyFont="1" applyAlignment="1">
      <alignment horizontal="center" vertical="top" wrapText="1"/>
    </xf>
    <xf numFmtId="17" fontId="44" fillId="0" borderId="0" xfId="0" applyNumberFormat="1" applyFont="1" applyAlignment="1">
      <alignment horizontal="center" wrapText="1"/>
    </xf>
    <xf numFmtId="0" fontId="31" fillId="0" borderId="30" xfId="0" applyFont="1" applyBorder="1" applyAlignment="1">
      <alignment horizontal="center"/>
    </xf>
    <xf numFmtId="0" fontId="31" fillId="0" borderId="16" xfId="0" applyFont="1" applyBorder="1" applyAlignment="1">
      <alignment horizontal="center"/>
    </xf>
    <xf numFmtId="0" fontId="31" fillId="0" borderId="31" xfId="0" applyFont="1" applyBorder="1" applyAlignment="1">
      <alignment horizontal="center"/>
    </xf>
    <xf numFmtId="0" fontId="32" fillId="0" borderId="21" xfId="0" applyFont="1" applyBorder="1" applyAlignment="1">
      <alignment horizontal="center"/>
    </xf>
    <xf numFmtId="172" fontId="34" fillId="0" borderId="0" xfId="0" applyNumberFormat="1" applyFont="1" applyAlignment="1">
      <alignment horizontal="center" vertical="top" wrapText="1"/>
    </xf>
    <xf numFmtId="0" fontId="31" fillId="0" borderId="19" xfId="0" applyFont="1" applyBorder="1" applyAlignment="1">
      <alignment horizontal="center"/>
    </xf>
    <xf numFmtId="0" fontId="31" fillId="0" borderId="21" xfId="0" applyFont="1" applyBorder="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31" fillId="0" borderId="21" xfId="0" applyFont="1" applyBorder="1" applyAlignment="1">
      <alignment horizontal="center" wrapText="1"/>
    </xf>
    <xf numFmtId="172" fontId="31" fillId="0" borderId="30" xfId="0" applyNumberFormat="1" applyFont="1" applyBorder="1" applyAlignment="1">
      <alignment horizontal="center" vertical="center"/>
    </xf>
    <xf numFmtId="172" fontId="31" fillId="0" borderId="16" xfId="0" applyNumberFormat="1" applyFont="1" applyBorder="1" applyAlignment="1">
      <alignment horizontal="center" vertical="center"/>
    </xf>
    <xf numFmtId="172" fontId="31" fillId="0" borderId="31" xfId="0" applyNumberFormat="1" applyFont="1" applyBorder="1" applyAlignment="1">
      <alignment horizontal="center" vertical="center"/>
    </xf>
    <xf numFmtId="165" fontId="31" fillId="0" borderId="30" xfId="0" applyNumberFormat="1" applyFont="1" applyBorder="1" applyAlignment="1">
      <alignment horizontal="left" vertical="top"/>
    </xf>
    <xf numFmtId="0" fontId="31" fillId="0" borderId="16" xfId="0" applyFont="1" applyBorder="1" applyAlignment="1">
      <alignment horizontal="left" vertical="top"/>
    </xf>
    <xf numFmtId="0" fontId="31" fillId="0" borderId="31" xfId="0" applyFont="1" applyBorder="1" applyAlignment="1">
      <alignment horizontal="left" vertical="top"/>
    </xf>
    <xf numFmtId="0" fontId="31" fillId="0" borderId="30" xfId="0" applyFont="1" applyBorder="1" applyAlignment="1">
      <alignment horizontal="center" vertical="center"/>
    </xf>
    <xf numFmtId="0" fontId="31" fillId="0" borderId="16" xfId="0" applyFont="1" applyBorder="1" applyAlignment="1">
      <alignment horizontal="center" vertical="center"/>
    </xf>
    <xf numFmtId="0" fontId="31" fillId="0" borderId="31" xfId="0" applyFont="1" applyBorder="1" applyAlignment="1">
      <alignment horizontal="center" vertical="center"/>
    </xf>
    <xf numFmtId="0" fontId="31" fillId="0" borderId="1" xfId="0" applyFont="1" applyBorder="1" applyAlignment="1">
      <alignment horizontal="left" vertical="center"/>
    </xf>
    <xf numFmtId="0" fontId="40" fillId="3" borderId="10" xfId="0" applyFont="1" applyFill="1" applyBorder="1" applyAlignment="1">
      <alignment horizontal="center"/>
    </xf>
    <xf numFmtId="0" fontId="41" fillId="3" borderId="2" xfId="0" applyFont="1" applyFill="1" applyBorder="1" applyAlignment="1">
      <alignment horizontal="center"/>
    </xf>
    <xf numFmtId="0" fontId="41" fillId="3" borderId="11" xfId="0" applyFont="1" applyFill="1" applyBorder="1" applyAlignment="1">
      <alignment horizontal="center"/>
    </xf>
    <xf numFmtId="0" fontId="31" fillId="0" borderId="28" xfId="0" applyFont="1" applyBorder="1" applyAlignment="1">
      <alignment horizontal="left" vertical="top"/>
    </xf>
    <xf numFmtId="0" fontId="31" fillId="0" borderId="19" xfId="0" applyFont="1" applyBorder="1" applyAlignment="1">
      <alignment horizontal="left" vertical="top"/>
    </xf>
    <xf numFmtId="0" fontId="31" fillId="0" borderId="29" xfId="0" applyFont="1" applyBorder="1" applyAlignment="1">
      <alignment horizontal="left" vertical="top"/>
    </xf>
    <xf numFmtId="0" fontId="31" fillId="0" borderId="1" xfId="0" applyFont="1" applyBorder="1" applyAlignment="1">
      <alignment horizontal="center"/>
    </xf>
    <xf numFmtId="49" fontId="31" fillId="0" borderId="1" xfId="0" applyNumberFormat="1" applyFont="1" applyBorder="1" applyAlignment="1">
      <alignment horizontal="right" vertical="center"/>
    </xf>
    <xf numFmtId="0" fontId="31" fillId="0" borderId="1" xfId="0" applyFont="1" applyBorder="1" applyAlignment="1">
      <alignment horizontal="right" vertical="center"/>
    </xf>
    <xf numFmtId="14" fontId="31" fillId="0" borderId="1" xfId="0" applyNumberFormat="1" applyFont="1" applyBorder="1" applyAlignment="1">
      <alignment horizontal="right" vertical="center"/>
    </xf>
    <xf numFmtId="172" fontId="31" fillId="0" borderId="1" xfId="1" applyNumberFormat="1" applyFont="1" applyBorder="1" applyAlignment="1">
      <alignment horizontal="right" vertical="center"/>
    </xf>
    <xf numFmtId="165" fontId="31" fillId="0" borderId="1" xfId="0" applyNumberFormat="1" applyFont="1" applyBorder="1" applyAlignment="1">
      <alignment horizontal="right" vertical="center"/>
    </xf>
    <xf numFmtId="14" fontId="31" fillId="0" borderId="10" xfId="0" applyNumberFormat="1" applyFont="1" applyBorder="1" applyAlignment="1">
      <alignment horizontal="right" vertical="center"/>
    </xf>
    <xf numFmtId="14" fontId="31" fillId="0" borderId="2" xfId="0" applyNumberFormat="1" applyFont="1" applyBorder="1" applyAlignment="1">
      <alignment horizontal="right" vertical="center"/>
    </xf>
    <xf numFmtId="14" fontId="31" fillId="0" borderId="11" xfId="0" applyNumberFormat="1" applyFont="1" applyBorder="1" applyAlignment="1">
      <alignment horizontal="right" vertical="center"/>
    </xf>
    <xf numFmtId="172" fontId="31" fillId="0" borderId="1" xfId="0" applyNumberFormat="1" applyFont="1" applyBorder="1" applyAlignment="1">
      <alignment horizontal="right" vertical="center"/>
    </xf>
    <xf numFmtId="0" fontId="40" fillId="3" borderId="2" xfId="0" applyFont="1" applyFill="1" applyBorder="1" applyAlignment="1">
      <alignment horizontal="center"/>
    </xf>
    <xf numFmtId="0" fontId="40" fillId="3" borderId="11" xfId="0" applyFont="1" applyFill="1" applyBorder="1" applyAlignment="1">
      <alignment horizontal="center"/>
    </xf>
    <xf numFmtId="0" fontId="12" fillId="0" borderId="19" xfId="0" applyFont="1" applyBorder="1" applyAlignment="1">
      <alignment horizontal="center" vertical="center"/>
    </xf>
    <xf numFmtId="0" fontId="32" fillId="0" borderId="0" xfId="0" applyFont="1" applyAlignment="1">
      <alignment horizontal="center"/>
    </xf>
    <xf numFmtId="0" fontId="27" fillId="0" borderId="16" xfId="0" applyFont="1" applyBorder="1" applyAlignment="1">
      <alignment horizontal="center"/>
    </xf>
    <xf numFmtId="0" fontId="27" fillId="0" borderId="21" xfId="0" applyFont="1" applyBorder="1" applyAlignment="1">
      <alignment horizontal="center"/>
    </xf>
    <xf numFmtId="0" fontId="31" fillId="0" borderId="0" xfId="0" applyFont="1" applyAlignment="1">
      <alignment horizontal="left"/>
    </xf>
    <xf numFmtId="0" fontId="31" fillId="0" borderId="10" xfId="0" applyFont="1" applyBorder="1" applyAlignment="1">
      <alignment horizontal="left" vertical="center"/>
    </xf>
    <xf numFmtId="0" fontId="31" fillId="0" borderId="2" xfId="0" applyFont="1" applyBorder="1" applyAlignment="1">
      <alignment horizontal="left" vertical="center"/>
    </xf>
    <xf numFmtId="0" fontId="31" fillId="0" borderId="11" xfId="0" applyFont="1" applyBorder="1" applyAlignment="1">
      <alignment horizontal="left" vertical="center"/>
    </xf>
    <xf numFmtId="164" fontId="31" fillId="0" borderId="10" xfId="1" applyFont="1" applyBorder="1" applyAlignment="1">
      <alignment horizontal="left" vertical="center"/>
    </xf>
    <xf numFmtId="164" fontId="31" fillId="0" borderId="2" xfId="1" applyFont="1" applyBorder="1" applyAlignment="1">
      <alignment horizontal="left" vertical="center"/>
    </xf>
    <xf numFmtId="164" fontId="31" fillId="0" borderId="11" xfId="1" applyFont="1" applyBorder="1" applyAlignment="1">
      <alignment horizontal="left" vertical="center"/>
    </xf>
    <xf numFmtId="0" fontId="31" fillId="0" borderId="10" xfId="0" applyFont="1" applyBorder="1" applyAlignment="1">
      <alignment horizontal="left" vertical="center" wrapText="1"/>
    </xf>
    <xf numFmtId="0" fontId="31" fillId="0" borderId="2" xfId="0" applyFont="1" applyBorder="1" applyAlignment="1">
      <alignment horizontal="left" vertical="center" wrapText="1"/>
    </xf>
    <xf numFmtId="0" fontId="31" fillId="0" borderId="11" xfId="0" applyFont="1" applyBorder="1" applyAlignment="1">
      <alignment horizontal="left" vertical="center" wrapText="1"/>
    </xf>
    <xf numFmtId="10" fontId="21" fillId="0" borderId="2" xfId="1" applyNumberFormat="1" applyFont="1" applyBorder="1" applyAlignment="1">
      <alignment horizontal="right" vertical="center"/>
    </xf>
    <xf numFmtId="0" fontId="31" fillId="0" borderId="0" xfId="0" applyFont="1" applyAlignment="1">
      <alignment horizontal="left" vertical="top"/>
    </xf>
    <xf numFmtId="49" fontId="31" fillId="0" borderId="10" xfId="1" applyNumberFormat="1" applyFont="1" applyBorder="1" applyAlignment="1">
      <alignment horizontal="center" vertical="center"/>
    </xf>
    <xf numFmtId="49" fontId="31" fillId="0" borderId="2" xfId="1" applyNumberFormat="1" applyFont="1" applyBorder="1" applyAlignment="1">
      <alignment horizontal="center" vertical="center"/>
    </xf>
    <xf numFmtId="49" fontId="31" fillId="0" borderId="11" xfId="1" applyNumberFormat="1" applyFont="1" applyBorder="1" applyAlignment="1">
      <alignment horizontal="center" vertical="center"/>
    </xf>
    <xf numFmtId="0" fontId="31" fillId="0" borderId="10" xfId="0" applyFont="1" applyBorder="1" applyAlignment="1">
      <alignment horizontal="center" vertical="center"/>
    </xf>
    <xf numFmtId="0" fontId="31" fillId="0" borderId="2" xfId="0" applyFont="1" applyBorder="1" applyAlignment="1">
      <alignment horizontal="center" vertical="center"/>
    </xf>
    <xf numFmtId="0" fontId="31" fillId="0" borderId="11" xfId="0" applyFont="1" applyBorder="1" applyAlignment="1">
      <alignment horizontal="center" vertical="center"/>
    </xf>
    <xf numFmtId="0" fontId="31" fillId="0" borderId="2" xfId="1" applyNumberFormat="1" applyFont="1" applyBorder="1" applyAlignment="1">
      <alignment horizontal="center" vertical="center"/>
    </xf>
    <xf numFmtId="164" fontId="21" fillId="0" borderId="2" xfId="1" applyFont="1" applyBorder="1" applyAlignment="1">
      <alignment horizontal="right" vertical="center"/>
    </xf>
    <xf numFmtId="14" fontId="21" fillId="0" borderId="2" xfId="1" applyNumberFormat="1" applyFont="1" applyBorder="1" applyAlignment="1">
      <alignment horizontal="right" vertical="center"/>
    </xf>
    <xf numFmtId="0" fontId="31" fillId="0" borderId="0" xfId="0" applyFont="1" applyAlignment="1">
      <alignment horizontal="right" vertical="center"/>
    </xf>
    <xf numFmtId="165" fontId="21" fillId="0" borderId="16" xfId="1" applyNumberFormat="1" applyFont="1" applyBorder="1" applyAlignment="1">
      <alignment horizontal="center" vertical="center"/>
    </xf>
    <xf numFmtId="164" fontId="31" fillId="0" borderId="30" xfId="1" applyFont="1" applyBorder="1" applyAlignment="1">
      <alignment horizontal="center" vertical="center"/>
    </xf>
    <xf numFmtId="164" fontId="31" fillId="0" borderId="16" xfId="1" applyFont="1" applyBorder="1" applyAlignment="1">
      <alignment horizontal="center" vertical="center"/>
    </xf>
    <xf numFmtId="164" fontId="31" fillId="0" borderId="31" xfId="1" applyFont="1" applyBorder="1" applyAlignment="1">
      <alignment horizontal="center" vertical="center"/>
    </xf>
    <xf numFmtId="49" fontId="31" fillId="0" borderId="30" xfId="1" applyNumberFormat="1" applyFont="1" applyBorder="1" applyAlignment="1">
      <alignment horizontal="center" vertical="center"/>
    </xf>
    <xf numFmtId="0" fontId="31" fillId="0" borderId="16" xfId="1" applyNumberFormat="1" applyFont="1" applyBorder="1" applyAlignment="1">
      <alignment horizontal="center" vertical="center"/>
    </xf>
    <xf numFmtId="0" fontId="31" fillId="0" borderId="31" xfId="1" applyNumberFormat="1" applyFont="1" applyBorder="1" applyAlignment="1">
      <alignment horizontal="center" vertical="center"/>
    </xf>
    <xf numFmtId="0" fontId="31" fillId="0" borderId="30" xfId="0" applyFont="1" applyBorder="1" applyAlignment="1">
      <alignment horizontal="left" vertical="center"/>
    </xf>
    <xf numFmtId="0" fontId="31" fillId="0" borderId="16" xfId="0" applyFont="1" applyBorder="1" applyAlignment="1">
      <alignment horizontal="left" vertical="center"/>
    </xf>
    <xf numFmtId="164" fontId="21" fillId="0" borderId="16" xfId="1" applyFont="1" applyBorder="1" applyAlignment="1">
      <alignment horizontal="center" vertical="center"/>
    </xf>
    <xf numFmtId="0" fontId="40" fillId="3" borderId="10" xfId="0" applyFont="1" applyFill="1" applyBorder="1" applyAlignment="1">
      <alignment horizontal="center" vertical="center"/>
    </xf>
    <xf numFmtId="0" fontId="40" fillId="3" borderId="2" xfId="0" applyFont="1" applyFill="1" applyBorder="1" applyAlignment="1">
      <alignment horizontal="center" vertical="center"/>
    </xf>
    <xf numFmtId="0" fontId="40" fillId="3" borderId="11" xfId="0" applyFont="1" applyFill="1" applyBorder="1" applyAlignment="1">
      <alignment horizontal="center" vertical="center"/>
    </xf>
    <xf numFmtId="0" fontId="31" fillId="0" borderId="28" xfId="0" applyFont="1" applyBorder="1" applyAlignment="1">
      <alignment horizontal="center" vertical="top"/>
    </xf>
    <xf numFmtId="0" fontId="31" fillId="0" borderId="19" xfId="0" applyFont="1" applyBorder="1" applyAlignment="1">
      <alignment horizontal="center" vertical="top"/>
    </xf>
    <xf numFmtId="0" fontId="31" fillId="0" borderId="29" xfId="0" applyFont="1" applyBorder="1" applyAlignment="1">
      <alignment horizontal="center" vertical="top"/>
    </xf>
    <xf numFmtId="0" fontId="31" fillId="0" borderId="10" xfId="0" applyFont="1" applyBorder="1" applyAlignment="1">
      <alignment horizontal="left"/>
    </xf>
    <xf numFmtId="0" fontId="31" fillId="0" borderId="2" xfId="0" applyFont="1" applyBorder="1" applyAlignment="1">
      <alignment horizontal="left"/>
    </xf>
    <xf numFmtId="0" fontId="31" fillId="0" borderId="11" xfId="0" applyFont="1" applyBorder="1" applyAlignment="1">
      <alignment horizontal="left"/>
    </xf>
    <xf numFmtId="164" fontId="21" fillId="0" borderId="2" xfId="1" applyFont="1" applyBorder="1" applyAlignment="1">
      <alignment horizontal="center" vertical="center"/>
    </xf>
    <xf numFmtId="0" fontId="31" fillId="0" borderId="31" xfId="0" applyFont="1" applyBorder="1" applyAlignment="1">
      <alignment horizontal="left" vertical="center"/>
    </xf>
    <xf numFmtId="0" fontId="32" fillId="0" borderId="30" xfId="0" applyFont="1" applyBorder="1" applyAlignment="1">
      <alignment horizontal="center" vertical="center"/>
    </xf>
    <xf numFmtId="0" fontId="32" fillId="0" borderId="16" xfId="0" applyFont="1" applyBorder="1" applyAlignment="1">
      <alignment horizontal="center" vertical="center"/>
    </xf>
    <xf numFmtId="0" fontId="32" fillId="0" borderId="31" xfId="0" applyFont="1" applyBorder="1" applyAlignment="1">
      <alignment horizontal="center" vertical="center"/>
    </xf>
    <xf numFmtId="0" fontId="31" fillId="0" borderId="28" xfId="0" applyFont="1" applyBorder="1" applyAlignment="1">
      <alignment horizontal="left" vertical="center"/>
    </xf>
    <xf numFmtId="0" fontId="31" fillId="0" borderId="29" xfId="0" applyFont="1" applyBorder="1" applyAlignment="1">
      <alignment horizontal="left" vertical="center"/>
    </xf>
    <xf numFmtId="0" fontId="32" fillId="0" borderId="28" xfId="0" applyFont="1" applyBorder="1" applyAlignment="1">
      <alignment horizontal="center" vertical="center"/>
    </xf>
    <xf numFmtId="0" fontId="32" fillId="0" borderId="19" xfId="0" applyFont="1" applyBorder="1" applyAlignment="1">
      <alignment horizontal="center" vertical="center"/>
    </xf>
    <xf numFmtId="0" fontId="32" fillId="0" borderId="29" xfId="0" applyFont="1" applyBorder="1" applyAlignment="1">
      <alignment horizontal="center" vertical="center"/>
    </xf>
    <xf numFmtId="0" fontId="31" fillId="0" borderId="19" xfId="0" applyFont="1" applyBorder="1" applyAlignment="1">
      <alignment horizontal="left" vertical="center"/>
    </xf>
    <xf numFmtId="0" fontId="31" fillId="0" borderId="27" xfId="0" applyFont="1" applyBorder="1" applyAlignment="1">
      <alignment horizontal="center"/>
    </xf>
    <xf numFmtId="0" fontId="32" fillId="0" borderId="21" xfId="0" applyFont="1" applyBorder="1" applyAlignment="1">
      <alignment horizontal="left"/>
    </xf>
    <xf numFmtId="172" fontId="31" fillId="0" borderId="19" xfId="0" applyNumberFormat="1" applyFont="1" applyBorder="1" applyAlignment="1">
      <alignment horizontal="center" vertical="center"/>
    </xf>
    <xf numFmtId="172" fontId="31" fillId="0" borderId="0" xfId="0" applyNumberFormat="1" applyFont="1" applyAlignment="1">
      <alignment horizontal="center" vertical="center"/>
    </xf>
    <xf numFmtId="172" fontId="31" fillId="0" borderId="29" xfId="0" applyNumberFormat="1" applyFont="1" applyBorder="1" applyAlignment="1">
      <alignment horizontal="center" vertical="center"/>
    </xf>
    <xf numFmtId="164" fontId="21" fillId="0" borderId="19" xfId="1" applyFont="1" applyBorder="1" applyAlignment="1">
      <alignment horizontal="center" vertical="center"/>
    </xf>
    <xf numFmtId="0" fontId="18" fillId="0" borderId="2" xfId="0" applyFont="1" applyBorder="1" applyAlignment="1">
      <alignment horizontal="left"/>
    </xf>
    <xf numFmtId="0" fontId="31" fillId="0" borderId="21" xfId="0" applyFont="1" applyBorder="1" applyAlignment="1">
      <alignment horizontal="left"/>
    </xf>
    <xf numFmtId="0" fontId="18" fillId="0" borderId="16" xfId="0" applyFont="1" applyBorder="1" applyAlignment="1">
      <alignment vertical="center"/>
    </xf>
    <xf numFmtId="14" fontId="18" fillId="0" borderId="2" xfId="0" applyNumberFormat="1" applyFont="1" applyBorder="1" applyAlignment="1">
      <alignment horizontal="left" vertical="center"/>
    </xf>
    <xf numFmtId="0" fontId="18" fillId="0" borderId="2" xfId="0" applyFont="1" applyBorder="1" applyAlignment="1">
      <alignment horizontal="left" vertical="center"/>
    </xf>
    <xf numFmtId="166" fontId="12" fillId="0" borderId="16" xfId="0" applyNumberFormat="1" applyFont="1" applyBorder="1" applyAlignment="1">
      <alignment horizontal="center" vertical="center"/>
    </xf>
    <xf numFmtId="0" fontId="12" fillId="0" borderId="2" xfId="0" applyFont="1" applyBorder="1" applyAlignment="1">
      <alignment horizontal="center" vertical="center"/>
    </xf>
    <xf numFmtId="0" fontId="32" fillId="0" borderId="0" xfId="0" applyFont="1" applyAlignment="1">
      <alignment horizontal="right" vertical="center"/>
    </xf>
    <xf numFmtId="10" fontId="10" fillId="0" borderId="3" xfId="2" applyNumberFormat="1" applyFont="1" applyFill="1" applyBorder="1" applyAlignment="1" applyProtection="1">
      <alignment horizontal="center" vertical="center"/>
    </xf>
    <xf numFmtId="10" fontId="0" fillId="0" borderId="4" xfId="2" applyNumberFormat="1" applyFont="1" applyFill="1" applyBorder="1" applyAlignment="1" applyProtection="1">
      <alignment horizontal="center" vertical="center"/>
    </xf>
    <xf numFmtId="10" fontId="0" fillId="0" borderId="5" xfId="2" applyNumberFormat="1" applyFont="1" applyFill="1" applyBorder="1" applyAlignment="1" applyProtection="1">
      <alignment horizontal="center" vertical="center"/>
    </xf>
    <xf numFmtId="10" fontId="0" fillId="0" borderId="6" xfId="2" applyNumberFormat="1" applyFont="1" applyFill="1" applyBorder="1" applyAlignment="1" applyProtection="1">
      <alignment horizontal="center" vertical="center"/>
    </xf>
    <xf numFmtId="10" fontId="0" fillId="0" borderId="7" xfId="2" applyNumberFormat="1" applyFont="1" applyFill="1" applyBorder="1" applyAlignment="1" applyProtection="1">
      <alignment horizontal="center" vertical="center"/>
    </xf>
    <xf numFmtId="10" fontId="0" fillId="0" borderId="8" xfId="2" applyNumberFormat="1" applyFont="1" applyFill="1" applyBorder="1" applyAlignment="1" applyProtection="1">
      <alignment horizontal="center" vertical="center"/>
    </xf>
    <xf numFmtId="0" fontId="0" fillId="0" borderId="9" xfId="0" applyBorder="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xf>
    <xf numFmtId="0" fontId="17" fillId="0" borderId="0" xfId="0" applyFont="1" applyAlignment="1">
      <alignment horizontal="center" vertical="center"/>
    </xf>
    <xf numFmtId="0" fontId="16" fillId="3" borderId="0" xfId="0" applyFont="1" applyFill="1" applyAlignment="1">
      <alignment horizontal="center" vertical="center"/>
    </xf>
    <xf numFmtId="2" fontId="31" fillId="0" borderId="21" xfId="1" applyNumberFormat="1" applyFont="1" applyBorder="1" applyAlignment="1">
      <alignment horizontal="center" vertical="center"/>
    </xf>
    <xf numFmtId="165" fontId="31" fillId="0" borderId="30" xfId="0" applyNumberFormat="1" applyFont="1" applyBorder="1" applyAlignment="1">
      <alignment horizontal="center" vertical="center"/>
    </xf>
    <xf numFmtId="0" fontId="0" fillId="0" borderId="16" xfId="0" applyBorder="1" applyAlignment="1">
      <alignment horizontal="center"/>
    </xf>
    <xf numFmtId="164" fontId="47" fillId="0" borderId="10" xfId="3" applyNumberFormat="1" applyBorder="1" applyAlignment="1">
      <alignment horizontal="left" vertical="center"/>
    </xf>
    <xf numFmtId="167" fontId="21" fillId="0" borderId="2" xfId="1" applyNumberFormat="1" applyFont="1" applyBorder="1" applyAlignment="1">
      <alignment horizontal="right" vertical="center"/>
    </xf>
    <xf numFmtId="0" fontId="29" fillId="0" borderId="21" xfId="0" applyFont="1" applyBorder="1" applyAlignment="1">
      <alignment horizontal="center"/>
    </xf>
    <xf numFmtId="14" fontId="31" fillId="0" borderId="30" xfId="1" applyNumberFormat="1" applyFont="1" applyBorder="1" applyAlignment="1">
      <alignment horizontal="center" vertic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139513</xdr:colOff>
      <xdr:row>22</xdr:row>
      <xdr:rowOff>29212</xdr:rowOff>
    </xdr:to>
    <xdr:pic>
      <xdr:nvPicPr>
        <xdr:cNvPr id="2" name="Picture 1">
          <a:extLst>
            <a:ext uri="{FF2B5EF4-FFF2-40B4-BE49-F238E27FC236}">
              <a16:creationId xmlns:a16="http://schemas.microsoft.com/office/drawing/2014/main" id="{2776E5BB-0038-40FC-BB43-B513A82AAB9A}"/>
            </a:ext>
          </a:extLst>
        </xdr:cNvPr>
        <xdr:cNvPicPr/>
      </xdr:nvPicPr>
      <xdr:blipFill>
        <a:blip xmlns:r="http://schemas.openxmlformats.org/officeDocument/2006/relationships" r:embed="rId1" cstate="print"/>
        <a:srcRect b="17620"/>
        <a:stretch>
          <a:fillRect/>
        </a:stretch>
      </xdr:blipFill>
      <xdr:spPr>
        <a:xfrm>
          <a:off x="12163873" y="3743327"/>
          <a:ext cx="1053465" cy="514985"/>
        </a:xfrm>
        <a:prstGeom prst="rect">
          <a:avLst/>
        </a:prstGeom>
        <a:noFill/>
        <a:ln w="9525">
          <a:noFill/>
          <a:miter lim="800000"/>
          <a:headEnd/>
          <a:tailEnd/>
        </a:ln>
      </xdr:spPr>
    </xdr:pic>
    <xdr:clientData/>
  </xdr:twoCellAnchor>
  <xdr:oneCellAnchor>
    <xdr:from>
      <xdr:col>45</xdr:col>
      <xdr:colOff>220980</xdr:colOff>
      <xdr:row>62</xdr:row>
      <xdr:rowOff>78105</xdr:rowOff>
    </xdr:from>
    <xdr:ext cx="219075" cy="247650"/>
    <xdr:pic>
      <xdr:nvPicPr>
        <xdr:cNvPr id="3" name="Picture 2" descr="https://tse1.mm.bing.net/th?id=OIP.11IPUqok7qInEpcWmz9WawHaIZ&amp;pid=Api&amp;P=0">
          <a:extLst>
            <a:ext uri="{FF2B5EF4-FFF2-40B4-BE49-F238E27FC236}">
              <a16:creationId xmlns:a16="http://schemas.microsoft.com/office/drawing/2014/main" id="{886A5746-852D-4F1C-AAB1-C11B0730FCD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57405" y="12451080"/>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EA55776B-BED2-4DAA-B3C6-FB9D26EDCADC}"/>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86DE1643-918F-4515-BEE0-237C89EAA5F3}"/>
            </a:ext>
          </a:extLst>
        </xdr:cNvPr>
        <xdr:cNvCxnSpPr/>
      </xdr:nvCxnSpPr>
      <xdr:spPr>
        <a:xfrm>
          <a:off x="17308606" y="3629026"/>
          <a:ext cx="7844" cy="1539240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868F345B-099E-416F-87B6-CB0ED73F9E93}"/>
            </a:ext>
          </a:extLst>
        </xdr:cNvPr>
        <xdr:cNvCxnSpPr/>
      </xdr:nvCxnSpPr>
      <xdr:spPr>
        <a:xfrm>
          <a:off x="28595733" y="3667125"/>
          <a:ext cx="36417" cy="153447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D4D47175-EA70-4946-BBFC-A52E4B17B7A4}"/>
            </a:ext>
          </a:extLst>
        </xdr:cNvPr>
        <xdr:cNvPicPr/>
      </xdr:nvPicPr>
      <xdr:blipFill>
        <a:blip xmlns:r="http://schemas.openxmlformats.org/officeDocument/2006/relationships" r:embed="rId4" cstate="print"/>
        <a:srcRect/>
        <a:stretch>
          <a:fillRect/>
        </a:stretch>
      </xdr:blipFill>
      <xdr:spPr bwMode="auto">
        <a:xfrm>
          <a:off x="221265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90B83A97-73A2-403B-A0DA-34F17E2D15E4}"/>
            </a:ext>
          </a:extLst>
        </xdr:cNvPr>
        <xdr:cNvCxnSpPr/>
      </xdr:nvCxnSpPr>
      <xdr:spPr>
        <a:xfrm flipV="1">
          <a:off x="17287875" y="97536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295003</xdr:colOff>
      <xdr:row>87</xdr:row>
      <xdr:rowOff>186738</xdr:rowOff>
    </xdr:from>
    <xdr:to>
      <xdr:col>56</xdr:col>
      <xdr:colOff>291194</xdr:colOff>
      <xdr:row>87</xdr:row>
      <xdr:rowOff>194582</xdr:rowOff>
    </xdr:to>
    <xdr:cxnSp macro="">
      <xdr:nvCxnSpPr>
        <xdr:cNvPr id="9" name="Straight Connector 8">
          <a:extLst>
            <a:ext uri="{FF2B5EF4-FFF2-40B4-BE49-F238E27FC236}">
              <a16:creationId xmlns:a16="http://schemas.microsoft.com/office/drawing/2014/main" id="{D0317ADB-D1CB-499B-98F0-67D9D2838B37}"/>
            </a:ext>
          </a:extLst>
        </xdr:cNvPr>
        <xdr:cNvCxnSpPr/>
      </xdr:nvCxnSpPr>
      <xdr:spPr>
        <a:xfrm>
          <a:off x="17331146" y="17780774"/>
          <a:ext cx="11480619"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13607</xdr:colOff>
      <xdr:row>18</xdr:row>
      <xdr:rowOff>155121</xdr:rowOff>
    </xdr:from>
    <xdr:to>
      <xdr:col>57</xdr:col>
      <xdr:colOff>13607</xdr:colOff>
      <xdr:row>18</xdr:row>
      <xdr:rowOff>156802</xdr:rowOff>
    </xdr:to>
    <xdr:cxnSp macro="">
      <xdr:nvCxnSpPr>
        <xdr:cNvPr id="10" name="Straight Connector 9">
          <a:extLst>
            <a:ext uri="{FF2B5EF4-FFF2-40B4-BE49-F238E27FC236}">
              <a16:creationId xmlns:a16="http://schemas.microsoft.com/office/drawing/2014/main" id="{D526CFD9-268E-497E-8429-27E472FF960E}"/>
            </a:ext>
          </a:extLst>
        </xdr:cNvPr>
        <xdr:cNvCxnSpPr/>
      </xdr:nvCxnSpPr>
      <xdr:spPr>
        <a:xfrm flipV="1">
          <a:off x="17376321" y="3584121"/>
          <a:ext cx="114300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99332</xdr:colOff>
      <xdr:row>33</xdr:row>
      <xdr:rowOff>183153</xdr:rowOff>
    </xdr:from>
    <xdr:ext cx="219075" cy="247650"/>
    <xdr:pic>
      <xdr:nvPicPr>
        <xdr:cNvPr id="11" name="Picture 10" descr="https://tse1.mm.bing.net/th?id=OIP.11IPUqok7qInEpcWmz9WawHaIZ&amp;pid=Api&amp;P=0">
          <a:extLst>
            <a:ext uri="{FF2B5EF4-FFF2-40B4-BE49-F238E27FC236}">
              <a16:creationId xmlns:a16="http://schemas.microsoft.com/office/drawing/2014/main" id="{3054CE58-698F-4212-90D4-9E1E92D707F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7788618" y="6769010"/>
          <a:ext cx="219075" cy="247650"/>
        </a:xfrm>
        <a:prstGeom prst="rect">
          <a:avLst/>
        </a:prstGeom>
        <a:noFill/>
        <a:ln w="9525">
          <a:noFill/>
          <a:miter lim="800000"/>
          <a:headEnd/>
          <a:tailEnd/>
        </a:ln>
      </xdr:spPr>
    </xdr:pic>
    <xdr:clientData/>
  </xdr:oneCellAnchor>
  <xdr:oneCellAnchor>
    <xdr:from>
      <xdr:col>30</xdr:col>
      <xdr:colOff>95250</xdr:colOff>
      <xdr:row>32</xdr:row>
      <xdr:rowOff>167640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07836DE7-87F5-43AF-890D-8E76DB9D3DE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973925" y="6492240"/>
          <a:ext cx="219075" cy="247650"/>
        </a:xfrm>
        <a:prstGeom prst="rect">
          <a:avLst/>
        </a:prstGeom>
        <a:noFill/>
        <a:ln w="9525">
          <a:noFill/>
          <a:miter lim="800000"/>
          <a:headEnd/>
          <a:tailEnd/>
        </a:ln>
      </xdr:spPr>
    </xdr:pic>
    <xdr:clientData/>
  </xdr:oneCellAnchor>
  <xdr:oneCellAnchor>
    <xdr:from>
      <xdr:col>38</xdr:col>
      <xdr:colOff>76200</xdr:colOff>
      <xdr:row>33</xdr:row>
      <xdr:rowOff>25309</xdr:rowOff>
    </xdr:from>
    <xdr:ext cx="219075" cy="247650"/>
    <xdr:pic>
      <xdr:nvPicPr>
        <xdr:cNvPr id="13" name="Picture 12" descr="https://tse1.mm.bing.net/th?id=OIP.11IPUqok7qInEpcWmz9WawHaIZ&amp;pid=Api&amp;P=0">
          <a:extLst>
            <a:ext uri="{FF2B5EF4-FFF2-40B4-BE49-F238E27FC236}">
              <a16:creationId xmlns:a16="http://schemas.microsoft.com/office/drawing/2014/main" id="{C155826B-669B-4F61-B3F2-6A629B6AB47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664057" y="6611166"/>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0329FDBF-4453-4931-AE83-1C6A268669D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507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5E3D9EBD-C86E-46B5-A6DE-F9F7D588E13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288250" y="82981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F040F5B1-1166-4C85-BE67-9B378067F06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183975" y="8313420"/>
          <a:ext cx="219075" cy="247650"/>
        </a:xfrm>
        <a:prstGeom prst="rect">
          <a:avLst/>
        </a:prstGeom>
        <a:noFill/>
        <a:ln w="9525">
          <a:noFill/>
          <a:miter lim="800000"/>
          <a:headEnd/>
          <a:tailEnd/>
        </a:ln>
      </xdr:spPr>
    </xdr:pic>
    <xdr:clientData/>
  </xdr:oneCellAnchor>
  <xdr:oneCellAnchor>
    <xdr:from>
      <xdr:col>45</xdr:col>
      <xdr:colOff>43272</xdr:colOff>
      <xdr:row>49</xdr:row>
      <xdr:rowOff>170090</xdr:rowOff>
    </xdr:from>
    <xdr:ext cx="219075" cy="247650"/>
    <xdr:pic>
      <xdr:nvPicPr>
        <xdr:cNvPr id="17" name="Picture 16" descr="https://tse1.mm.bing.net/th?id=OIP.11IPUqok7qInEpcWmz9WawHaIZ&amp;pid=Api&amp;P=0">
          <a:extLst>
            <a:ext uri="{FF2B5EF4-FFF2-40B4-BE49-F238E27FC236}">
              <a16:creationId xmlns:a16="http://schemas.microsoft.com/office/drawing/2014/main" id="{AEF329D7-E4B6-47AE-A539-2210FCAA100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17129" y="10021661"/>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8" name="Straight Connector 17">
          <a:extLst>
            <a:ext uri="{FF2B5EF4-FFF2-40B4-BE49-F238E27FC236}">
              <a16:creationId xmlns:a16="http://schemas.microsoft.com/office/drawing/2014/main" id="{D7390FE1-AFAB-4A02-84E2-0D200720E222}"/>
            </a:ext>
          </a:extLst>
        </xdr:cNvPr>
        <xdr:cNvCxnSpPr/>
      </xdr:nvCxnSpPr>
      <xdr:spPr>
        <a:xfrm>
          <a:off x="17287875" y="1903285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9" name="Straight Connector 18">
          <a:extLst>
            <a:ext uri="{FF2B5EF4-FFF2-40B4-BE49-F238E27FC236}">
              <a16:creationId xmlns:a16="http://schemas.microsoft.com/office/drawing/2014/main" id="{18B4D99F-A850-4184-A211-58BDFD5FC8A7}"/>
            </a:ext>
          </a:extLst>
        </xdr:cNvPr>
        <xdr:cNvCxnSpPr/>
      </xdr:nvCxnSpPr>
      <xdr:spPr>
        <a:xfrm>
          <a:off x="17362714" y="19803703"/>
          <a:ext cx="11492049"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168</xdr:row>
      <xdr:rowOff>45720</xdr:rowOff>
    </xdr:to>
    <xdr:cxnSp macro="">
      <xdr:nvCxnSpPr>
        <xdr:cNvPr id="20" name="Straight Connector 19">
          <a:extLst>
            <a:ext uri="{FF2B5EF4-FFF2-40B4-BE49-F238E27FC236}">
              <a16:creationId xmlns:a16="http://schemas.microsoft.com/office/drawing/2014/main" id="{4E024484-D23D-4CF2-9A64-9613189E3440}"/>
            </a:ext>
          </a:extLst>
        </xdr:cNvPr>
        <xdr:cNvCxnSpPr/>
      </xdr:nvCxnSpPr>
      <xdr:spPr>
        <a:xfrm flipH="1">
          <a:off x="17295495" y="19621497"/>
          <a:ext cx="1773" cy="1540002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21" name="Straight Connector 20">
          <a:extLst>
            <a:ext uri="{FF2B5EF4-FFF2-40B4-BE49-F238E27FC236}">
              <a16:creationId xmlns:a16="http://schemas.microsoft.com/office/drawing/2014/main" id="{A0820C9A-1A6F-443B-8D65-031561A7DA45}"/>
            </a:ext>
          </a:extLst>
        </xdr:cNvPr>
        <xdr:cNvCxnSpPr/>
      </xdr:nvCxnSpPr>
      <xdr:spPr>
        <a:xfrm>
          <a:off x="17287875" y="2634615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125</xdr:row>
      <xdr:rowOff>186017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A241A07F-40A1-4D98-AA37-51E2A660181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06256" y="2591304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81C797EB-ABCC-46D9-A917-FE4A6432F91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589653" y="25927386"/>
          <a:ext cx="219075" cy="247650"/>
        </a:xfrm>
        <a:prstGeom prst="rect">
          <a:avLst/>
        </a:prstGeom>
        <a:noFill/>
        <a:ln w="9525">
          <a:noFill/>
          <a:miter lim="800000"/>
          <a:headEnd/>
          <a:tailEnd/>
        </a:ln>
      </xdr:spPr>
    </xdr:pic>
    <xdr:clientData/>
  </xdr:oneCellAnchor>
  <xdr:oneCellAnchor>
    <xdr:from>
      <xdr:col>24</xdr:col>
      <xdr:colOff>78441</xdr:colOff>
      <xdr:row>122</xdr:row>
      <xdr:rowOff>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BF78CFE3-C8E5-4987-A9BB-6CED4ADBD1A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014016" y="25117425"/>
          <a:ext cx="219075" cy="247650"/>
        </a:xfrm>
        <a:prstGeom prst="rect">
          <a:avLst/>
        </a:prstGeom>
        <a:noFill/>
        <a:ln w="9525">
          <a:noFill/>
          <a:miter lim="800000"/>
          <a:headEnd/>
          <a:tailEnd/>
        </a:ln>
      </xdr:spPr>
    </xdr:pic>
    <xdr:clientData/>
  </xdr:oneCellAnchor>
  <xdr:oneCellAnchor>
    <xdr:from>
      <xdr:col>34</xdr:col>
      <xdr:colOff>0</xdr:colOff>
      <xdr:row>154</xdr:row>
      <xdr:rowOff>0</xdr:rowOff>
    </xdr:from>
    <xdr:ext cx="219075" cy="247650"/>
    <xdr:pic>
      <xdr:nvPicPr>
        <xdr:cNvPr id="25" name="Picture 24" descr="https://tse1.mm.bing.net/th?id=OIP.11IPUqok7qInEpcWmz9WawHaIZ&amp;pid=Api&amp;P=0">
          <a:extLst>
            <a:ext uri="{FF2B5EF4-FFF2-40B4-BE49-F238E27FC236}">
              <a16:creationId xmlns:a16="http://schemas.microsoft.com/office/drawing/2014/main" id="{D1C96897-CDDB-447D-9608-57380C4E7F6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174075" y="32051625"/>
          <a:ext cx="219075" cy="247650"/>
        </a:xfrm>
        <a:prstGeom prst="rect">
          <a:avLst/>
        </a:prstGeom>
        <a:noFill/>
        <a:ln w="9525">
          <a:noFill/>
          <a:miter lim="800000"/>
          <a:headEnd/>
          <a:tailEnd/>
        </a:ln>
      </xdr:spPr>
    </xdr:pic>
    <xdr:clientData/>
  </xdr:oneCellAnchor>
  <xdr:twoCellAnchor>
    <xdr:from>
      <xdr:col>22</xdr:col>
      <xdr:colOff>1</xdr:colOff>
      <xdr:row>167</xdr:row>
      <xdr:rowOff>169816</xdr:rowOff>
    </xdr:from>
    <xdr:to>
      <xdr:col>57</xdr:col>
      <xdr:colOff>7621</xdr:colOff>
      <xdr:row>168</xdr:row>
      <xdr:rowOff>6119</xdr:rowOff>
    </xdr:to>
    <xdr:cxnSp macro="">
      <xdr:nvCxnSpPr>
        <xdr:cNvPr id="26" name="Straight Connector 25">
          <a:extLst>
            <a:ext uri="{FF2B5EF4-FFF2-40B4-BE49-F238E27FC236}">
              <a16:creationId xmlns:a16="http://schemas.microsoft.com/office/drawing/2014/main" id="{679A282E-F7F0-4A12-899F-780578420A4D}"/>
            </a:ext>
          </a:extLst>
        </xdr:cNvPr>
        <xdr:cNvCxnSpPr/>
      </xdr:nvCxnSpPr>
      <xdr:spPr>
        <a:xfrm>
          <a:off x="17362715" y="35303459"/>
          <a:ext cx="11492049"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312420</xdr:colOff>
      <xdr:row>98</xdr:row>
      <xdr:rowOff>9522</xdr:rowOff>
    </xdr:from>
    <xdr:to>
      <xdr:col>56</xdr:col>
      <xdr:colOff>314193</xdr:colOff>
      <xdr:row>168</xdr:row>
      <xdr:rowOff>7620</xdr:rowOff>
    </xdr:to>
    <xdr:cxnSp macro="">
      <xdr:nvCxnSpPr>
        <xdr:cNvPr id="27" name="Straight Connector 26">
          <a:extLst>
            <a:ext uri="{FF2B5EF4-FFF2-40B4-BE49-F238E27FC236}">
              <a16:creationId xmlns:a16="http://schemas.microsoft.com/office/drawing/2014/main" id="{27229BF0-B743-46A9-91EB-D33C3ECB5CBB}"/>
            </a:ext>
          </a:extLst>
        </xdr:cNvPr>
        <xdr:cNvCxnSpPr/>
      </xdr:nvCxnSpPr>
      <xdr:spPr>
        <a:xfrm flipH="1">
          <a:off x="28611195" y="19583397"/>
          <a:ext cx="1773" cy="1540002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139513</xdr:colOff>
      <xdr:row>22</xdr:row>
      <xdr:rowOff>29212</xdr:rowOff>
    </xdr:to>
    <xdr:pic>
      <xdr:nvPicPr>
        <xdr:cNvPr id="3" name="Picture 2">
          <a:extLst>
            <a:ext uri="{FF2B5EF4-FFF2-40B4-BE49-F238E27FC236}">
              <a16:creationId xmlns:a16="http://schemas.microsoft.com/office/drawing/2014/main" id="{7EC56D00-9F1A-40A7-A3B0-231CADFD5C05}"/>
            </a:ext>
          </a:extLst>
        </xdr:cNvPr>
        <xdr:cNvPicPr/>
      </xdr:nvPicPr>
      <xdr:blipFill>
        <a:blip xmlns:r="http://schemas.openxmlformats.org/officeDocument/2006/relationships" r:embed="rId1" cstate="print"/>
        <a:srcRect b="17620"/>
        <a:stretch>
          <a:fillRect/>
        </a:stretch>
      </xdr:blipFill>
      <xdr:spPr>
        <a:xfrm>
          <a:off x="12163873" y="3743327"/>
          <a:ext cx="1091565" cy="532130"/>
        </a:xfrm>
        <a:prstGeom prst="rect">
          <a:avLst/>
        </a:prstGeom>
        <a:noFill/>
        <a:ln w="9525">
          <a:noFill/>
          <a:miter lim="800000"/>
          <a:headEnd/>
          <a:tailEnd/>
        </a:ln>
      </xdr:spPr>
    </xdr:pic>
    <xdr:clientData/>
  </xdr:twoCellAnchor>
  <xdr:oneCellAnchor>
    <xdr:from>
      <xdr:col>45</xdr:col>
      <xdr:colOff>220980</xdr:colOff>
      <xdr:row>62</xdr:row>
      <xdr:rowOff>78105</xdr:rowOff>
    </xdr:from>
    <xdr:ext cx="219075" cy="247650"/>
    <xdr:pic>
      <xdr:nvPicPr>
        <xdr:cNvPr id="67" name="Picture 66" descr="https://tse1.mm.bing.net/th?id=OIP.11IPUqok7qInEpcWmz9WawHaIZ&amp;pid=Api&amp;P=0">
          <a:extLst>
            <a:ext uri="{FF2B5EF4-FFF2-40B4-BE49-F238E27FC236}">
              <a16:creationId xmlns:a16="http://schemas.microsoft.com/office/drawing/2014/main" id="{A4344130-14CC-4244-BB02-13E4254D798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854660" y="1220914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68" name="Straight Connector 67">
          <a:extLst>
            <a:ext uri="{FF2B5EF4-FFF2-40B4-BE49-F238E27FC236}">
              <a16:creationId xmlns:a16="http://schemas.microsoft.com/office/drawing/2014/main" id="{455EA34B-2652-4861-9E9B-4C0BB942C028}"/>
            </a:ext>
          </a:extLst>
        </xdr:cNvPr>
        <xdr:cNvCxnSpPr/>
      </xdr:nvCxnSpPr>
      <xdr:spPr>
        <a:xfrm flipV="1">
          <a:off x="179222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69" name="Straight Connector 68">
          <a:extLst>
            <a:ext uri="{FF2B5EF4-FFF2-40B4-BE49-F238E27FC236}">
              <a16:creationId xmlns:a16="http://schemas.microsoft.com/office/drawing/2014/main" id="{482F96AD-12FE-4C62-B38D-91A229C7F1C2}"/>
            </a:ext>
          </a:extLst>
        </xdr:cNvPr>
        <xdr:cNvCxnSpPr/>
      </xdr:nvCxnSpPr>
      <xdr:spPr>
        <a:xfrm>
          <a:off x="17942971" y="3482341"/>
          <a:ext cx="7844" cy="1524381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70" name="Straight Connector 69">
          <a:extLst>
            <a:ext uri="{FF2B5EF4-FFF2-40B4-BE49-F238E27FC236}">
              <a16:creationId xmlns:a16="http://schemas.microsoft.com/office/drawing/2014/main" id="{D03CB85A-FB23-4D88-A531-59CECB3897DE}"/>
            </a:ext>
          </a:extLst>
        </xdr:cNvPr>
        <xdr:cNvCxnSpPr/>
      </xdr:nvCxnSpPr>
      <xdr:spPr>
        <a:xfrm>
          <a:off x="29618718" y="3520440"/>
          <a:ext cx="47847" cy="1519618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1" name="Picture 70">
          <a:extLst>
            <a:ext uri="{FF2B5EF4-FFF2-40B4-BE49-F238E27FC236}">
              <a16:creationId xmlns:a16="http://schemas.microsoft.com/office/drawing/2014/main" id="{9C605196-0742-4739-AF6F-6C2DBA317B7E}"/>
            </a:ext>
          </a:extLst>
        </xdr:cNvPr>
        <xdr:cNvPicPr/>
      </xdr:nvPicPr>
      <xdr:blipFill>
        <a:blip xmlns:r="http://schemas.openxmlformats.org/officeDocument/2006/relationships" r:embed="rId4" cstate="print"/>
        <a:srcRect/>
        <a:stretch>
          <a:fillRect/>
        </a:stretch>
      </xdr:blipFill>
      <xdr:spPr bwMode="auto">
        <a:xfrm>
          <a:off x="22920960" y="3606166"/>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72" name="Straight Connector 71">
          <a:extLst>
            <a:ext uri="{FF2B5EF4-FFF2-40B4-BE49-F238E27FC236}">
              <a16:creationId xmlns:a16="http://schemas.microsoft.com/office/drawing/2014/main" id="{DE2D5477-06FF-44DB-9E85-C6C69D582715}"/>
            </a:ext>
          </a:extLst>
        </xdr:cNvPr>
        <xdr:cNvCxnSpPr/>
      </xdr:nvCxnSpPr>
      <xdr:spPr>
        <a:xfrm flipV="1">
          <a:off x="17922240" y="954024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73" name="Straight Connector 72">
          <a:extLst>
            <a:ext uri="{FF2B5EF4-FFF2-40B4-BE49-F238E27FC236}">
              <a16:creationId xmlns:a16="http://schemas.microsoft.com/office/drawing/2014/main" id="{5FF882C6-0475-4599-BDB1-CAC3FC542607}"/>
            </a:ext>
          </a:extLst>
        </xdr:cNvPr>
        <xdr:cNvCxnSpPr/>
      </xdr:nvCxnSpPr>
      <xdr:spPr>
        <a:xfrm>
          <a:off x="17945100" y="17287651"/>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74" name="Straight Connector 73">
          <a:extLst>
            <a:ext uri="{FF2B5EF4-FFF2-40B4-BE49-F238E27FC236}">
              <a16:creationId xmlns:a16="http://schemas.microsoft.com/office/drawing/2014/main" id="{66D852EB-EBFC-4883-A3A0-13389596B15E}"/>
            </a:ext>
          </a:extLst>
        </xdr:cNvPr>
        <xdr:cNvCxnSpPr/>
      </xdr:nvCxnSpPr>
      <xdr:spPr>
        <a:xfrm flipV="1">
          <a:off x="179222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75" name="Picture 74" descr="https://tse1.mm.bing.net/th?id=OIP.11IPUqok7qInEpcWmz9WawHaIZ&amp;pid=Api&amp;P=0">
          <a:extLst>
            <a:ext uri="{FF2B5EF4-FFF2-40B4-BE49-F238E27FC236}">
              <a16:creationId xmlns:a16="http://schemas.microsoft.com/office/drawing/2014/main" id="{0107E84B-FDE0-4443-B1C0-A1979693401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343245" y="6120765"/>
          <a:ext cx="219075" cy="247650"/>
        </a:xfrm>
        <a:prstGeom prst="rect">
          <a:avLst/>
        </a:prstGeom>
        <a:noFill/>
        <a:ln w="9525">
          <a:noFill/>
          <a:miter lim="800000"/>
          <a:headEnd/>
          <a:tailEnd/>
        </a:ln>
      </xdr:spPr>
    </xdr:pic>
    <xdr:clientData/>
  </xdr:oneCellAnchor>
  <xdr:oneCellAnchor>
    <xdr:from>
      <xdr:col>30</xdr:col>
      <xdr:colOff>95250</xdr:colOff>
      <xdr:row>32</xdr:row>
      <xdr:rowOff>167640</xdr:rowOff>
    </xdr:from>
    <xdr:ext cx="219075" cy="247650"/>
    <xdr:pic>
      <xdr:nvPicPr>
        <xdr:cNvPr id="76" name="Picture 75" descr="https://tse1.mm.bing.net/th?id=OIP.11IPUqok7qInEpcWmz9WawHaIZ&amp;pid=Api&amp;P=0">
          <a:extLst>
            <a:ext uri="{FF2B5EF4-FFF2-40B4-BE49-F238E27FC236}">
              <a16:creationId xmlns:a16="http://schemas.microsoft.com/office/drawing/2014/main" id="{6AFF5AED-4877-41E9-A47C-DC4E85EB8F8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99730" y="6316980"/>
          <a:ext cx="219075" cy="247650"/>
        </a:xfrm>
        <a:prstGeom prst="rect">
          <a:avLst/>
        </a:prstGeom>
        <a:noFill/>
        <a:ln w="9525">
          <a:noFill/>
          <a:miter lim="800000"/>
          <a:headEnd/>
          <a:tailEnd/>
        </a:ln>
      </xdr:spPr>
    </xdr:pic>
    <xdr:clientData/>
  </xdr:oneCellAnchor>
  <xdr:oneCellAnchor>
    <xdr:from>
      <xdr:col>38</xdr:col>
      <xdr:colOff>76200</xdr:colOff>
      <xdr:row>33</xdr:row>
      <xdr:rowOff>188595</xdr:rowOff>
    </xdr:from>
    <xdr:ext cx="219075" cy="247650"/>
    <xdr:pic>
      <xdr:nvPicPr>
        <xdr:cNvPr id="77" name="Picture 76" descr="https://tse1.mm.bing.net/th?id=OIP.11IPUqok7qInEpcWmz9WawHaIZ&amp;pid=Api&amp;P=0">
          <a:extLst>
            <a:ext uri="{FF2B5EF4-FFF2-40B4-BE49-F238E27FC236}">
              <a16:creationId xmlns:a16="http://schemas.microsoft.com/office/drawing/2014/main" id="{945087BE-A2E9-4F54-88E1-29409AF9925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545675" y="6713220"/>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78" name="Picture 77" descr="https://tse1.mm.bing.net/th?id=OIP.11IPUqok7qInEpcWmz9WawHaIZ&amp;pid=Api&amp;P=0">
          <a:extLst>
            <a:ext uri="{FF2B5EF4-FFF2-40B4-BE49-F238E27FC236}">
              <a16:creationId xmlns:a16="http://schemas.microsoft.com/office/drawing/2014/main" id="{B9981EAB-5324-493B-B066-9515476F653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47980" y="6128385"/>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79" name="Picture 78" descr="https://tse1.mm.bing.net/th?id=OIP.11IPUqok7qInEpcWmz9WawHaIZ&amp;pid=Api&amp;P=0">
          <a:extLst>
            <a:ext uri="{FF2B5EF4-FFF2-40B4-BE49-F238E27FC236}">
              <a16:creationId xmlns:a16="http://schemas.microsoft.com/office/drawing/2014/main" id="{227ED1B7-2526-4965-8ED4-4D15125EE12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25485" y="8101965"/>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80" name="Picture 79" descr="https://tse1.mm.bing.net/th?id=OIP.11IPUqok7qInEpcWmz9WawHaIZ&amp;pid=Api&amp;P=0">
          <a:extLst>
            <a:ext uri="{FF2B5EF4-FFF2-40B4-BE49-F238E27FC236}">
              <a16:creationId xmlns:a16="http://schemas.microsoft.com/office/drawing/2014/main" id="{1FF2530B-B20A-4DF9-907F-0BE1F809164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058370" y="8117205"/>
          <a:ext cx="219075" cy="247650"/>
        </a:xfrm>
        <a:prstGeom prst="rect">
          <a:avLst/>
        </a:prstGeom>
        <a:noFill/>
        <a:ln w="9525">
          <a:noFill/>
          <a:miter lim="800000"/>
          <a:headEnd/>
          <a:tailEnd/>
        </a:ln>
      </xdr:spPr>
    </xdr:pic>
    <xdr:clientData/>
  </xdr:oneCellAnchor>
  <xdr:oneCellAnchor>
    <xdr:from>
      <xdr:col>42</xdr:col>
      <xdr:colOff>97700</xdr:colOff>
      <xdr:row>50</xdr:row>
      <xdr:rowOff>170090</xdr:rowOff>
    </xdr:from>
    <xdr:ext cx="219075" cy="247650"/>
    <xdr:pic>
      <xdr:nvPicPr>
        <xdr:cNvPr id="81" name="Picture 80" descr="https://tse1.mm.bing.net/th?id=OIP.11IPUqok7qInEpcWmz9WawHaIZ&amp;pid=Api&amp;P=0">
          <a:extLst>
            <a:ext uri="{FF2B5EF4-FFF2-40B4-BE49-F238E27FC236}">
              <a16:creationId xmlns:a16="http://schemas.microsoft.com/office/drawing/2014/main" id="{FE2E23D3-DA85-4708-9A89-A9AC087F3EF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991843" y="10225769"/>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82" name="Straight Connector 81">
          <a:extLst>
            <a:ext uri="{FF2B5EF4-FFF2-40B4-BE49-F238E27FC236}">
              <a16:creationId xmlns:a16="http://schemas.microsoft.com/office/drawing/2014/main" id="{3FC6142B-AB97-405C-84E6-1D1DD9B7F3A3}"/>
            </a:ext>
          </a:extLst>
        </xdr:cNvPr>
        <xdr:cNvCxnSpPr/>
      </xdr:nvCxnSpPr>
      <xdr:spPr>
        <a:xfrm>
          <a:off x="17731740" y="18722340"/>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40821</xdr:colOff>
      <xdr:row>97</xdr:row>
      <xdr:rowOff>100560</xdr:rowOff>
    </xdr:from>
    <xdr:to>
      <xdr:col>57</xdr:col>
      <xdr:colOff>48441</xdr:colOff>
      <xdr:row>97</xdr:row>
      <xdr:rowOff>127363</xdr:rowOff>
    </xdr:to>
    <xdr:cxnSp macro="">
      <xdr:nvCxnSpPr>
        <xdr:cNvPr id="83" name="Straight Connector 82">
          <a:extLst>
            <a:ext uri="{FF2B5EF4-FFF2-40B4-BE49-F238E27FC236}">
              <a16:creationId xmlns:a16="http://schemas.microsoft.com/office/drawing/2014/main" id="{D6461DB0-F9B6-4671-8E85-6DBF77CB9D47}"/>
            </a:ext>
          </a:extLst>
        </xdr:cNvPr>
        <xdr:cNvCxnSpPr/>
      </xdr:nvCxnSpPr>
      <xdr:spPr>
        <a:xfrm>
          <a:off x="17403535" y="19694846"/>
          <a:ext cx="114376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168</xdr:row>
      <xdr:rowOff>45720</xdr:rowOff>
    </xdr:to>
    <xdr:cxnSp macro="">
      <xdr:nvCxnSpPr>
        <xdr:cNvPr id="84" name="Straight Connector 83">
          <a:extLst>
            <a:ext uri="{FF2B5EF4-FFF2-40B4-BE49-F238E27FC236}">
              <a16:creationId xmlns:a16="http://schemas.microsoft.com/office/drawing/2014/main" id="{17F6F22D-E443-44EA-83C4-B4406A5BC2D4}"/>
            </a:ext>
          </a:extLst>
        </xdr:cNvPr>
        <xdr:cNvCxnSpPr/>
      </xdr:nvCxnSpPr>
      <xdr:spPr>
        <a:xfrm flipH="1">
          <a:off x="17929860" y="19303362"/>
          <a:ext cx="1773" cy="1453705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85" name="Straight Connector 84">
          <a:extLst>
            <a:ext uri="{FF2B5EF4-FFF2-40B4-BE49-F238E27FC236}">
              <a16:creationId xmlns:a16="http://schemas.microsoft.com/office/drawing/2014/main" id="{BD51C608-826D-4CCC-920A-3795BEF71DFE}"/>
            </a:ext>
          </a:extLst>
        </xdr:cNvPr>
        <xdr:cNvCxnSpPr/>
      </xdr:nvCxnSpPr>
      <xdr:spPr>
        <a:xfrm>
          <a:off x="17922240" y="25344120"/>
          <a:ext cx="1143000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125</xdr:row>
      <xdr:rowOff>186017</xdr:rowOff>
    </xdr:from>
    <xdr:ext cx="219075" cy="247650"/>
    <xdr:pic>
      <xdr:nvPicPr>
        <xdr:cNvPr id="86" name="Picture 85" descr="https://tse1.mm.bing.net/th?id=OIP.11IPUqok7qInEpcWmz9WawHaIZ&amp;pid=Api&amp;P=0">
          <a:extLst>
            <a:ext uri="{FF2B5EF4-FFF2-40B4-BE49-F238E27FC236}">
              <a16:creationId xmlns:a16="http://schemas.microsoft.com/office/drawing/2014/main" id="{963CC4B4-B735-4578-BC18-866EAB795A9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392081" y="2492053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87" name="Picture 86" descr="https://tse1.mm.bing.net/th?id=OIP.11IPUqok7qInEpcWmz9WawHaIZ&amp;pid=Api&amp;P=0">
          <a:extLst>
            <a:ext uri="{FF2B5EF4-FFF2-40B4-BE49-F238E27FC236}">
              <a16:creationId xmlns:a16="http://schemas.microsoft.com/office/drawing/2014/main" id="{E9606AF2-22E5-4B0E-8796-DA476FF3689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544058" y="24934881"/>
          <a:ext cx="219075" cy="247650"/>
        </a:xfrm>
        <a:prstGeom prst="rect">
          <a:avLst/>
        </a:prstGeom>
        <a:noFill/>
        <a:ln w="9525">
          <a:noFill/>
          <a:miter lim="800000"/>
          <a:headEnd/>
          <a:tailEnd/>
        </a:ln>
      </xdr:spPr>
    </xdr:pic>
    <xdr:clientData/>
  </xdr:oneCellAnchor>
  <xdr:oneCellAnchor>
    <xdr:from>
      <xdr:col>24</xdr:col>
      <xdr:colOff>78441</xdr:colOff>
      <xdr:row>122</xdr:row>
      <xdr:rowOff>0</xdr:rowOff>
    </xdr:from>
    <xdr:ext cx="219075" cy="247650"/>
    <xdr:pic>
      <xdr:nvPicPr>
        <xdr:cNvPr id="88" name="Picture 87" descr="https://tse1.mm.bing.net/th?id=OIP.11IPUqok7qInEpcWmz9WawHaIZ&amp;pid=Api&amp;P=0">
          <a:extLst>
            <a:ext uri="{FF2B5EF4-FFF2-40B4-BE49-F238E27FC236}">
              <a16:creationId xmlns:a16="http://schemas.microsoft.com/office/drawing/2014/main" id="{9023D3ED-3755-42F6-A022-EBF5F03D7D5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671241" y="24132540"/>
          <a:ext cx="219075" cy="247650"/>
        </a:xfrm>
        <a:prstGeom prst="rect">
          <a:avLst/>
        </a:prstGeom>
        <a:noFill/>
        <a:ln w="9525">
          <a:noFill/>
          <a:miter lim="800000"/>
          <a:headEnd/>
          <a:tailEnd/>
        </a:ln>
      </xdr:spPr>
    </xdr:pic>
    <xdr:clientData/>
  </xdr:oneCellAnchor>
  <xdr:oneCellAnchor>
    <xdr:from>
      <xdr:col>34</xdr:col>
      <xdr:colOff>0</xdr:colOff>
      <xdr:row>154</xdr:row>
      <xdr:rowOff>0</xdr:rowOff>
    </xdr:from>
    <xdr:ext cx="219075" cy="247650"/>
    <xdr:pic>
      <xdr:nvPicPr>
        <xdr:cNvPr id="89" name="Picture 88" descr="https://tse1.mm.bing.net/th?id=OIP.11IPUqok7qInEpcWmz9WawHaIZ&amp;pid=Api&amp;P=0">
          <a:extLst>
            <a:ext uri="{FF2B5EF4-FFF2-40B4-BE49-F238E27FC236}">
              <a16:creationId xmlns:a16="http://schemas.microsoft.com/office/drawing/2014/main" id="{B64B1DBD-8125-4732-8990-C2E16D6E93F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945600" y="30921960"/>
          <a:ext cx="219075" cy="247650"/>
        </a:xfrm>
        <a:prstGeom prst="rect">
          <a:avLst/>
        </a:prstGeom>
        <a:noFill/>
        <a:ln w="9525">
          <a:noFill/>
          <a:miter lim="800000"/>
          <a:headEnd/>
          <a:tailEnd/>
        </a:ln>
      </xdr:spPr>
    </xdr:pic>
    <xdr:clientData/>
  </xdr:oneCellAnchor>
  <xdr:twoCellAnchor>
    <xdr:from>
      <xdr:col>22</xdr:col>
      <xdr:colOff>0</xdr:colOff>
      <xdr:row>168</xdr:row>
      <xdr:rowOff>60960</xdr:rowOff>
    </xdr:from>
    <xdr:to>
      <xdr:col>57</xdr:col>
      <xdr:colOff>7620</xdr:colOff>
      <xdr:row>168</xdr:row>
      <xdr:rowOff>87763</xdr:rowOff>
    </xdr:to>
    <xdr:cxnSp macro="">
      <xdr:nvCxnSpPr>
        <xdr:cNvPr id="90" name="Straight Connector 89">
          <a:extLst>
            <a:ext uri="{FF2B5EF4-FFF2-40B4-BE49-F238E27FC236}">
              <a16:creationId xmlns:a16="http://schemas.microsoft.com/office/drawing/2014/main" id="{E990066E-56CB-4524-A4BF-C4C3DCEAC62D}"/>
            </a:ext>
          </a:extLst>
        </xdr:cNvPr>
        <xdr:cNvCxnSpPr/>
      </xdr:nvCxnSpPr>
      <xdr:spPr>
        <a:xfrm>
          <a:off x="17922240" y="33855660"/>
          <a:ext cx="117424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312420</xdr:colOff>
      <xdr:row>98</xdr:row>
      <xdr:rowOff>9522</xdr:rowOff>
    </xdr:from>
    <xdr:to>
      <xdr:col>56</xdr:col>
      <xdr:colOff>314193</xdr:colOff>
      <xdr:row>168</xdr:row>
      <xdr:rowOff>7620</xdr:rowOff>
    </xdr:to>
    <xdr:cxnSp macro="">
      <xdr:nvCxnSpPr>
        <xdr:cNvPr id="91" name="Straight Connector 90">
          <a:extLst>
            <a:ext uri="{FF2B5EF4-FFF2-40B4-BE49-F238E27FC236}">
              <a16:creationId xmlns:a16="http://schemas.microsoft.com/office/drawing/2014/main" id="{9275AC29-B586-4255-A2BF-9E454D02EC10}"/>
            </a:ext>
          </a:extLst>
        </xdr:cNvPr>
        <xdr:cNvCxnSpPr/>
      </xdr:nvCxnSpPr>
      <xdr:spPr>
        <a:xfrm flipH="1">
          <a:off x="29443680" y="19250022"/>
          <a:ext cx="1773" cy="1517713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139513</xdr:colOff>
      <xdr:row>22</xdr:row>
      <xdr:rowOff>29212</xdr:rowOff>
    </xdr:to>
    <xdr:pic>
      <xdr:nvPicPr>
        <xdr:cNvPr id="2" name="Picture 1">
          <a:extLst>
            <a:ext uri="{FF2B5EF4-FFF2-40B4-BE49-F238E27FC236}">
              <a16:creationId xmlns:a16="http://schemas.microsoft.com/office/drawing/2014/main" id="{7AD2ED1E-5D62-474F-8420-B478CC38FA90}"/>
            </a:ext>
          </a:extLst>
        </xdr:cNvPr>
        <xdr:cNvPicPr/>
      </xdr:nvPicPr>
      <xdr:blipFill>
        <a:blip xmlns:r="http://schemas.openxmlformats.org/officeDocument/2006/relationships" r:embed="rId1" cstate="print"/>
        <a:srcRect b="17620"/>
        <a:stretch>
          <a:fillRect/>
        </a:stretch>
      </xdr:blipFill>
      <xdr:spPr>
        <a:xfrm>
          <a:off x="12163873" y="3743327"/>
          <a:ext cx="1053465" cy="514985"/>
        </a:xfrm>
        <a:prstGeom prst="rect">
          <a:avLst/>
        </a:prstGeom>
        <a:noFill/>
        <a:ln w="9525">
          <a:noFill/>
          <a:miter lim="800000"/>
          <a:headEnd/>
          <a:tailEnd/>
        </a:ln>
      </xdr:spPr>
    </xdr:pic>
    <xdr:clientData/>
  </xdr:twoCellAnchor>
  <xdr:oneCellAnchor>
    <xdr:from>
      <xdr:col>45</xdr:col>
      <xdr:colOff>220980</xdr:colOff>
      <xdr:row>62</xdr:row>
      <xdr:rowOff>78105</xdr:rowOff>
    </xdr:from>
    <xdr:ext cx="219075" cy="247650"/>
    <xdr:pic>
      <xdr:nvPicPr>
        <xdr:cNvPr id="3" name="Picture 2" descr="https://tse1.mm.bing.net/th?id=OIP.11IPUqok7qInEpcWmz9WawHaIZ&amp;pid=Api&amp;P=0">
          <a:extLst>
            <a:ext uri="{FF2B5EF4-FFF2-40B4-BE49-F238E27FC236}">
              <a16:creationId xmlns:a16="http://schemas.microsoft.com/office/drawing/2014/main" id="{9CF9FDE2-AB07-42F6-9EC0-4AD47441601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57405" y="12451080"/>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C2C468CB-9ED6-45D1-8E71-B17E8AE6CE28}"/>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83</xdr:row>
      <xdr:rowOff>19053</xdr:rowOff>
    </xdr:to>
    <xdr:cxnSp macro="">
      <xdr:nvCxnSpPr>
        <xdr:cNvPr id="5" name="Straight Connector 4">
          <a:extLst>
            <a:ext uri="{FF2B5EF4-FFF2-40B4-BE49-F238E27FC236}">
              <a16:creationId xmlns:a16="http://schemas.microsoft.com/office/drawing/2014/main" id="{41394F95-2B35-4250-99FD-794A5AB72B3B}"/>
            </a:ext>
          </a:extLst>
        </xdr:cNvPr>
        <xdr:cNvCxnSpPr/>
      </xdr:nvCxnSpPr>
      <xdr:spPr>
        <a:xfrm>
          <a:off x="17308606" y="3629026"/>
          <a:ext cx="7844" cy="1539240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83</xdr:row>
      <xdr:rowOff>9525</xdr:rowOff>
    </xdr:to>
    <xdr:cxnSp macro="">
      <xdr:nvCxnSpPr>
        <xdr:cNvPr id="6" name="Straight Connector 5">
          <a:extLst>
            <a:ext uri="{FF2B5EF4-FFF2-40B4-BE49-F238E27FC236}">
              <a16:creationId xmlns:a16="http://schemas.microsoft.com/office/drawing/2014/main" id="{53DA0DCD-00B4-4594-BCB2-9CA132D0D497}"/>
            </a:ext>
          </a:extLst>
        </xdr:cNvPr>
        <xdr:cNvCxnSpPr/>
      </xdr:nvCxnSpPr>
      <xdr:spPr>
        <a:xfrm>
          <a:off x="28595733" y="3667125"/>
          <a:ext cx="36417" cy="153447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B742E102-3539-4D5E-B17A-EC13FEFDB2D8}"/>
            </a:ext>
          </a:extLst>
        </xdr:cNvPr>
        <xdr:cNvPicPr/>
      </xdr:nvPicPr>
      <xdr:blipFill>
        <a:blip xmlns:r="http://schemas.openxmlformats.org/officeDocument/2006/relationships" r:embed="rId4" cstate="print"/>
        <a:srcRect/>
        <a:stretch>
          <a:fillRect/>
        </a:stretch>
      </xdr:blipFill>
      <xdr:spPr bwMode="auto">
        <a:xfrm>
          <a:off x="221265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67E3BA33-3A23-44B7-9D51-7A62520EB731}"/>
            </a:ext>
          </a:extLst>
        </xdr:cNvPr>
        <xdr:cNvCxnSpPr/>
      </xdr:nvCxnSpPr>
      <xdr:spPr>
        <a:xfrm flipV="1">
          <a:off x="17287875" y="97536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0FE11F62-ACA6-4198-9D30-010A024A131D}"/>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7BC0EC67-D4FD-453E-8255-5B00A2F4239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7697450" y="6294120"/>
          <a:ext cx="219075" cy="247650"/>
        </a:xfrm>
        <a:prstGeom prst="rect">
          <a:avLst/>
        </a:prstGeom>
        <a:noFill/>
        <a:ln w="9525">
          <a:noFill/>
          <a:miter lim="800000"/>
          <a:headEnd/>
          <a:tailEnd/>
        </a:ln>
      </xdr:spPr>
    </xdr:pic>
    <xdr:clientData/>
  </xdr:oneCellAnchor>
  <xdr:oneCellAnchor>
    <xdr:from>
      <xdr:col>30</xdr:col>
      <xdr:colOff>95250</xdr:colOff>
      <xdr:row>32</xdr:row>
      <xdr:rowOff>167640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50439C41-A347-406C-AF1E-F0780D853D0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973925" y="6492240"/>
          <a:ext cx="219075" cy="247650"/>
        </a:xfrm>
        <a:prstGeom prst="rect">
          <a:avLst/>
        </a:prstGeom>
        <a:noFill/>
        <a:ln w="9525">
          <a:noFill/>
          <a:miter lim="800000"/>
          <a:headEnd/>
          <a:tailEnd/>
        </a:ln>
      </xdr:spPr>
    </xdr:pic>
    <xdr:clientData/>
  </xdr:oneCellAnchor>
  <xdr:oneCellAnchor>
    <xdr:from>
      <xdr:col>38</xdr:col>
      <xdr:colOff>85725</xdr:colOff>
      <xdr:row>34</xdr:row>
      <xdr:rowOff>188595</xdr:rowOff>
    </xdr:from>
    <xdr:ext cx="219075" cy="247650"/>
    <xdr:pic>
      <xdr:nvPicPr>
        <xdr:cNvPr id="13" name="Picture 12" descr="https://tse1.mm.bing.net/th?id=OIP.11IPUqok7qInEpcWmz9WawHaIZ&amp;pid=Api&amp;P=0">
          <a:extLst>
            <a:ext uri="{FF2B5EF4-FFF2-40B4-BE49-F238E27FC236}">
              <a16:creationId xmlns:a16="http://schemas.microsoft.com/office/drawing/2014/main" id="{2642E8F3-45EC-4177-9CC7-A25E3306FFF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555200" y="6913245"/>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74E5D840-BE88-4BD7-9D03-DABBE1D55B7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507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6E91E233-D33F-4C22-BDF9-1BC0B07CB18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288250" y="82981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F3D2C403-8925-4981-9277-A2176C89839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183975" y="8313420"/>
          <a:ext cx="219075" cy="247650"/>
        </a:xfrm>
        <a:prstGeom prst="rect">
          <a:avLst/>
        </a:prstGeom>
        <a:noFill/>
        <a:ln w="9525">
          <a:noFill/>
          <a:miter lim="800000"/>
          <a:headEnd/>
          <a:tailEnd/>
        </a:ln>
      </xdr:spPr>
    </xdr:pic>
    <xdr:clientData/>
  </xdr:oneCellAnchor>
  <xdr:oneCellAnchor>
    <xdr:from>
      <xdr:col>42</xdr:col>
      <xdr:colOff>108585</xdr:colOff>
      <xdr:row>50</xdr:row>
      <xdr:rowOff>161925</xdr:rowOff>
    </xdr:from>
    <xdr:ext cx="219075" cy="247650"/>
    <xdr:pic>
      <xdr:nvPicPr>
        <xdr:cNvPr id="17" name="Picture 16" descr="https://tse1.mm.bing.net/th?id=OIP.11IPUqok7qInEpcWmz9WawHaIZ&amp;pid=Api&amp;P=0">
          <a:extLst>
            <a:ext uri="{FF2B5EF4-FFF2-40B4-BE49-F238E27FC236}">
              <a16:creationId xmlns:a16="http://schemas.microsoft.com/office/drawing/2014/main" id="{ACAC85E5-4EF8-4ADA-A76F-3B4048C92D5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873460" y="10115550"/>
          <a:ext cx="219075" cy="247650"/>
        </a:xfrm>
        <a:prstGeom prst="rect">
          <a:avLst/>
        </a:prstGeom>
        <a:noFill/>
        <a:ln w="9525">
          <a:noFill/>
          <a:miter lim="800000"/>
          <a:headEnd/>
          <a:tailEnd/>
        </a:ln>
      </xdr:spPr>
    </xdr:pic>
    <xdr:clientData/>
  </xdr:oneCellAnchor>
  <xdr:twoCellAnchor>
    <xdr:from>
      <xdr:col>22</xdr:col>
      <xdr:colOff>9525</xdr:colOff>
      <xdr:row>94</xdr:row>
      <xdr:rowOff>173355</xdr:rowOff>
    </xdr:from>
    <xdr:to>
      <xdr:col>57</xdr:col>
      <xdr:colOff>7620</xdr:colOff>
      <xdr:row>94</xdr:row>
      <xdr:rowOff>181199</xdr:rowOff>
    </xdr:to>
    <xdr:cxnSp macro="">
      <xdr:nvCxnSpPr>
        <xdr:cNvPr id="18" name="Straight Connector 17">
          <a:extLst>
            <a:ext uri="{FF2B5EF4-FFF2-40B4-BE49-F238E27FC236}">
              <a16:creationId xmlns:a16="http://schemas.microsoft.com/office/drawing/2014/main" id="{E81B9E3D-3E17-4E0B-BFE1-436A6C536249}"/>
            </a:ext>
          </a:extLst>
        </xdr:cNvPr>
        <xdr:cNvCxnSpPr/>
      </xdr:nvCxnSpPr>
      <xdr:spPr>
        <a:xfrm>
          <a:off x="17297400" y="18985230"/>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97</xdr:row>
      <xdr:rowOff>18917</xdr:rowOff>
    </xdr:from>
    <xdr:to>
      <xdr:col>57</xdr:col>
      <xdr:colOff>7620</xdr:colOff>
      <xdr:row>97</xdr:row>
      <xdr:rowOff>45720</xdr:rowOff>
    </xdr:to>
    <xdr:cxnSp macro="">
      <xdr:nvCxnSpPr>
        <xdr:cNvPr id="19" name="Straight Connector 18">
          <a:extLst>
            <a:ext uri="{FF2B5EF4-FFF2-40B4-BE49-F238E27FC236}">
              <a16:creationId xmlns:a16="http://schemas.microsoft.com/office/drawing/2014/main" id="{F6560221-4B96-425C-A071-2095FA07415F}"/>
            </a:ext>
          </a:extLst>
        </xdr:cNvPr>
        <xdr:cNvCxnSpPr/>
      </xdr:nvCxnSpPr>
      <xdr:spPr>
        <a:xfrm>
          <a:off x="17287875" y="1959279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97</xdr:row>
      <xdr:rowOff>47622</xdr:rowOff>
    </xdr:from>
    <xdr:to>
      <xdr:col>22</xdr:col>
      <xdr:colOff>9393</xdr:colOff>
      <xdr:row>167</xdr:row>
      <xdr:rowOff>45720</xdr:rowOff>
    </xdr:to>
    <xdr:cxnSp macro="">
      <xdr:nvCxnSpPr>
        <xdr:cNvPr id="20" name="Straight Connector 19">
          <a:extLst>
            <a:ext uri="{FF2B5EF4-FFF2-40B4-BE49-F238E27FC236}">
              <a16:creationId xmlns:a16="http://schemas.microsoft.com/office/drawing/2014/main" id="{2FFC7C5B-FF87-47FC-BF0C-DD04878C8FBE}"/>
            </a:ext>
          </a:extLst>
        </xdr:cNvPr>
        <xdr:cNvCxnSpPr/>
      </xdr:nvCxnSpPr>
      <xdr:spPr>
        <a:xfrm flipH="1">
          <a:off x="17295495" y="19621497"/>
          <a:ext cx="1773" cy="153904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127</xdr:row>
      <xdr:rowOff>0</xdr:rowOff>
    </xdr:from>
    <xdr:to>
      <xdr:col>56</xdr:col>
      <xdr:colOff>30480</xdr:colOff>
      <xdr:row>127</xdr:row>
      <xdr:rowOff>38100</xdr:rowOff>
    </xdr:to>
    <xdr:cxnSp macro="">
      <xdr:nvCxnSpPr>
        <xdr:cNvPr id="21" name="Straight Connector 20">
          <a:extLst>
            <a:ext uri="{FF2B5EF4-FFF2-40B4-BE49-F238E27FC236}">
              <a16:creationId xmlns:a16="http://schemas.microsoft.com/office/drawing/2014/main" id="{DDE380B4-6B30-4ADC-BBCA-F4E2E90E4653}"/>
            </a:ext>
          </a:extLst>
        </xdr:cNvPr>
        <xdr:cNvCxnSpPr/>
      </xdr:nvCxnSpPr>
      <xdr:spPr>
        <a:xfrm>
          <a:off x="17287875" y="26336625"/>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124</xdr:row>
      <xdr:rowOff>186017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D9A0DD90-B3C7-4805-9428-FDA3E0EFE97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06256" y="25903517"/>
          <a:ext cx="219075" cy="247650"/>
        </a:xfrm>
        <a:prstGeom prst="rect">
          <a:avLst/>
        </a:prstGeom>
        <a:noFill/>
        <a:ln w="9525">
          <a:noFill/>
          <a:miter lim="800000"/>
          <a:headEnd/>
          <a:tailEnd/>
        </a:ln>
      </xdr:spPr>
    </xdr:pic>
    <xdr:clientData/>
  </xdr:oneCellAnchor>
  <xdr:oneCellAnchor>
    <xdr:from>
      <xdr:col>50</xdr:col>
      <xdr:colOff>233978</xdr:colOff>
      <xdr:row>124</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CBAFAACE-CE62-49B3-A704-A1A91ADC488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589653" y="25917861"/>
          <a:ext cx="219075" cy="247650"/>
        </a:xfrm>
        <a:prstGeom prst="rect">
          <a:avLst/>
        </a:prstGeom>
        <a:noFill/>
        <a:ln w="9525">
          <a:noFill/>
          <a:miter lim="800000"/>
          <a:headEnd/>
          <a:tailEnd/>
        </a:ln>
      </xdr:spPr>
    </xdr:pic>
    <xdr:clientData/>
  </xdr:oneCellAnchor>
  <xdr:oneCellAnchor>
    <xdr:from>
      <xdr:col>24</xdr:col>
      <xdr:colOff>78441</xdr:colOff>
      <xdr:row>121</xdr:row>
      <xdr:rowOff>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B20C2FFC-ABF8-4A90-9CF8-A1410FAFB23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014016" y="25107900"/>
          <a:ext cx="219075" cy="247650"/>
        </a:xfrm>
        <a:prstGeom prst="rect">
          <a:avLst/>
        </a:prstGeom>
        <a:noFill/>
        <a:ln w="9525">
          <a:noFill/>
          <a:miter lim="800000"/>
          <a:headEnd/>
          <a:tailEnd/>
        </a:ln>
      </xdr:spPr>
    </xdr:pic>
    <xdr:clientData/>
  </xdr:oneCellAnchor>
  <xdr:oneCellAnchor>
    <xdr:from>
      <xdr:col>34</xdr:col>
      <xdr:colOff>0</xdr:colOff>
      <xdr:row>153</xdr:row>
      <xdr:rowOff>0</xdr:rowOff>
    </xdr:from>
    <xdr:ext cx="219075" cy="247650"/>
    <xdr:pic>
      <xdr:nvPicPr>
        <xdr:cNvPr id="25" name="Picture 24" descr="https://tse1.mm.bing.net/th?id=OIP.11IPUqok7qInEpcWmz9WawHaIZ&amp;pid=Api&amp;P=0">
          <a:extLst>
            <a:ext uri="{FF2B5EF4-FFF2-40B4-BE49-F238E27FC236}">
              <a16:creationId xmlns:a16="http://schemas.microsoft.com/office/drawing/2014/main" id="{CB907BCA-4EC1-4898-B417-AEFD71A5564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174075" y="32042100"/>
          <a:ext cx="219075" cy="247650"/>
        </a:xfrm>
        <a:prstGeom prst="rect">
          <a:avLst/>
        </a:prstGeom>
        <a:noFill/>
        <a:ln w="9525">
          <a:noFill/>
          <a:miter lim="800000"/>
          <a:headEnd/>
          <a:tailEnd/>
        </a:ln>
      </xdr:spPr>
    </xdr:pic>
    <xdr:clientData/>
  </xdr:oneCellAnchor>
  <xdr:twoCellAnchor>
    <xdr:from>
      <xdr:col>22</xdr:col>
      <xdr:colOff>0</xdr:colOff>
      <xdr:row>167</xdr:row>
      <xdr:rowOff>60960</xdr:rowOff>
    </xdr:from>
    <xdr:to>
      <xdr:col>57</xdr:col>
      <xdr:colOff>7620</xdr:colOff>
      <xdr:row>167</xdr:row>
      <xdr:rowOff>87763</xdr:rowOff>
    </xdr:to>
    <xdr:cxnSp macro="">
      <xdr:nvCxnSpPr>
        <xdr:cNvPr id="26" name="Straight Connector 25">
          <a:extLst>
            <a:ext uri="{FF2B5EF4-FFF2-40B4-BE49-F238E27FC236}">
              <a16:creationId xmlns:a16="http://schemas.microsoft.com/office/drawing/2014/main" id="{D920C48E-3DD2-49E3-A15D-448452E8FA91}"/>
            </a:ext>
          </a:extLst>
        </xdr:cNvPr>
        <xdr:cNvCxnSpPr/>
      </xdr:nvCxnSpPr>
      <xdr:spPr>
        <a:xfrm>
          <a:off x="17287875" y="35027235"/>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312420</xdr:colOff>
      <xdr:row>97</xdr:row>
      <xdr:rowOff>9522</xdr:rowOff>
    </xdr:from>
    <xdr:to>
      <xdr:col>56</xdr:col>
      <xdr:colOff>314193</xdr:colOff>
      <xdr:row>167</xdr:row>
      <xdr:rowOff>7620</xdr:rowOff>
    </xdr:to>
    <xdr:cxnSp macro="">
      <xdr:nvCxnSpPr>
        <xdr:cNvPr id="27" name="Straight Connector 26">
          <a:extLst>
            <a:ext uri="{FF2B5EF4-FFF2-40B4-BE49-F238E27FC236}">
              <a16:creationId xmlns:a16="http://schemas.microsoft.com/office/drawing/2014/main" id="{EAA9B769-2591-456F-BAB9-BE4520F1B564}"/>
            </a:ext>
          </a:extLst>
        </xdr:cNvPr>
        <xdr:cNvCxnSpPr/>
      </xdr:nvCxnSpPr>
      <xdr:spPr>
        <a:xfrm flipH="1">
          <a:off x="28611195" y="19583397"/>
          <a:ext cx="1773" cy="153904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220980</xdr:colOff>
      <xdr:row>62</xdr:row>
      <xdr:rowOff>78105</xdr:rowOff>
    </xdr:from>
    <xdr:ext cx="219075" cy="247650"/>
    <xdr:pic>
      <xdr:nvPicPr>
        <xdr:cNvPr id="58" name="Picture 57" descr="https://tse1.mm.bing.net/th?id=OIP.11IPUqok7qInEpcWmz9WawHaIZ&amp;pid=Api&amp;P=0">
          <a:extLst>
            <a:ext uri="{FF2B5EF4-FFF2-40B4-BE49-F238E27FC236}">
              <a16:creationId xmlns:a16="http://schemas.microsoft.com/office/drawing/2014/main" id="{D321094C-AEBD-4F9A-B6B4-2C1C639B81A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57405" y="12451080"/>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59" name="Straight Connector 58">
          <a:extLst>
            <a:ext uri="{FF2B5EF4-FFF2-40B4-BE49-F238E27FC236}">
              <a16:creationId xmlns:a16="http://schemas.microsoft.com/office/drawing/2014/main" id="{960F4FE6-434B-4A46-A229-62C483224763}"/>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60" name="Straight Connector 59">
          <a:extLst>
            <a:ext uri="{FF2B5EF4-FFF2-40B4-BE49-F238E27FC236}">
              <a16:creationId xmlns:a16="http://schemas.microsoft.com/office/drawing/2014/main" id="{059F6600-2998-478D-97C2-0AE166D67A80}"/>
            </a:ext>
          </a:extLst>
        </xdr:cNvPr>
        <xdr:cNvCxnSpPr/>
      </xdr:nvCxnSpPr>
      <xdr:spPr>
        <a:xfrm>
          <a:off x="17308606" y="3629026"/>
          <a:ext cx="7844" cy="1539240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1" name="Straight Connector 60">
          <a:extLst>
            <a:ext uri="{FF2B5EF4-FFF2-40B4-BE49-F238E27FC236}">
              <a16:creationId xmlns:a16="http://schemas.microsoft.com/office/drawing/2014/main" id="{9D784443-E3E5-4A9D-A8BF-D51EBC9CDBE3}"/>
            </a:ext>
          </a:extLst>
        </xdr:cNvPr>
        <xdr:cNvCxnSpPr/>
      </xdr:nvCxnSpPr>
      <xdr:spPr>
        <a:xfrm>
          <a:off x="28595733" y="3667125"/>
          <a:ext cx="36417" cy="153447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62" name="Picture 61">
          <a:extLst>
            <a:ext uri="{FF2B5EF4-FFF2-40B4-BE49-F238E27FC236}">
              <a16:creationId xmlns:a16="http://schemas.microsoft.com/office/drawing/2014/main" id="{A61F7AA0-D06C-489B-8A8A-77396A36E98E}"/>
            </a:ext>
          </a:extLst>
        </xdr:cNvPr>
        <xdr:cNvPicPr/>
      </xdr:nvPicPr>
      <xdr:blipFill>
        <a:blip xmlns:r="http://schemas.openxmlformats.org/officeDocument/2006/relationships" r:embed="rId4" cstate="print"/>
        <a:srcRect/>
        <a:stretch>
          <a:fillRect/>
        </a:stretch>
      </xdr:blipFill>
      <xdr:spPr bwMode="auto">
        <a:xfrm>
          <a:off x="221265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63" name="Straight Connector 62">
          <a:extLst>
            <a:ext uri="{FF2B5EF4-FFF2-40B4-BE49-F238E27FC236}">
              <a16:creationId xmlns:a16="http://schemas.microsoft.com/office/drawing/2014/main" id="{536F9229-C7B3-4AB0-BF33-24EFE1E0FC78}"/>
            </a:ext>
          </a:extLst>
        </xdr:cNvPr>
        <xdr:cNvCxnSpPr/>
      </xdr:nvCxnSpPr>
      <xdr:spPr>
        <a:xfrm flipV="1">
          <a:off x="17287875" y="97536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64" name="Straight Connector 63">
          <a:extLst>
            <a:ext uri="{FF2B5EF4-FFF2-40B4-BE49-F238E27FC236}">
              <a16:creationId xmlns:a16="http://schemas.microsoft.com/office/drawing/2014/main" id="{9E50A307-83B4-465E-A097-6D04C2F8C0AA}"/>
            </a:ext>
          </a:extLst>
        </xdr:cNvPr>
        <xdr:cNvCxnSpPr/>
      </xdr:nvCxnSpPr>
      <xdr:spPr>
        <a:xfrm>
          <a:off x="17310735" y="17584831"/>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65" name="Straight Connector 64">
          <a:extLst>
            <a:ext uri="{FF2B5EF4-FFF2-40B4-BE49-F238E27FC236}">
              <a16:creationId xmlns:a16="http://schemas.microsoft.com/office/drawing/2014/main" id="{980F843F-D99D-40CC-AF8E-5488A21D501F}"/>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66" name="Picture 65" descr="https://tse1.mm.bing.net/th?id=OIP.11IPUqok7qInEpcWmz9WawHaIZ&amp;pid=Api&amp;P=0">
          <a:extLst>
            <a:ext uri="{FF2B5EF4-FFF2-40B4-BE49-F238E27FC236}">
              <a16:creationId xmlns:a16="http://schemas.microsoft.com/office/drawing/2014/main" id="{30EDEA7B-D153-4543-8444-1C2BA5584FB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7697450" y="6294120"/>
          <a:ext cx="219075" cy="247650"/>
        </a:xfrm>
        <a:prstGeom prst="rect">
          <a:avLst/>
        </a:prstGeom>
        <a:noFill/>
        <a:ln w="9525">
          <a:noFill/>
          <a:miter lim="800000"/>
          <a:headEnd/>
          <a:tailEnd/>
        </a:ln>
      </xdr:spPr>
    </xdr:pic>
    <xdr:clientData/>
  </xdr:oneCellAnchor>
  <xdr:oneCellAnchor>
    <xdr:from>
      <xdr:col>30</xdr:col>
      <xdr:colOff>95250</xdr:colOff>
      <xdr:row>32</xdr:row>
      <xdr:rowOff>167640</xdr:rowOff>
    </xdr:from>
    <xdr:ext cx="219075" cy="247650"/>
    <xdr:pic>
      <xdr:nvPicPr>
        <xdr:cNvPr id="67" name="Picture 66" descr="https://tse1.mm.bing.net/th?id=OIP.11IPUqok7qInEpcWmz9WawHaIZ&amp;pid=Api&amp;P=0">
          <a:extLst>
            <a:ext uri="{FF2B5EF4-FFF2-40B4-BE49-F238E27FC236}">
              <a16:creationId xmlns:a16="http://schemas.microsoft.com/office/drawing/2014/main" id="{796EF4F2-B058-45A8-A9C2-C01C4BFCA87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973925" y="6492240"/>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69" name="Picture 68" descr="https://tse1.mm.bing.net/th?id=OIP.11IPUqok7qInEpcWmz9WawHaIZ&amp;pid=Api&amp;P=0">
          <a:extLst>
            <a:ext uri="{FF2B5EF4-FFF2-40B4-BE49-F238E27FC236}">
              <a16:creationId xmlns:a16="http://schemas.microsoft.com/office/drawing/2014/main" id="{86535F20-9B5C-4F96-92C1-A9AEBE0A682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50725" y="6301740"/>
          <a:ext cx="219075" cy="247650"/>
        </a:xfrm>
        <a:prstGeom prst="rect">
          <a:avLst/>
        </a:prstGeom>
        <a:noFill/>
        <a:ln w="9525">
          <a:noFill/>
          <a:miter lim="800000"/>
          <a:headEnd/>
          <a:tailEnd/>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139513</xdr:colOff>
      <xdr:row>22</xdr:row>
      <xdr:rowOff>29212</xdr:rowOff>
    </xdr:to>
    <xdr:pic>
      <xdr:nvPicPr>
        <xdr:cNvPr id="2" name="Picture 1">
          <a:extLst>
            <a:ext uri="{FF2B5EF4-FFF2-40B4-BE49-F238E27FC236}">
              <a16:creationId xmlns:a16="http://schemas.microsoft.com/office/drawing/2014/main" id="{1D405B32-05DC-47A7-8662-CEC27FBF9B9A}"/>
            </a:ext>
          </a:extLst>
        </xdr:cNvPr>
        <xdr:cNvPicPr/>
      </xdr:nvPicPr>
      <xdr:blipFill>
        <a:blip xmlns:r="http://schemas.openxmlformats.org/officeDocument/2006/relationships" r:embed="rId1" cstate="print"/>
        <a:srcRect b="17620"/>
        <a:stretch>
          <a:fillRect/>
        </a:stretch>
      </xdr:blipFill>
      <xdr:spPr>
        <a:xfrm>
          <a:off x="12163873" y="3743327"/>
          <a:ext cx="1053465" cy="514985"/>
        </a:xfrm>
        <a:prstGeom prst="rect">
          <a:avLst/>
        </a:prstGeom>
        <a:noFill/>
        <a:ln w="9525">
          <a:noFill/>
          <a:miter lim="800000"/>
          <a:headEnd/>
          <a:tailEnd/>
        </a:ln>
      </xdr:spPr>
    </xdr:pic>
    <xdr:clientData/>
  </xdr:twoCellAnchor>
  <xdr:oneCellAnchor>
    <xdr:from>
      <xdr:col>45</xdr:col>
      <xdr:colOff>220980</xdr:colOff>
      <xdr:row>62</xdr:row>
      <xdr:rowOff>78105</xdr:rowOff>
    </xdr:from>
    <xdr:ext cx="219075" cy="247650"/>
    <xdr:pic>
      <xdr:nvPicPr>
        <xdr:cNvPr id="3" name="Picture 2" descr="https://tse1.mm.bing.net/th?id=OIP.11IPUqok7qInEpcWmz9WawHaIZ&amp;pid=Api&amp;P=0">
          <a:extLst>
            <a:ext uri="{FF2B5EF4-FFF2-40B4-BE49-F238E27FC236}">
              <a16:creationId xmlns:a16="http://schemas.microsoft.com/office/drawing/2014/main" id="{543A459C-ADC7-4809-B3B3-7C126B273EF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57405" y="124415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262C2D61-1644-4AFA-A73F-D71B5F9AF928}"/>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275721B1-B8EA-4E57-95C9-B7508301E262}"/>
            </a:ext>
          </a:extLst>
        </xdr:cNvPr>
        <xdr:cNvCxnSpPr/>
      </xdr:nvCxnSpPr>
      <xdr:spPr>
        <a:xfrm>
          <a:off x="17308606" y="3629026"/>
          <a:ext cx="7844" cy="153733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ECE8E8E1-F190-4E86-9E18-86D17967FD3C}"/>
            </a:ext>
          </a:extLst>
        </xdr:cNvPr>
        <xdr:cNvCxnSpPr/>
      </xdr:nvCxnSpPr>
      <xdr:spPr>
        <a:xfrm>
          <a:off x="28595733" y="3667125"/>
          <a:ext cx="36417" cy="153257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11C4E989-3DED-4331-A853-E046AE97A79F}"/>
            </a:ext>
          </a:extLst>
        </xdr:cNvPr>
        <xdr:cNvPicPr/>
      </xdr:nvPicPr>
      <xdr:blipFill>
        <a:blip xmlns:r="http://schemas.openxmlformats.org/officeDocument/2006/relationships" r:embed="rId4" cstate="print"/>
        <a:srcRect/>
        <a:stretch>
          <a:fillRect/>
        </a:stretch>
      </xdr:blipFill>
      <xdr:spPr bwMode="auto">
        <a:xfrm>
          <a:off x="221265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4A1296D0-504D-4A59-AE2D-CC128C52773A}"/>
            </a:ext>
          </a:extLst>
        </xdr:cNvPr>
        <xdr:cNvCxnSpPr/>
      </xdr:nvCxnSpPr>
      <xdr:spPr>
        <a:xfrm flipV="1">
          <a:off x="17287875" y="97536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7938A6A9-2EE7-40B2-933B-5D4AAA93228D}"/>
            </a:ext>
          </a:extLst>
        </xdr:cNvPr>
        <xdr:cNvCxnSpPr/>
      </xdr:nvCxnSpPr>
      <xdr:spPr>
        <a:xfrm>
          <a:off x="17310735" y="17565781"/>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5AFB36E5-776A-46F7-8EB4-76700F3BC723}"/>
            </a:ext>
          </a:extLst>
        </xdr:cNvPr>
        <xdr:cNvCxnSpPr/>
      </xdr:nvCxnSpPr>
      <xdr:spPr>
        <a:xfrm flipV="1">
          <a:off x="172878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E4A2C6A8-5F2D-45E2-9C08-891E6A62E59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7697450" y="6294120"/>
          <a:ext cx="219075" cy="247650"/>
        </a:xfrm>
        <a:prstGeom prst="rect">
          <a:avLst/>
        </a:prstGeom>
        <a:noFill/>
        <a:ln w="9525">
          <a:noFill/>
          <a:miter lim="800000"/>
          <a:headEnd/>
          <a:tailEnd/>
        </a:ln>
      </xdr:spPr>
    </xdr:pic>
    <xdr:clientData/>
  </xdr:oneCellAnchor>
  <xdr:oneCellAnchor>
    <xdr:from>
      <xdr:col>30</xdr:col>
      <xdr:colOff>95250</xdr:colOff>
      <xdr:row>32</xdr:row>
      <xdr:rowOff>167640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41DD43FB-BA68-4247-A22F-D2B1D233EEC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973925" y="6492240"/>
          <a:ext cx="219075" cy="247650"/>
        </a:xfrm>
        <a:prstGeom prst="rect">
          <a:avLst/>
        </a:prstGeom>
        <a:noFill/>
        <a:ln w="9525">
          <a:noFill/>
          <a:miter lim="800000"/>
          <a:headEnd/>
          <a:tailEnd/>
        </a:ln>
      </xdr:spPr>
    </xdr:pic>
    <xdr:clientData/>
  </xdr:oneCellAnchor>
  <xdr:oneCellAnchor>
    <xdr:from>
      <xdr:col>38</xdr:col>
      <xdr:colOff>95250</xdr:colOff>
      <xdr:row>35</xdr:row>
      <xdr:rowOff>179070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50621B21-8F17-4F8B-8116-73355E881F8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564725" y="7113270"/>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CD8FC1D1-56F4-4BC7-B40F-F55C60A49AD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507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01038588-7295-452D-94E2-606C969CDA5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288250" y="82981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637CB965-E5E2-42BF-B8C1-EF2D7AE5266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183975" y="831342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8" name="Straight Connector 17">
          <a:extLst>
            <a:ext uri="{FF2B5EF4-FFF2-40B4-BE49-F238E27FC236}">
              <a16:creationId xmlns:a16="http://schemas.microsoft.com/office/drawing/2014/main" id="{C8EB2378-365C-4025-853E-50C4C6B71F5E}"/>
            </a:ext>
          </a:extLst>
        </xdr:cNvPr>
        <xdr:cNvCxnSpPr/>
      </xdr:nvCxnSpPr>
      <xdr:spPr>
        <a:xfrm>
          <a:off x="17287875" y="190138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9" name="Straight Connector 18">
          <a:extLst>
            <a:ext uri="{FF2B5EF4-FFF2-40B4-BE49-F238E27FC236}">
              <a16:creationId xmlns:a16="http://schemas.microsoft.com/office/drawing/2014/main" id="{CB2C5946-DFC3-4978-9506-E32AD472E66C}"/>
            </a:ext>
          </a:extLst>
        </xdr:cNvPr>
        <xdr:cNvCxnSpPr/>
      </xdr:nvCxnSpPr>
      <xdr:spPr>
        <a:xfrm>
          <a:off x="17287875" y="195737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26670</xdr:colOff>
      <xdr:row>98</xdr:row>
      <xdr:rowOff>47622</xdr:rowOff>
    </xdr:from>
    <xdr:to>
      <xdr:col>22</xdr:col>
      <xdr:colOff>28443</xdr:colOff>
      <xdr:row>168</xdr:row>
      <xdr:rowOff>45720</xdr:rowOff>
    </xdr:to>
    <xdr:cxnSp macro="">
      <xdr:nvCxnSpPr>
        <xdr:cNvPr id="20" name="Straight Connector 19">
          <a:extLst>
            <a:ext uri="{FF2B5EF4-FFF2-40B4-BE49-F238E27FC236}">
              <a16:creationId xmlns:a16="http://schemas.microsoft.com/office/drawing/2014/main" id="{16C1D301-8F93-4AF4-99B2-1C4C98039682}"/>
            </a:ext>
          </a:extLst>
        </xdr:cNvPr>
        <xdr:cNvCxnSpPr/>
      </xdr:nvCxnSpPr>
      <xdr:spPr>
        <a:xfrm flipH="1">
          <a:off x="17314545" y="19621497"/>
          <a:ext cx="1773" cy="1540002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21" name="Straight Connector 20">
          <a:extLst>
            <a:ext uri="{FF2B5EF4-FFF2-40B4-BE49-F238E27FC236}">
              <a16:creationId xmlns:a16="http://schemas.microsoft.com/office/drawing/2014/main" id="{F8E4AC6A-8B03-4641-ACC7-389E733D81DF}"/>
            </a:ext>
          </a:extLst>
        </xdr:cNvPr>
        <xdr:cNvCxnSpPr/>
      </xdr:nvCxnSpPr>
      <xdr:spPr>
        <a:xfrm>
          <a:off x="17287875" y="26317575"/>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125</xdr:row>
      <xdr:rowOff>186017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9F64337D-0C97-4336-B9BC-9771AE3DD67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06256" y="2588446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6D16828B-41FA-4B94-BB9D-20418D6D14F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589653" y="25898811"/>
          <a:ext cx="219075" cy="247650"/>
        </a:xfrm>
        <a:prstGeom prst="rect">
          <a:avLst/>
        </a:prstGeom>
        <a:noFill/>
        <a:ln w="9525">
          <a:noFill/>
          <a:miter lim="800000"/>
          <a:headEnd/>
          <a:tailEnd/>
        </a:ln>
      </xdr:spPr>
    </xdr:pic>
    <xdr:clientData/>
  </xdr:oneCellAnchor>
  <xdr:oneCellAnchor>
    <xdr:from>
      <xdr:col>24</xdr:col>
      <xdr:colOff>78441</xdr:colOff>
      <xdr:row>122</xdr:row>
      <xdr:rowOff>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1C24F679-6090-4EFB-9966-B2C957A1E02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014016" y="25088850"/>
          <a:ext cx="219075" cy="247650"/>
        </a:xfrm>
        <a:prstGeom prst="rect">
          <a:avLst/>
        </a:prstGeom>
        <a:noFill/>
        <a:ln w="9525">
          <a:noFill/>
          <a:miter lim="800000"/>
          <a:headEnd/>
          <a:tailEnd/>
        </a:ln>
      </xdr:spPr>
    </xdr:pic>
    <xdr:clientData/>
  </xdr:oneCellAnchor>
  <xdr:twoCellAnchor>
    <xdr:from>
      <xdr:col>22</xdr:col>
      <xdr:colOff>0</xdr:colOff>
      <xdr:row>167</xdr:row>
      <xdr:rowOff>137160</xdr:rowOff>
    </xdr:from>
    <xdr:to>
      <xdr:col>57</xdr:col>
      <xdr:colOff>7620</xdr:colOff>
      <xdr:row>167</xdr:row>
      <xdr:rowOff>163963</xdr:rowOff>
    </xdr:to>
    <xdr:cxnSp macro="">
      <xdr:nvCxnSpPr>
        <xdr:cNvPr id="26" name="Straight Connector 25">
          <a:extLst>
            <a:ext uri="{FF2B5EF4-FFF2-40B4-BE49-F238E27FC236}">
              <a16:creationId xmlns:a16="http://schemas.microsoft.com/office/drawing/2014/main" id="{E072161A-30C1-43F0-A380-125884A0F7F2}"/>
            </a:ext>
          </a:extLst>
        </xdr:cNvPr>
        <xdr:cNvCxnSpPr/>
      </xdr:nvCxnSpPr>
      <xdr:spPr>
        <a:xfrm>
          <a:off x="17287875" y="349224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312420</xdr:colOff>
      <xdr:row>98</xdr:row>
      <xdr:rowOff>9522</xdr:rowOff>
    </xdr:from>
    <xdr:to>
      <xdr:col>56</xdr:col>
      <xdr:colOff>314193</xdr:colOff>
      <xdr:row>168</xdr:row>
      <xdr:rowOff>7620</xdr:rowOff>
    </xdr:to>
    <xdr:cxnSp macro="">
      <xdr:nvCxnSpPr>
        <xdr:cNvPr id="27" name="Straight Connector 26">
          <a:extLst>
            <a:ext uri="{FF2B5EF4-FFF2-40B4-BE49-F238E27FC236}">
              <a16:creationId xmlns:a16="http://schemas.microsoft.com/office/drawing/2014/main" id="{7522D4A9-0431-4AE4-8191-B99934834182}"/>
            </a:ext>
          </a:extLst>
        </xdr:cNvPr>
        <xdr:cNvCxnSpPr/>
      </xdr:nvCxnSpPr>
      <xdr:spPr>
        <a:xfrm flipH="1">
          <a:off x="28611195" y="19564347"/>
          <a:ext cx="1773" cy="153904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85725</xdr:colOff>
      <xdr:row>49</xdr:row>
      <xdr:rowOff>169545</xdr:rowOff>
    </xdr:from>
    <xdr:ext cx="219075" cy="247650"/>
    <xdr:pic>
      <xdr:nvPicPr>
        <xdr:cNvPr id="28" name="Picture 27" descr="https://tse1.mm.bing.net/th?id=OIP.11IPUqok7qInEpcWmz9WawHaIZ&amp;pid=Api&amp;P=0">
          <a:extLst>
            <a:ext uri="{FF2B5EF4-FFF2-40B4-BE49-F238E27FC236}">
              <a16:creationId xmlns:a16="http://schemas.microsoft.com/office/drawing/2014/main" id="{B2D651FA-929F-49A0-A102-A6FEA506D25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22150" y="9923145"/>
          <a:ext cx="219075" cy="24765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severo1954.55@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7"/>
  <sheetViews>
    <sheetView workbookViewId="0">
      <selection activeCell="G18" sqref="G18"/>
    </sheetView>
  </sheetViews>
  <sheetFormatPr defaultColWidth="8.85546875" defaultRowHeight="15"/>
  <cols>
    <col min="2" max="2" width="21.140625" customWidth="1"/>
    <col min="3" max="7" width="15.7109375" customWidth="1"/>
    <col min="9" max="9" width="12.28515625" bestFit="1" customWidth="1"/>
    <col min="10" max="10" width="12.5703125" bestFit="1" customWidth="1"/>
    <col min="11" max="11" width="11.5703125" bestFit="1" customWidth="1"/>
  </cols>
  <sheetData>
    <row r="1" spans="2:11">
      <c r="B1" t="s">
        <v>0</v>
      </c>
      <c r="C1" s="90"/>
    </row>
    <row r="3" spans="2:11">
      <c r="B3" s="2"/>
      <c r="C3" s="91" t="s">
        <v>1</v>
      </c>
      <c r="D3" s="91" t="s">
        <v>2</v>
      </c>
      <c r="E3" s="91" t="s">
        <v>3</v>
      </c>
      <c r="F3" s="91" t="s">
        <v>4</v>
      </c>
      <c r="G3" s="91" t="s">
        <v>5</v>
      </c>
    </row>
    <row r="4" spans="2:11">
      <c r="B4" s="2" t="s">
        <v>6</v>
      </c>
      <c r="C4" s="92">
        <f>'Computation Table'!C108</f>
        <v>174984.10851028329</v>
      </c>
      <c r="D4" s="92">
        <f>'Computation Table'!C82</f>
        <v>127991.37285891263</v>
      </c>
      <c r="E4" s="92">
        <f>'Computation Table'!C56</f>
        <v>601062.6109589726</v>
      </c>
      <c r="F4" s="92">
        <f>'Computation Table'!C29</f>
        <v>649762.37382449524</v>
      </c>
      <c r="G4" s="92">
        <f>'Computation Table'!C3</f>
        <v>629999.88352982607</v>
      </c>
    </row>
    <row r="5" spans="2:11">
      <c r="B5" s="2" t="s">
        <v>7</v>
      </c>
      <c r="C5" s="93">
        <v>152000</v>
      </c>
      <c r="D5" s="93">
        <v>100000</v>
      </c>
      <c r="E5" s="4">
        <v>443817.41000000003</v>
      </c>
      <c r="F5" s="195">
        <v>444037</v>
      </c>
      <c r="G5" s="93">
        <v>388616</v>
      </c>
    </row>
    <row r="6" spans="2:11">
      <c r="B6" s="2" t="s">
        <v>8</v>
      </c>
      <c r="C6" s="94"/>
      <c r="D6" s="94"/>
      <c r="E6" s="94"/>
      <c r="F6" s="201" t="s">
        <v>254</v>
      </c>
      <c r="G6" s="94"/>
    </row>
    <row r="7" spans="2:11">
      <c r="B7" s="110" t="s">
        <v>90</v>
      </c>
      <c r="C7" s="94"/>
      <c r="D7" s="94"/>
      <c r="E7" s="94"/>
      <c r="F7" s="94"/>
      <c r="G7" s="94"/>
    </row>
    <row r="8" spans="2:11">
      <c r="B8" s="2" t="s">
        <v>9</v>
      </c>
      <c r="C8" s="94">
        <f>'Computation Table'!C110</f>
        <v>10640.000000000002</v>
      </c>
      <c r="D8" s="94">
        <f>'Computation Table'!C84</f>
        <v>7500</v>
      </c>
      <c r="E8" s="94">
        <f>'Computation Table'!C58</f>
        <v>39943.566899999998</v>
      </c>
      <c r="F8" s="94">
        <f>'Computation Table'!C31</f>
        <v>39963.33</v>
      </c>
      <c r="G8" s="94">
        <f>'Computation Table'!C5</f>
        <v>47022.536</v>
      </c>
    </row>
    <row r="9" spans="2:11">
      <c r="B9" s="2" t="s">
        <v>10</v>
      </c>
      <c r="C9" s="94">
        <f>'Computation Table'!C111</f>
        <v>1824</v>
      </c>
      <c r="D9" s="94">
        <f>'Computation Table'!C85</f>
        <v>2400</v>
      </c>
      <c r="E9" s="94">
        <f>'Computation Table'!C59</f>
        <v>15977.426760000002</v>
      </c>
      <c r="F9" s="94">
        <f>'Computation Table'!C32</f>
        <v>21313.775999999998</v>
      </c>
      <c r="G9" s="94">
        <f>'Computation Table'!C6</f>
        <v>23316.959999999999</v>
      </c>
    </row>
    <row r="10" spans="2:11">
      <c r="B10" s="2" t="s">
        <v>11</v>
      </c>
      <c r="C10" s="93"/>
      <c r="D10" s="93">
        <v>5000</v>
      </c>
      <c r="E10" s="93">
        <v>10000</v>
      </c>
      <c r="F10" s="93">
        <v>10000</v>
      </c>
      <c r="G10" s="93">
        <v>5000</v>
      </c>
    </row>
    <row r="11" spans="2:11">
      <c r="B11" s="2" t="s">
        <v>12</v>
      </c>
      <c r="C11" s="93"/>
      <c r="D11" s="93"/>
      <c r="E11" s="93">
        <v>300</v>
      </c>
      <c r="F11" s="93">
        <v>300</v>
      </c>
      <c r="G11" s="93">
        <v>300</v>
      </c>
    </row>
    <row r="12" spans="2:11">
      <c r="B12" s="2" t="s">
        <v>13</v>
      </c>
      <c r="C12" s="94">
        <f>'Computation Table'!C114</f>
        <v>2280</v>
      </c>
      <c r="D12" s="94">
        <f>'Computation Table'!C88</f>
        <v>1541.6666666666667</v>
      </c>
      <c r="E12" s="94">
        <f>'Computation Table'!C62</f>
        <v>7396.9568333333336</v>
      </c>
      <c r="F12" s="94">
        <f>'Computation Table'!C35</f>
        <v>8140.6783333333333</v>
      </c>
      <c r="G12" s="94">
        <f>'Computation Table'!C9</f>
        <v>7772.32</v>
      </c>
    </row>
    <row r="13" spans="2:11">
      <c r="B13" s="2" t="s">
        <v>14</v>
      </c>
      <c r="C13" s="94">
        <f>SUM(C5:C11)</f>
        <v>164464</v>
      </c>
      <c r="D13" s="94">
        <f t="shared" ref="D13:F13" si="0">SUM(D5:D12)</f>
        <v>116441.66666666667</v>
      </c>
      <c r="E13" s="94">
        <f t="shared" si="0"/>
        <v>517435.36049333337</v>
      </c>
      <c r="F13" s="94">
        <f t="shared" si="0"/>
        <v>523754.78433333337</v>
      </c>
      <c r="G13" s="94">
        <f>SUM(G5:G12)</f>
        <v>472027.81600000005</v>
      </c>
      <c r="J13" s="4">
        <v>352669.13</v>
      </c>
      <c r="K13">
        <v>91376.87</v>
      </c>
    </row>
    <row r="14" spans="2:11">
      <c r="B14" s="2" t="s">
        <v>15</v>
      </c>
      <c r="C14" s="95">
        <f>'Computation Table'!C116</f>
        <v>0.09</v>
      </c>
      <c r="D14" s="95">
        <f>'Computation Table'!C90</f>
        <v>9.2499999999999999E-2</v>
      </c>
      <c r="E14" s="95">
        <f>'Computation Table'!C64</f>
        <v>0.1</v>
      </c>
      <c r="F14" s="95">
        <f>'Computation Table'!C37</f>
        <v>0.11</v>
      </c>
      <c r="G14" s="95">
        <f>'Computation Table'!C11</f>
        <v>0.12</v>
      </c>
      <c r="K14" s="195">
        <f>J13+K13</f>
        <v>444046</v>
      </c>
    </row>
    <row r="15" spans="2:11">
      <c r="B15" s="2" t="s">
        <v>16</v>
      </c>
      <c r="C15" s="95">
        <f>'Computation Table'!C117</f>
        <v>9.3806897670984268E-2</v>
      </c>
      <c r="D15" s="95">
        <f>'Computation Table'!F91</f>
        <v>9.6718129373591699E-2</v>
      </c>
      <c r="E15" s="95">
        <f>'Computation Table'!F65</f>
        <v>0.10501771639529567</v>
      </c>
      <c r="F15" s="95">
        <f>'Computation Table'!C38</f>
        <v>0.11613759633569365</v>
      </c>
      <c r="G15" s="95">
        <f>'Computation Table'!C12</f>
        <v>0.12736174018256685</v>
      </c>
    </row>
    <row r="16" spans="2:11">
      <c r="B16" s="2" t="s">
        <v>17</v>
      </c>
      <c r="C16" s="96">
        <f>'Computation Table'!C126</f>
        <v>14582.009042523609</v>
      </c>
      <c r="D16" s="96">
        <f>'Computation Table'!C100</f>
        <v>5332.9738691213597</v>
      </c>
      <c r="E16" s="96">
        <f>'Computation Table'!C74</f>
        <v>16696.18363774924</v>
      </c>
      <c r="F16" s="96">
        <f>'Computation Table'!C47</f>
        <v>13536.71612134365</v>
      </c>
      <c r="G16" s="96">
        <f>'Computation Table'!C21</f>
        <v>10499.998058830435</v>
      </c>
    </row>
    <row r="17" spans="2:7">
      <c r="B17" s="218"/>
      <c r="C17" s="219"/>
      <c r="D17" s="219"/>
      <c r="E17" s="219"/>
      <c r="F17" s="219"/>
      <c r="G17" s="220"/>
    </row>
  </sheetData>
  <protectedRanges>
    <protectedRange sqref="C10:G10" name="Range3"/>
    <protectedRange sqref="C11:G11" name="Range2"/>
    <protectedRange sqref="C5:D5 G5" name="Range1" securityDescriptor="O:WDG:WDD:"/>
    <protectedRange sqref="E5" name="Range1_1" securityDescriptor="O:WDG:WDD:"/>
  </protectedRanges>
  <mergeCells count="1">
    <mergeCell ref="B17:G17"/>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7"/>
  <sheetViews>
    <sheetView workbookViewId="0">
      <selection activeCell="B16" sqref="B16"/>
    </sheetView>
  </sheetViews>
  <sheetFormatPr defaultColWidth="9" defaultRowHeight="15"/>
  <cols>
    <col min="1" max="1" width="3.28515625" customWidth="1"/>
    <col min="2" max="7" width="12.7109375" customWidth="1"/>
    <col min="8" max="8" width="6.28515625" customWidth="1"/>
    <col min="9" max="9" width="14.140625" customWidth="1"/>
  </cols>
  <sheetData>
    <row r="1" spans="2:9" ht="15" customHeight="1">
      <c r="B1" s="222" t="s">
        <v>18</v>
      </c>
      <c r="C1" s="222"/>
      <c r="D1" s="222"/>
      <c r="E1" s="222"/>
      <c r="F1" s="222"/>
      <c r="G1" s="222"/>
    </row>
    <row r="2" spans="2:9" ht="15" customHeight="1">
      <c r="B2" s="222"/>
      <c r="C2" s="222"/>
      <c r="D2" s="222"/>
      <c r="E2" s="222"/>
      <c r="F2" s="222"/>
      <c r="G2" s="222"/>
    </row>
    <row r="3" spans="2:9">
      <c r="B3" s="222"/>
      <c r="C3" s="222"/>
      <c r="D3" s="222"/>
      <c r="E3" s="222"/>
      <c r="F3" s="222"/>
      <c r="G3" s="222"/>
    </row>
    <row r="4" spans="2:9">
      <c r="B4" s="223" t="s">
        <v>239</v>
      </c>
      <c r="C4" s="223"/>
      <c r="D4" s="223"/>
      <c r="E4" s="223"/>
      <c r="F4" s="223"/>
      <c r="G4" s="223"/>
    </row>
    <row r="5" spans="2:9" ht="15" customHeight="1">
      <c r="B5" s="225" t="s">
        <v>19</v>
      </c>
      <c r="C5" s="227" t="s">
        <v>20</v>
      </c>
      <c r="D5" s="227" t="s">
        <v>21</v>
      </c>
      <c r="E5" s="227" t="s">
        <v>22</v>
      </c>
      <c r="F5" s="227" t="s">
        <v>23</v>
      </c>
      <c r="G5" s="229" t="s">
        <v>24</v>
      </c>
      <c r="H5" s="221"/>
      <c r="I5" s="221"/>
    </row>
    <row r="6" spans="2:9" ht="23.25" customHeight="1">
      <c r="B6" s="226"/>
      <c r="C6" s="228"/>
      <c r="D6" s="228"/>
      <c r="E6" s="228"/>
      <c r="F6" s="228"/>
      <c r="G6" s="230"/>
      <c r="H6" s="221"/>
      <c r="I6" s="221"/>
    </row>
    <row r="7" spans="2:9" ht="16.5">
      <c r="B7" s="80">
        <v>25000</v>
      </c>
      <c r="C7" s="81">
        <f>'Computation Table'!E126</f>
        <v>2398.3567504150669</v>
      </c>
      <c r="D7" s="82">
        <f>'Computation Table'!C100</f>
        <v>5332.9738691213597</v>
      </c>
      <c r="E7" s="82">
        <f>'Computation Table'!E74</f>
        <v>913.69918403883537</v>
      </c>
      <c r="F7" s="82">
        <f>'Computation Table'!E47</f>
        <v>735.30511829582667</v>
      </c>
      <c r="G7" s="83">
        <f>'Computation Table'!E21</f>
        <v>667.88954173917534</v>
      </c>
      <c r="H7" s="79"/>
      <c r="I7" s="79"/>
    </row>
    <row r="8" spans="2:9" ht="16.5">
      <c r="B8" s="80">
        <v>50000</v>
      </c>
      <c r="C8" s="81">
        <f>'Computation Table'!F126</f>
        <v>4796.7135008301339</v>
      </c>
      <c r="D8" s="82">
        <f>'Computation Table'!F100</f>
        <v>2780.9857652152573</v>
      </c>
      <c r="E8" s="82">
        <f>'Computation Table'!F74</f>
        <v>2159.7503961741982</v>
      </c>
      <c r="F8" s="82">
        <f>'Computation Table'!F47</f>
        <v>1736.8191194896151</v>
      </c>
      <c r="G8" s="83">
        <f>'Computation Table'!F21</f>
        <v>1453.6746562083301</v>
      </c>
      <c r="H8" s="79"/>
      <c r="I8" s="79"/>
    </row>
    <row r="9" spans="2:9" ht="16.5">
      <c r="B9" s="80">
        <v>75000</v>
      </c>
      <c r="C9" s="81">
        <f>'Computation Table'!G126</f>
        <v>7195.0702512452017</v>
      </c>
      <c r="D9" s="82">
        <f>'Computation Table'!G100</f>
        <v>3827.9821558591539</v>
      </c>
      <c r="E9" s="82">
        <f>'Computation Table'!G74</f>
        <v>2741.097552116506</v>
      </c>
      <c r="F9" s="82">
        <f>'Computation Table'!G47</f>
        <v>2205.9153548874801</v>
      </c>
      <c r="G9" s="83">
        <f>'Computation Table'!G21</f>
        <v>2003.6686252175261</v>
      </c>
      <c r="H9" s="79"/>
      <c r="I9" s="79"/>
    </row>
    <row r="10" spans="2:9" ht="16.5">
      <c r="B10" s="80">
        <v>100000</v>
      </c>
      <c r="C10" s="81">
        <f>'Computation Table'!H126</f>
        <v>9593.4270016602677</v>
      </c>
      <c r="D10" s="82">
        <f>'Computation Table'!H100</f>
        <v>5332.9738691213597</v>
      </c>
      <c r="E10" s="82">
        <f>'Computation Table'!H74</f>
        <v>3987.1487642518691</v>
      </c>
      <c r="F10" s="82">
        <f>'Computation Table'!H47</f>
        <v>3207.4293560812685</v>
      </c>
      <c r="G10" s="83">
        <f>'Computation Table'!H21</f>
        <v>2789.4537396866808</v>
      </c>
      <c r="H10" s="84"/>
      <c r="I10" s="84"/>
    </row>
    <row r="11" spans="2:9" ht="16.5">
      <c r="B11" s="80">
        <v>150000</v>
      </c>
      <c r="C11" s="81">
        <f>'Computation Table'!J126</f>
        <v>14390.140502490403</v>
      </c>
      <c r="D11" s="82">
        <f>'Computation Table'!J100</f>
        <v>7884.9619730274626</v>
      </c>
      <c r="E11" s="82">
        <f>'Computation Table'!J74</f>
        <v>5814.5471323295396</v>
      </c>
      <c r="F11" s="82">
        <f>'Computation Table'!J47</f>
        <v>4678.0395926729216</v>
      </c>
      <c r="G11" s="83">
        <f>'Computation Table'!J21</f>
        <v>4125.2328231650317</v>
      </c>
      <c r="H11" s="84"/>
      <c r="I11" s="84"/>
    </row>
    <row r="12" spans="2:9" ht="16.5">
      <c r="B12" s="80">
        <v>200000</v>
      </c>
      <c r="C12" s="81">
        <f>'Computation Table'!L126</f>
        <v>19186.854003320535</v>
      </c>
      <c r="D12" s="82">
        <f>'Computation Table'!L100</f>
        <v>10436.950076933566</v>
      </c>
      <c r="E12" s="82">
        <f>'Computation Table'!L74</f>
        <v>7641.9455004072106</v>
      </c>
      <c r="F12" s="82">
        <f>'Computation Table'!L47</f>
        <v>6148.6498292645747</v>
      </c>
      <c r="G12" s="83">
        <f>'Computation Table'!L21</f>
        <v>5461.0119066433826</v>
      </c>
      <c r="H12" s="84"/>
      <c r="I12" s="84"/>
    </row>
    <row r="13" spans="2:9" ht="16.5">
      <c r="B13" s="80">
        <v>250000</v>
      </c>
      <c r="C13" s="81">
        <f>'Computation Table'!N126</f>
        <v>23983.567504150673</v>
      </c>
      <c r="D13" s="82">
        <f>'Computation Table'!N100</f>
        <v>12988.938180839668</v>
      </c>
      <c r="E13" s="82">
        <f>'Computation Table'!N74</f>
        <v>9469.3438684848807</v>
      </c>
      <c r="F13" s="82">
        <f>'Computation Table'!N47</f>
        <v>7619.2600658562287</v>
      </c>
      <c r="G13" s="83">
        <f>'Computation Table'!N21</f>
        <v>6796.7909901217326</v>
      </c>
      <c r="H13" s="84"/>
      <c r="I13" s="84"/>
    </row>
    <row r="14" spans="2:9" ht="16.5">
      <c r="B14" s="80">
        <v>300000</v>
      </c>
      <c r="C14" s="81">
        <f>'Computation Table'!P126</f>
        <v>28780.281004980807</v>
      </c>
      <c r="D14" s="82">
        <f>'Computation Table'!P100</f>
        <v>15540.92628474577</v>
      </c>
      <c r="E14" s="82">
        <f>'Computation Table'!P74</f>
        <v>11296.742236562552</v>
      </c>
      <c r="F14" s="82">
        <f>'Computation Table'!P47</f>
        <v>9089.8703024478818</v>
      </c>
      <c r="G14" s="83">
        <f>'Computation Table'!P21</f>
        <v>8132.5700736000836</v>
      </c>
      <c r="H14" s="84"/>
      <c r="I14" s="84"/>
    </row>
    <row r="15" spans="2:9" ht="16.5">
      <c r="B15" s="80">
        <v>350000</v>
      </c>
      <c r="C15" s="81">
        <f>'Computation Table'!R126</f>
        <v>33576.994505810937</v>
      </c>
      <c r="D15" s="82">
        <f>'Computation Table'!R100</f>
        <v>18092.914388651872</v>
      </c>
      <c r="E15" s="82">
        <f>'Computation Table'!R74</f>
        <v>13124.140604640221</v>
      </c>
      <c r="F15" s="82">
        <f>'Computation Table'!R47</f>
        <v>10560.480539039536</v>
      </c>
      <c r="G15" s="83">
        <f>'Computation Table'!R21</f>
        <v>9468.3491570784354</v>
      </c>
      <c r="H15" s="84"/>
      <c r="I15" s="84"/>
    </row>
    <row r="16" spans="2:9" ht="16.5">
      <c r="B16" s="80">
        <v>400000</v>
      </c>
      <c r="C16" s="81">
        <f>'Computation Table'!T126</f>
        <v>38373.708006641071</v>
      </c>
      <c r="D16" s="82">
        <f>'Computation Table'!T100</f>
        <v>20644.902492557976</v>
      </c>
      <c r="E16" s="82">
        <f>'Computation Table'!T74</f>
        <v>14951.538972717894</v>
      </c>
      <c r="F16" s="82">
        <f>'Computation Table'!T47</f>
        <v>12031.090775631188</v>
      </c>
      <c r="G16" s="83">
        <f>'Computation Table'!T21</f>
        <v>10804.128240556785</v>
      </c>
      <c r="H16" s="84"/>
      <c r="I16" s="84"/>
    </row>
    <row r="17" spans="2:9" ht="16.5">
      <c r="B17" s="80">
        <v>450000</v>
      </c>
      <c r="C17" s="81">
        <f>'Computation Table'!V126</f>
        <v>43170.421507471205</v>
      </c>
      <c r="D17" s="82">
        <f>'Computation Table'!V100</f>
        <v>23196.89059646408</v>
      </c>
      <c r="E17" s="82">
        <f>'Computation Table'!V74</f>
        <v>16778.937340795565</v>
      </c>
      <c r="F17" s="82">
        <f>'Computation Table'!V47</f>
        <v>13501.701012222842</v>
      </c>
      <c r="G17" s="83">
        <f>'Computation Table'!V21</f>
        <v>12139.907324035135</v>
      </c>
      <c r="H17" s="84"/>
      <c r="I17" s="84"/>
    </row>
    <row r="18" spans="2:9" ht="16.5">
      <c r="B18" s="80">
        <v>500000</v>
      </c>
      <c r="C18" s="81">
        <f>'Computation Table'!X126</f>
        <v>47967.135008301346</v>
      </c>
      <c r="D18" s="82">
        <f>'Computation Table'!X100</f>
        <v>25748.878700370184</v>
      </c>
      <c r="E18" s="82">
        <f>'Computation Table'!X74</f>
        <v>18606.335708873237</v>
      </c>
      <c r="F18" s="82">
        <f>'Computation Table'!X47</f>
        <v>14972.311248814494</v>
      </c>
      <c r="G18" s="83">
        <f>'Computation Table'!X21</f>
        <v>13353.341945246528</v>
      </c>
      <c r="H18" s="84"/>
      <c r="I18" s="84"/>
    </row>
    <row r="19" spans="2:9" ht="16.5">
      <c r="B19" s="80">
        <v>550000</v>
      </c>
      <c r="C19" s="81">
        <f>'Computation Table'!Z126</f>
        <v>52763.84850913148</v>
      </c>
      <c r="D19" s="82">
        <f>'Computation Table'!Z100</f>
        <v>28300.866804276284</v>
      </c>
      <c r="E19" s="82">
        <f>'Computation Table'!Z74</f>
        <v>20433.734076950903</v>
      </c>
      <c r="F19" s="82">
        <f>'Computation Table'!Z47</f>
        <v>16442.921485406147</v>
      </c>
      <c r="G19" s="83">
        <f>'Computation Table'!Z21</f>
        <v>14811.465490991837</v>
      </c>
      <c r="H19" s="84"/>
      <c r="I19" s="84"/>
    </row>
    <row r="20" spans="2:9" ht="16.5">
      <c r="B20" s="80">
        <v>600000</v>
      </c>
      <c r="C20" s="81">
        <f>'Computation Table'!AB126</f>
        <v>57560.562009961614</v>
      </c>
      <c r="D20" s="82">
        <f>'Computation Table'!AB100</f>
        <v>30852.854908182388</v>
      </c>
      <c r="E20" s="82">
        <f>'Computation Table'!AB74</f>
        <v>22261.132445028576</v>
      </c>
      <c r="F20" s="82">
        <f>'Computation Table'!AB47</f>
        <v>17913.531721997802</v>
      </c>
      <c r="G20" s="83">
        <f>'Computation Table'!AB21</f>
        <v>16147.244574470189</v>
      </c>
      <c r="H20" s="84"/>
      <c r="I20" s="84"/>
    </row>
    <row r="21" spans="2:9" ht="16.5">
      <c r="B21" s="80">
        <v>650000</v>
      </c>
      <c r="C21" s="81">
        <f>'Computation Table'!AD126</f>
        <v>62357.275510791747</v>
      </c>
      <c r="D21" s="82">
        <f>'Computation Table'!AD100</f>
        <v>33404.843012088488</v>
      </c>
      <c r="E21" s="82">
        <f>'Computation Table'!AD74</f>
        <v>24088.530813106248</v>
      </c>
      <c r="F21" s="82">
        <f>'Computation Table'!AD47</f>
        <v>19384.141958589455</v>
      </c>
      <c r="G21" s="83">
        <f>'Computation Table'!AD21</f>
        <v>17483.023657948539</v>
      </c>
      <c r="H21" s="84"/>
      <c r="I21" s="84"/>
    </row>
    <row r="22" spans="2:9" ht="16.5">
      <c r="B22" s="80">
        <v>700000</v>
      </c>
      <c r="C22" s="81">
        <f>'Computation Table'!AF126</f>
        <v>67153.989011621874</v>
      </c>
      <c r="D22" s="82">
        <f>'Computation Table'!AF100</f>
        <v>35956.831115994588</v>
      </c>
      <c r="E22" s="82">
        <f>'Computation Table'!AF74</f>
        <v>25915.929181183918</v>
      </c>
      <c r="F22" s="82">
        <f>'Computation Table'!AF47</f>
        <v>20854.752195181107</v>
      </c>
      <c r="G22" s="83">
        <f>'Computation Table'!AF21</f>
        <v>18818.802741426891</v>
      </c>
      <c r="H22" s="84"/>
      <c r="I22" s="84"/>
    </row>
    <row r="23" spans="2:9" ht="16.5">
      <c r="B23" s="80">
        <v>750000</v>
      </c>
      <c r="C23" s="81">
        <f>'Computation Table'!AH126</f>
        <v>71950.702512452015</v>
      </c>
      <c r="D23" s="82">
        <f>'Computation Table'!AH100</f>
        <v>38508.819219900695</v>
      </c>
      <c r="E23" s="82">
        <f>'Computation Table'!AH74</f>
        <v>27743.327549261587</v>
      </c>
      <c r="F23" s="82">
        <f>'Computation Table'!AH47</f>
        <v>22325.362431772763</v>
      </c>
      <c r="G23" s="83">
        <f>'Computation Table'!AH21</f>
        <v>20154.581824905239</v>
      </c>
      <c r="H23" s="84"/>
      <c r="I23" s="84"/>
    </row>
    <row r="24" spans="2:9" ht="16.5">
      <c r="B24" s="80">
        <v>800000</v>
      </c>
      <c r="C24" s="81">
        <f>'Computation Table'!AJ126</f>
        <v>76747.416013282142</v>
      </c>
      <c r="D24" s="82">
        <f>'Computation Table'!AJ100</f>
        <v>41060.807323806795</v>
      </c>
      <c r="E24" s="82">
        <f>'Computation Table'!AJ74</f>
        <v>29570.725917339259</v>
      </c>
      <c r="F24" s="82">
        <f>'Computation Table'!AJ47</f>
        <v>23795.972668364415</v>
      </c>
      <c r="G24" s="83">
        <f>'Computation Table'!AJ21</f>
        <v>21490.360908383591</v>
      </c>
      <c r="H24" s="84"/>
      <c r="I24" s="84"/>
    </row>
    <row r="25" spans="2:9" ht="16.5">
      <c r="B25" s="80">
        <v>850000</v>
      </c>
      <c r="C25" s="81">
        <f>'Computation Table'!AL126</f>
        <v>81544.129514112283</v>
      </c>
      <c r="D25" s="82">
        <f>'Computation Table'!AL100</f>
        <v>43612.795427712896</v>
      </c>
      <c r="E25" s="82">
        <f>'Computation Table'!AL74</f>
        <v>31398.124285416929</v>
      </c>
      <c r="F25" s="82">
        <f>'Computation Table'!AL47</f>
        <v>25266.582904956067</v>
      </c>
      <c r="G25" s="83">
        <f>'Computation Table'!AL21</f>
        <v>22826.139991861943</v>
      </c>
      <c r="H25" s="84"/>
      <c r="I25" s="84"/>
    </row>
    <row r="26" spans="2:9" ht="16.5">
      <c r="B26" s="80">
        <v>900000</v>
      </c>
      <c r="C26" s="81">
        <f>'Computation Table'!AN126</f>
        <v>86340.843014942409</v>
      </c>
      <c r="D26" s="82">
        <f>'Computation Table'!AN100</f>
        <v>46164.783531619003</v>
      </c>
      <c r="E26" s="82">
        <f>'Computation Table'!AN74</f>
        <v>33225.522653494598</v>
      </c>
      <c r="F26" s="82">
        <f>'Computation Table'!AN47</f>
        <v>26737.193141547723</v>
      </c>
      <c r="G26" s="83">
        <f>'Computation Table'!AN21</f>
        <v>24161.919075340291</v>
      </c>
      <c r="H26" s="84"/>
      <c r="I26" s="84"/>
    </row>
    <row r="27" spans="2:9" ht="16.5">
      <c r="B27" s="80">
        <v>950000</v>
      </c>
      <c r="C27" s="81">
        <f>'Computation Table'!AP126</f>
        <v>91137.55651577255</v>
      </c>
      <c r="D27" s="82">
        <f>'Computation Table'!AP100</f>
        <v>48716.771635525103</v>
      </c>
      <c r="E27" s="82">
        <f>'Computation Table'!AP74</f>
        <v>35052.921021572271</v>
      </c>
      <c r="F27" s="82">
        <f>'Computation Table'!AP47</f>
        <v>28207.803378139375</v>
      </c>
      <c r="G27" s="83">
        <f>'Computation Table'!AP21</f>
        <v>25497.698158818643</v>
      </c>
      <c r="H27" s="84"/>
      <c r="I27" s="84"/>
    </row>
    <row r="28" spans="2:9" ht="16.5">
      <c r="B28" s="85">
        <v>1000000</v>
      </c>
      <c r="C28" s="86">
        <f>'Computation Table'!AR126</f>
        <v>95934.270016602692</v>
      </c>
      <c r="D28" s="87">
        <f>'Computation Table'!AR100</f>
        <v>51268.759739431211</v>
      </c>
      <c r="E28" s="87">
        <f>'Computation Table'!AR74</f>
        <v>36880.319389649943</v>
      </c>
      <c r="F28" s="87">
        <f>'Computation Table'!AR47</f>
        <v>29678.413614731027</v>
      </c>
      <c r="G28" s="88">
        <f>'Computation Table'!AR21</f>
        <v>26588.788317763076</v>
      </c>
      <c r="H28" s="84"/>
      <c r="I28" s="84"/>
    </row>
    <row r="29" spans="2:9" ht="16.5">
      <c r="B29" s="224"/>
      <c r="C29" s="224"/>
      <c r="D29" s="224"/>
      <c r="E29" s="224"/>
      <c r="F29" s="224"/>
      <c r="G29" s="224"/>
      <c r="H29" s="84"/>
      <c r="I29" s="84"/>
    </row>
    <row r="30" spans="2:9">
      <c r="B30" s="89"/>
    </row>
    <row r="31" spans="2:9">
      <c r="B31" s="89"/>
    </row>
    <row r="32" spans="2:9">
      <c r="B32" s="89"/>
    </row>
    <row r="33" spans="2:2">
      <c r="B33" s="89"/>
    </row>
    <row r="34" spans="2:2">
      <c r="B34" s="89"/>
    </row>
    <row r="35" spans="2:2">
      <c r="B35" s="89"/>
    </row>
    <row r="36" spans="2:2">
      <c r="B36" s="89"/>
    </row>
    <row r="37" spans="2:2">
      <c r="B37" s="89"/>
    </row>
  </sheetData>
  <sheetProtection algorithmName="SHA-512" hashValue="cTiOUqs6gEHE3QfpGagMzSVdwf75zy4I5RzOo8qzzaSExabp0F5aAj8StrRotkuC9Ujquk/BeFvyT2yaMQ/ZbQ==" saltValue="zaJHOsRLbCU69Sqi6Q0Igg==" spinCount="100000" sheet="1" objects="1"/>
  <mergeCells count="11">
    <mergeCell ref="H5:H6"/>
    <mergeCell ref="I5:I6"/>
    <mergeCell ref="B1:G3"/>
    <mergeCell ref="B4:G4"/>
    <mergeCell ref="B29:G29"/>
    <mergeCell ref="B5:B6"/>
    <mergeCell ref="C5:C6"/>
    <mergeCell ref="D5:D6"/>
    <mergeCell ref="E5:E6"/>
    <mergeCell ref="F5:F6"/>
    <mergeCell ref="G5:G6"/>
  </mergeCells>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U153"/>
  <sheetViews>
    <sheetView topLeftCell="A37" zoomScale="85" zoomScaleNormal="85" workbookViewId="0">
      <selection activeCell="C57" sqref="C57"/>
    </sheetView>
  </sheetViews>
  <sheetFormatPr defaultColWidth="9" defaultRowHeight="15"/>
  <cols>
    <col min="1" max="1" width="11.85546875" customWidth="1"/>
    <col min="2" max="2" width="36.7109375" customWidth="1"/>
    <col min="3" max="7" width="15.7109375" customWidth="1"/>
    <col min="8" max="11" width="15.5703125" customWidth="1"/>
    <col min="12" max="13" width="15.7109375" customWidth="1"/>
    <col min="14" max="27" width="15.7109375" style="4" customWidth="1"/>
    <col min="28" max="47" width="15.7109375" customWidth="1"/>
  </cols>
  <sheetData>
    <row r="2" spans="1:47" ht="21">
      <c r="B2" s="53" t="s">
        <v>5</v>
      </c>
      <c r="C2" s="53"/>
      <c r="D2" s="53"/>
      <c r="E2" s="53"/>
      <c r="F2" s="53"/>
      <c r="G2" s="53"/>
    </row>
    <row r="3" spans="1:47">
      <c r="B3" t="s">
        <v>25</v>
      </c>
      <c r="C3" s="4">
        <f>C21*C15</f>
        <v>629999.88352982607</v>
      </c>
      <c r="D3" s="4"/>
      <c r="E3" s="4">
        <f>E21*E15</f>
        <v>40073.372504350518</v>
      </c>
      <c r="F3" s="4">
        <f>F21*F15</f>
        <v>87220.479372499802</v>
      </c>
      <c r="G3" s="4">
        <f>G21*G15</f>
        <v>120220.11751305156</v>
      </c>
      <c r="H3" s="4">
        <f>H21*H15</f>
        <v>167367.22438120085</v>
      </c>
      <c r="I3" s="4">
        <f t="shared" ref="I3:W3" si="0">I21*I15</f>
        <v>200366.8625217526</v>
      </c>
      <c r="J3" s="4">
        <f t="shared" si="0"/>
        <v>247513.9693899019</v>
      </c>
      <c r="K3" s="4">
        <f t="shared" si="0"/>
        <v>280513.60753045365</v>
      </c>
      <c r="L3" s="4">
        <f t="shared" si="0"/>
        <v>327660.71439860296</v>
      </c>
      <c r="M3" s="4">
        <f t="shared" si="0"/>
        <v>360660.3525391547</v>
      </c>
      <c r="N3" s="4">
        <f t="shared" si="0"/>
        <v>407807.45940730395</v>
      </c>
      <c r="O3" s="4">
        <f t="shared" si="0"/>
        <v>440807.09754785569</v>
      </c>
      <c r="P3" s="4">
        <f t="shared" si="0"/>
        <v>487954.204416005</v>
      </c>
      <c r="Q3" s="4">
        <f t="shared" si="0"/>
        <v>520953.8425565568</v>
      </c>
      <c r="R3" s="4">
        <f t="shared" si="0"/>
        <v>568100.94942470617</v>
      </c>
      <c r="S3" s="4">
        <f t="shared" si="0"/>
        <v>601100.58756525791</v>
      </c>
      <c r="T3" s="4">
        <f t="shared" si="0"/>
        <v>648247.69443340716</v>
      </c>
      <c r="U3" s="4">
        <f t="shared" si="0"/>
        <v>681247.33257395891</v>
      </c>
      <c r="V3" s="4">
        <f t="shared" si="0"/>
        <v>728394.43944210815</v>
      </c>
      <c r="W3" s="4">
        <f t="shared" si="0"/>
        <v>761394.0775826599</v>
      </c>
      <c r="X3" s="4">
        <f t="shared" ref="X3:AR3" si="1">X21*X15</f>
        <v>801200.51671479165</v>
      </c>
      <c r="Y3" s="4">
        <f t="shared" ref="Y3:AA3" si="2">Y21*Y15</f>
        <v>841540.82259136101</v>
      </c>
      <c r="Z3" s="4">
        <f t="shared" si="2"/>
        <v>888687.92945951025</v>
      </c>
      <c r="AA3" s="4">
        <f t="shared" si="2"/>
        <v>921687.567600062</v>
      </c>
      <c r="AB3" s="4">
        <f t="shared" si="1"/>
        <v>968834.67446821136</v>
      </c>
      <c r="AC3" s="4">
        <f t="shared" ref="AC3:AE3" si="3">AC21*AC15</f>
        <v>1001834.312608763</v>
      </c>
      <c r="AD3" s="4">
        <f t="shared" si="3"/>
        <v>1048981.4194769124</v>
      </c>
      <c r="AE3" s="4">
        <f t="shared" si="3"/>
        <v>1081981.0576174641</v>
      </c>
      <c r="AF3" s="4">
        <f t="shared" si="1"/>
        <v>1129128.1644856133</v>
      </c>
      <c r="AG3" s="4">
        <f t="shared" ref="AG3:AI3" si="4">AG21*AG15</f>
        <v>1162127.8026261651</v>
      </c>
      <c r="AH3" s="4">
        <f t="shared" si="4"/>
        <v>1209274.9094943143</v>
      </c>
      <c r="AI3" s="4">
        <f t="shared" si="4"/>
        <v>1242274.5476348661</v>
      </c>
      <c r="AJ3" s="4">
        <f t="shared" si="1"/>
        <v>1289421.6545030153</v>
      </c>
      <c r="AK3" s="4">
        <f t="shared" ref="AK3:AM3" si="5">AK21*AK15</f>
        <v>1322421.2926435673</v>
      </c>
      <c r="AL3" s="4">
        <f t="shared" si="5"/>
        <v>1369568.3995117166</v>
      </c>
      <c r="AM3" s="4">
        <f t="shared" si="5"/>
        <v>1402568.0376522683</v>
      </c>
      <c r="AN3" s="4">
        <f t="shared" si="1"/>
        <v>1449715.1445204176</v>
      </c>
      <c r="AO3" s="4">
        <f t="shared" ref="AO3:AQ3" si="6">AO21*AO15</f>
        <v>1482714.7826609693</v>
      </c>
      <c r="AP3" s="4">
        <f t="shared" si="6"/>
        <v>1529861.8895291185</v>
      </c>
      <c r="AQ3" s="4">
        <f t="shared" si="6"/>
        <v>1562861.5276696703</v>
      </c>
      <c r="AR3" s="4">
        <f t="shared" si="1"/>
        <v>1595327.2990657846</v>
      </c>
      <c r="AS3" s="64"/>
      <c r="AT3" s="64"/>
      <c r="AU3" s="64"/>
    </row>
    <row r="4" spans="1:47" s="51" customFormat="1">
      <c r="B4" s="51" t="s">
        <v>26</v>
      </c>
      <c r="C4" s="54">
        <f>'DATA ENTRY'!G5</f>
        <v>388616</v>
      </c>
      <c r="D4" s="54"/>
      <c r="E4" s="54">
        <v>25000</v>
      </c>
      <c r="F4" s="54">
        <v>50000</v>
      </c>
      <c r="G4" s="54">
        <v>75000</v>
      </c>
      <c r="H4" s="54">
        <v>100000</v>
      </c>
      <c r="I4" s="54">
        <v>125000</v>
      </c>
      <c r="J4" s="54">
        <v>150000</v>
      </c>
      <c r="K4" s="54">
        <v>175000</v>
      </c>
      <c r="L4" s="54">
        <v>200000</v>
      </c>
      <c r="M4" s="54">
        <v>225000</v>
      </c>
      <c r="N4" s="54">
        <v>250000</v>
      </c>
      <c r="O4" s="54">
        <v>275000</v>
      </c>
      <c r="P4" s="54">
        <v>300000</v>
      </c>
      <c r="Q4" s="54">
        <v>325000</v>
      </c>
      <c r="R4" s="54">
        <v>350000</v>
      </c>
      <c r="S4" s="54">
        <v>375000</v>
      </c>
      <c r="T4" s="54">
        <v>400000</v>
      </c>
      <c r="U4" s="54">
        <v>425000</v>
      </c>
      <c r="V4" s="54">
        <v>450000</v>
      </c>
      <c r="W4" s="54">
        <v>475000</v>
      </c>
      <c r="X4" s="54">
        <v>500000</v>
      </c>
      <c r="Y4" s="54">
        <v>525000</v>
      </c>
      <c r="Z4" s="54">
        <v>550000</v>
      </c>
      <c r="AA4" s="54">
        <v>575000</v>
      </c>
      <c r="AB4" s="54">
        <v>600000</v>
      </c>
      <c r="AC4" s="54">
        <v>625000</v>
      </c>
      <c r="AD4" s="54">
        <v>650000</v>
      </c>
      <c r="AE4" s="54">
        <v>675000</v>
      </c>
      <c r="AF4" s="54">
        <v>700000</v>
      </c>
      <c r="AG4" s="54">
        <v>725000</v>
      </c>
      <c r="AH4" s="54">
        <v>750000</v>
      </c>
      <c r="AI4" s="54">
        <v>775000</v>
      </c>
      <c r="AJ4" s="54">
        <v>800000</v>
      </c>
      <c r="AK4" s="54">
        <v>825000</v>
      </c>
      <c r="AL4" s="54">
        <v>850000</v>
      </c>
      <c r="AM4" s="54">
        <v>875000</v>
      </c>
      <c r="AN4" s="54">
        <v>900000</v>
      </c>
      <c r="AO4" s="54">
        <v>925000</v>
      </c>
      <c r="AP4" s="54">
        <v>950000</v>
      </c>
      <c r="AQ4" s="54">
        <v>975000</v>
      </c>
      <c r="AR4" s="54">
        <v>1000000</v>
      </c>
      <c r="AS4" s="64"/>
      <c r="AT4" s="64"/>
      <c r="AU4" s="64"/>
    </row>
    <row r="5" spans="1:47">
      <c r="B5" t="s">
        <v>27</v>
      </c>
      <c r="C5" s="4">
        <f t="shared" ref="C5:AQ5" si="7">C4*0.121</f>
        <v>47022.536</v>
      </c>
      <c r="D5" s="4"/>
      <c r="E5" s="4">
        <f t="shared" si="7"/>
        <v>3025</v>
      </c>
      <c r="F5" s="4">
        <f t="shared" si="7"/>
        <v>6050</v>
      </c>
      <c r="G5" s="4">
        <f t="shared" si="7"/>
        <v>9075</v>
      </c>
      <c r="H5" s="4">
        <f t="shared" si="7"/>
        <v>12100</v>
      </c>
      <c r="I5" s="4">
        <f t="shared" si="7"/>
        <v>15125</v>
      </c>
      <c r="J5" s="4">
        <f t="shared" si="7"/>
        <v>18150</v>
      </c>
      <c r="K5" s="4">
        <f t="shared" si="7"/>
        <v>21175</v>
      </c>
      <c r="L5" s="4">
        <f t="shared" si="7"/>
        <v>24200</v>
      </c>
      <c r="M5" s="4">
        <f t="shared" si="7"/>
        <v>27225</v>
      </c>
      <c r="N5" s="4">
        <f t="shared" si="7"/>
        <v>30250</v>
      </c>
      <c r="O5" s="4">
        <f t="shared" si="7"/>
        <v>33275</v>
      </c>
      <c r="P5" s="4">
        <f t="shared" si="7"/>
        <v>36300</v>
      </c>
      <c r="Q5" s="4">
        <f t="shared" si="7"/>
        <v>39325</v>
      </c>
      <c r="R5" s="4">
        <f t="shared" si="7"/>
        <v>42350</v>
      </c>
      <c r="S5" s="4">
        <f t="shared" si="7"/>
        <v>45375</v>
      </c>
      <c r="T5" s="4">
        <f t="shared" si="7"/>
        <v>48400</v>
      </c>
      <c r="U5" s="4">
        <f t="shared" si="7"/>
        <v>51425</v>
      </c>
      <c r="V5" s="4">
        <f t="shared" si="7"/>
        <v>54450</v>
      </c>
      <c r="W5" s="4">
        <f t="shared" si="7"/>
        <v>57475</v>
      </c>
      <c r="X5" s="4">
        <f>X4*0.11</f>
        <v>55000</v>
      </c>
      <c r="Y5" s="4">
        <f t="shared" si="7"/>
        <v>63525</v>
      </c>
      <c r="Z5" s="4">
        <f t="shared" si="7"/>
        <v>66550</v>
      </c>
      <c r="AA5" s="4">
        <f t="shared" si="7"/>
        <v>69575</v>
      </c>
      <c r="AB5" s="4">
        <f t="shared" si="7"/>
        <v>72600</v>
      </c>
      <c r="AC5" s="4">
        <f t="shared" si="7"/>
        <v>75625</v>
      </c>
      <c r="AD5" s="4">
        <f t="shared" si="7"/>
        <v>78650</v>
      </c>
      <c r="AE5" s="4">
        <f t="shared" si="7"/>
        <v>81675</v>
      </c>
      <c r="AF5" s="4">
        <f t="shared" si="7"/>
        <v>84700</v>
      </c>
      <c r="AG5" s="4">
        <f t="shared" si="7"/>
        <v>87725</v>
      </c>
      <c r="AH5" s="4">
        <f t="shared" si="7"/>
        <v>90750</v>
      </c>
      <c r="AI5" s="4">
        <f t="shared" si="7"/>
        <v>93775</v>
      </c>
      <c r="AJ5" s="4">
        <f t="shared" si="7"/>
        <v>96800</v>
      </c>
      <c r="AK5" s="4">
        <f t="shared" si="7"/>
        <v>99825</v>
      </c>
      <c r="AL5" s="4">
        <f t="shared" si="7"/>
        <v>102850</v>
      </c>
      <c r="AM5" s="4">
        <f t="shared" si="7"/>
        <v>105875</v>
      </c>
      <c r="AN5" s="4">
        <f t="shared" si="7"/>
        <v>108900</v>
      </c>
      <c r="AO5" s="4">
        <f t="shared" si="7"/>
        <v>111925</v>
      </c>
      <c r="AP5" s="4">
        <f t="shared" si="7"/>
        <v>114950</v>
      </c>
      <c r="AQ5" s="4">
        <f t="shared" si="7"/>
        <v>117975</v>
      </c>
      <c r="AR5" s="4">
        <f>AR4*0.11</f>
        <v>110000</v>
      </c>
      <c r="AS5" s="64"/>
      <c r="AT5" s="64"/>
      <c r="AU5" s="64"/>
    </row>
    <row r="6" spans="1:47">
      <c r="B6" t="s">
        <v>10</v>
      </c>
      <c r="C6" s="4">
        <f>(C4/1000)*C15</f>
        <v>23316.959999999999</v>
      </c>
      <c r="D6" s="4"/>
      <c r="E6" s="4">
        <f>(E4/1000)*E15</f>
        <v>1500</v>
      </c>
      <c r="F6" s="4">
        <f>(F4/1000)*F15</f>
        <v>3000</v>
      </c>
      <c r="G6" s="4">
        <f>(G4/1000)*G15</f>
        <v>4500</v>
      </c>
      <c r="H6" s="4">
        <f>(H4/1000)*H15</f>
        <v>6000</v>
      </c>
      <c r="I6" s="4">
        <f t="shared" ref="I6:AG6" si="8">(I4/1000)*I15</f>
        <v>7500</v>
      </c>
      <c r="J6" s="4">
        <f t="shared" si="8"/>
        <v>9000</v>
      </c>
      <c r="K6" s="4">
        <f t="shared" si="8"/>
        <v>10500</v>
      </c>
      <c r="L6" s="4">
        <f t="shared" si="8"/>
        <v>12000</v>
      </c>
      <c r="M6" s="4">
        <f t="shared" si="8"/>
        <v>13500</v>
      </c>
      <c r="N6" s="4">
        <f t="shared" si="8"/>
        <v>15000</v>
      </c>
      <c r="O6" s="4">
        <f t="shared" si="8"/>
        <v>16500</v>
      </c>
      <c r="P6" s="4">
        <f t="shared" si="8"/>
        <v>18000</v>
      </c>
      <c r="Q6" s="4">
        <f t="shared" si="8"/>
        <v>19500</v>
      </c>
      <c r="R6" s="4">
        <f t="shared" si="8"/>
        <v>21000</v>
      </c>
      <c r="S6" s="4">
        <f t="shared" si="8"/>
        <v>22500</v>
      </c>
      <c r="T6" s="4">
        <f t="shared" si="8"/>
        <v>24000</v>
      </c>
      <c r="U6" s="4">
        <f t="shared" si="8"/>
        <v>25500</v>
      </c>
      <c r="V6" s="4">
        <f t="shared" si="8"/>
        <v>27000</v>
      </c>
      <c r="W6" s="4">
        <f t="shared" si="8"/>
        <v>28500</v>
      </c>
      <c r="X6" s="4">
        <f t="shared" si="8"/>
        <v>30000</v>
      </c>
      <c r="Y6" s="4">
        <f t="shared" si="8"/>
        <v>31500</v>
      </c>
      <c r="Z6" s="4">
        <f t="shared" si="8"/>
        <v>33000</v>
      </c>
      <c r="AA6" s="4">
        <f t="shared" si="8"/>
        <v>34500</v>
      </c>
      <c r="AB6" s="4">
        <f t="shared" si="8"/>
        <v>36000</v>
      </c>
      <c r="AC6" s="4">
        <f t="shared" si="8"/>
        <v>37500</v>
      </c>
      <c r="AD6" s="4">
        <f t="shared" si="8"/>
        <v>39000</v>
      </c>
      <c r="AE6" s="4">
        <f t="shared" si="8"/>
        <v>40500</v>
      </c>
      <c r="AF6" s="4">
        <f t="shared" si="8"/>
        <v>42000</v>
      </c>
      <c r="AG6" s="4">
        <f t="shared" si="8"/>
        <v>43500</v>
      </c>
      <c r="AH6" s="4">
        <f t="shared" ref="AH6:AJ6" si="9">(AH4/1000)*AH15</f>
        <v>45000</v>
      </c>
      <c r="AI6" s="4">
        <f t="shared" si="9"/>
        <v>46500</v>
      </c>
      <c r="AJ6" s="4">
        <f t="shared" si="9"/>
        <v>48000</v>
      </c>
      <c r="AK6" s="4">
        <f t="shared" ref="AK6:AN6" si="10">(AK4/1000)*AK15</f>
        <v>49500</v>
      </c>
      <c r="AL6" s="4">
        <f t="shared" si="10"/>
        <v>51000</v>
      </c>
      <c r="AM6" s="4">
        <f t="shared" si="10"/>
        <v>52500</v>
      </c>
      <c r="AN6" s="4">
        <f t="shared" si="10"/>
        <v>54000</v>
      </c>
      <c r="AO6" s="4">
        <f t="shared" ref="AO6:AR6" si="11">(AO4/1000)*AO15</f>
        <v>55500</v>
      </c>
      <c r="AP6" s="4">
        <f t="shared" si="11"/>
        <v>57000</v>
      </c>
      <c r="AQ6" s="4">
        <f t="shared" si="11"/>
        <v>58500</v>
      </c>
      <c r="AR6" s="4">
        <f t="shared" si="11"/>
        <v>60000</v>
      </c>
      <c r="AS6" s="64"/>
      <c r="AT6" s="64"/>
      <c r="AU6" s="64"/>
    </row>
    <row r="7" spans="1:47">
      <c r="B7" t="s">
        <v>11</v>
      </c>
      <c r="C7" s="4">
        <f>'DATA ENTRY'!G10</f>
        <v>5000</v>
      </c>
      <c r="D7" s="4"/>
      <c r="E7" s="4"/>
      <c r="F7" s="4">
        <f>C7</f>
        <v>5000</v>
      </c>
      <c r="G7" s="4">
        <f t="shared" ref="G7:AR7" si="12">E7</f>
        <v>0</v>
      </c>
      <c r="H7" s="4">
        <f t="shared" si="12"/>
        <v>5000</v>
      </c>
      <c r="I7" s="4">
        <f t="shared" si="12"/>
        <v>0</v>
      </c>
      <c r="J7" s="4">
        <f t="shared" si="12"/>
        <v>5000</v>
      </c>
      <c r="K7" s="4">
        <f t="shared" si="12"/>
        <v>0</v>
      </c>
      <c r="L7" s="4">
        <f t="shared" si="12"/>
        <v>5000</v>
      </c>
      <c r="M7" s="4">
        <f t="shared" si="12"/>
        <v>0</v>
      </c>
      <c r="N7" s="4">
        <f t="shared" si="12"/>
        <v>5000</v>
      </c>
      <c r="O7" s="4">
        <f t="shared" si="12"/>
        <v>0</v>
      </c>
      <c r="P7" s="4">
        <f t="shared" si="12"/>
        <v>5000</v>
      </c>
      <c r="Q7" s="4">
        <f t="shared" si="12"/>
        <v>0</v>
      </c>
      <c r="R7" s="4">
        <f t="shared" si="12"/>
        <v>5000</v>
      </c>
      <c r="S7" s="4">
        <f t="shared" si="12"/>
        <v>0</v>
      </c>
      <c r="T7" s="4">
        <f t="shared" si="12"/>
        <v>5000</v>
      </c>
      <c r="U7" s="4">
        <f t="shared" si="12"/>
        <v>0</v>
      </c>
      <c r="V7" s="4">
        <f t="shared" si="12"/>
        <v>5000</v>
      </c>
      <c r="W7" s="4">
        <f t="shared" si="12"/>
        <v>0</v>
      </c>
      <c r="X7" s="4">
        <f t="shared" si="12"/>
        <v>5000</v>
      </c>
      <c r="Y7" s="4">
        <f t="shared" si="12"/>
        <v>0</v>
      </c>
      <c r="Z7" s="4">
        <f t="shared" si="12"/>
        <v>5000</v>
      </c>
      <c r="AA7" s="4">
        <f t="shared" si="12"/>
        <v>0</v>
      </c>
      <c r="AB7" s="4">
        <f t="shared" si="12"/>
        <v>5000</v>
      </c>
      <c r="AC7" s="4">
        <f t="shared" si="12"/>
        <v>0</v>
      </c>
      <c r="AD7" s="4">
        <f t="shared" si="12"/>
        <v>5000</v>
      </c>
      <c r="AE7" s="4">
        <f t="shared" si="12"/>
        <v>0</v>
      </c>
      <c r="AF7" s="4">
        <f t="shared" si="12"/>
        <v>5000</v>
      </c>
      <c r="AG7" s="4">
        <f t="shared" si="12"/>
        <v>0</v>
      </c>
      <c r="AH7" s="4">
        <f t="shared" si="12"/>
        <v>5000</v>
      </c>
      <c r="AI7" s="4">
        <f t="shared" si="12"/>
        <v>0</v>
      </c>
      <c r="AJ7" s="4">
        <f t="shared" si="12"/>
        <v>5000</v>
      </c>
      <c r="AK7" s="4">
        <f t="shared" si="12"/>
        <v>0</v>
      </c>
      <c r="AL7" s="4">
        <f t="shared" si="12"/>
        <v>5000</v>
      </c>
      <c r="AM7" s="4">
        <f t="shared" si="12"/>
        <v>0</v>
      </c>
      <c r="AN7" s="4">
        <f t="shared" si="12"/>
        <v>5000</v>
      </c>
      <c r="AO7" s="4">
        <f t="shared" si="12"/>
        <v>0</v>
      </c>
      <c r="AP7" s="4">
        <f t="shared" si="12"/>
        <v>5000</v>
      </c>
      <c r="AQ7" s="4">
        <f t="shared" si="12"/>
        <v>0</v>
      </c>
      <c r="AR7" s="4">
        <f t="shared" si="12"/>
        <v>5000</v>
      </c>
      <c r="AS7" s="64"/>
      <c r="AT7" s="64"/>
      <c r="AU7" s="64"/>
    </row>
    <row r="8" spans="1:47">
      <c r="B8" t="s">
        <v>12</v>
      </c>
      <c r="C8" s="4">
        <f>'DATA ENTRY'!G11</f>
        <v>300</v>
      </c>
      <c r="D8" s="4"/>
      <c r="E8" s="4"/>
      <c r="F8" s="4">
        <f>C8</f>
        <v>300</v>
      </c>
      <c r="G8" s="4">
        <f t="shared" ref="G8:AR8" si="13">E8</f>
        <v>0</v>
      </c>
      <c r="H8" s="4">
        <f t="shared" si="13"/>
        <v>300</v>
      </c>
      <c r="I8" s="4">
        <f t="shared" si="13"/>
        <v>0</v>
      </c>
      <c r="J8" s="4">
        <f t="shared" si="13"/>
        <v>300</v>
      </c>
      <c r="K8" s="4">
        <f t="shared" si="13"/>
        <v>0</v>
      </c>
      <c r="L8" s="4">
        <f t="shared" si="13"/>
        <v>300</v>
      </c>
      <c r="M8" s="4">
        <f t="shared" si="13"/>
        <v>0</v>
      </c>
      <c r="N8" s="4">
        <f t="shared" si="13"/>
        <v>300</v>
      </c>
      <c r="O8" s="4">
        <f t="shared" si="13"/>
        <v>0</v>
      </c>
      <c r="P8" s="4">
        <f t="shared" si="13"/>
        <v>300</v>
      </c>
      <c r="Q8" s="4">
        <f t="shared" si="13"/>
        <v>0</v>
      </c>
      <c r="R8" s="4">
        <f t="shared" si="13"/>
        <v>300</v>
      </c>
      <c r="S8" s="4">
        <f t="shared" si="13"/>
        <v>0</v>
      </c>
      <c r="T8" s="4">
        <f t="shared" si="13"/>
        <v>300</v>
      </c>
      <c r="U8" s="4">
        <f t="shared" si="13"/>
        <v>0</v>
      </c>
      <c r="V8" s="4">
        <f t="shared" si="13"/>
        <v>300</v>
      </c>
      <c r="W8" s="4">
        <f t="shared" si="13"/>
        <v>0</v>
      </c>
      <c r="X8" s="4">
        <f t="shared" si="13"/>
        <v>300</v>
      </c>
      <c r="Y8" s="4">
        <f t="shared" si="13"/>
        <v>0</v>
      </c>
      <c r="Z8" s="4">
        <f t="shared" si="13"/>
        <v>300</v>
      </c>
      <c r="AA8" s="4">
        <f t="shared" si="13"/>
        <v>0</v>
      </c>
      <c r="AB8" s="4">
        <f t="shared" si="13"/>
        <v>300</v>
      </c>
      <c r="AC8" s="4">
        <f t="shared" si="13"/>
        <v>0</v>
      </c>
      <c r="AD8" s="4">
        <f t="shared" si="13"/>
        <v>300</v>
      </c>
      <c r="AE8" s="4">
        <f t="shared" si="13"/>
        <v>0</v>
      </c>
      <c r="AF8" s="4">
        <f t="shared" si="13"/>
        <v>300</v>
      </c>
      <c r="AG8" s="4">
        <f t="shared" si="13"/>
        <v>0</v>
      </c>
      <c r="AH8" s="4">
        <f t="shared" si="13"/>
        <v>300</v>
      </c>
      <c r="AI8" s="4">
        <f t="shared" si="13"/>
        <v>0</v>
      </c>
      <c r="AJ8" s="4">
        <f t="shared" si="13"/>
        <v>300</v>
      </c>
      <c r="AK8" s="4">
        <f t="shared" si="13"/>
        <v>0</v>
      </c>
      <c r="AL8" s="4">
        <f t="shared" si="13"/>
        <v>300</v>
      </c>
      <c r="AM8" s="4">
        <f t="shared" si="13"/>
        <v>0</v>
      </c>
      <c r="AN8" s="4">
        <f t="shared" si="13"/>
        <v>300</v>
      </c>
      <c r="AO8" s="4">
        <f t="shared" si="13"/>
        <v>0</v>
      </c>
      <c r="AP8" s="4">
        <f t="shared" si="13"/>
        <v>300</v>
      </c>
      <c r="AQ8" s="4">
        <f t="shared" si="13"/>
        <v>0</v>
      </c>
      <c r="AR8" s="4">
        <f t="shared" si="13"/>
        <v>300</v>
      </c>
      <c r="AS8" s="64"/>
      <c r="AT8" s="64"/>
      <c r="AU8" s="64"/>
    </row>
    <row r="9" spans="1:47">
      <c r="B9" t="s">
        <v>13</v>
      </c>
      <c r="C9" s="4">
        <f>C14*C4*2</f>
        <v>7772.32</v>
      </c>
      <c r="D9" s="4"/>
      <c r="E9" s="4">
        <f>E14*E4*2</f>
        <v>500</v>
      </c>
      <c r="F9" s="4">
        <f t="shared" ref="F9:AR9" si="14">F14*F4*2</f>
        <v>1000</v>
      </c>
      <c r="G9" s="4">
        <f t="shared" si="14"/>
        <v>1500</v>
      </c>
      <c r="H9" s="4">
        <f t="shared" si="14"/>
        <v>2000</v>
      </c>
      <c r="I9" s="4">
        <f t="shared" si="14"/>
        <v>2500</v>
      </c>
      <c r="J9" s="4">
        <f t="shared" si="14"/>
        <v>3000</v>
      </c>
      <c r="K9" s="4">
        <f t="shared" si="14"/>
        <v>3500</v>
      </c>
      <c r="L9" s="4">
        <f t="shared" si="14"/>
        <v>4000</v>
      </c>
      <c r="M9" s="4">
        <f t="shared" si="14"/>
        <v>4500</v>
      </c>
      <c r="N9" s="4">
        <f t="shared" si="14"/>
        <v>5000</v>
      </c>
      <c r="O9" s="4">
        <f t="shared" si="14"/>
        <v>5500</v>
      </c>
      <c r="P9" s="4">
        <f t="shared" si="14"/>
        <v>6000</v>
      </c>
      <c r="Q9" s="4">
        <f t="shared" si="14"/>
        <v>6500</v>
      </c>
      <c r="R9" s="4">
        <f t="shared" si="14"/>
        <v>7000</v>
      </c>
      <c r="S9" s="4">
        <f t="shared" si="14"/>
        <v>7500</v>
      </c>
      <c r="T9" s="4">
        <f t="shared" si="14"/>
        <v>8000</v>
      </c>
      <c r="U9" s="4">
        <f t="shared" si="14"/>
        <v>8500</v>
      </c>
      <c r="V9" s="4">
        <f t="shared" si="14"/>
        <v>9000</v>
      </c>
      <c r="W9" s="4">
        <f t="shared" si="14"/>
        <v>9500</v>
      </c>
      <c r="X9" s="4">
        <f t="shared" si="14"/>
        <v>10000</v>
      </c>
      <c r="Y9" s="4">
        <f t="shared" si="14"/>
        <v>10500</v>
      </c>
      <c r="Z9" s="4">
        <f t="shared" si="14"/>
        <v>11000</v>
      </c>
      <c r="AA9" s="4">
        <f t="shared" si="14"/>
        <v>11500</v>
      </c>
      <c r="AB9" s="4">
        <f t="shared" si="14"/>
        <v>12000</v>
      </c>
      <c r="AC9" s="4">
        <f t="shared" si="14"/>
        <v>12500</v>
      </c>
      <c r="AD9" s="4">
        <f t="shared" si="14"/>
        <v>13000</v>
      </c>
      <c r="AE9" s="4">
        <f t="shared" si="14"/>
        <v>13500</v>
      </c>
      <c r="AF9" s="4">
        <f t="shared" si="14"/>
        <v>14000</v>
      </c>
      <c r="AG9" s="4">
        <f t="shared" si="14"/>
        <v>14500</v>
      </c>
      <c r="AH9" s="4">
        <f t="shared" si="14"/>
        <v>15000</v>
      </c>
      <c r="AI9" s="4">
        <f t="shared" si="14"/>
        <v>15500</v>
      </c>
      <c r="AJ9" s="4">
        <f t="shared" si="14"/>
        <v>16000</v>
      </c>
      <c r="AK9" s="4">
        <f t="shared" si="14"/>
        <v>16500</v>
      </c>
      <c r="AL9" s="4">
        <f t="shared" si="14"/>
        <v>17000</v>
      </c>
      <c r="AM9" s="4">
        <f t="shared" si="14"/>
        <v>17500</v>
      </c>
      <c r="AN9" s="4">
        <f t="shared" si="14"/>
        <v>18000</v>
      </c>
      <c r="AO9" s="4">
        <f t="shared" si="14"/>
        <v>18500</v>
      </c>
      <c r="AP9" s="4">
        <f t="shared" si="14"/>
        <v>19000</v>
      </c>
      <c r="AQ9" s="4">
        <f t="shared" si="14"/>
        <v>19500</v>
      </c>
      <c r="AR9" s="4">
        <f t="shared" si="14"/>
        <v>20000</v>
      </c>
      <c r="AS9" s="64"/>
      <c r="AT9" s="64"/>
      <c r="AU9" s="64"/>
    </row>
    <row r="10" spans="1:47">
      <c r="B10" t="s">
        <v>28</v>
      </c>
      <c r="C10" s="11">
        <f>SUM(C4:C9)</f>
        <v>472027.81600000005</v>
      </c>
      <c r="D10" s="11"/>
      <c r="E10" s="11">
        <f>SUM(E4:E9)</f>
        <v>30025</v>
      </c>
      <c r="F10" s="11">
        <f>SUM(F4:F9)</f>
        <v>65350</v>
      </c>
      <c r="G10" s="11">
        <f>SUM(G4:G9)</f>
        <v>90075</v>
      </c>
      <c r="H10" s="11">
        <f>SUM(H4:H9)</f>
        <v>125400</v>
      </c>
      <c r="I10" s="11">
        <f t="shared" ref="I10:AG10" si="15">SUM(I4:I9)</f>
        <v>150125</v>
      </c>
      <c r="J10" s="11">
        <f t="shared" si="15"/>
        <v>185450</v>
      </c>
      <c r="K10" s="11">
        <f t="shared" si="15"/>
        <v>210175</v>
      </c>
      <c r="L10" s="11">
        <f t="shared" si="15"/>
        <v>245500</v>
      </c>
      <c r="M10" s="11">
        <f t="shared" si="15"/>
        <v>270225</v>
      </c>
      <c r="N10" s="11">
        <f t="shared" si="15"/>
        <v>305550</v>
      </c>
      <c r="O10" s="11">
        <f t="shared" si="15"/>
        <v>330275</v>
      </c>
      <c r="P10" s="11">
        <f t="shared" si="15"/>
        <v>365600</v>
      </c>
      <c r="Q10" s="11">
        <f t="shared" si="15"/>
        <v>390325</v>
      </c>
      <c r="R10" s="11">
        <f t="shared" si="15"/>
        <v>425650</v>
      </c>
      <c r="S10" s="11">
        <f t="shared" si="15"/>
        <v>450375</v>
      </c>
      <c r="T10" s="11">
        <f t="shared" si="15"/>
        <v>485700</v>
      </c>
      <c r="U10" s="11">
        <f t="shared" si="15"/>
        <v>510425</v>
      </c>
      <c r="V10" s="11">
        <f t="shared" si="15"/>
        <v>545750</v>
      </c>
      <c r="W10" s="11">
        <f t="shared" si="15"/>
        <v>570475</v>
      </c>
      <c r="X10" s="11">
        <f t="shared" si="15"/>
        <v>600300</v>
      </c>
      <c r="Y10" s="11">
        <f t="shared" si="15"/>
        <v>630525</v>
      </c>
      <c r="Z10" s="11">
        <f t="shared" si="15"/>
        <v>665850</v>
      </c>
      <c r="AA10" s="11">
        <f t="shared" si="15"/>
        <v>690575</v>
      </c>
      <c r="AB10" s="11">
        <f t="shared" si="15"/>
        <v>725900</v>
      </c>
      <c r="AC10" s="11">
        <f t="shared" si="15"/>
        <v>750625</v>
      </c>
      <c r="AD10" s="11">
        <f t="shared" si="15"/>
        <v>785950</v>
      </c>
      <c r="AE10" s="11">
        <f t="shared" si="15"/>
        <v>810675</v>
      </c>
      <c r="AF10" s="11">
        <f t="shared" si="15"/>
        <v>846000</v>
      </c>
      <c r="AG10" s="11">
        <f t="shared" si="15"/>
        <v>870725</v>
      </c>
      <c r="AH10" s="11">
        <f t="shared" ref="AH10:AJ10" si="16">SUM(AH4:AH9)</f>
        <v>906050</v>
      </c>
      <c r="AI10" s="11">
        <f t="shared" si="16"/>
        <v>930775</v>
      </c>
      <c r="AJ10" s="11">
        <f t="shared" si="16"/>
        <v>966100</v>
      </c>
      <c r="AK10" s="11">
        <f t="shared" ref="AK10:AN10" si="17">SUM(AK4:AK9)</f>
        <v>990825</v>
      </c>
      <c r="AL10" s="11">
        <f t="shared" si="17"/>
        <v>1026150</v>
      </c>
      <c r="AM10" s="11">
        <f t="shared" si="17"/>
        <v>1050875</v>
      </c>
      <c r="AN10" s="11">
        <f t="shared" si="17"/>
        <v>1086200</v>
      </c>
      <c r="AO10" s="11">
        <f t="shared" ref="AO10:AR10" si="18">SUM(AO4:AO9)</f>
        <v>1110925</v>
      </c>
      <c r="AP10" s="11">
        <f t="shared" si="18"/>
        <v>1146250</v>
      </c>
      <c r="AQ10" s="11">
        <f t="shared" si="18"/>
        <v>1170975</v>
      </c>
      <c r="AR10" s="11">
        <f t="shared" si="18"/>
        <v>1195300</v>
      </c>
      <c r="AS10" s="64"/>
      <c r="AT10" s="64"/>
      <c r="AU10" s="64"/>
    </row>
    <row r="11" spans="1:47" s="52" customFormat="1">
      <c r="A11"/>
      <c r="B11" s="52" t="s">
        <v>29</v>
      </c>
      <c r="C11" s="55">
        <v>0.12</v>
      </c>
      <c r="D11" s="55"/>
      <c r="E11" s="55">
        <f>C11</f>
        <v>0.12</v>
      </c>
      <c r="F11" s="55">
        <f>C11</f>
        <v>0.12</v>
      </c>
      <c r="G11" s="55">
        <f t="shared" ref="G11:AQ11" si="19">F11</f>
        <v>0.12</v>
      </c>
      <c r="H11" s="55">
        <f t="shared" si="19"/>
        <v>0.12</v>
      </c>
      <c r="I11" s="55">
        <f t="shared" si="19"/>
        <v>0.12</v>
      </c>
      <c r="J11" s="55">
        <f t="shared" si="19"/>
        <v>0.12</v>
      </c>
      <c r="K11" s="55">
        <f t="shared" si="19"/>
        <v>0.12</v>
      </c>
      <c r="L11" s="55">
        <f t="shared" si="19"/>
        <v>0.12</v>
      </c>
      <c r="M11" s="55">
        <f t="shared" si="19"/>
        <v>0.12</v>
      </c>
      <c r="N11" s="55">
        <f t="shared" si="19"/>
        <v>0.12</v>
      </c>
      <c r="O11" s="55">
        <f t="shared" si="19"/>
        <v>0.12</v>
      </c>
      <c r="P11" s="55">
        <f t="shared" si="19"/>
        <v>0.12</v>
      </c>
      <c r="Q11" s="55">
        <f t="shared" si="19"/>
        <v>0.12</v>
      </c>
      <c r="R11" s="55">
        <f t="shared" si="19"/>
        <v>0.12</v>
      </c>
      <c r="S11" s="55">
        <f t="shared" si="19"/>
        <v>0.12</v>
      </c>
      <c r="T11" s="55">
        <f t="shared" si="19"/>
        <v>0.12</v>
      </c>
      <c r="U11" s="55">
        <f t="shared" si="19"/>
        <v>0.12</v>
      </c>
      <c r="V11" s="55">
        <f t="shared" si="19"/>
        <v>0.12</v>
      </c>
      <c r="W11" s="55">
        <f t="shared" si="19"/>
        <v>0.12</v>
      </c>
      <c r="X11" s="55">
        <f>W11</f>
        <v>0.12</v>
      </c>
      <c r="Y11" s="55">
        <f>W11</f>
        <v>0.12</v>
      </c>
      <c r="Z11" s="55">
        <f t="shared" si="19"/>
        <v>0.12</v>
      </c>
      <c r="AA11" s="55">
        <f t="shared" si="19"/>
        <v>0.12</v>
      </c>
      <c r="AB11" s="55">
        <f t="shared" si="19"/>
        <v>0.12</v>
      </c>
      <c r="AC11" s="55">
        <f t="shared" si="19"/>
        <v>0.12</v>
      </c>
      <c r="AD11" s="55">
        <f t="shared" si="19"/>
        <v>0.12</v>
      </c>
      <c r="AE11" s="55">
        <f t="shared" si="19"/>
        <v>0.12</v>
      </c>
      <c r="AF11" s="55">
        <f t="shared" si="19"/>
        <v>0.12</v>
      </c>
      <c r="AG11" s="55">
        <f t="shared" si="19"/>
        <v>0.12</v>
      </c>
      <c r="AH11" s="55">
        <f t="shared" si="19"/>
        <v>0.12</v>
      </c>
      <c r="AI11" s="55">
        <f t="shared" si="19"/>
        <v>0.12</v>
      </c>
      <c r="AJ11" s="55">
        <f t="shared" si="19"/>
        <v>0.12</v>
      </c>
      <c r="AK11" s="55">
        <f t="shared" si="19"/>
        <v>0.12</v>
      </c>
      <c r="AL11" s="55">
        <f t="shared" si="19"/>
        <v>0.12</v>
      </c>
      <c r="AM11" s="55">
        <f t="shared" si="19"/>
        <v>0.12</v>
      </c>
      <c r="AN11" s="55">
        <f t="shared" si="19"/>
        <v>0.12</v>
      </c>
      <c r="AO11" s="55">
        <f t="shared" si="19"/>
        <v>0.12</v>
      </c>
      <c r="AP11" s="55">
        <f t="shared" si="19"/>
        <v>0.12</v>
      </c>
      <c r="AQ11" s="55">
        <f t="shared" si="19"/>
        <v>0.12</v>
      </c>
      <c r="AR11" s="55">
        <f>AQ11</f>
        <v>0.12</v>
      </c>
      <c r="AS11" s="65"/>
      <c r="AT11" s="65"/>
      <c r="AU11" s="65"/>
    </row>
    <row r="12" spans="1:47">
      <c r="B12" s="56" t="s">
        <v>30</v>
      </c>
      <c r="C12" s="56">
        <f>(1+C11/C15)^C15-1</f>
        <v>0.12736174018256685</v>
      </c>
      <c r="D12" s="56"/>
      <c r="E12" s="56">
        <f>(1+E11/E15)^E15-1</f>
        <v>0.12736174018256685</v>
      </c>
      <c r="F12" s="56">
        <f>(1+F11/F15)^F15-1</f>
        <v>0.12736174018256685</v>
      </c>
      <c r="G12" s="56">
        <f>(1+G11/G15)^G15-1</f>
        <v>0.12736174018256685</v>
      </c>
      <c r="H12" s="56">
        <f>(1+H11/H15)^H15-1</f>
        <v>0.12736174018256685</v>
      </c>
      <c r="I12" s="56">
        <f t="shared" ref="I12:AR12" si="20">(1+I11/I15)^I15-1</f>
        <v>0.12736174018256685</v>
      </c>
      <c r="J12" s="56">
        <f t="shared" si="20"/>
        <v>0.12736174018256685</v>
      </c>
      <c r="K12" s="56">
        <f t="shared" si="20"/>
        <v>0.12736174018256685</v>
      </c>
      <c r="L12" s="56">
        <f t="shared" si="20"/>
        <v>0.12736174018256685</v>
      </c>
      <c r="M12" s="56">
        <f t="shared" si="20"/>
        <v>0.12736174018256685</v>
      </c>
      <c r="N12" s="56">
        <f t="shared" si="20"/>
        <v>0.12736174018256685</v>
      </c>
      <c r="O12" s="56">
        <f t="shared" si="20"/>
        <v>0.12736174018256685</v>
      </c>
      <c r="P12" s="56">
        <f t="shared" si="20"/>
        <v>0.12736174018256685</v>
      </c>
      <c r="Q12" s="56">
        <f t="shared" si="20"/>
        <v>0.12736174018256685</v>
      </c>
      <c r="R12" s="56">
        <f t="shared" si="20"/>
        <v>0.12736174018256685</v>
      </c>
      <c r="S12" s="56">
        <f t="shared" si="20"/>
        <v>0.12736174018256685</v>
      </c>
      <c r="T12" s="56">
        <f t="shared" si="20"/>
        <v>0.12736174018256685</v>
      </c>
      <c r="U12" s="56">
        <f t="shared" si="20"/>
        <v>0.12736174018256685</v>
      </c>
      <c r="V12" s="56">
        <f t="shared" si="20"/>
        <v>0.12736174018256685</v>
      </c>
      <c r="W12" s="56">
        <f t="shared" si="20"/>
        <v>0.12736174018256685</v>
      </c>
      <c r="X12" s="56">
        <f t="shared" si="20"/>
        <v>0.12736174018256685</v>
      </c>
      <c r="Y12" s="56">
        <f t="shared" si="20"/>
        <v>0.12736174018256685</v>
      </c>
      <c r="Z12" s="56">
        <f t="shared" si="20"/>
        <v>0.12736174018256685</v>
      </c>
      <c r="AA12" s="56">
        <f t="shared" si="20"/>
        <v>0.12736174018256685</v>
      </c>
      <c r="AB12" s="56">
        <f t="shared" si="20"/>
        <v>0.12736174018256685</v>
      </c>
      <c r="AC12" s="56">
        <f t="shared" si="20"/>
        <v>0.12736174018256685</v>
      </c>
      <c r="AD12" s="56">
        <f t="shared" si="20"/>
        <v>0.12736174018256685</v>
      </c>
      <c r="AE12" s="56">
        <f t="shared" si="20"/>
        <v>0.12736174018256685</v>
      </c>
      <c r="AF12" s="56">
        <f t="shared" si="20"/>
        <v>0.12736174018256685</v>
      </c>
      <c r="AG12" s="56">
        <f t="shared" si="20"/>
        <v>0.12736174018256685</v>
      </c>
      <c r="AH12" s="56">
        <f t="shared" si="20"/>
        <v>0.12736174018256685</v>
      </c>
      <c r="AI12" s="56">
        <f t="shared" si="20"/>
        <v>0.12736174018256685</v>
      </c>
      <c r="AJ12" s="56">
        <f t="shared" si="20"/>
        <v>0.12736174018256685</v>
      </c>
      <c r="AK12" s="56">
        <f t="shared" si="20"/>
        <v>0.12736174018256685</v>
      </c>
      <c r="AL12" s="56">
        <f t="shared" si="20"/>
        <v>0.12736174018256685</v>
      </c>
      <c r="AM12" s="56">
        <f t="shared" si="20"/>
        <v>0.12736174018256685</v>
      </c>
      <c r="AN12" s="56">
        <f t="shared" si="20"/>
        <v>0.12736174018256685</v>
      </c>
      <c r="AO12" s="56">
        <f t="shared" si="20"/>
        <v>0.12736174018256685</v>
      </c>
      <c r="AP12" s="56">
        <f t="shared" si="20"/>
        <v>0.12736174018256685</v>
      </c>
      <c r="AQ12" s="56">
        <f t="shared" si="20"/>
        <v>0.12736174018256685</v>
      </c>
      <c r="AR12" s="66">
        <f t="shared" si="20"/>
        <v>0.12736174018256685</v>
      </c>
      <c r="AS12" s="67"/>
      <c r="AT12" s="67"/>
      <c r="AU12" s="67"/>
    </row>
    <row r="13" spans="1:47">
      <c r="B13" t="s">
        <v>31</v>
      </c>
      <c r="C13" s="57">
        <v>5</v>
      </c>
      <c r="D13" s="57"/>
      <c r="E13" s="57">
        <v>5</v>
      </c>
      <c r="F13" s="57">
        <v>5</v>
      </c>
      <c r="G13" s="57">
        <v>5</v>
      </c>
      <c r="H13" s="57">
        <v>5</v>
      </c>
      <c r="I13" s="57">
        <v>5</v>
      </c>
      <c r="J13" s="57">
        <v>5</v>
      </c>
      <c r="K13" s="57">
        <v>5</v>
      </c>
      <c r="L13" s="57">
        <v>5</v>
      </c>
      <c r="M13" s="57">
        <v>5</v>
      </c>
      <c r="N13" s="57">
        <v>5</v>
      </c>
      <c r="O13" s="57">
        <v>5</v>
      </c>
      <c r="P13" s="57">
        <v>5</v>
      </c>
      <c r="Q13" s="57">
        <v>5</v>
      </c>
      <c r="R13" s="57">
        <v>5</v>
      </c>
      <c r="S13" s="57">
        <v>5</v>
      </c>
      <c r="T13" s="57">
        <f t="shared" ref="T13:AE13" si="21">P13</f>
        <v>5</v>
      </c>
      <c r="U13" s="57">
        <f t="shared" si="21"/>
        <v>5</v>
      </c>
      <c r="V13" s="57">
        <f t="shared" si="21"/>
        <v>5</v>
      </c>
      <c r="W13" s="57">
        <f t="shared" si="21"/>
        <v>5</v>
      </c>
      <c r="X13" s="57">
        <f t="shared" si="21"/>
        <v>5</v>
      </c>
      <c r="Y13" s="57">
        <f t="shared" si="21"/>
        <v>5</v>
      </c>
      <c r="Z13" s="57">
        <f t="shared" si="21"/>
        <v>5</v>
      </c>
      <c r="AA13" s="57">
        <f t="shared" si="21"/>
        <v>5</v>
      </c>
      <c r="AB13" s="57">
        <f t="shared" si="21"/>
        <v>5</v>
      </c>
      <c r="AC13" s="57">
        <f t="shared" si="21"/>
        <v>5</v>
      </c>
      <c r="AD13" s="57">
        <f t="shared" si="21"/>
        <v>5</v>
      </c>
      <c r="AE13" s="57">
        <f t="shared" si="21"/>
        <v>5</v>
      </c>
      <c r="AF13" s="57">
        <f t="shared" ref="AF13:AG13" si="22">AB13</f>
        <v>5</v>
      </c>
      <c r="AG13" s="57">
        <f t="shared" si="22"/>
        <v>5</v>
      </c>
      <c r="AH13" s="57">
        <f t="shared" ref="AH13" si="23">AD13</f>
        <v>5</v>
      </c>
      <c r="AI13" s="57">
        <f t="shared" ref="AI13:AJ13" si="24">AE13</f>
        <v>5</v>
      </c>
      <c r="AJ13" s="57">
        <f t="shared" si="24"/>
        <v>5</v>
      </c>
      <c r="AK13" s="57">
        <f t="shared" ref="AK13:AN13" si="25">AG13</f>
        <v>5</v>
      </c>
      <c r="AL13" s="57">
        <f t="shared" si="25"/>
        <v>5</v>
      </c>
      <c r="AM13" s="57">
        <f t="shared" si="25"/>
        <v>5</v>
      </c>
      <c r="AN13" s="57">
        <f t="shared" si="25"/>
        <v>5</v>
      </c>
      <c r="AO13" s="57">
        <f t="shared" ref="AO13:AR13" si="26">AK13</f>
        <v>5</v>
      </c>
      <c r="AP13" s="57">
        <f t="shared" si="26"/>
        <v>5</v>
      </c>
      <c r="AQ13" s="57">
        <f t="shared" si="26"/>
        <v>5</v>
      </c>
      <c r="AR13" s="57">
        <f t="shared" si="26"/>
        <v>5</v>
      </c>
      <c r="AS13" s="68"/>
      <c r="AT13" s="68"/>
      <c r="AU13" s="68"/>
    </row>
    <row r="14" spans="1:47" s="51" customFormat="1">
      <c r="B14" s="51" t="s">
        <v>32</v>
      </c>
      <c r="C14" s="58">
        <f>C11/12</f>
        <v>0.01</v>
      </c>
      <c r="D14" s="58"/>
      <c r="E14" s="58">
        <f>E11/12</f>
        <v>0.01</v>
      </c>
      <c r="F14" s="58">
        <f>F11/12</f>
        <v>0.01</v>
      </c>
      <c r="G14" s="58">
        <f>G11/12</f>
        <v>0.01</v>
      </c>
      <c r="H14" s="58">
        <f>H11/12</f>
        <v>0.01</v>
      </c>
      <c r="I14" s="58">
        <f t="shared" ref="I14:J14" si="27">I11/12</f>
        <v>0.01</v>
      </c>
      <c r="J14" s="58">
        <f t="shared" si="27"/>
        <v>0.01</v>
      </c>
      <c r="K14" s="58">
        <f t="shared" ref="K14" si="28">K11/12</f>
        <v>0.01</v>
      </c>
      <c r="L14" s="58">
        <f t="shared" ref="L14:S14" si="29">L11/12</f>
        <v>0.01</v>
      </c>
      <c r="M14" s="58">
        <f t="shared" si="29"/>
        <v>0.01</v>
      </c>
      <c r="N14" s="58">
        <f t="shared" si="29"/>
        <v>0.01</v>
      </c>
      <c r="O14" s="58">
        <f t="shared" si="29"/>
        <v>0.01</v>
      </c>
      <c r="P14" s="58">
        <f t="shared" si="29"/>
        <v>0.01</v>
      </c>
      <c r="Q14" s="58">
        <f t="shared" si="29"/>
        <v>0.01</v>
      </c>
      <c r="R14" s="58">
        <f t="shared" si="29"/>
        <v>0.01</v>
      </c>
      <c r="S14" s="58">
        <f t="shared" si="29"/>
        <v>0.01</v>
      </c>
      <c r="T14" s="58">
        <f t="shared" ref="T14:U14" si="30">T11/12</f>
        <v>0.01</v>
      </c>
      <c r="U14" s="58">
        <f t="shared" si="30"/>
        <v>0.01</v>
      </c>
      <c r="V14" s="58">
        <f t="shared" ref="V14:W14" si="31">V11/12</f>
        <v>0.01</v>
      </c>
      <c r="W14" s="58">
        <f t="shared" si="31"/>
        <v>0.01</v>
      </c>
      <c r="X14" s="58">
        <f t="shared" ref="X14:AF14" si="32">X11/12</f>
        <v>0.01</v>
      </c>
      <c r="Y14" s="58">
        <f t="shared" ref="Y14:AA14" si="33">Y11/12</f>
        <v>0.01</v>
      </c>
      <c r="Z14" s="58">
        <f t="shared" si="33"/>
        <v>0.01</v>
      </c>
      <c r="AA14" s="58">
        <f t="shared" si="33"/>
        <v>0.01</v>
      </c>
      <c r="AB14" s="58">
        <f t="shared" si="32"/>
        <v>0.01</v>
      </c>
      <c r="AC14" s="58">
        <f t="shared" ref="AC14:AE14" si="34">AC11/12</f>
        <v>0.01</v>
      </c>
      <c r="AD14" s="58">
        <f t="shared" si="34"/>
        <v>0.01</v>
      </c>
      <c r="AE14" s="58">
        <f t="shared" si="34"/>
        <v>0.01</v>
      </c>
      <c r="AF14" s="58">
        <f t="shared" si="32"/>
        <v>0.01</v>
      </c>
      <c r="AG14" s="58">
        <f t="shared" ref="AG14:AI14" si="35">AG11/12</f>
        <v>0.01</v>
      </c>
      <c r="AH14" s="58">
        <f t="shared" si="35"/>
        <v>0.01</v>
      </c>
      <c r="AI14" s="58">
        <f t="shared" si="35"/>
        <v>0.01</v>
      </c>
      <c r="AJ14" s="58">
        <f t="shared" ref="AJ14:AR14" si="36">AJ11/12</f>
        <v>0.01</v>
      </c>
      <c r="AK14" s="58">
        <f t="shared" ref="AK14:AM14" si="37">AK11/12</f>
        <v>0.01</v>
      </c>
      <c r="AL14" s="58">
        <f t="shared" si="37"/>
        <v>0.01</v>
      </c>
      <c r="AM14" s="58">
        <f t="shared" si="37"/>
        <v>0.01</v>
      </c>
      <c r="AN14" s="58">
        <f t="shared" si="36"/>
        <v>0.01</v>
      </c>
      <c r="AO14" s="58">
        <f t="shared" ref="AO14:AQ14" si="38">AO11/12</f>
        <v>0.01</v>
      </c>
      <c r="AP14" s="58">
        <f t="shared" si="38"/>
        <v>0.01</v>
      </c>
      <c r="AQ14" s="58">
        <f t="shared" si="38"/>
        <v>0.01</v>
      </c>
      <c r="AR14" s="58">
        <f t="shared" si="36"/>
        <v>0.01</v>
      </c>
      <c r="AS14" s="28"/>
      <c r="AT14" s="28"/>
      <c r="AU14" s="28"/>
    </row>
    <row r="15" spans="1:47">
      <c r="B15" t="s">
        <v>33</v>
      </c>
      <c r="C15" s="57">
        <f>C13*12</f>
        <v>60</v>
      </c>
      <c r="D15" s="57"/>
      <c r="E15" s="57">
        <f>E13*12</f>
        <v>60</v>
      </c>
      <c r="F15" s="57">
        <f>F13*12</f>
        <v>60</v>
      </c>
      <c r="G15" s="57">
        <f>G13*12</f>
        <v>60</v>
      </c>
      <c r="H15" s="57">
        <f>H13*12</f>
        <v>60</v>
      </c>
      <c r="I15" s="57">
        <f t="shared" ref="I15:J15" si="39">I13*12</f>
        <v>60</v>
      </c>
      <c r="J15" s="57">
        <f t="shared" si="39"/>
        <v>60</v>
      </c>
      <c r="K15" s="57">
        <f t="shared" ref="K15" si="40">K13*12</f>
        <v>60</v>
      </c>
      <c r="L15" s="57">
        <f t="shared" ref="L15:T15" si="41">L13*12</f>
        <v>60</v>
      </c>
      <c r="M15" s="57">
        <f t="shared" ref="M15:O15" si="42">M13*12</f>
        <v>60</v>
      </c>
      <c r="N15" s="57">
        <f t="shared" si="42"/>
        <v>60</v>
      </c>
      <c r="O15" s="57">
        <f t="shared" si="42"/>
        <v>60</v>
      </c>
      <c r="P15" s="57">
        <f t="shared" si="41"/>
        <v>60</v>
      </c>
      <c r="Q15" s="57">
        <f t="shared" ref="Q15:R15" si="43">Q13*12</f>
        <v>60</v>
      </c>
      <c r="R15" s="57">
        <f t="shared" si="43"/>
        <v>60</v>
      </c>
      <c r="S15" s="57">
        <f t="shared" ref="S15" si="44">S13*12</f>
        <v>60</v>
      </c>
      <c r="T15" s="57">
        <f t="shared" si="41"/>
        <v>60</v>
      </c>
      <c r="U15" s="57">
        <f t="shared" ref="U15:W15" si="45">U13*12</f>
        <v>60</v>
      </c>
      <c r="V15" s="57">
        <f t="shared" si="45"/>
        <v>60</v>
      </c>
      <c r="W15" s="57">
        <f t="shared" si="45"/>
        <v>60</v>
      </c>
      <c r="X15" s="57">
        <f t="shared" ref="X15:AF15" si="46">X13*12</f>
        <v>60</v>
      </c>
      <c r="Y15" s="57">
        <f t="shared" ref="Y15:AA15" si="47">Y13*12</f>
        <v>60</v>
      </c>
      <c r="Z15" s="57">
        <f t="shared" si="47"/>
        <v>60</v>
      </c>
      <c r="AA15" s="57">
        <f t="shared" si="47"/>
        <v>60</v>
      </c>
      <c r="AB15" s="57">
        <f t="shared" si="46"/>
        <v>60</v>
      </c>
      <c r="AC15" s="57">
        <f t="shared" ref="AC15:AE15" si="48">AC13*12</f>
        <v>60</v>
      </c>
      <c r="AD15" s="57">
        <f t="shared" si="48"/>
        <v>60</v>
      </c>
      <c r="AE15" s="57">
        <f t="shared" si="48"/>
        <v>60</v>
      </c>
      <c r="AF15" s="57">
        <f t="shared" si="46"/>
        <v>60</v>
      </c>
      <c r="AG15" s="57">
        <f t="shared" ref="AG15:AI15" si="49">AG13*12</f>
        <v>60</v>
      </c>
      <c r="AH15" s="57">
        <f t="shared" si="49"/>
        <v>60</v>
      </c>
      <c r="AI15" s="57">
        <f t="shared" si="49"/>
        <v>60</v>
      </c>
      <c r="AJ15" s="57">
        <f t="shared" ref="AJ15:AR15" si="50">AJ13*12</f>
        <v>60</v>
      </c>
      <c r="AK15" s="57">
        <f t="shared" ref="AK15:AM15" si="51">AK13*12</f>
        <v>60</v>
      </c>
      <c r="AL15" s="57">
        <f t="shared" si="51"/>
        <v>60</v>
      </c>
      <c r="AM15" s="57">
        <f t="shared" si="51"/>
        <v>60</v>
      </c>
      <c r="AN15" s="57">
        <f t="shared" si="50"/>
        <v>60</v>
      </c>
      <c r="AO15" s="57">
        <f t="shared" ref="AO15:AQ15" si="52">AO13*12</f>
        <v>60</v>
      </c>
      <c r="AP15" s="57">
        <f t="shared" si="52"/>
        <v>60</v>
      </c>
      <c r="AQ15" s="57">
        <f t="shared" si="52"/>
        <v>60</v>
      </c>
      <c r="AR15" s="57">
        <f t="shared" si="50"/>
        <v>60</v>
      </c>
      <c r="AS15" s="68"/>
      <c r="AT15" s="68"/>
      <c r="AU15" s="68"/>
    </row>
    <row r="16" spans="1:47">
      <c r="C16" s="4"/>
      <c r="D16" s="4"/>
      <c r="E16" s="4"/>
      <c r="F16" s="4"/>
      <c r="G16" s="4"/>
      <c r="H16" s="4"/>
      <c r="I16" s="4"/>
      <c r="J16" s="4"/>
      <c r="K16" s="4"/>
      <c r="L16" s="4"/>
      <c r="M16" s="4"/>
      <c r="AB16" s="4"/>
      <c r="AC16" s="4"/>
      <c r="AD16" s="4"/>
      <c r="AE16" s="4"/>
      <c r="AF16" s="4"/>
      <c r="AG16" s="4"/>
      <c r="AH16" s="4"/>
      <c r="AI16" s="4"/>
      <c r="AJ16" s="4"/>
      <c r="AK16" s="4"/>
      <c r="AL16" s="4"/>
      <c r="AM16" s="4"/>
      <c r="AN16" s="4"/>
      <c r="AO16" s="4"/>
      <c r="AP16" s="4"/>
      <c r="AQ16" s="4"/>
      <c r="AR16" s="4"/>
      <c r="AS16" s="64"/>
      <c r="AT16" s="64"/>
      <c r="AU16" s="64"/>
    </row>
    <row r="17" spans="2:47">
      <c r="B17" t="s">
        <v>17</v>
      </c>
      <c r="C17" s="59">
        <f>(1+C14)^C15</f>
        <v>1.8166966985640913</v>
      </c>
      <c r="D17" s="59"/>
      <c r="E17" s="59">
        <f>(1+E14)^E15</f>
        <v>1.8166966985640913</v>
      </c>
      <c r="F17" s="59">
        <f t="shared" ref="F17:K17" si="53">(1+F14)^F15</f>
        <v>1.8166966985640913</v>
      </c>
      <c r="G17" s="59">
        <f t="shared" si="53"/>
        <v>1.8166966985640913</v>
      </c>
      <c r="H17" s="59">
        <f t="shared" si="53"/>
        <v>1.8166966985640913</v>
      </c>
      <c r="I17" s="59">
        <f t="shared" si="53"/>
        <v>1.8166966985640913</v>
      </c>
      <c r="J17" s="59">
        <f t="shared" si="53"/>
        <v>1.8166966985640913</v>
      </c>
      <c r="K17" s="59">
        <f t="shared" si="53"/>
        <v>1.8166966985640913</v>
      </c>
      <c r="L17" s="59">
        <f t="shared" ref="L17:T17" si="54">(1+L14)^L15</f>
        <v>1.8166966985640913</v>
      </c>
      <c r="M17" s="59">
        <f t="shared" ref="M17" si="55">(1+M14)^M15</f>
        <v>1.8166966985640913</v>
      </c>
      <c r="N17" s="59">
        <f t="shared" ref="N17:S17" si="56">(1+N14)^N15</f>
        <v>1.8166966985640913</v>
      </c>
      <c r="O17" s="59">
        <f t="shared" si="56"/>
        <v>1.8166966985640913</v>
      </c>
      <c r="P17" s="59">
        <f t="shared" si="56"/>
        <v>1.8166966985640913</v>
      </c>
      <c r="Q17" s="59">
        <f t="shared" si="56"/>
        <v>1.8166966985640913</v>
      </c>
      <c r="R17" s="59">
        <f t="shared" si="56"/>
        <v>1.8166966985640913</v>
      </c>
      <c r="S17" s="59">
        <f t="shared" si="56"/>
        <v>1.8166966985640913</v>
      </c>
      <c r="T17" s="59">
        <f t="shared" si="54"/>
        <v>1.8166966985640913</v>
      </c>
      <c r="U17" s="59">
        <f t="shared" ref="U17:W17" si="57">(1+U14)^U15</f>
        <v>1.8166966985640913</v>
      </c>
      <c r="V17" s="59">
        <f t="shared" si="57"/>
        <v>1.8166966985640913</v>
      </c>
      <c r="W17" s="59">
        <f t="shared" si="57"/>
        <v>1.8166966985640913</v>
      </c>
      <c r="X17" s="59">
        <f t="shared" ref="X17:AF17" si="58">(1+X14)^X15</f>
        <v>1.8166966985640913</v>
      </c>
      <c r="Y17" s="59">
        <f t="shared" ref="Y17:AA17" si="59">(1+Y14)^Y15</f>
        <v>1.8166966985640913</v>
      </c>
      <c r="Z17" s="59">
        <f t="shared" si="59"/>
        <v>1.8166966985640913</v>
      </c>
      <c r="AA17" s="59">
        <f t="shared" si="59"/>
        <v>1.8166966985640913</v>
      </c>
      <c r="AB17" s="59">
        <f t="shared" si="58"/>
        <v>1.8166966985640913</v>
      </c>
      <c r="AC17" s="59">
        <f t="shared" ref="AC17:AE17" si="60">(1+AC14)^AC15</f>
        <v>1.8166966985640913</v>
      </c>
      <c r="AD17" s="59">
        <f t="shared" si="60"/>
        <v>1.8166966985640913</v>
      </c>
      <c r="AE17" s="59">
        <f t="shared" si="60"/>
        <v>1.8166966985640913</v>
      </c>
      <c r="AF17" s="59">
        <f t="shared" si="58"/>
        <v>1.8166966985640913</v>
      </c>
      <c r="AG17" s="59">
        <f t="shared" ref="AG17:AI17" si="61">(1+AG14)^AG15</f>
        <v>1.8166966985640913</v>
      </c>
      <c r="AH17" s="59">
        <f t="shared" si="61"/>
        <v>1.8166966985640913</v>
      </c>
      <c r="AI17" s="59">
        <f t="shared" si="61"/>
        <v>1.8166966985640913</v>
      </c>
      <c r="AJ17" s="59">
        <f t="shared" ref="AJ17:AR17" si="62">(1+AJ14)^AJ15</f>
        <v>1.8166966985640913</v>
      </c>
      <c r="AK17" s="59">
        <f t="shared" ref="AK17:AM17" si="63">(1+AK14)^AK15</f>
        <v>1.8166966985640913</v>
      </c>
      <c r="AL17" s="59">
        <f t="shared" si="63"/>
        <v>1.8166966985640913</v>
      </c>
      <c r="AM17" s="59">
        <f t="shared" si="63"/>
        <v>1.8166966985640913</v>
      </c>
      <c r="AN17" s="59">
        <f t="shared" si="62"/>
        <v>1.8166966985640913</v>
      </c>
      <c r="AO17" s="59">
        <f t="shared" ref="AO17:AQ17" si="64">(1+AO14)^AO15</f>
        <v>1.8166966985640913</v>
      </c>
      <c r="AP17" s="59">
        <f t="shared" si="64"/>
        <v>1.8166966985640913</v>
      </c>
      <c r="AQ17" s="59">
        <f t="shared" si="64"/>
        <v>1.8166966985640913</v>
      </c>
      <c r="AR17" s="59">
        <f t="shared" si="62"/>
        <v>1.8166966985640913</v>
      </c>
      <c r="AS17" s="69"/>
      <c r="AT17" s="69"/>
      <c r="AU17" s="69"/>
    </row>
    <row r="18" spans="2:47">
      <c r="C18" s="60">
        <f>C17*C14</f>
        <v>1.8166966985640912E-2</v>
      </c>
      <c r="D18" s="60"/>
      <c r="E18" s="60">
        <f>E17*E14</f>
        <v>1.8166966985640912E-2</v>
      </c>
      <c r="F18" s="60">
        <f>F17*F14</f>
        <v>1.8166966985640912E-2</v>
      </c>
      <c r="G18" s="60">
        <f>G17*G14</f>
        <v>1.8166966985640912E-2</v>
      </c>
      <c r="H18" s="60">
        <f>H17*H14</f>
        <v>1.8166966985640912E-2</v>
      </c>
      <c r="I18" s="60">
        <f t="shared" ref="I18:J18" si="65">I17*I14</f>
        <v>1.8166966985640912E-2</v>
      </c>
      <c r="J18" s="60">
        <f t="shared" si="65"/>
        <v>1.8166966985640912E-2</v>
      </c>
      <c r="K18" s="60">
        <f t="shared" ref="K18" si="66">K17*K14</f>
        <v>1.8166966985640912E-2</v>
      </c>
      <c r="L18" s="60">
        <f t="shared" ref="L18:T18" si="67">L17*L14</f>
        <v>1.8166966985640912E-2</v>
      </c>
      <c r="M18" s="60">
        <f t="shared" ref="M18:O18" si="68">M17*M14</f>
        <v>1.8166966985640912E-2</v>
      </c>
      <c r="N18" s="60">
        <f t="shared" si="68"/>
        <v>1.8166966985640912E-2</v>
      </c>
      <c r="O18" s="60">
        <f t="shared" si="68"/>
        <v>1.8166966985640912E-2</v>
      </c>
      <c r="P18" s="60">
        <f t="shared" si="67"/>
        <v>1.8166966985640912E-2</v>
      </c>
      <c r="Q18" s="60">
        <f t="shared" ref="Q18:R18" si="69">Q17*Q14</f>
        <v>1.8166966985640912E-2</v>
      </c>
      <c r="R18" s="60">
        <f t="shared" si="69"/>
        <v>1.8166966985640912E-2</v>
      </c>
      <c r="S18" s="60">
        <f t="shared" ref="S18" si="70">S17*S14</f>
        <v>1.8166966985640912E-2</v>
      </c>
      <c r="T18" s="60">
        <f t="shared" si="67"/>
        <v>1.8166966985640912E-2</v>
      </c>
      <c r="U18" s="60">
        <f t="shared" ref="U18:W18" si="71">U17*U14</f>
        <v>1.8166966985640912E-2</v>
      </c>
      <c r="V18" s="60">
        <f t="shared" si="71"/>
        <v>1.8166966985640912E-2</v>
      </c>
      <c r="W18" s="60">
        <f t="shared" si="71"/>
        <v>1.8166966985640912E-2</v>
      </c>
      <c r="X18" s="60">
        <f t="shared" ref="X18:AF18" si="72">X17*X14</f>
        <v>1.8166966985640912E-2</v>
      </c>
      <c r="Y18" s="60">
        <f t="shared" ref="Y18:AA18" si="73">Y17*Y14</f>
        <v>1.8166966985640912E-2</v>
      </c>
      <c r="Z18" s="60">
        <f t="shared" si="73"/>
        <v>1.8166966985640912E-2</v>
      </c>
      <c r="AA18" s="60">
        <f t="shared" si="73"/>
        <v>1.8166966985640912E-2</v>
      </c>
      <c r="AB18" s="60">
        <f t="shared" si="72"/>
        <v>1.8166966985640912E-2</v>
      </c>
      <c r="AC18" s="60">
        <f t="shared" ref="AC18:AE18" si="74">AC17*AC14</f>
        <v>1.8166966985640912E-2</v>
      </c>
      <c r="AD18" s="60">
        <f t="shared" si="74"/>
        <v>1.8166966985640912E-2</v>
      </c>
      <c r="AE18" s="60">
        <f t="shared" si="74"/>
        <v>1.8166966985640912E-2</v>
      </c>
      <c r="AF18" s="60">
        <f t="shared" si="72"/>
        <v>1.8166966985640912E-2</v>
      </c>
      <c r="AG18" s="60">
        <f t="shared" ref="AG18:AI18" si="75">AG17*AG14</f>
        <v>1.8166966985640912E-2</v>
      </c>
      <c r="AH18" s="60">
        <f t="shared" si="75"/>
        <v>1.8166966985640912E-2</v>
      </c>
      <c r="AI18" s="60">
        <f t="shared" si="75"/>
        <v>1.8166966985640912E-2</v>
      </c>
      <c r="AJ18" s="60">
        <f t="shared" ref="AJ18:AM18" si="76">AJ17*AJ14</f>
        <v>1.8166966985640912E-2</v>
      </c>
      <c r="AK18" s="60">
        <f t="shared" si="76"/>
        <v>1.8166966985640912E-2</v>
      </c>
      <c r="AL18" s="60">
        <f t="shared" si="76"/>
        <v>1.8166966985640912E-2</v>
      </c>
      <c r="AM18" s="60">
        <f t="shared" si="76"/>
        <v>1.8166966985640912E-2</v>
      </c>
      <c r="AN18" s="60">
        <f t="shared" ref="AN18:AQ18" si="77">AN17*AN14</f>
        <v>1.8166966985640912E-2</v>
      </c>
      <c r="AO18" s="60">
        <f t="shared" si="77"/>
        <v>1.8166966985640912E-2</v>
      </c>
      <c r="AP18" s="60">
        <f t="shared" si="77"/>
        <v>1.8166966985640912E-2</v>
      </c>
      <c r="AQ18" s="60">
        <f t="shared" si="77"/>
        <v>1.8166966985640912E-2</v>
      </c>
      <c r="AR18" s="60">
        <f t="shared" ref="AR18" si="78">AR17*AR14</f>
        <v>1.8166966985640912E-2</v>
      </c>
      <c r="AS18" s="70"/>
      <c r="AT18" s="70"/>
      <c r="AU18" s="70"/>
    </row>
    <row r="19" spans="2:47">
      <c r="C19" s="61">
        <f>C17-1</f>
        <v>0.81669669856409133</v>
      </c>
      <c r="D19" s="61"/>
      <c r="E19" s="61">
        <f>E17-1</f>
        <v>0.81669669856409133</v>
      </c>
      <c r="F19" s="61">
        <f>F17-1</f>
        <v>0.81669669856409133</v>
      </c>
      <c r="G19" s="61">
        <f>G17-1</f>
        <v>0.81669669856409133</v>
      </c>
      <c r="H19" s="61">
        <f>H17-1</f>
        <v>0.81669669856409133</v>
      </c>
      <c r="I19" s="61">
        <f t="shared" ref="I19:J19" si="79">I17-1</f>
        <v>0.81669669856409133</v>
      </c>
      <c r="J19" s="61">
        <f t="shared" si="79"/>
        <v>0.81669669856409133</v>
      </c>
      <c r="K19" s="61">
        <f t="shared" ref="K19" si="80">K17-1</f>
        <v>0.81669669856409133</v>
      </c>
      <c r="L19" s="61">
        <f t="shared" ref="L19:T19" si="81">L17-1</f>
        <v>0.81669669856409133</v>
      </c>
      <c r="M19" s="61">
        <f t="shared" ref="M19:O19" si="82">M17-1</f>
        <v>0.81669669856409133</v>
      </c>
      <c r="N19" s="61">
        <f t="shared" si="82"/>
        <v>0.81669669856409133</v>
      </c>
      <c r="O19" s="61">
        <f t="shared" si="82"/>
        <v>0.81669669856409133</v>
      </c>
      <c r="P19" s="61">
        <f t="shared" si="81"/>
        <v>0.81669669856409133</v>
      </c>
      <c r="Q19" s="61">
        <f t="shared" ref="Q19:R19" si="83">Q17-1</f>
        <v>0.81669669856409133</v>
      </c>
      <c r="R19" s="61">
        <f t="shared" si="83"/>
        <v>0.81669669856409133</v>
      </c>
      <c r="S19" s="61">
        <f t="shared" ref="S19" si="84">S17-1</f>
        <v>0.81669669856409133</v>
      </c>
      <c r="T19" s="61">
        <f t="shared" si="81"/>
        <v>0.81669669856409133</v>
      </c>
      <c r="U19" s="61">
        <f t="shared" ref="U19:W19" si="85">U17-1</f>
        <v>0.81669669856409133</v>
      </c>
      <c r="V19" s="61">
        <f t="shared" si="85"/>
        <v>0.81669669856409133</v>
      </c>
      <c r="W19" s="61">
        <f t="shared" si="85"/>
        <v>0.81669669856409133</v>
      </c>
      <c r="X19" s="61">
        <f t="shared" ref="X19:AF19" si="86">X17-1</f>
        <v>0.81669669856409133</v>
      </c>
      <c r="Y19" s="61">
        <f t="shared" ref="Y19:AA19" si="87">Y17-1</f>
        <v>0.81669669856409133</v>
      </c>
      <c r="Z19" s="61">
        <f t="shared" si="87"/>
        <v>0.81669669856409133</v>
      </c>
      <c r="AA19" s="61">
        <f t="shared" si="87"/>
        <v>0.81669669856409133</v>
      </c>
      <c r="AB19" s="61">
        <f t="shared" si="86"/>
        <v>0.81669669856409133</v>
      </c>
      <c r="AC19" s="61">
        <f t="shared" ref="AC19:AE19" si="88">AC17-1</f>
        <v>0.81669669856409133</v>
      </c>
      <c r="AD19" s="61">
        <f t="shared" si="88"/>
        <v>0.81669669856409133</v>
      </c>
      <c r="AE19" s="61">
        <f t="shared" si="88"/>
        <v>0.81669669856409133</v>
      </c>
      <c r="AF19" s="61">
        <f t="shared" si="86"/>
        <v>0.81669669856409133</v>
      </c>
      <c r="AG19" s="61">
        <f t="shared" ref="AG19:AI19" si="89">AG17-1</f>
        <v>0.81669669856409133</v>
      </c>
      <c r="AH19" s="61">
        <f t="shared" si="89"/>
        <v>0.81669669856409133</v>
      </c>
      <c r="AI19" s="61">
        <f t="shared" si="89"/>
        <v>0.81669669856409133</v>
      </c>
      <c r="AJ19" s="61">
        <f t="shared" ref="AJ19:AR19" si="90">AJ17-1</f>
        <v>0.81669669856409133</v>
      </c>
      <c r="AK19" s="61">
        <f t="shared" ref="AK19:AM19" si="91">AK17-1</f>
        <v>0.81669669856409133</v>
      </c>
      <c r="AL19" s="61">
        <f t="shared" si="91"/>
        <v>0.81669669856409133</v>
      </c>
      <c r="AM19" s="61">
        <f t="shared" si="91"/>
        <v>0.81669669856409133</v>
      </c>
      <c r="AN19" s="61">
        <f t="shared" si="90"/>
        <v>0.81669669856409133</v>
      </c>
      <c r="AO19" s="61">
        <f t="shared" ref="AO19:AQ19" si="92">AO17-1</f>
        <v>0.81669669856409133</v>
      </c>
      <c r="AP19" s="61">
        <f t="shared" si="92"/>
        <v>0.81669669856409133</v>
      </c>
      <c r="AQ19" s="61">
        <f t="shared" si="92"/>
        <v>0.81669669856409133</v>
      </c>
      <c r="AR19" s="61">
        <f t="shared" si="90"/>
        <v>0.81669669856409133</v>
      </c>
      <c r="AS19" s="71"/>
      <c r="AT19" s="71"/>
      <c r="AU19" s="71"/>
    </row>
    <row r="20" spans="2:47">
      <c r="C20" s="61">
        <f>C18/C19</f>
        <v>2.2244447684901761E-2</v>
      </c>
      <c r="D20" s="61"/>
      <c r="E20" s="61">
        <f>E18/E19</f>
        <v>2.2244447684901761E-2</v>
      </c>
      <c r="F20" s="61">
        <f>F18/F19</f>
        <v>2.2244447684901761E-2</v>
      </c>
      <c r="G20" s="61">
        <f>G18/G19</f>
        <v>2.2244447684901761E-2</v>
      </c>
      <c r="H20" s="61">
        <f>H18/H19</f>
        <v>2.2244447684901761E-2</v>
      </c>
      <c r="I20" s="61">
        <f t="shared" ref="I20:J20" si="93">I18/I19</f>
        <v>2.2244447684901761E-2</v>
      </c>
      <c r="J20" s="61">
        <f t="shared" si="93"/>
        <v>2.2244447684901761E-2</v>
      </c>
      <c r="K20" s="61">
        <f t="shared" ref="K20" si="94">K18/K19</f>
        <v>2.2244447684901761E-2</v>
      </c>
      <c r="L20" s="61">
        <f t="shared" ref="L20:T20" si="95">L18/L19</f>
        <v>2.2244447684901761E-2</v>
      </c>
      <c r="M20" s="61">
        <f t="shared" ref="M20:O20" si="96">M18/M19</f>
        <v>2.2244447684901761E-2</v>
      </c>
      <c r="N20" s="61">
        <f t="shared" si="96"/>
        <v>2.2244447684901761E-2</v>
      </c>
      <c r="O20" s="61">
        <f t="shared" si="96"/>
        <v>2.2244447684901761E-2</v>
      </c>
      <c r="P20" s="61">
        <f t="shared" si="95"/>
        <v>2.2244447684901761E-2</v>
      </c>
      <c r="Q20" s="61">
        <f t="shared" ref="Q20:R20" si="97">Q18/Q19</f>
        <v>2.2244447684901761E-2</v>
      </c>
      <c r="R20" s="61">
        <f t="shared" si="97"/>
        <v>2.2244447684901761E-2</v>
      </c>
      <c r="S20" s="61">
        <f t="shared" ref="S20" si="98">S18/S19</f>
        <v>2.2244447684901761E-2</v>
      </c>
      <c r="T20" s="61">
        <f t="shared" si="95"/>
        <v>2.2244447684901761E-2</v>
      </c>
      <c r="U20" s="61">
        <f t="shared" ref="U20:W20" si="99">U18/U19</f>
        <v>2.2244447684901761E-2</v>
      </c>
      <c r="V20" s="61">
        <f t="shared" si="99"/>
        <v>2.2244447684901761E-2</v>
      </c>
      <c r="W20" s="61">
        <f t="shared" si="99"/>
        <v>2.2244447684901761E-2</v>
      </c>
      <c r="X20" s="61">
        <f t="shared" ref="X20:AF20" si="100">X18/X19</f>
        <v>2.2244447684901761E-2</v>
      </c>
      <c r="Y20" s="61">
        <f t="shared" ref="Y20:AA20" si="101">Y18/Y19</f>
        <v>2.2244447684901761E-2</v>
      </c>
      <c r="Z20" s="61">
        <f t="shared" si="101"/>
        <v>2.2244447684901761E-2</v>
      </c>
      <c r="AA20" s="61">
        <f t="shared" si="101"/>
        <v>2.2244447684901761E-2</v>
      </c>
      <c r="AB20" s="61">
        <f t="shared" si="100"/>
        <v>2.2244447684901761E-2</v>
      </c>
      <c r="AC20" s="61">
        <f t="shared" ref="AC20:AE20" si="102">AC18/AC19</f>
        <v>2.2244447684901761E-2</v>
      </c>
      <c r="AD20" s="61">
        <f t="shared" si="102"/>
        <v>2.2244447684901761E-2</v>
      </c>
      <c r="AE20" s="61">
        <f t="shared" si="102"/>
        <v>2.2244447684901761E-2</v>
      </c>
      <c r="AF20" s="61">
        <f t="shared" si="100"/>
        <v>2.2244447684901761E-2</v>
      </c>
      <c r="AG20" s="61">
        <f t="shared" ref="AG20:AI20" si="103">AG18/AG19</f>
        <v>2.2244447684901761E-2</v>
      </c>
      <c r="AH20" s="61">
        <f t="shared" si="103"/>
        <v>2.2244447684901761E-2</v>
      </c>
      <c r="AI20" s="61">
        <f t="shared" si="103"/>
        <v>2.2244447684901761E-2</v>
      </c>
      <c r="AJ20" s="61">
        <f t="shared" ref="AJ20:AM20" si="104">AJ18/AJ19</f>
        <v>2.2244447684901761E-2</v>
      </c>
      <c r="AK20" s="61">
        <f t="shared" si="104"/>
        <v>2.2244447684901761E-2</v>
      </c>
      <c r="AL20" s="61">
        <f t="shared" si="104"/>
        <v>2.2244447684901761E-2</v>
      </c>
      <c r="AM20" s="61">
        <f t="shared" si="104"/>
        <v>2.2244447684901761E-2</v>
      </c>
      <c r="AN20" s="61">
        <f t="shared" ref="AN20:AQ20" si="105">AN18/AN19</f>
        <v>2.2244447684901761E-2</v>
      </c>
      <c r="AO20" s="61">
        <f t="shared" si="105"/>
        <v>2.2244447684901761E-2</v>
      </c>
      <c r="AP20" s="61">
        <f t="shared" si="105"/>
        <v>2.2244447684901761E-2</v>
      </c>
      <c r="AQ20" s="61">
        <f t="shared" si="105"/>
        <v>2.2244447684901761E-2</v>
      </c>
      <c r="AR20" s="61">
        <f t="shared" ref="AR20" si="106">AR18/AR19</f>
        <v>2.2244447684901761E-2</v>
      </c>
      <c r="AS20" s="71"/>
      <c r="AT20" s="71"/>
      <c r="AU20" s="71"/>
    </row>
    <row r="21" spans="2:47" s="51" customFormat="1">
      <c r="B21" s="51" t="s">
        <v>17</v>
      </c>
      <c r="C21" s="54">
        <f>C20*C10</f>
        <v>10499.998058830435</v>
      </c>
      <c r="D21" s="54"/>
      <c r="E21" s="54">
        <f>E20*E10</f>
        <v>667.88954173917534</v>
      </c>
      <c r="F21" s="54">
        <f>F20*F10</f>
        <v>1453.6746562083301</v>
      </c>
      <c r="G21" s="54">
        <f>G20*G10</f>
        <v>2003.6686252175261</v>
      </c>
      <c r="H21" s="54">
        <f>H20*H10</f>
        <v>2789.4537396866808</v>
      </c>
      <c r="I21" s="54">
        <f t="shared" ref="I21:AG21" si="107">I20*I10</f>
        <v>3339.4477086958768</v>
      </c>
      <c r="J21" s="54">
        <f t="shared" si="107"/>
        <v>4125.2328231650317</v>
      </c>
      <c r="K21" s="54">
        <f t="shared" si="107"/>
        <v>4675.2267921742277</v>
      </c>
      <c r="L21" s="54">
        <f t="shared" si="107"/>
        <v>5461.0119066433826</v>
      </c>
      <c r="M21" s="54">
        <f t="shared" si="107"/>
        <v>6011.0058756525787</v>
      </c>
      <c r="N21" s="54">
        <f t="shared" si="107"/>
        <v>6796.7909901217326</v>
      </c>
      <c r="O21" s="54">
        <f t="shared" si="107"/>
        <v>7346.7849591309287</v>
      </c>
      <c r="P21" s="54">
        <f t="shared" si="107"/>
        <v>8132.5700736000836</v>
      </c>
      <c r="Q21" s="54">
        <f t="shared" si="107"/>
        <v>8682.5640426092796</v>
      </c>
      <c r="R21" s="54">
        <f t="shared" si="107"/>
        <v>9468.3491570784354</v>
      </c>
      <c r="S21" s="54">
        <f t="shared" si="107"/>
        <v>10018.343126087631</v>
      </c>
      <c r="T21" s="54">
        <f t="shared" si="107"/>
        <v>10804.128240556785</v>
      </c>
      <c r="U21" s="54">
        <f t="shared" si="107"/>
        <v>11354.122209565981</v>
      </c>
      <c r="V21" s="54">
        <f t="shared" si="107"/>
        <v>12139.907324035135</v>
      </c>
      <c r="W21" s="54">
        <f t="shared" si="107"/>
        <v>12689.901293044331</v>
      </c>
      <c r="X21" s="54">
        <f t="shared" si="107"/>
        <v>13353.341945246528</v>
      </c>
      <c r="Y21" s="54">
        <f t="shared" si="107"/>
        <v>14025.680376522683</v>
      </c>
      <c r="Z21" s="54">
        <f t="shared" si="107"/>
        <v>14811.465490991837</v>
      </c>
      <c r="AA21" s="54">
        <f t="shared" si="107"/>
        <v>15361.459460001033</v>
      </c>
      <c r="AB21" s="54">
        <f t="shared" si="107"/>
        <v>16147.244574470189</v>
      </c>
      <c r="AC21" s="54">
        <f t="shared" si="107"/>
        <v>16697.238543479383</v>
      </c>
      <c r="AD21" s="54">
        <f t="shared" si="107"/>
        <v>17483.023657948539</v>
      </c>
      <c r="AE21" s="54">
        <f t="shared" si="107"/>
        <v>18033.017626957735</v>
      </c>
      <c r="AF21" s="54">
        <f t="shared" si="107"/>
        <v>18818.802741426891</v>
      </c>
      <c r="AG21" s="54">
        <f t="shared" si="107"/>
        <v>19368.796710436087</v>
      </c>
      <c r="AH21" s="54">
        <f t="shared" ref="AH21:AJ21" si="108">AH20*AH10</f>
        <v>20154.581824905239</v>
      </c>
      <c r="AI21" s="54">
        <f t="shared" si="108"/>
        <v>20704.575793914435</v>
      </c>
      <c r="AJ21" s="54">
        <f t="shared" si="108"/>
        <v>21490.360908383591</v>
      </c>
      <c r="AK21" s="54">
        <f t="shared" ref="AK21:AN21" si="109">AK20*AK10</f>
        <v>22040.354877392787</v>
      </c>
      <c r="AL21" s="54">
        <f t="shared" si="109"/>
        <v>22826.139991861943</v>
      </c>
      <c r="AM21" s="54">
        <f t="shared" si="109"/>
        <v>23376.133960871139</v>
      </c>
      <c r="AN21" s="54">
        <f t="shared" si="109"/>
        <v>24161.919075340291</v>
      </c>
      <c r="AO21" s="54">
        <f t="shared" ref="AO21:AR21" si="110">AO20*AO10</f>
        <v>24711.913044349487</v>
      </c>
      <c r="AP21" s="54">
        <f t="shared" si="110"/>
        <v>25497.698158818643</v>
      </c>
      <c r="AQ21" s="54">
        <f t="shared" si="110"/>
        <v>26047.692127827839</v>
      </c>
      <c r="AR21" s="54">
        <f t="shared" si="110"/>
        <v>26588.788317763076</v>
      </c>
      <c r="AS21" s="64"/>
      <c r="AT21" s="64"/>
      <c r="AU21" s="64"/>
    </row>
    <row r="22" spans="2:47">
      <c r="C22" s="4"/>
      <c r="D22" s="4"/>
      <c r="E22" s="4"/>
      <c r="F22" s="4"/>
      <c r="G22" s="4"/>
      <c r="H22" s="4"/>
      <c r="I22" s="4"/>
      <c r="J22" s="4"/>
      <c r="K22" s="4"/>
      <c r="L22" s="4"/>
      <c r="M22" s="4"/>
      <c r="AB22" s="4"/>
      <c r="AC22" s="4"/>
      <c r="AD22" s="4"/>
      <c r="AE22" s="4"/>
      <c r="AF22" s="4"/>
      <c r="AG22" s="4"/>
      <c r="AH22" s="4"/>
      <c r="AI22" s="4"/>
      <c r="AJ22" s="4"/>
      <c r="AK22" s="4"/>
      <c r="AL22" s="4"/>
      <c r="AM22" s="4"/>
      <c r="AN22" s="4"/>
      <c r="AO22" s="4"/>
      <c r="AP22" s="4"/>
      <c r="AQ22" s="4"/>
      <c r="AR22" s="4"/>
      <c r="AS22" s="64"/>
      <c r="AT22" s="64"/>
      <c r="AU22" s="64"/>
    </row>
    <row r="23" spans="2:47">
      <c r="B23" t="s">
        <v>34</v>
      </c>
      <c r="C23" s="4">
        <f>C3-C4</f>
        <v>241383.88352982607</v>
      </c>
      <c r="D23" s="4"/>
      <c r="E23" s="4">
        <f>E3-E4</f>
        <v>15073.372504350518</v>
      </c>
      <c r="F23" s="4">
        <f>F3-F4</f>
        <v>37220.479372499802</v>
      </c>
      <c r="G23" s="4">
        <f>G3-G4</f>
        <v>45220.117513051562</v>
      </c>
      <c r="H23" s="4">
        <f>H3-H4</f>
        <v>67367.224381200853</v>
      </c>
      <c r="I23" s="4">
        <f t="shared" ref="I23:AR23" si="111">I3-I4</f>
        <v>75366.862521752599</v>
      </c>
      <c r="J23" s="4">
        <f t="shared" si="111"/>
        <v>97513.969389901904</v>
      </c>
      <c r="K23" s="4">
        <f t="shared" si="111"/>
        <v>105513.60753045365</v>
      </c>
      <c r="L23" s="4">
        <f t="shared" si="111"/>
        <v>127660.71439860296</v>
      </c>
      <c r="M23" s="4">
        <f t="shared" si="111"/>
        <v>135660.3525391547</v>
      </c>
      <c r="N23" s="4">
        <f t="shared" si="111"/>
        <v>157807.45940730395</v>
      </c>
      <c r="O23" s="4">
        <f t="shared" si="111"/>
        <v>165807.09754785569</v>
      </c>
      <c r="P23" s="4">
        <f t="shared" si="111"/>
        <v>187954.204416005</v>
      </c>
      <c r="Q23" s="4">
        <f t="shared" si="111"/>
        <v>195953.8425565568</v>
      </c>
      <c r="R23" s="4">
        <f t="shared" si="111"/>
        <v>218100.94942470617</v>
      </c>
      <c r="S23" s="4">
        <f t="shared" si="111"/>
        <v>226100.58756525791</v>
      </c>
      <c r="T23" s="4">
        <f t="shared" si="111"/>
        <v>248247.69443340716</v>
      </c>
      <c r="U23" s="4">
        <f t="shared" si="111"/>
        <v>256247.33257395891</v>
      </c>
      <c r="V23" s="4">
        <f t="shared" si="111"/>
        <v>278394.43944210815</v>
      </c>
      <c r="W23" s="4">
        <f t="shared" si="111"/>
        <v>286394.0775826599</v>
      </c>
      <c r="X23" s="4">
        <f t="shared" si="111"/>
        <v>301200.51671479165</v>
      </c>
      <c r="Y23" s="4">
        <f t="shared" si="111"/>
        <v>316540.82259136101</v>
      </c>
      <c r="Z23" s="4">
        <f t="shared" si="111"/>
        <v>338687.92945951025</v>
      </c>
      <c r="AA23" s="4">
        <f t="shared" si="111"/>
        <v>346687.567600062</v>
      </c>
      <c r="AB23" s="4">
        <f t="shared" si="111"/>
        <v>368834.67446821136</v>
      </c>
      <c r="AC23" s="4">
        <f t="shared" si="111"/>
        <v>376834.31260876299</v>
      </c>
      <c r="AD23" s="4">
        <f t="shared" si="111"/>
        <v>398981.41947691236</v>
      </c>
      <c r="AE23" s="4">
        <f t="shared" si="111"/>
        <v>406981.0576174641</v>
      </c>
      <c r="AF23" s="4">
        <f t="shared" si="111"/>
        <v>429128.16448561335</v>
      </c>
      <c r="AG23" s="4">
        <f t="shared" si="111"/>
        <v>437127.8026261651</v>
      </c>
      <c r="AH23" s="4">
        <f t="shared" si="111"/>
        <v>459274.90949431434</v>
      </c>
      <c r="AI23" s="4">
        <f t="shared" si="111"/>
        <v>467274.54763486609</v>
      </c>
      <c r="AJ23" s="4">
        <f t="shared" si="111"/>
        <v>489421.65450301534</v>
      </c>
      <c r="AK23" s="4">
        <f t="shared" si="111"/>
        <v>497421.29264356731</v>
      </c>
      <c r="AL23" s="4">
        <f t="shared" si="111"/>
        <v>519568.39951171656</v>
      </c>
      <c r="AM23" s="4">
        <f t="shared" si="111"/>
        <v>527568.03765226831</v>
      </c>
      <c r="AN23" s="4">
        <f t="shared" si="111"/>
        <v>549715.14452041755</v>
      </c>
      <c r="AO23" s="4">
        <f t="shared" si="111"/>
        <v>557714.7826609693</v>
      </c>
      <c r="AP23" s="4">
        <f t="shared" si="111"/>
        <v>579861.88952911855</v>
      </c>
      <c r="AQ23" s="4">
        <f t="shared" si="111"/>
        <v>587861.52766967029</v>
      </c>
      <c r="AR23" s="4">
        <f t="shared" si="111"/>
        <v>595327.29906578455</v>
      </c>
      <c r="AS23" s="64"/>
      <c r="AT23" s="64"/>
      <c r="AU23" s="64"/>
    </row>
    <row r="24" spans="2:47">
      <c r="B24" t="s">
        <v>35</v>
      </c>
      <c r="C24" s="7">
        <f>C23/C3</f>
        <v>0.38314909230994842</v>
      </c>
      <c r="D24" s="7"/>
      <c r="E24" s="7">
        <f>E23/E3</f>
        <v>0.37614434629164528</v>
      </c>
      <c r="F24" s="7">
        <f>F23/F3</f>
        <v>0.42674013764060142</v>
      </c>
      <c r="G24" s="7">
        <f>G23/G3</f>
        <v>0.37614434629164534</v>
      </c>
      <c r="H24" s="7">
        <f>H23/H3</f>
        <v>0.40251145127293947</v>
      </c>
      <c r="I24" s="7">
        <f t="shared" ref="I24:AR24" si="112">I23/I3</f>
        <v>0.37614434629164534</v>
      </c>
      <c r="J24" s="7">
        <f t="shared" si="112"/>
        <v>0.39397359926902087</v>
      </c>
      <c r="K24" s="7">
        <f t="shared" si="112"/>
        <v>0.37614434629164534</v>
      </c>
      <c r="L24" s="7">
        <f t="shared" si="112"/>
        <v>0.38961251315378093</v>
      </c>
      <c r="M24" s="7">
        <f t="shared" si="112"/>
        <v>0.37614434629164534</v>
      </c>
      <c r="N24" s="7">
        <f t="shared" si="112"/>
        <v>0.386965602926089</v>
      </c>
      <c r="O24" s="7">
        <f t="shared" si="112"/>
        <v>0.37614434629164528</v>
      </c>
      <c r="P24" s="7">
        <f t="shared" si="112"/>
        <v>0.38518820560415701</v>
      </c>
      <c r="Q24" s="7">
        <f t="shared" si="112"/>
        <v>0.37614434629164539</v>
      </c>
      <c r="R24" s="7">
        <f t="shared" si="112"/>
        <v>0.38391231284786365</v>
      </c>
      <c r="S24" s="7">
        <f t="shared" si="112"/>
        <v>0.37614434629164545</v>
      </c>
      <c r="T24" s="7">
        <f t="shared" si="112"/>
        <v>0.38295191261788442</v>
      </c>
      <c r="U24" s="7">
        <f t="shared" si="112"/>
        <v>0.37614434629164539</v>
      </c>
      <c r="V24" s="7">
        <f t="shared" si="112"/>
        <v>0.38220286203081949</v>
      </c>
      <c r="W24" s="7">
        <f t="shared" si="112"/>
        <v>0.37614434629164534</v>
      </c>
      <c r="X24" s="7">
        <f t="shared" si="112"/>
        <v>0.37593649833105619</v>
      </c>
      <c r="Y24" s="7">
        <f t="shared" si="112"/>
        <v>0.37614434629164539</v>
      </c>
      <c r="Z24" s="7">
        <f t="shared" si="112"/>
        <v>0.38111008176458111</v>
      </c>
      <c r="AA24" s="7">
        <f t="shared" si="112"/>
        <v>0.37614434629164534</v>
      </c>
      <c r="AB24" s="7">
        <f t="shared" si="112"/>
        <v>0.38069929182774442</v>
      </c>
      <c r="AC24" s="7">
        <f t="shared" si="112"/>
        <v>0.37614434629164534</v>
      </c>
      <c r="AD24" s="7">
        <f t="shared" si="112"/>
        <v>0.38035127416829689</v>
      </c>
      <c r="AE24" s="7">
        <f t="shared" si="112"/>
        <v>0.37614434629164534</v>
      </c>
      <c r="AF24" s="7">
        <f t="shared" si="112"/>
        <v>0.38005266185270242</v>
      </c>
      <c r="AG24" s="7">
        <f t="shared" si="112"/>
        <v>0.37614434629164534</v>
      </c>
      <c r="AH24" s="7">
        <f t="shared" si="112"/>
        <v>0.37979363161216212</v>
      </c>
      <c r="AI24" s="7">
        <f t="shared" si="112"/>
        <v>0.37614434629164528</v>
      </c>
      <c r="AJ24" s="7">
        <f t="shared" si="112"/>
        <v>0.37956680252252645</v>
      </c>
      <c r="AK24" s="7">
        <f t="shared" si="112"/>
        <v>0.37614434629164539</v>
      </c>
      <c r="AL24" s="7">
        <f t="shared" si="112"/>
        <v>0.37936652137779681</v>
      </c>
      <c r="AM24" s="7">
        <f t="shared" si="112"/>
        <v>0.37614434629164539</v>
      </c>
      <c r="AN24" s="7">
        <f t="shared" si="112"/>
        <v>0.37918838511014497</v>
      </c>
      <c r="AO24" s="7">
        <f t="shared" si="112"/>
        <v>0.37614434629164534</v>
      </c>
      <c r="AP24" s="7">
        <f t="shared" si="112"/>
        <v>0.37902891332733063</v>
      </c>
      <c r="AQ24" s="7">
        <f t="shared" si="112"/>
        <v>0.37614434629164534</v>
      </c>
      <c r="AR24" s="7">
        <f t="shared" si="112"/>
        <v>0.37316937998516364</v>
      </c>
      <c r="AS24" s="28"/>
      <c r="AT24" s="28"/>
      <c r="AU24" s="28"/>
    </row>
    <row r="28" spans="2:47" ht="21">
      <c r="B28" s="53" t="s">
        <v>36</v>
      </c>
    </row>
    <row r="29" spans="2:47">
      <c r="B29" t="s">
        <v>25</v>
      </c>
      <c r="C29" s="4">
        <f>C47*C41</f>
        <v>649762.37382449524</v>
      </c>
      <c r="D29" s="4"/>
      <c r="E29" s="4">
        <f>E47*E41</f>
        <v>35294.645678199682</v>
      </c>
      <c r="F29" s="4">
        <f>F47*F41</f>
        <v>83367.317735501521</v>
      </c>
      <c r="G29" s="4">
        <f>G47*G41</f>
        <v>105883.93703459905</v>
      </c>
      <c r="H29" s="4">
        <f>H47*H41</f>
        <v>153956.60909190087</v>
      </c>
      <c r="I29" s="4">
        <f t="shared" ref="I29:J29" si="113">I47*I41</f>
        <v>176473.22839099838</v>
      </c>
      <c r="J29" s="4">
        <f t="shared" si="113"/>
        <v>224545.90044830024</v>
      </c>
      <c r="K29" s="4">
        <f t="shared" ref="K29" si="114">K47*K41</f>
        <v>247062.51974739775</v>
      </c>
      <c r="L29" s="4">
        <f t="shared" ref="L29:T29" si="115">L47*L41</f>
        <v>295135.1918046996</v>
      </c>
      <c r="M29" s="4">
        <f t="shared" ref="M29:O29" si="116">M47*M41</f>
        <v>317651.81110379711</v>
      </c>
      <c r="N29" s="4">
        <f t="shared" si="116"/>
        <v>365724.48316109896</v>
      </c>
      <c r="O29" s="4">
        <f t="shared" si="116"/>
        <v>388241.10246019647</v>
      </c>
      <c r="P29" s="4">
        <f t="shared" si="115"/>
        <v>436313.77451749833</v>
      </c>
      <c r="Q29" s="4">
        <f t="shared" ref="Q29:R29" si="117">Q47*Q41</f>
        <v>458830.39381659584</v>
      </c>
      <c r="R29" s="4">
        <f t="shared" si="117"/>
        <v>506903.06587389775</v>
      </c>
      <c r="S29" s="4">
        <f t="shared" ref="S29" si="118">S47*S41</f>
        <v>529419.6851729952</v>
      </c>
      <c r="T29" s="4">
        <f t="shared" si="115"/>
        <v>577492.35723029706</v>
      </c>
      <c r="U29" s="4">
        <f t="shared" ref="U29:W29" si="119">U47*U41</f>
        <v>600008.97652939451</v>
      </c>
      <c r="V29" s="4">
        <f t="shared" si="119"/>
        <v>648081.64858669648</v>
      </c>
      <c r="W29" s="4">
        <f t="shared" si="119"/>
        <v>670598.26788579393</v>
      </c>
      <c r="X29" s="4">
        <f t="shared" ref="X29:AR29" si="120">X47*X41</f>
        <v>718670.93994309567</v>
      </c>
      <c r="Y29" s="4">
        <f t="shared" ref="Y29:AA29" si="121">Y47*Y41</f>
        <v>741187.55924219324</v>
      </c>
      <c r="Z29" s="4">
        <f t="shared" si="121"/>
        <v>789260.23129949509</v>
      </c>
      <c r="AA29" s="4">
        <f t="shared" si="121"/>
        <v>811776.85059859254</v>
      </c>
      <c r="AB29" s="4">
        <f t="shared" si="120"/>
        <v>859849.52265589451</v>
      </c>
      <c r="AC29" s="4">
        <f t="shared" ref="AC29:AE29" si="122">AC47*AC41</f>
        <v>882366.14195499197</v>
      </c>
      <c r="AD29" s="4">
        <f t="shared" si="122"/>
        <v>930438.81401229382</v>
      </c>
      <c r="AE29" s="4">
        <f t="shared" si="122"/>
        <v>952955.43331139139</v>
      </c>
      <c r="AF29" s="4">
        <f t="shared" si="120"/>
        <v>1001028.1053686931</v>
      </c>
      <c r="AG29" s="4">
        <f t="shared" ref="AG29:AI29" si="123">AG47*AG41</f>
        <v>1023544.7246677906</v>
      </c>
      <c r="AH29" s="4">
        <f t="shared" si="123"/>
        <v>1071617.3967250925</v>
      </c>
      <c r="AI29" s="4">
        <f t="shared" si="123"/>
        <v>1094134.01602419</v>
      </c>
      <c r="AJ29" s="4">
        <f t="shared" si="120"/>
        <v>1142206.688081492</v>
      </c>
      <c r="AK29" s="4">
        <f t="shared" ref="AK29:AM29" si="124">AK47*AK41</f>
        <v>1164723.3073805894</v>
      </c>
      <c r="AL29" s="4">
        <f t="shared" si="124"/>
        <v>1212795.9794378912</v>
      </c>
      <c r="AM29" s="4">
        <f t="shared" si="124"/>
        <v>1235312.5987369888</v>
      </c>
      <c r="AN29" s="4">
        <f t="shared" si="120"/>
        <v>1283385.2707942906</v>
      </c>
      <c r="AO29" s="4">
        <f t="shared" ref="AO29:AQ29" si="125">AO47*AO41</f>
        <v>1305901.8900933883</v>
      </c>
      <c r="AP29" s="4">
        <f t="shared" si="125"/>
        <v>1353974.56215069</v>
      </c>
      <c r="AQ29" s="4">
        <f t="shared" si="125"/>
        <v>1376491.1814497875</v>
      </c>
      <c r="AR29" s="4">
        <f t="shared" si="120"/>
        <v>1424563.8535070894</v>
      </c>
      <c r="AS29" s="64"/>
      <c r="AT29" s="64"/>
      <c r="AU29" s="64"/>
    </row>
    <row r="30" spans="2:47" s="51" customFormat="1">
      <c r="B30" s="51" t="s">
        <v>26</v>
      </c>
      <c r="C30" s="54">
        <f>'DATA ENTRY'!F5</f>
        <v>444037</v>
      </c>
      <c r="D30" s="54"/>
      <c r="E30" s="54">
        <v>25000</v>
      </c>
      <c r="F30" s="54">
        <v>50000</v>
      </c>
      <c r="G30" s="54">
        <v>75000</v>
      </c>
      <c r="H30" s="54">
        <v>100000</v>
      </c>
      <c r="I30" s="54">
        <v>125000</v>
      </c>
      <c r="J30" s="54">
        <v>150000</v>
      </c>
      <c r="K30" s="54">
        <v>175000</v>
      </c>
      <c r="L30" s="54">
        <v>200000</v>
      </c>
      <c r="M30" s="54">
        <v>225000</v>
      </c>
      <c r="N30" s="54">
        <v>250000</v>
      </c>
      <c r="O30" s="54">
        <v>275000</v>
      </c>
      <c r="P30" s="54">
        <v>300000</v>
      </c>
      <c r="Q30" s="54">
        <v>325000</v>
      </c>
      <c r="R30" s="54">
        <v>350000</v>
      </c>
      <c r="S30" s="54">
        <v>375000</v>
      </c>
      <c r="T30" s="54">
        <v>400000</v>
      </c>
      <c r="U30" s="54">
        <v>425000</v>
      </c>
      <c r="V30" s="54">
        <v>450000</v>
      </c>
      <c r="W30" s="54">
        <v>475000</v>
      </c>
      <c r="X30" s="54">
        <v>500000</v>
      </c>
      <c r="Y30" s="54">
        <v>525000</v>
      </c>
      <c r="Z30" s="54">
        <v>550000</v>
      </c>
      <c r="AA30" s="54">
        <v>575000</v>
      </c>
      <c r="AB30" s="54">
        <v>600000</v>
      </c>
      <c r="AC30" s="54">
        <v>625000</v>
      </c>
      <c r="AD30" s="54">
        <v>650000</v>
      </c>
      <c r="AE30" s="54">
        <v>675000</v>
      </c>
      <c r="AF30" s="54">
        <v>700000</v>
      </c>
      <c r="AG30" s="54">
        <v>725000</v>
      </c>
      <c r="AH30" s="54">
        <v>750000</v>
      </c>
      <c r="AI30" s="54">
        <v>775000</v>
      </c>
      <c r="AJ30" s="54">
        <v>800000</v>
      </c>
      <c r="AK30" s="54">
        <v>825000</v>
      </c>
      <c r="AL30" s="54">
        <v>850000</v>
      </c>
      <c r="AM30" s="54">
        <v>875000</v>
      </c>
      <c r="AN30" s="54">
        <v>900000</v>
      </c>
      <c r="AO30" s="54">
        <v>925000</v>
      </c>
      <c r="AP30" s="54">
        <v>950000</v>
      </c>
      <c r="AQ30" s="54">
        <v>975000</v>
      </c>
      <c r="AR30" s="54">
        <v>1000000</v>
      </c>
      <c r="AS30" s="64"/>
      <c r="AT30" s="64"/>
      <c r="AU30" s="64"/>
    </row>
    <row r="31" spans="2:47">
      <c r="B31" t="s">
        <v>27</v>
      </c>
      <c r="C31" s="4">
        <f>C30*0.09</f>
        <v>39963.33</v>
      </c>
      <c r="D31" s="4">
        <f t="shared" ref="D31:AR31" si="126">D30*0.09</f>
        <v>0</v>
      </c>
      <c r="E31" s="4">
        <f t="shared" si="126"/>
        <v>2250</v>
      </c>
      <c r="F31" s="4">
        <f t="shared" si="126"/>
        <v>4500</v>
      </c>
      <c r="G31" s="4">
        <f t="shared" si="126"/>
        <v>6750</v>
      </c>
      <c r="H31" s="4">
        <f t="shared" si="126"/>
        <v>9000</v>
      </c>
      <c r="I31" s="4">
        <f t="shared" si="126"/>
        <v>11250</v>
      </c>
      <c r="J31" s="4">
        <f t="shared" si="126"/>
        <v>13500</v>
      </c>
      <c r="K31" s="4">
        <f t="shared" si="126"/>
        <v>15750</v>
      </c>
      <c r="L31" s="4">
        <f t="shared" si="126"/>
        <v>18000</v>
      </c>
      <c r="M31" s="4">
        <f t="shared" si="126"/>
        <v>20250</v>
      </c>
      <c r="N31" s="4">
        <f t="shared" si="126"/>
        <v>22500</v>
      </c>
      <c r="O31" s="4">
        <f t="shared" si="126"/>
        <v>24750</v>
      </c>
      <c r="P31" s="4">
        <f t="shared" si="126"/>
        <v>27000</v>
      </c>
      <c r="Q31" s="4">
        <f t="shared" si="126"/>
        <v>29250</v>
      </c>
      <c r="R31" s="4">
        <f t="shared" si="126"/>
        <v>31500</v>
      </c>
      <c r="S31" s="4">
        <f t="shared" si="126"/>
        <v>33750</v>
      </c>
      <c r="T31" s="4">
        <f t="shared" si="126"/>
        <v>36000</v>
      </c>
      <c r="U31" s="4">
        <f t="shared" si="126"/>
        <v>38250</v>
      </c>
      <c r="V31" s="4">
        <f t="shared" si="126"/>
        <v>40500</v>
      </c>
      <c r="W31" s="4">
        <f t="shared" si="126"/>
        <v>42750</v>
      </c>
      <c r="X31" s="4">
        <f t="shared" si="126"/>
        <v>45000</v>
      </c>
      <c r="Y31" s="4">
        <f t="shared" si="126"/>
        <v>47250</v>
      </c>
      <c r="Z31" s="4">
        <f t="shared" si="126"/>
        <v>49500</v>
      </c>
      <c r="AA31" s="4">
        <f t="shared" si="126"/>
        <v>51750</v>
      </c>
      <c r="AB31" s="4">
        <f t="shared" si="126"/>
        <v>54000</v>
      </c>
      <c r="AC31" s="4">
        <f t="shared" si="126"/>
        <v>56250</v>
      </c>
      <c r="AD31" s="4">
        <f t="shared" si="126"/>
        <v>58500</v>
      </c>
      <c r="AE31" s="4">
        <f t="shared" si="126"/>
        <v>60750</v>
      </c>
      <c r="AF31" s="4">
        <f t="shared" si="126"/>
        <v>63000</v>
      </c>
      <c r="AG31" s="4">
        <f t="shared" si="126"/>
        <v>65250</v>
      </c>
      <c r="AH31" s="4">
        <f t="shared" si="126"/>
        <v>67500</v>
      </c>
      <c r="AI31" s="4">
        <f t="shared" si="126"/>
        <v>69750</v>
      </c>
      <c r="AJ31" s="4">
        <f t="shared" si="126"/>
        <v>72000</v>
      </c>
      <c r="AK31" s="4">
        <f t="shared" si="126"/>
        <v>74250</v>
      </c>
      <c r="AL31" s="4">
        <f t="shared" si="126"/>
        <v>76500</v>
      </c>
      <c r="AM31" s="4">
        <f t="shared" si="126"/>
        <v>78750</v>
      </c>
      <c r="AN31" s="4">
        <f t="shared" si="126"/>
        <v>81000</v>
      </c>
      <c r="AO31" s="4">
        <f t="shared" si="126"/>
        <v>83250</v>
      </c>
      <c r="AP31" s="4">
        <f t="shared" si="126"/>
        <v>85500</v>
      </c>
      <c r="AQ31" s="4">
        <f t="shared" si="126"/>
        <v>87750</v>
      </c>
      <c r="AR31" s="4">
        <f t="shared" si="126"/>
        <v>90000</v>
      </c>
      <c r="AS31" s="64"/>
      <c r="AT31" s="64"/>
      <c r="AU31" s="64"/>
    </row>
    <row r="32" spans="2:47">
      <c r="B32" t="s">
        <v>10</v>
      </c>
      <c r="C32" s="4">
        <f>(C30/1000)*C41</f>
        <v>21313.775999999998</v>
      </c>
      <c r="D32" s="4"/>
      <c r="E32" s="4">
        <f>(E30/1000)*E41</f>
        <v>1200</v>
      </c>
      <c r="F32" s="4">
        <f>(F30/1000)*F41</f>
        <v>2400</v>
      </c>
      <c r="G32" s="4">
        <f>(G30/1000)*G41</f>
        <v>3600</v>
      </c>
      <c r="H32" s="4">
        <f>(H30/1000)*H41</f>
        <v>4800</v>
      </c>
      <c r="I32" s="4">
        <f t="shared" ref="I32:J32" si="127">(I30/1000)*I41</f>
        <v>6000</v>
      </c>
      <c r="J32" s="4">
        <f t="shared" si="127"/>
        <v>7200</v>
      </c>
      <c r="K32" s="4">
        <f t="shared" ref="K32" si="128">(K30/1000)*K41</f>
        <v>8400</v>
      </c>
      <c r="L32" s="4">
        <f t="shared" ref="L32:T32" si="129">(L30/1000)*L41</f>
        <v>9600</v>
      </c>
      <c r="M32" s="4">
        <f t="shared" ref="M32:O32" si="130">(M30/1000)*M41</f>
        <v>10800</v>
      </c>
      <c r="N32" s="4">
        <f t="shared" si="130"/>
        <v>12000</v>
      </c>
      <c r="O32" s="4">
        <f t="shared" si="130"/>
        <v>13200</v>
      </c>
      <c r="P32" s="4">
        <f t="shared" si="129"/>
        <v>14400</v>
      </c>
      <c r="Q32" s="4">
        <f t="shared" ref="Q32:R32" si="131">(Q30/1000)*Q41</f>
        <v>15600</v>
      </c>
      <c r="R32" s="4">
        <f t="shared" si="131"/>
        <v>16800</v>
      </c>
      <c r="S32" s="4">
        <f t="shared" ref="S32" si="132">(S30/1000)*S41</f>
        <v>18000</v>
      </c>
      <c r="T32" s="4">
        <f t="shared" si="129"/>
        <v>19200</v>
      </c>
      <c r="U32" s="4">
        <f t="shared" ref="U32:W32" si="133">(U30/1000)*U41</f>
        <v>20400</v>
      </c>
      <c r="V32" s="4">
        <f t="shared" si="133"/>
        <v>21600</v>
      </c>
      <c r="W32" s="4">
        <f t="shared" si="133"/>
        <v>22800</v>
      </c>
      <c r="X32" s="4">
        <f t="shared" ref="X32:AR32" si="134">(X30/1000)*X41</f>
        <v>24000</v>
      </c>
      <c r="Y32" s="4">
        <f t="shared" ref="Y32:AA32" si="135">(Y30/1000)*Y41</f>
        <v>25200</v>
      </c>
      <c r="Z32" s="4">
        <f t="shared" si="135"/>
        <v>26400</v>
      </c>
      <c r="AA32" s="4">
        <f t="shared" si="135"/>
        <v>27600</v>
      </c>
      <c r="AB32" s="4">
        <f t="shared" si="134"/>
        <v>28800</v>
      </c>
      <c r="AC32" s="4">
        <f t="shared" ref="AC32:AE32" si="136">(AC30/1000)*AC41</f>
        <v>30000</v>
      </c>
      <c r="AD32" s="4">
        <f t="shared" si="136"/>
        <v>31200</v>
      </c>
      <c r="AE32" s="4">
        <f t="shared" si="136"/>
        <v>32400</v>
      </c>
      <c r="AF32" s="4">
        <f t="shared" si="134"/>
        <v>33600</v>
      </c>
      <c r="AG32" s="4">
        <f t="shared" ref="AG32:AI32" si="137">(AG30/1000)*AG41</f>
        <v>34800</v>
      </c>
      <c r="AH32" s="4">
        <f t="shared" si="137"/>
        <v>36000</v>
      </c>
      <c r="AI32" s="4">
        <f t="shared" si="137"/>
        <v>37200</v>
      </c>
      <c r="AJ32" s="4">
        <f t="shared" si="134"/>
        <v>38400</v>
      </c>
      <c r="AK32" s="4">
        <f t="shared" ref="AK32:AM32" si="138">(AK30/1000)*AK41</f>
        <v>39600</v>
      </c>
      <c r="AL32" s="4">
        <f t="shared" si="138"/>
        <v>40800</v>
      </c>
      <c r="AM32" s="4">
        <f t="shared" si="138"/>
        <v>42000</v>
      </c>
      <c r="AN32" s="4">
        <f t="shared" si="134"/>
        <v>43200</v>
      </c>
      <c r="AO32" s="4">
        <f t="shared" ref="AO32:AQ32" si="139">(AO30/1000)*AO41</f>
        <v>44400</v>
      </c>
      <c r="AP32" s="4">
        <f t="shared" si="139"/>
        <v>45600</v>
      </c>
      <c r="AQ32" s="4">
        <f t="shared" si="139"/>
        <v>46800</v>
      </c>
      <c r="AR32" s="4">
        <f t="shared" si="134"/>
        <v>48000</v>
      </c>
      <c r="AS32" s="64"/>
      <c r="AT32" s="64"/>
      <c r="AU32" s="64"/>
    </row>
    <row r="33" spans="2:47">
      <c r="B33" t="s">
        <v>11</v>
      </c>
      <c r="C33" s="4">
        <f>'DATA ENTRY'!F10</f>
        <v>10000</v>
      </c>
      <c r="D33" s="4"/>
      <c r="E33" s="4"/>
      <c r="F33" s="4">
        <f>C33</f>
        <v>10000</v>
      </c>
      <c r="G33" s="4">
        <f t="shared" ref="G33:AR33" si="140">E33</f>
        <v>0</v>
      </c>
      <c r="H33" s="4">
        <f t="shared" si="140"/>
        <v>10000</v>
      </c>
      <c r="I33" s="4">
        <f t="shared" si="140"/>
        <v>0</v>
      </c>
      <c r="J33" s="4">
        <f t="shared" si="140"/>
        <v>10000</v>
      </c>
      <c r="K33" s="4">
        <f t="shared" si="140"/>
        <v>0</v>
      </c>
      <c r="L33" s="4">
        <f t="shared" si="140"/>
        <v>10000</v>
      </c>
      <c r="M33" s="4">
        <f t="shared" si="140"/>
        <v>0</v>
      </c>
      <c r="N33" s="4">
        <f t="shared" si="140"/>
        <v>10000</v>
      </c>
      <c r="O33" s="4">
        <f t="shared" si="140"/>
        <v>0</v>
      </c>
      <c r="P33" s="4">
        <f t="shared" si="140"/>
        <v>10000</v>
      </c>
      <c r="Q33" s="4">
        <f t="shared" si="140"/>
        <v>0</v>
      </c>
      <c r="R33" s="4">
        <f t="shared" si="140"/>
        <v>10000</v>
      </c>
      <c r="S33" s="4">
        <f t="shared" si="140"/>
        <v>0</v>
      </c>
      <c r="T33" s="4">
        <f t="shared" si="140"/>
        <v>10000</v>
      </c>
      <c r="U33" s="4">
        <f t="shared" si="140"/>
        <v>0</v>
      </c>
      <c r="V33" s="4">
        <f t="shared" si="140"/>
        <v>10000</v>
      </c>
      <c r="W33" s="4">
        <f t="shared" si="140"/>
        <v>0</v>
      </c>
      <c r="X33" s="4">
        <f t="shared" si="140"/>
        <v>10000</v>
      </c>
      <c r="Y33" s="4">
        <f t="shared" si="140"/>
        <v>0</v>
      </c>
      <c r="Z33" s="4">
        <f t="shared" si="140"/>
        <v>10000</v>
      </c>
      <c r="AA33" s="4">
        <f t="shared" si="140"/>
        <v>0</v>
      </c>
      <c r="AB33" s="4">
        <f t="shared" si="140"/>
        <v>10000</v>
      </c>
      <c r="AC33" s="4">
        <f t="shared" si="140"/>
        <v>0</v>
      </c>
      <c r="AD33" s="4">
        <f t="shared" si="140"/>
        <v>10000</v>
      </c>
      <c r="AE33" s="4">
        <f t="shared" si="140"/>
        <v>0</v>
      </c>
      <c r="AF33" s="4">
        <f t="shared" si="140"/>
        <v>10000</v>
      </c>
      <c r="AG33" s="4">
        <f t="shared" si="140"/>
        <v>0</v>
      </c>
      <c r="AH33" s="4">
        <f t="shared" si="140"/>
        <v>10000</v>
      </c>
      <c r="AI33" s="4">
        <f t="shared" si="140"/>
        <v>0</v>
      </c>
      <c r="AJ33" s="4">
        <f t="shared" si="140"/>
        <v>10000</v>
      </c>
      <c r="AK33" s="4">
        <f t="shared" si="140"/>
        <v>0</v>
      </c>
      <c r="AL33" s="4">
        <f t="shared" si="140"/>
        <v>10000</v>
      </c>
      <c r="AM33" s="4">
        <f t="shared" si="140"/>
        <v>0</v>
      </c>
      <c r="AN33" s="4">
        <f t="shared" si="140"/>
        <v>10000</v>
      </c>
      <c r="AO33" s="4">
        <f t="shared" si="140"/>
        <v>0</v>
      </c>
      <c r="AP33" s="4">
        <f t="shared" si="140"/>
        <v>10000</v>
      </c>
      <c r="AQ33" s="4">
        <f t="shared" si="140"/>
        <v>0</v>
      </c>
      <c r="AR33" s="4">
        <f t="shared" si="140"/>
        <v>10000</v>
      </c>
      <c r="AS33" s="64"/>
      <c r="AT33" s="64"/>
      <c r="AU33" s="64"/>
    </row>
    <row r="34" spans="2:47">
      <c r="B34" t="s">
        <v>12</v>
      </c>
      <c r="C34" s="4">
        <f>'DATA ENTRY'!F11</f>
        <v>300</v>
      </c>
      <c r="D34" s="4"/>
      <c r="E34" s="4"/>
      <c r="F34" s="4">
        <f>C34</f>
        <v>300</v>
      </c>
      <c r="G34" s="4">
        <f t="shared" ref="G34:AR34" si="141">E34</f>
        <v>0</v>
      </c>
      <c r="H34" s="4">
        <f t="shared" si="141"/>
        <v>300</v>
      </c>
      <c r="I34" s="4">
        <f t="shared" si="141"/>
        <v>0</v>
      </c>
      <c r="J34" s="4">
        <f t="shared" si="141"/>
        <v>300</v>
      </c>
      <c r="K34" s="4">
        <f t="shared" si="141"/>
        <v>0</v>
      </c>
      <c r="L34" s="4">
        <f t="shared" si="141"/>
        <v>300</v>
      </c>
      <c r="M34" s="4">
        <f t="shared" si="141"/>
        <v>0</v>
      </c>
      <c r="N34" s="4">
        <f t="shared" si="141"/>
        <v>300</v>
      </c>
      <c r="O34" s="4">
        <f t="shared" si="141"/>
        <v>0</v>
      </c>
      <c r="P34" s="4">
        <f t="shared" si="141"/>
        <v>300</v>
      </c>
      <c r="Q34" s="4">
        <f t="shared" si="141"/>
        <v>0</v>
      </c>
      <c r="R34" s="4">
        <f t="shared" si="141"/>
        <v>300</v>
      </c>
      <c r="S34" s="4">
        <f t="shared" si="141"/>
        <v>0</v>
      </c>
      <c r="T34" s="4">
        <f t="shared" si="141"/>
        <v>300</v>
      </c>
      <c r="U34" s="4">
        <f t="shared" si="141"/>
        <v>0</v>
      </c>
      <c r="V34" s="4">
        <f t="shared" si="141"/>
        <v>300</v>
      </c>
      <c r="W34" s="4">
        <f t="shared" si="141"/>
        <v>0</v>
      </c>
      <c r="X34" s="4">
        <f t="shared" si="141"/>
        <v>300</v>
      </c>
      <c r="Y34" s="4">
        <f t="shared" si="141"/>
        <v>0</v>
      </c>
      <c r="Z34" s="4">
        <f t="shared" si="141"/>
        <v>300</v>
      </c>
      <c r="AA34" s="4">
        <f t="shared" si="141"/>
        <v>0</v>
      </c>
      <c r="AB34" s="4">
        <f t="shared" si="141"/>
        <v>300</v>
      </c>
      <c r="AC34" s="4">
        <f t="shared" si="141"/>
        <v>0</v>
      </c>
      <c r="AD34" s="4">
        <f t="shared" si="141"/>
        <v>300</v>
      </c>
      <c r="AE34" s="4">
        <f t="shared" si="141"/>
        <v>0</v>
      </c>
      <c r="AF34" s="4">
        <f t="shared" si="141"/>
        <v>300</v>
      </c>
      <c r="AG34" s="4">
        <f t="shared" si="141"/>
        <v>0</v>
      </c>
      <c r="AH34" s="4">
        <f t="shared" si="141"/>
        <v>300</v>
      </c>
      <c r="AI34" s="4">
        <f t="shared" si="141"/>
        <v>0</v>
      </c>
      <c r="AJ34" s="4">
        <f t="shared" si="141"/>
        <v>300</v>
      </c>
      <c r="AK34" s="4">
        <f t="shared" si="141"/>
        <v>0</v>
      </c>
      <c r="AL34" s="4">
        <f t="shared" si="141"/>
        <v>300</v>
      </c>
      <c r="AM34" s="4">
        <f t="shared" si="141"/>
        <v>0</v>
      </c>
      <c r="AN34" s="4">
        <f t="shared" si="141"/>
        <v>300</v>
      </c>
      <c r="AO34" s="4">
        <f t="shared" si="141"/>
        <v>0</v>
      </c>
      <c r="AP34" s="4">
        <f t="shared" si="141"/>
        <v>300</v>
      </c>
      <c r="AQ34" s="4">
        <f t="shared" si="141"/>
        <v>0</v>
      </c>
      <c r="AR34" s="4">
        <f t="shared" si="141"/>
        <v>300</v>
      </c>
      <c r="AS34" s="64"/>
      <c r="AT34" s="64"/>
      <c r="AU34" s="64"/>
    </row>
    <row r="35" spans="2:47">
      <c r="B35" t="s">
        <v>13</v>
      </c>
      <c r="C35" s="4">
        <f>C40*C30*2</f>
        <v>8140.6783333333333</v>
      </c>
      <c r="D35" s="4"/>
      <c r="E35" s="4">
        <f>E40*E30*2</f>
        <v>458.33333333333331</v>
      </c>
      <c r="F35" s="4">
        <f t="shared" ref="F35:AR35" si="142">F40*F30*2</f>
        <v>916.66666666666663</v>
      </c>
      <c r="G35" s="4">
        <f t="shared" si="142"/>
        <v>1375</v>
      </c>
      <c r="H35" s="4">
        <f t="shared" si="142"/>
        <v>1833.3333333333333</v>
      </c>
      <c r="I35" s="4">
        <f t="shared" si="142"/>
        <v>2291.6666666666665</v>
      </c>
      <c r="J35" s="4">
        <f t="shared" si="142"/>
        <v>2750</v>
      </c>
      <c r="K35" s="4">
        <f t="shared" si="142"/>
        <v>3208.3333333333335</v>
      </c>
      <c r="L35" s="4">
        <f t="shared" si="142"/>
        <v>3666.6666666666665</v>
      </c>
      <c r="M35" s="4">
        <f t="shared" si="142"/>
        <v>4125</v>
      </c>
      <c r="N35" s="4">
        <f t="shared" si="142"/>
        <v>4583.333333333333</v>
      </c>
      <c r="O35" s="4">
        <f t="shared" si="142"/>
        <v>5041.666666666667</v>
      </c>
      <c r="P35" s="4">
        <f t="shared" si="142"/>
        <v>5500</v>
      </c>
      <c r="Q35" s="4">
        <f t="shared" si="142"/>
        <v>5958.333333333333</v>
      </c>
      <c r="R35" s="4">
        <f t="shared" si="142"/>
        <v>6416.666666666667</v>
      </c>
      <c r="S35" s="4">
        <f t="shared" si="142"/>
        <v>6875</v>
      </c>
      <c r="T35" s="4">
        <f t="shared" si="142"/>
        <v>7333.333333333333</v>
      </c>
      <c r="U35" s="4">
        <f t="shared" si="142"/>
        <v>7791.666666666667</v>
      </c>
      <c r="V35" s="4">
        <f t="shared" si="142"/>
        <v>8250</v>
      </c>
      <c r="W35" s="4">
        <f t="shared" si="142"/>
        <v>8708.3333333333339</v>
      </c>
      <c r="X35" s="4">
        <f t="shared" si="142"/>
        <v>9166.6666666666661</v>
      </c>
      <c r="Y35" s="4">
        <f t="shared" si="142"/>
        <v>9625</v>
      </c>
      <c r="Z35" s="4">
        <f t="shared" si="142"/>
        <v>10083.333333333334</v>
      </c>
      <c r="AA35" s="4">
        <f t="shared" si="142"/>
        <v>10541.666666666666</v>
      </c>
      <c r="AB35" s="4">
        <f t="shared" si="142"/>
        <v>11000</v>
      </c>
      <c r="AC35" s="4">
        <f t="shared" si="142"/>
        <v>11458.333333333334</v>
      </c>
      <c r="AD35" s="4">
        <f t="shared" si="142"/>
        <v>11916.666666666666</v>
      </c>
      <c r="AE35" s="4">
        <f t="shared" si="142"/>
        <v>12375</v>
      </c>
      <c r="AF35" s="4">
        <f t="shared" si="142"/>
        <v>12833.333333333334</v>
      </c>
      <c r="AG35" s="4">
        <f t="shared" si="142"/>
        <v>13291.666666666666</v>
      </c>
      <c r="AH35" s="4">
        <f t="shared" si="142"/>
        <v>13750</v>
      </c>
      <c r="AI35" s="4">
        <f t="shared" si="142"/>
        <v>14208.333333333334</v>
      </c>
      <c r="AJ35" s="4">
        <f t="shared" si="142"/>
        <v>14666.666666666666</v>
      </c>
      <c r="AK35" s="4">
        <f t="shared" si="142"/>
        <v>15125</v>
      </c>
      <c r="AL35" s="4">
        <f t="shared" si="142"/>
        <v>15583.333333333334</v>
      </c>
      <c r="AM35" s="4">
        <f t="shared" si="142"/>
        <v>16041.666666666666</v>
      </c>
      <c r="AN35" s="4">
        <f t="shared" si="142"/>
        <v>16500</v>
      </c>
      <c r="AO35" s="4">
        <f t="shared" si="142"/>
        <v>16958.333333333332</v>
      </c>
      <c r="AP35" s="4">
        <f t="shared" si="142"/>
        <v>17416.666666666668</v>
      </c>
      <c r="AQ35" s="4">
        <f t="shared" si="142"/>
        <v>17875</v>
      </c>
      <c r="AR35" s="4">
        <f t="shared" si="142"/>
        <v>18333.333333333332</v>
      </c>
      <c r="AS35" s="64"/>
      <c r="AT35" s="64"/>
      <c r="AU35" s="64"/>
    </row>
    <row r="36" spans="2:47">
      <c r="B36" t="s">
        <v>28</v>
      </c>
      <c r="C36" s="4">
        <f>SUM(C30:C35)</f>
        <v>523754.78433333337</v>
      </c>
      <c r="D36" s="4"/>
      <c r="E36" s="4">
        <f>SUM(E30:E34)</f>
        <v>28450</v>
      </c>
      <c r="F36" s="4">
        <f>SUM(F30:F34)</f>
        <v>67200</v>
      </c>
      <c r="G36" s="4">
        <f>SUM(G30:G34)</f>
        <v>85350</v>
      </c>
      <c r="H36" s="4">
        <f>SUM(H30:H34)</f>
        <v>124100</v>
      </c>
      <c r="I36" s="4">
        <f>SUM(I30:I34)</f>
        <v>142250</v>
      </c>
      <c r="J36" s="4">
        <f t="shared" ref="J36:K36" si="143">SUM(J30:J34)</f>
        <v>181000</v>
      </c>
      <c r="K36" s="4">
        <f t="shared" si="143"/>
        <v>199150</v>
      </c>
      <c r="L36" s="4">
        <f t="shared" ref="L36:T36" si="144">SUM(L30:L34)</f>
        <v>237900</v>
      </c>
      <c r="M36" s="4">
        <f t="shared" ref="M36:O36" si="145">SUM(M30:M34)</f>
        <v>256050</v>
      </c>
      <c r="N36" s="4">
        <f t="shared" si="145"/>
        <v>294800</v>
      </c>
      <c r="O36" s="4">
        <f t="shared" si="145"/>
        <v>312950</v>
      </c>
      <c r="P36" s="4">
        <f t="shared" si="144"/>
        <v>351700</v>
      </c>
      <c r="Q36" s="4">
        <f t="shared" ref="Q36:R36" si="146">SUM(Q30:Q34)</f>
        <v>369850</v>
      </c>
      <c r="R36" s="4">
        <f t="shared" si="146"/>
        <v>408600</v>
      </c>
      <c r="S36" s="4">
        <f t="shared" ref="S36" si="147">SUM(S30:S34)</f>
        <v>426750</v>
      </c>
      <c r="T36" s="4">
        <f t="shared" si="144"/>
        <v>465500</v>
      </c>
      <c r="U36" s="4">
        <f t="shared" ref="U36:W36" si="148">SUM(U30:U34)</f>
        <v>483650</v>
      </c>
      <c r="V36" s="4">
        <f t="shared" si="148"/>
        <v>522400</v>
      </c>
      <c r="W36" s="4">
        <f t="shared" si="148"/>
        <v>540550</v>
      </c>
      <c r="X36" s="4">
        <f t="shared" ref="X36:Y36" si="149">SUM(X30:X34)</f>
        <v>579300</v>
      </c>
      <c r="Y36" s="4">
        <f t="shared" si="149"/>
        <v>597450</v>
      </c>
      <c r="Z36" s="4">
        <f t="shared" ref="Z36:AA36" si="150">SUM(Z30:Z34)</f>
        <v>636200</v>
      </c>
      <c r="AA36" s="4">
        <f t="shared" si="150"/>
        <v>654350</v>
      </c>
      <c r="AB36" s="4">
        <f t="shared" ref="AB36:AC36" si="151">SUM(AB30:AB34)</f>
        <v>693100</v>
      </c>
      <c r="AC36" s="4">
        <f t="shared" si="151"/>
        <v>711250</v>
      </c>
      <c r="AD36" s="4">
        <f t="shared" ref="AD36:AE36" si="152">SUM(AD30:AD34)</f>
        <v>750000</v>
      </c>
      <c r="AE36" s="4">
        <f t="shared" si="152"/>
        <v>768150</v>
      </c>
      <c r="AF36" s="4">
        <f t="shared" ref="AF36:AG36" si="153">SUM(AF30:AF34)</f>
        <v>806900</v>
      </c>
      <c r="AG36" s="4">
        <f t="shared" si="153"/>
        <v>825050</v>
      </c>
      <c r="AH36" s="4">
        <f t="shared" ref="AH36:AI36" si="154">SUM(AH30:AH34)</f>
        <v>863800</v>
      </c>
      <c r="AI36" s="4">
        <f t="shared" si="154"/>
        <v>881950</v>
      </c>
      <c r="AJ36" s="4">
        <f t="shared" ref="AJ36:AM36" si="155">SUM(AJ30:AJ34)</f>
        <v>920700</v>
      </c>
      <c r="AK36" s="4">
        <f t="shared" si="155"/>
        <v>938850</v>
      </c>
      <c r="AL36" s="4">
        <f t="shared" si="155"/>
        <v>977600</v>
      </c>
      <c r="AM36" s="4">
        <f t="shared" si="155"/>
        <v>995750</v>
      </c>
      <c r="AN36" s="4">
        <f t="shared" ref="AN36:AQ36" si="156">SUM(AN30:AN34)</f>
        <v>1034500</v>
      </c>
      <c r="AO36" s="4">
        <f t="shared" si="156"/>
        <v>1052650</v>
      </c>
      <c r="AP36" s="4">
        <f t="shared" si="156"/>
        <v>1091400</v>
      </c>
      <c r="AQ36" s="4">
        <f t="shared" si="156"/>
        <v>1109550</v>
      </c>
      <c r="AR36" s="4">
        <f t="shared" ref="AR36" si="157">SUM(AR30:AR34)</f>
        <v>1148300</v>
      </c>
      <c r="AS36" s="64"/>
      <c r="AT36" s="64"/>
      <c r="AU36" s="64"/>
    </row>
    <row r="37" spans="2:47">
      <c r="B37" s="62" t="s">
        <v>29</v>
      </c>
      <c r="C37" s="63">
        <v>0.11</v>
      </c>
      <c r="D37" s="63"/>
      <c r="E37" s="63">
        <f>C37</f>
        <v>0.11</v>
      </c>
      <c r="F37" s="63">
        <f>C37</f>
        <v>0.11</v>
      </c>
      <c r="G37" s="63">
        <f>F37</f>
        <v>0.11</v>
      </c>
      <c r="H37" s="63">
        <f t="shared" ref="H37:AR37" si="158">F37</f>
        <v>0.11</v>
      </c>
      <c r="I37" s="63">
        <f t="shared" si="158"/>
        <v>0.11</v>
      </c>
      <c r="J37" s="63">
        <f t="shared" si="158"/>
        <v>0.11</v>
      </c>
      <c r="K37" s="63">
        <f t="shared" si="158"/>
        <v>0.11</v>
      </c>
      <c r="L37" s="63">
        <f t="shared" si="158"/>
        <v>0.11</v>
      </c>
      <c r="M37" s="63">
        <f t="shared" si="158"/>
        <v>0.11</v>
      </c>
      <c r="N37" s="63">
        <f t="shared" si="158"/>
        <v>0.11</v>
      </c>
      <c r="O37" s="63">
        <f t="shared" si="158"/>
        <v>0.11</v>
      </c>
      <c r="P37" s="63">
        <f t="shared" si="158"/>
        <v>0.11</v>
      </c>
      <c r="Q37" s="63">
        <f t="shared" si="158"/>
        <v>0.11</v>
      </c>
      <c r="R37" s="63">
        <f t="shared" si="158"/>
        <v>0.11</v>
      </c>
      <c r="S37" s="63">
        <f t="shared" si="158"/>
        <v>0.11</v>
      </c>
      <c r="T37" s="63">
        <f t="shared" si="158"/>
        <v>0.11</v>
      </c>
      <c r="U37" s="63">
        <f t="shared" si="158"/>
        <v>0.11</v>
      </c>
      <c r="V37" s="63">
        <f t="shared" si="158"/>
        <v>0.11</v>
      </c>
      <c r="W37" s="63">
        <f t="shared" si="158"/>
        <v>0.11</v>
      </c>
      <c r="X37" s="63">
        <f t="shared" si="158"/>
        <v>0.11</v>
      </c>
      <c r="Y37" s="63">
        <f t="shared" si="158"/>
        <v>0.11</v>
      </c>
      <c r="Z37" s="63">
        <f t="shared" si="158"/>
        <v>0.11</v>
      </c>
      <c r="AA37" s="63">
        <f t="shared" si="158"/>
        <v>0.11</v>
      </c>
      <c r="AB37" s="63">
        <f t="shared" si="158"/>
        <v>0.11</v>
      </c>
      <c r="AC37" s="63">
        <f t="shared" si="158"/>
        <v>0.11</v>
      </c>
      <c r="AD37" s="63">
        <f t="shared" si="158"/>
        <v>0.11</v>
      </c>
      <c r="AE37" s="63">
        <f t="shared" si="158"/>
        <v>0.11</v>
      </c>
      <c r="AF37" s="63">
        <f t="shared" si="158"/>
        <v>0.11</v>
      </c>
      <c r="AG37" s="63">
        <f t="shared" si="158"/>
        <v>0.11</v>
      </c>
      <c r="AH37" s="63">
        <f t="shared" si="158"/>
        <v>0.11</v>
      </c>
      <c r="AI37" s="63">
        <f t="shared" si="158"/>
        <v>0.11</v>
      </c>
      <c r="AJ37" s="63">
        <f t="shared" si="158"/>
        <v>0.11</v>
      </c>
      <c r="AK37" s="63">
        <f t="shared" si="158"/>
        <v>0.11</v>
      </c>
      <c r="AL37" s="63">
        <f t="shared" si="158"/>
        <v>0.11</v>
      </c>
      <c r="AM37" s="63">
        <f t="shared" si="158"/>
        <v>0.11</v>
      </c>
      <c r="AN37" s="63">
        <f t="shared" si="158"/>
        <v>0.11</v>
      </c>
      <c r="AO37" s="63">
        <f t="shared" si="158"/>
        <v>0.11</v>
      </c>
      <c r="AP37" s="63">
        <f t="shared" si="158"/>
        <v>0.11</v>
      </c>
      <c r="AQ37" s="63">
        <f t="shared" si="158"/>
        <v>0.11</v>
      </c>
      <c r="AR37" s="63">
        <f t="shared" si="158"/>
        <v>0.11</v>
      </c>
      <c r="AS37" s="65"/>
      <c r="AT37" s="65"/>
      <c r="AU37" s="65"/>
    </row>
    <row r="38" spans="2:47">
      <c r="B38" s="56" t="s">
        <v>30</v>
      </c>
      <c r="C38" s="56">
        <f>(1+C37/C41)^C41-1</f>
        <v>0.11613759633569365</v>
      </c>
      <c r="D38" s="56"/>
      <c r="E38" s="56">
        <f>(1+E37/E41)^E41-1</f>
        <v>0.11613759633569365</v>
      </c>
      <c r="F38" s="56">
        <f>(1+F37/F41)^F41-1</f>
        <v>0.11613759633569365</v>
      </c>
      <c r="G38" s="56">
        <f>(1+G37/G41)^G41-1</f>
        <v>0.11613759633569365</v>
      </c>
      <c r="H38" s="56">
        <f t="shared" ref="H38:AR38" si="159">(1+H37/H41)^H41-1</f>
        <v>0.11613759633569365</v>
      </c>
      <c r="I38" s="56">
        <f t="shared" si="159"/>
        <v>0.11613759633569365</v>
      </c>
      <c r="J38" s="56">
        <f t="shared" si="159"/>
        <v>0.11613759633569365</v>
      </c>
      <c r="K38" s="56">
        <f t="shared" si="159"/>
        <v>0.11613759633569365</v>
      </c>
      <c r="L38" s="56">
        <f t="shared" si="159"/>
        <v>0.11613759633569365</v>
      </c>
      <c r="M38" s="56">
        <f t="shared" si="159"/>
        <v>0.11613759633569365</v>
      </c>
      <c r="N38" s="56">
        <f t="shared" si="159"/>
        <v>0.11613759633569365</v>
      </c>
      <c r="O38" s="56">
        <f t="shared" si="159"/>
        <v>0.11613759633569365</v>
      </c>
      <c r="P38" s="56">
        <f t="shared" si="159"/>
        <v>0.11613759633569365</v>
      </c>
      <c r="Q38" s="56">
        <f t="shared" si="159"/>
        <v>0.11613759633569365</v>
      </c>
      <c r="R38" s="56">
        <f t="shared" si="159"/>
        <v>0.11613759633569365</v>
      </c>
      <c r="S38" s="56">
        <f t="shared" si="159"/>
        <v>0.11613759633569365</v>
      </c>
      <c r="T38" s="56">
        <f t="shared" si="159"/>
        <v>0.11613759633569365</v>
      </c>
      <c r="U38" s="56">
        <f t="shared" si="159"/>
        <v>0.11613759633569365</v>
      </c>
      <c r="V38" s="56">
        <f t="shared" si="159"/>
        <v>0.11613759633569365</v>
      </c>
      <c r="W38" s="56">
        <f t="shared" si="159"/>
        <v>0.11613759633569365</v>
      </c>
      <c r="X38" s="56">
        <f t="shared" si="159"/>
        <v>0.11613759633569365</v>
      </c>
      <c r="Y38" s="56">
        <f t="shared" si="159"/>
        <v>0.11613759633569365</v>
      </c>
      <c r="Z38" s="56">
        <f t="shared" si="159"/>
        <v>0.11613759633569365</v>
      </c>
      <c r="AA38" s="56">
        <f t="shared" si="159"/>
        <v>0.11613759633569365</v>
      </c>
      <c r="AB38" s="56">
        <f t="shared" si="159"/>
        <v>0.11613759633569365</v>
      </c>
      <c r="AC38" s="56">
        <f t="shared" si="159"/>
        <v>0.11613759633569365</v>
      </c>
      <c r="AD38" s="56">
        <f t="shared" si="159"/>
        <v>0.11613759633569365</v>
      </c>
      <c r="AE38" s="56">
        <f t="shared" si="159"/>
        <v>0.11613759633569365</v>
      </c>
      <c r="AF38" s="56">
        <f t="shared" si="159"/>
        <v>0.11613759633569365</v>
      </c>
      <c r="AG38" s="56">
        <f t="shared" si="159"/>
        <v>0.11613759633569365</v>
      </c>
      <c r="AH38" s="56">
        <f t="shared" si="159"/>
        <v>0.11613759633569365</v>
      </c>
      <c r="AI38" s="56">
        <f t="shared" si="159"/>
        <v>0.11613759633569365</v>
      </c>
      <c r="AJ38" s="56">
        <f t="shared" si="159"/>
        <v>0.11613759633569365</v>
      </c>
      <c r="AK38" s="56">
        <f t="shared" si="159"/>
        <v>0.11613759633569365</v>
      </c>
      <c r="AL38" s="56">
        <f t="shared" si="159"/>
        <v>0.11613759633569365</v>
      </c>
      <c r="AM38" s="56">
        <f t="shared" si="159"/>
        <v>0.11613759633569365</v>
      </c>
      <c r="AN38" s="56">
        <f t="shared" si="159"/>
        <v>0.11613759633569365</v>
      </c>
      <c r="AO38" s="56">
        <f t="shared" si="159"/>
        <v>0.11613759633569365</v>
      </c>
      <c r="AP38" s="56">
        <f t="shared" si="159"/>
        <v>0.11613759633569365</v>
      </c>
      <c r="AQ38" s="56">
        <f t="shared" si="159"/>
        <v>0.11613759633569365</v>
      </c>
      <c r="AR38" s="66">
        <f t="shared" si="159"/>
        <v>0.11613759633569365</v>
      </c>
      <c r="AS38" s="67"/>
      <c r="AT38" s="67"/>
      <c r="AU38" s="67"/>
    </row>
    <row r="39" spans="2:47">
      <c r="B39" t="s">
        <v>31</v>
      </c>
      <c r="C39" s="57">
        <v>4</v>
      </c>
      <c r="D39" s="57"/>
      <c r="E39" s="57">
        <v>4</v>
      </c>
      <c r="F39" s="57">
        <v>4</v>
      </c>
      <c r="G39" s="57">
        <v>4</v>
      </c>
      <c r="H39" s="57">
        <v>4</v>
      </c>
      <c r="I39" s="57">
        <v>4</v>
      </c>
      <c r="J39" s="57">
        <v>4</v>
      </c>
      <c r="K39" s="57">
        <v>4</v>
      </c>
      <c r="L39" s="57">
        <f>H39</f>
        <v>4</v>
      </c>
      <c r="M39" s="57">
        <f>I39</f>
        <v>4</v>
      </c>
      <c r="N39" s="57">
        <f>K39</f>
        <v>4</v>
      </c>
      <c r="O39" s="57">
        <f t="shared" ref="O39:AJ39" si="160">K39</f>
        <v>4</v>
      </c>
      <c r="P39" s="57">
        <f t="shared" si="160"/>
        <v>4</v>
      </c>
      <c r="Q39" s="57">
        <f t="shared" si="160"/>
        <v>4</v>
      </c>
      <c r="R39" s="57">
        <f t="shared" si="160"/>
        <v>4</v>
      </c>
      <c r="S39" s="57">
        <f t="shared" si="160"/>
        <v>4</v>
      </c>
      <c r="T39" s="57">
        <f t="shared" si="160"/>
        <v>4</v>
      </c>
      <c r="U39" s="57">
        <f t="shared" si="160"/>
        <v>4</v>
      </c>
      <c r="V39" s="57">
        <f t="shared" si="160"/>
        <v>4</v>
      </c>
      <c r="W39" s="57">
        <f t="shared" si="160"/>
        <v>4</v>
      </c>
      <c r="X39" s="57">
        <f t="shared" si="160"/>
        <v>4</v>
      </c>
      <c r="Y39" s="57">
        <f t="shared" si="160"/>
        <v>4</v>
      </c>
      <c r="Z39" s="57">
        <f t="shared" si="160"/>
        <v>4</v>
      </c>
      <c r="AA39" s="57">
        <f t="shared" si="160"/>
        <v>4</v>
      </c>
      <c r="AB39" s="57">
        <f t="shared" si="160"/>
        <v>4</v>
      </c>
      <c r="AC39" s="57">
        <f t="shared" si="160"/>
        <v>4</v>
      </c>
      <c r="AD39" s="57">
        <f t="shared" si="160"/>
        <v>4</v>
      </c>
      <c r="AE39" s="57">
        <f t="shared" si="160"/>
        <v>4</v>
      </c>
      <c r="AF39" s="57">
        <f t="shared" si="160"/>
        <v>4</v>
      </c>
      <c r="AG39" s="57">
        <f t="shared" si="160"/>
        <v>4</v>
      </c>
      <c r="AH39" s="57">
        <f t="shared" si="160"/>
        <v>4</v>
      </c>
      <c r="AI39" s="57">
        <f t="shared" si="160"/>
        <v>4</v>
      </c>
      <c r="AJ39" s="57">
        <f t="shared" si="160"/>
        <v>4</v>
      </c>
      <c r="AK39" s="57">
        <f t="shared" ref="AK39:AN39" si="161">AG39</f>
        <v>4</v>
      </c>
      <c r="AL39" s="57">
        <f t="shared" si="161"/>
        <v>4</v>
      </c>
      <c r="AM39" s="57">
        <f t="shared" si="161"/>
        <v>4</v>
      </c>
      <c r="AN39" s="57">
        <f t="shared" si="161"/>
        <v>4</v>
      </c>
      <c r="AO39" s="57">
        <f t="shared" ref="AO39:AR39" si="162">AK39</f>
        <v>4</v>
      </c>
      <c r="AP39" s="57">
        <f t="shared" si="162"/>
        <v>4</v>
      </c>
      <c r="AQ39" s="57">
        <f t="shared" si="162"/>
        <v>4</v>
      </c>
      <c r="AR39" s="57">
        <f t="shared" si="162"/>
        <v>4</v>
      </c>
      <c r="AS39" s="68"/>
      <c r="AT39" s="68"/>
      <c r="AU39" s="68"/>
    </row>
    <row r="40" spans="2:47">
      <c r="B40" t="s">
        <v>32</v>
      </c>
      <c r="C40" s="7">
        <f>C37/12</f>
        <v>9.1666666666666667E-3</v>
      </c>
      <c r="D40" s="7"/>
      <c r="E40" s="7">
        <f>E37/12</f>
        <v>9.1666666666666667E-3</v>
      </c>
      <c r="F40" s="7">
        <f>F37/12</f>
        <v>9.1666666666666667E-3</v>
      </c>
      <c r="G40" s="7">
        <f>G37/12</f>
        <v>9.1666666666666667E-3</v>
      </c>
      <c r="H40" s="7">
        <f>H37/12</f>
        <v>9.1666666666666667E-3</v>
      </c>
      <c r="I40" s="7">
        <f t="shared" ref="I40:J40" si="163">I37/12</f>
        <v>9.1666666666666667E-3</v>
      </c>
      <c r="J40" s="7">
        <f t="shared" si="163"/>
        <v>9.1666666666666667E-3</v>
      </c>
      <c r="K40" s="7">
        <f t="shared" ref="K40" si="164">K37/12</f>
        <v>9.1666666666666667E-3</v>
      </c>
      <c r="L40" s="7">
        <f t="shared" ref="L40:T40" si="165">L37/12</f>
        <v>9.1666666666666667E-3</v>
      </c>
      <c r="M40" s="7">
        <f t="shared" ref="M40:O40" si="166">M37/12</f>
        <v>9.1666666666666667E-3</v>
      </c>
      <c r="N40" s="7">
        <f t="shared" si="166"/>
        <v>9.1666666666666667E-3</v>
      </c>
      <c r="O40" s="7">
        <f t="shared" si="166"/>
        <v>9.1666666666666667E-3</v>
      </c>
      <c r="P40" s="7">
        <f t="shared" si="165"/>
        <v>9.1666666666666667E-3</v>
      </c>
      <c r="Q40" s="7">
        <f t="shared" ref="Q40:R40" si="167">Q37/12</f>
        <v>9.1666666666666667E-3</v>
      </c>
      <c r="R40" s="7">
        <f t="shared" si="167"/>
        <v>9.1666666666666667E-3</v>
      </c>
      <c r="S40" s="7">
        <f t="shared" ref="S40" si="168">S37/12</f>
        <v>9.1666666666666667E-3</v>
      </c>
      <c r="T40" s="7">
        <f t="shared" si="165"/>
        <v>9.1666666666666667E-3</v>
      </c>
      <c r="U40" s="7">
        <f t="shared" ref="U40:W40" si="169">U37/12</f>
        <v>9.1666666666666667E-3</v>
      </c>
      <c r="V40" s="7">
        <f t="shared" si="169"/>
        <v>9.1666666666666667E-3</v>
      </c>
      <c r="W40" s="7">
        <f t="shared" si="169"/>
        <v>9.1666666666666667E-3</v>
      </c>
      <c r="X40" s="7">
        <f t="shared" ref="X40:AR40" si="170">X37/12</f>
        <v>9.1666666666666667E-3</v>
      </c>
      <c r="Y40" s="7">
        <f t="shared" ref="Y40:AA40" si="171">Y37/12</f>
        <v>9.1666666666666667E-3</v>
      </c>
      <c r="Z40" s="7">
        <f t="shared" si="171"/>
        <v>9.1666666666666667E-3</v>
      </c>
      <c r="AA40" s="7">
        <f t="shared" si="171"/>
        <v>9.1666666666666667E-3</v>
      </c>
      <c r="AB40" s="7">
        <f t="shared" si="170"/>
        <v>9.1666666666666667E-3</v>
      </c>
      <c r="AC40" s="7">
        <f t="shared" ref="AC40:AE40" si="172">AC37/12</f>
        <v>9.1666666666666667E-3</v>
      </c>
      <c r="AD40" s="7">
        <f t="shared" si="172"/>
        <v>9.1666666666666667E-3</v>
      </c>
      <c r="AE40" s="7">
        <f t="shared" si="172"/>
        <v>9.1666666666666667E-3</v>
      </c>
      <c r="AF40" s="7">
        <f t="shared" si="170"/>
        <v>9.1666666666666667E-3</v>
      </c>
      <c r="AG40" s="7">
        <f t="shared" ref="AG40:AI40" si="173">AG37/12</f>
        <v>9.1666666666666667E-3</v>
      </c>
      <c r="AH40" s="7">
        <f t="shared" si="173"/>
        <v>9.1666666666666667E-3</v>
      </c>
      <c r="AI40" s="7">
        <f t="shared" si="173"/>
        <v>9.1666666666666667E-3</v>
      </c>
      <c r="AJ40" s="7">
        <f t="shared" si="170"/>
        <v>9.1666666666666667E-3</v>
      </c>
      <c r="AK40" s="7">
        <f t="shared" ref="AK40:AM40" si="174">AK37/12</f>
        <v>9.1666666666666667E-3</v>
      </c>
      <c r="AL40" s="7">
        <f t="shared" si="174"/>
        <v>9.1666666666666667E-3</v>
      </c>
      <c r="AM40" s="7">
        <f t="shared" si="174"/>
        <v>9.1666666666666667E-3</v>
      </c>
      <c r="AN40" s="7">
        <f t="shared" si="170"/>
        <v>9.1666666666666667E-3</v>
      </c>
      <c r="AO40" s="7">
        <f t="shared" ref="AO40:AQ40" si="175">AO37/12</f>
        <v>9.1666666666666667E-3</v>
      </c>
      <c r="AP40" s="7">
        <f t="shared" si="175"/>
        <v>9.1666666666666667E-3</v>
      </c>
      <c r="AQ40" s="7">
        <f t="shared" si="175"/>
        <v>9.1666666666666667E-3</v>
      </c>
      <c r="AR40" s="7">
        <f t="shared" si="170"/>
        <v>9.1666666666666667E-3</v>
      </c>
      <c r="AS40" s="28"/>
      <c r="AT40" s="28"/>
      <c r="AU40" s="28"/>
    </row>
    <row r="41" spans="2:47">
      <c r="B41" t="s">
        <v>33</v>
      </c>
      <c r="C41" s="57">
        <f>C39*12</f>
        <v>48</v>
      </c>
      <c r="D41" s="57"/>
      <c r="E41" s="57">
        <f>E39*12</f>
        <v>48</v>
      </c>
      <c r="F41" s="57">
        <f>F39*12</f>
        <v>48</v>
      </c>
      <c r="G41" s="57">
        <f>G39*12</f>
        <v>48</v>
      </c>
      <c r="H41" s="57">
        <f>H39*12</f>
        <v>48</v>
      </c>
      <c r="I41" s="57">
        <f t="shared" ref="I41:J41" si="176">I39*12</f>
        <v>48</v>
      </c>
      <c r="J41" s="57">
        <f t="shared" si="176"/>
        <v>48</v>
      </c>
      <c r="K41" s="57">
        <f t="shared" ref="K41" si="177">K39*12</f>
        <v>48</v>
      </c>
      <c r="L41" s="57">
        <f t="shared" ref="L41:T41" si="178">L39*12</f>
        <v>48</v>
      </c>
      <c r="M41" s="57">
        <f t="shared" ref="M41:O41" si="179">M39*12</f>
        <v>48</v>
      </c>
      <c r="N41" s="57">
        <f t="shared" si="179"/>
        <v>48</v>
      </c>
      <c r="O41" s="57">
        <f t="shared" si="179"/>
        <v>48</v>
      </c>
      <c r="P41" s="57">
        <f t="shared" si="178"/>
        <v>48</v>
      </c>
      <c r="Q41" s="57">
        <f t="shared" ref="Q41:R41" si="180">Q39*12</f>
        <v>48</v>
      </c>
      <c r="R41" s="57">
        <f t="shared" si="180"/>
        <v>48</v>
      </c>
      <c r="S41" s="57">
        <f t="shared" ref="S41" si="181">S39*12</f>
        <v>48</v>
      </c>
      <c r="T41" s="57">
        <f t="shared" si="178"/>
        <v>48</v>
      </c>
      <c r="U41" s="57">
        <f t="shared" ref="U41:W41" si="182">U39*12</f>
        <v>48</v>
      </c>
      <c r="V41" s="57">
        <f t="shared" si="182"/>
        <v>48</v>
      </c>
      <c r="W41" s="57">
        <f t="shared" si="182"/>
        <v>48</v>
      </c>
      <c r="X41" s="57">
        <f t="shared" ref="X41:AR41" si="183">X39*12</f>
        <v>48</v>
      </c>
      <c r="Y41" s="57">
        <f t="shared" ref="Y41:AA41" si="184">Y39*12</f>
        <v>48</v>
      </c>
      <c r="Z41" s="57">
        <f t="shared" si="184"/>
        <v>48</v>
      </c>
      <c r="AA41" s="57">
        <f t="shared" si="184"/>
        <v>48</v>
      </c>
      <c r="AB41" s="57">
        <f t="shared" si="183"/>
        <v>48</v>
      </c>
      <c r="AC41" s="57">
        <f t="shared" ref="AC41:AE41" si="185">AC39*12</f>
        <v>48</v>
      </c>
      <c r="AD41" s="57">
        <f t="shared" si="185"/>
        <v>48</v>
      </c>
      <c r="AE41" s="57">
        <f t="shared" si="185"/>
        <v>48</v>
      </c>
      <c r="AF41" s="57">
        <f t="shared" si="183"/>
        <v>48</v>
      </c>
      <c r="AG41" s="57">
        <f t="shared" ref="AG41:AI41" si="186">AG39*12</f>
        <v>48</v>
      </c>
      <c r="AH41" s="57">
        <f t="shared" si="186"/>
        <v>48</v>
      </c>
      <c r="AI41" s="57">
        <f t="shared" si="186"/>
        <v>48</v>
      </c>
      <c r="AJ41" s="57">
        <f t="shared" si="183"/>
        <v>48</v>
      </c>
      <c r="AK41" s="57">
        <f t="shared" ref="AK41:AM41" si="187">AK39*12</f>
        <v>48</v>
      </c>
      <c r="AL41" s="57">
        <f t="shared" si="187"/>
        <v>48</v>
      </c>
      <c r="AM41" s="57">
        <f t="shared" si="187"/>
        <v>48</v>
      </c>
      <c r="AN41" s="57">
        <f t="shared" si="183"/>
        <v>48</v>
      </c>
      <c r="AO41" s="57">
        <f t="shared" ref="AO41:AQ41" si="188">AO39*12</f>
        <v>48</v>
      </c>
      <c r="AP41" s="57">
        <f t="shared" si="188"/>
        <v>48</v>
      </c>
      <c r="AQ41" s="57">
        <f t="shared" si="188"/>
        <v>48</v>
      </c>
      <c r="AR41" s="57">
        <f t="shared" si="183"/>
        <v>48</v>
      </c>
      <c r="AS41" s="68"/>
      <c r="AT41" s="68"/>
      <c r="AU41" s="68"/>
    </row>
    <row r="42" spans="2:47">
      <c r="C42" s="4"/>
      <c r="D42" s="4"/>
      <c r="E42" s="4"/>
      <c r="F42" s="4"/>
      <c r="G42" s="4"/>
      <c r="H42" s="4"/>
      <c r="I42" s="4"/>
      <c r="J42" s="4"/>
      <c r="K42" s="4"/>
      <c r="L42" s="4"/>
      <c r="M42" s="4"/>
      <c r="AB42" s="4"/>
      <c r="AC42" s="4"/>
      <c r="AD42" s="4"/>
      <c r="AE42" s="4"/>
      <c r="AF42" s="4"/>
      <c r="AG42" s="4"/>
      <c r="AH42" s="4"/>
      <c r="AI42" s="4"/>
      <c r="AJ42" s="4"/>
      <c r="AK42" s="4"/>
      <c r="AL42" s="4"/>
      <c r="AM42" s="4"/>
      <c r="AN42" s="4"/>
      <c r="AO42" s="4"/>
      <c r="AP42" s="4"/>
      <c r="AQ42" s="4"/>
      <c r="AR42" s="4"/>
      <c r="AS42" s="64"/>
      <c r="AT42" s="64"/>
      <c r="AU42" s="64"/>
    </row>
    <row r="43" spans="2:47">
      <c r="B43" t="s">
        <v>17</v>
      </c>
      <c r="C43" s="59">
        <f>(1+C40)^C41</f>
        <v>1.5495980477924989</v>
      </c>
      <c r="D43" s="59"/>
      <c r="E43" s="59">
        <f>(1+E40)^E41</f>
        <v>1.5495980477924989</v>
      </c>
      <c r="F43" s="59">
        <f>(1+F40)^F41</f>
        <v>1.5495980477924989</v>
      </c>
      <c r="G43" s="59">
        <f>(1+G40)^G41</f>
        <v>1.5495980477924989</v>
      </c>
      <c r="H43" s="59">
        <f>(1+H40)^H41</f>
        <v>1.5495980477924989</v>
      </c>
      <c r="I43" s="59">
        <f t="shared" ref="I43:J43" si="189">(1+I40)^I41</f>
        <v>1.5495980477924989</v>
      </c>
      <c r="J43" s="59">
        <f t="shared" si="189"/>
        <v>1.5495980477924989</v>
      </c>
      <c r="K43" s="59">
        <f t="shared" ref="K43" si="190">(1+K40)^K41</f>
        <v>1.5495980477924989</v>
      </c>
      <c r="L43" s="59">
        <f t="shared" ref="L43:T43" si="191">(1+L40)^L41</f>
        <v>1.5495980477924989</v>
      </c>
      <c r="M43" s="59">
        <f t="shared" ref="M43:O43" si="192">(1+M40)^M41</f>
        <v>1.5495980477924989</v>
      </c>
      <c r="N43" s="59">
        <f t="shared" si="192"/>
        <v>1.5495980477924989</v>
      </c>
      <c r="O43" s="59">
        <f t="shared" si="192"/>
        <v>1.5495980477924989</v>
      </c>
      <c r="P43" s="59">
        <f t="shared" si="191"/>
        <v>1.5495980477924989</v>
      </c>
      <c r="Q43" s="59">
        <f t="shared" ref="Q43:R43" si="193">(1+Q40)^Q41</f>
        <v>1.5495980477924989</v>
      </c>
      <c r="R43" s="59">
        <f t="shared" si="193"/>
        <v>1.5495980477924989</v>
      </c>
      <c r="S43" s="59">
        <f t="shared" ref="S43" si="194">(1+S40)^S41</f>
        <v>1.5495980477924989</v>
      </c>
      <c r="T43" s="59">
        <f t="shared" si="191"/>
        <v>1.5495980477924989</v>
      </c>
      <c r="U43" s="59">
        <f t="shared" ref="U43:W43" si="195">(1+U40)^U41</f>
        <v>1.5495980477924989</v>
      </c>
      <c r="V43" s="59">
        <f t="shared" si="195"/>
        <v>1.5495980477924989</v>
      </c>
      <c r="W43" s="59">
        <f t="shared" si="195"/>
        <v>1.5495980477924989</v>
      </c>
      <c r="X43" s="59">
        <f t="shared" ref="X43:AR43" si="196">(1+X40)^X41</f>
        <v>1.5495980477924989</v>
      </c>
      <c r="Y43" s="59">
        <f t="shared" ref="Y43:AA43" si="197">(1+Y40)^Y41</f>
        <v>1.5495980477924989</v>
      </c>
      <c r="Z43" s="59">
        <f t="shared" si="197"/>
        <v>1.5495980477924989</v>
      </c>
      <c r="AA43" s="59">
        <f t="shared" si="197"/>
        <v>1.5495980477924989</v>
      </c>
      <c r="AB43" s="59">
        <f t="shared" si="196"/>
        <v>1.5495980477924989</v>
      </c>
      <c r="AC43" s="59">
        <f t="shared" ref="AC43:AE43" si="198">(1+AC40)^AC41</f>
        <v>1.5495980477924989</v>
      </c>
      <c r="AD43" s="59">
        <f t="shared" si="198"/>
        <v>1.5495980477924989</v>
      </c>
      <c r="AE43" s="59">
        <f t="shared" si="198"/>
        <v>1.5495980477924989</v>
      </c>
      <c r="AF43" s="59">
        <f t="shared" si="196"/>
        <v>1.5495980477924989</v>
      </c>
      <c r="AG43" s="59">
        <f t="shared" ref="AG43:AI43" si="199">(1+AG40)^AG41</f>
        <v>1.5495980477924989</v>
      </c>
      <c r="AH43" s="59">
        <f t="shared" si="199"/>
        <v>1.5495980477924989</v>
      </c>
      <c r="AI43" s="59">
        <f t="shared" si="199"/>
        <v>1.5495980477924989</v>
      </c>
      <c r="AJ43" s="59">
        <f t="shared" si="196"/>
        <v>1.5495980477924989</v>
      </c>
      <c r="AK43" s="59">
        <f t="shared" ref="AK43:AM43" si="200">(1+AK40)^AK41</f>
        <v>1.5495980477924989</v>
      </c>
      <c r="AL43" s="59">
        <f t="shared" si="200"/>
        <v>1.5495980477924989</v>
      </c>
      <c r="AM43" s="59">
        <f t="shared" si="200"/>
        <v>1.5495980477924989</v>
      </c>
      <c r="AN43" s="59">
        <f t="shared" si="196"/>
        <v>1.5495980477924989</v>
      </c>
      <c r="AO43" s="59">
        <f t="shared" ref="AO43:AQ43" si="201">(1+AO40)^AO41</f>
        <v>1.5495980477924989</v>
      </c>
      <c r="AP43" s="59">
        <f t="shared" si="201"/>
        <v>1.5495980477924989</v>
      </c>
      <c r="AQ43" s="59">
        <f t="shared" si="201"/>
        <v>1.5495980477924989</v>
      </c>
      <c r="AR43" s="59">
        <f t="shared" si="196"/>
        <v>1.5495980477924989</v>
      </c>
      <c r="AS43" s="69"/>
      <c r="AT43" s="69"/>
      <c r="AU43" s="69"/>
    </row>
    <row r="44" spans="2:47">
      <c r="C44" s="60">
        <f>C43*C40</f>
        <v>1.420464877143124E-2</v>
      </c>
      <c r="D44" s="60"/>
      <c r="E44" s="60">
        <f>E43*E40</f>
        <v>1.420464877143124E-2</v>
      </c>
      <c r="F44" s="60">
        <f>F43*F40</f>
        <v>1.420464877143124E-2</v>
      </c>
      <c r="G44" s="60">
        <f>G43*G40</f>
        <v>1.420464877143124E-2</v>
      </c>
      <c r="H44" s="60">
        <f>H43*H40</f>
        <v>1.420464877143124E-2</v>
      </c>
      <c r="I44" s="60">
        <f>I43*I40</f>
        <v>1.420464877143124E-2</v>
      </c>
      <c r="J44" s="60">
        <f t="shared" ref="J44:K44" si="202">J43*J40</f>
        <v>1.420464877143124E-2</v>
      </c>
      <c r="K44" s="60">
        <f t="shared" si="202"/>
        <v>1.420464877143124E-2</v>
      </c>
      <c r="L44" s="60">
        <f t="shared" ref="L44:T44" si="203">L43*L40</f>
        <v>1.420464877143124E-2</v>
      </c>
      <c r="M44" s="60">
        <f t="shared" ref="M44:O44" si="204">M43*M40</f>
        <v>1.420464877143124E-2</v>
      </c>
      <c r="N44" s="60">
        <f t="shared" si="204"/>
        <v>1.420464877143124E-2</v>
      </c>
      <c r="O44" s="60">
        <f t="shared" si="204"/>
        <v>1.420464877143124E-2</v>
      </c>
      <c r="P44" s="60">
        <f t="shared" si="203"/>
        <v>1.420464877143124E-2</v>
      </c>
      <c r="Q44" s="60">
        <f t="shared" ref="Q44:R44" si="205">Q43*Q40</f>
        <v>1.420464877143124E-2</v>
      </c>
      <c r="R44" s="60">
        <f t="shared" si="205"/>
        <v>1.420464877143124E-2</v>
      </c>
      <c r="S44" s="60">
        <f t="shared" ref="S44" si="206">S43*S40</f>
        <v>1.420464877143124E-2</v>
      </c>
      <c r="T44" s="60">
        <f t="shared" si="203"/>
        <v>1.420464877143124E-2</v>
      </c>
      <c r="U44" s="60">
        <f t="shared" ref="U44:W44" si="207">U43*U40</f>
        <v>1.420464877143124E-2</v>
      </c>
      <c r="V44" s="60">
        <f t="shared" si="207"/>
        <v>1.420464877143124E-2</v>
      </c>
      <c r="W44" s="60">
        <f t="shared" si="207"/>
        <v>1.420464877143124E-2</v>
      </c>
      <c r="X44" s="60">
        <f t="shared" ref="X44:Y44" si="208">X43*X40</f>
        <v>1.420464877143124E-2</v>
      </c>
      <c r="Y44" s="60">
        <f t="shared" si="208"/>
        <v>1.420464877143124E-2</v>
      </c>
      <c r="Z44" s="60">
        <f t="shared" ref="Z44:AA44" si="209">Z43*Z40</f>
        <v>1.420464877143124E-2</v>
      </c>
      <c r="AA44" s="60">
        <f t="shared" si="209"/>
        <v>1.420464877143124E-2</v>
      </c>
      <c r="AB44" s="60">
        <f t="shared" ref="AB44:AC44" si="210">AB43*AB40</f>
        <v>1.420464877143124E-2</v>
      </c>
      <c r="AC44" s="60">
        <f t="shared" si="210"/>
        <v>1.420464877143124E-2</v>
      </c>
      <c r="AD44" s="60">
        <f t="shared" ref="AD44:AE44" si="211">AD43*AD40</f>
        <v>1.420464877143124E-2</v>
      </c>
      <c r="AE44" s="60">
        <f t="shared" si="211"/>
        <v>1.420464877143124E-2</v>
      </c>
      <c r="AF44" s="60">
        <f t="shared" ref="AF44:AG44" si="212">AF43*AF40</f>
        <v>1.420464877143124E-2</v>
      </c>
      <c r="AG44" s="60">
        <f t="shared" si="212"/>
        <v>1.420464877143124E-2</v>
      </c>
      <c r="AH44" s="60">
        <f t="shared" ref="AH44:AI44" si="213">AH43*AH40</f>
        <v>1.420464877143124E-2</v>
      </c>
      <c r="AI44" s="60">
        <f t="shared" si="213"/>
        <v>1.420464877143124E-2</v>
      </c>
      <c r="AJ44" s="60">
        <f t="shared" ref="AJ44:AM44" si="214">AJ43*AJ40</f>
        <v>1.420464877143124E-2</v>
      </c>
      <c r="AK44" s="60">
        <f t="shared" si="214"/>
        <v>1.420464877143124E-2</v>
      </c>
      <c r="AL44" s="60">
        <f t="shared" si="214"/>
        <v>1.420464877143124E-2</v>
      </c>
      <c r="AM44" s="60">
        <f t="shared" si="214"/>
        <v>1.420464877143124E-2</v>
      </c>
      <c r="AN44" s="60">
        <f t="shared" ref="AN44:AQ44" si="215">AN43*AN40</f>
        <v>1.420464877143124E-2</v>
      </c>
      <c r="AO44" s="60">
        <f t="shared" si="215"/>
        <v>1.420464877143124E-2</v>
      </c>
      <c r="AP44" s="60">
        <f t="shared" si="215"/>
        <v>1.420464877143124E-2</v>
      </c>
      <c r="AQ44" s="60">
        <f t="shared" si="215"/>
        <v>1.420464877143124E-2</v>
      </c>
      <c r="AR44" s="60">
        <f t="shared" ref="AR44" si="216">AR43*AR40</f>
        <v>1.420464877143124E-2</v>
      </c>
      <c r="AS44" s="70"/>
      <c r="AT44" s="70"/>
      <c r="AU44" s="70"/>
    </row>
    <row r="45" spans="2:47">
      <c r="C45" s="61">
        <f>C43-1</f>
        <v>0.54959804779249888</v>
      </c>
      <c r="D45" s="61"/>
      <c r="E45" s="61">
        <f>E43-1</f>
        <v>0.54959804779249888</v>
      </c>
      <c r="F45" s="61">
        <f>F43-1</f>
        <v>0.54959804779249888</v>
      </c>
      <c r="G45" s="61">
        <f>G43-1</f>
        <v>0.54959804779249888</v>
      </c>
      <c r="H45" s="61">
        <f>H43-1</f>
        <v>0.54959804779249888</v>
      </c>
      <c r="I45" s="61">
        <f t="shared" ref="I45:J45" si="217">I43-1</f>
        <v>0.54959804779249888</v>
      </c>
      <c r="J45" s="61">
        <f t="shared" si="217"/>
        <v>0.54959804779249888</v>
      </c>
      <c r="K45" s="61">
        <f t="shared" ref="K45" si="218">K43-1</f>
        <v>0.54959804779249888</v>
      </c>
      <c r="L45" s="61">
        <f t="shared" ref="L45:T45" si="219">L43-1</f>
        <v>0.54959804779249888</v>
      </c>
      <c r="M45" s="61">
        <f t="shared" ref="M45:O45" si="220">M43-1</f>
        <v>0.54959804779249888</v>
      </c>
      <c r="N45" s="61">
        <f t="shared" si="220"/>
        <v>0.54959804779249888</v>
      </c>
      <c r="O45" s="61">
        <f t="shared" si="220"/>
        <v>0.54959804779249888</v>
      </c>
      <c r="P45" s="61">
        <f t="shared" si="219"/>
        <v>0.54959804779249888</v>
      </c>
      <c r="Q45" s="61">
        <f t="shared" ref="Q45:R45" si="221">Q43-1</f>
        <v>0.54959804779249888</v>
      </c>
      <c r="R45" s="61">
        <f t="shared" si="221"/>
        <v>0.54959804779249888</v>
      </c>
      <c r="S45" s="61">
        <f t="shared" ref="S45" si="222">S43-1</f>
        <v>0.54959804779249888</v>
      </c>
      <c r="T45" s="61">
        <f t="shared" si="219"/>
        <v>0.54959804779249888</v>
      </c>
      <c r="U45" s="61">
        <f t="shared" ref="U45:W45" si="223">U43-1</f>
        <v>0.54959804779249888</v>
      </c>
      <c r="V45" s="61">
        <f t="shared" si="223"/>
        <v>0.54959804779249888</v>
      </c>
      <c r="W45" s="61">
        <f t="shared" si="223"/>
        <v>0.54959804779249888</v>
      </c>
      <c r="X45" s="61">
        <f t="shared" ref="X45:AR45" si="224">X43-1</f>
        <v>0.54959804779249888</v>
      </c>
      <c r="Y45" s="61">
        <f t="shared" ref="Y45:AA45" si="225">Y43-1</f>
        <v>0.54959804779249888</v>
      </c>
      <c r="Z45" s="61">
        <f t="shared" si="225"/>
        <v>0.54959804779249888</v>
      </c>
      <c r="AA45" s="61">
        <f t="shared" si="225"/>
        <v>0.54959804779249888</v>
      </c>
      <c r="AB45" s="61">
        <f t="shared" si="224"/>
        <v>0.54959804779249888</v>
      </c>
      <c r="AC45" s="61">
        <f t="shared" ref="AC45:AE45" si="226">AC43-1</f>
        <v>0.54959804779249888</v>
      </c>
      <c r="AD45" s="61">
        <f t="shared" si="226"/>
        <v>0.54959804779249888</v>
      </c>
      <c r="AE45" s="61">
        <f t="shared" si="226"/>
        <v>0.54959804779249888</v>
      </c>
      <c r="AF45" s="61">
        <f t="shared" si="224"/>
        <v>0.54959804779249888</v>
      </c>
      <c r="AG45" s="61">
        <f t="shared" ref="AG45:AI45" si="227">AG43-1</f>
        <v>0.54959804779249888</v>
      </c>
      <c r="AH45" s="61">
        <f t="shared" si="227"/>
        <v>0.54959804779249888</v>
      </c>
      <c r="AI45" s="61">
        <f t="shared" si="227"/>
        <v>0.54959804779249888</v>
      </c>
      <c r="AJ45" s="61">
        <f t="shared" si="224"/>
        <v>0.54959804779249888</v>
      </c>
      <c r="AK45" s="61">
        <f t="shared" ref="AK45:AM45" si="228">AK43-1</f>
        <v>0.54959804779249888</v>
      </c>
      <c r="AL45" s="61">
        <f t="shared" si="228"/>
        <v>0.54959804779249888</v>
      </c>
      <c r="AM45" s="61">
        <f t="shared" si="228"/>
        <v>0.54959804779249888</v>
      </c>
      <c r="AN45" s="61">
        <f t="shared" si="224"/>
        <v>0.54959804779249888</v>
      </c>
      <c r="AO45" s="61">
        <f t="shared" ref="AO45:AQ45" si="229">AO43-1</f>
        <v>0.54959804779249888</v>
      </c>
      <c r="AP45" s="61">
        <f t="shared" si="229"/>
        <v>0.54959804779249888</v>
      </c>
      <c r="AQ45" s="61">
        <f t="shared" si="229"/>
        <v>0.54959804779249888</v>
      </c>
      <c r="AR45" s="61">
        <f t="shared" si="224"/>
        <v>0.54959804779249888</v>
      </c>
      <c r="AS45" s="71"/>
      <c r="AT45" s="71"/>
      <c r="AU45" s="71"/>
    </row>
    <row r="46" spans="2:47">
      <c r="C46" s="61">
        <f>C44/C45</f>
        <v>2.5845522611452607E-2</v>
      </c>
      <c r="D46" s="61"/>
      <c r="E46" s="61">
        <f>E44/E45</f>
        <v>2.5845522611452607E-2</v>
      </c>
      <c r="F46" s="61">
        <f>F44/F45</f>
        <v>2.5845522611452607E-2</v>
      </c>
      <c r="G46" s="61">
        <f>G44/G45</f>
        <v>2.5845522611452607E-2</v>
      </c>
      <c r="H46" s="61">
        <f>H44/H45</f>
        <v>2.5845522611452607E-2</v>
      </c>
      <c r="I46" s="61">
        <f>I44/I45</f>
        <v>2.5845522611452607E-2</v>
      </c>
      <c r="J46" s="61">
        <f t="shared" ref="J46:K46" si="230">J44/J45</f>
        <v>2.5845522611452607E-2</v>
      </c>
      <c r="K46" s="61">
        <f t="shared" si="230"/>
        <v>2.5845522611452607E-2</v>
      </c>
      <c r="L46" s="61">
        <f t="shared" ref="L46:T46" si="231">L44/L45</f>
        <v>2.5845522611452607E-2</v>
      </c>
      <c r="M46" s="61">
        <f t="shared" ref="M46:O46" si="232">M44/M45</f>
        <v>2.5845522611452607E-2</v>
      </c>
      <c r="N46" s="61">
        <f t="shared" si="232"/>
        <v>2.5845522611452607E-2</v>
      </c>
      <c r="O46" s="61">
        <f t="shared" si="232"/>
        <v>2.5845522611452607E-2</v>
      </c>
      <c r="P46" s="61">
        <f t="shared" si="231"/>
        <v>2.5845522611452607E-2</v>
      </c>
      <c r="Q46" s="61">
        <f t="shared" ref="Q46:R46" si="233">Q44/Q45</f>
        <v>2.5845522611452607E-2</v>
      </c>
      <c r="R46" s="61">
        <f t="shared" si="233"/>
        <v>2.5845522611452607E-2</v>
      </c>
      <c r="S46" s="61">
        <f t="shared" ref="S46" si="234">S44/S45</f>
        <v>2.5845522611452607E-2</v>
      </c>
      <c r="T46" s="61">
        <f t="shared" si="231"/>
        <v>2.5845522611452607E-2</v>
      </c>
      <c r="U46" s="61">
        <f t="shared" ref="U46:W46" si="235">U44/U45</f>
        <v>2.5845522611452607E-2</v>
      </c>
      <c r="V46" s="61">
        <f t="shared" si="235"/>
        <v>2.5845522611452607E-2</v>
      </c>
      <c r="W46" s="61">
        <f t="shared" si="235"/>
        <v>2.5845522611452607E-2</v>
      </c>
      <c r="X46" s="61">
        <f t="shared" ref="X46:Y46" si="236">X44/X45</f>
        <v>2.5845522611452607E-2</v>
      </c>
      <c r="Y46" s="61">
        <f t="shared" si="236"/>
        <v>2.5845522611452607E-2</v>
      </c>
      <c r="Z46" s="61">
        <f t="shared" ref="Z46:AA46" si="237">Z44/Z45</f>
        <v>2.5845522611452607E-2</v>
      </c>
      <c r="AA46" s="61">
        <f t="shared" si="237"/>
        <v>2.5845522611452607E-2</v>
      </c>
      <c r="AB46" s="61">
        <f t="shared" ref="AB46:AC46" si="238">AB44/AB45</f>
        <v>2.5845522611452607E-2</v>
      </c>
      <c r="AC46" s="61">
        <f t="shared" si="238"/>
        <v>2.5845522611452607E-2</v>
      </c>
      <c r="AD46" s="61">
        <f t="shared" ref="AD46:AE46" si="239">AD44/AD45</f>
        <v>2.5845522611452607E-2</v>
      </c>
      <c r="AE46" s="61">
        <f t="shared" si="239"/>
        <v>2.5845522611452607E-2</v>
      </c>
      <c r="AF46" s="61">
        <f t="shared" ref="AF46:AG46" si="240">AF44/AF45</f>
        <v>2.5845522611452607E-2</v>
      </c>
      <c r="AG46" s="61">
        <f t="shared" si="240"/>
        <v>2.5845522611452607E-2</v>
      </c>
      <c r="AH46" s="61">
        <f t="shared" ref="AH46:AI46" si="241">AH44/AH45</f>
        <v>2.5845522611452607E-2</v>
      </c>
      <c r="AI46" s="61">
        <f t="shared" si="241"/>
        <v>2.5845522611452607E-2</v>
      </c>
      <c r="AJ46" s="61">
        <f t="shared" ref="AJ46:AM46" si="242">AJ44/AJ45</f>
        <v>2.5845522611452607E-2</v>
      </c>
      <c r="AK46" s="61">
        <f t="shared" si="242"/>
        <v>2.5845522611452607E-2</v>
      </c>
      <c r="AL46" s="61">
        <f t="shared" si="242"/>
        <v>2.5845522611452607E-2</v>
      </c>
      <c r="AM46" s="61">
        <f t="shared" si="242"/>
        <v>2.5845522611452607E-2</v>
      </c>
      <c r="AN46" s="61">
        <f t="shared" ref="AN46:AQ46" si="243">AN44/AN45</f>
        <v>2.5845522611452607E-2</v>
      </c>
      <c r="AO46" s="61">
        <f t="shared" si="243"/>
        <v>2.5845522611452607E-2</v>
      </c>
      <c r="AP46" s="61">
        <f t="shared" si="243"/>
        <v>2.5845522611452607E-2</v>
      </c>
      <c r="AQ46" s="61">
        <f t="shared" si="243"/>
        <v>2.5845522611452607E-2</v>
      </c>
      <c r="AR46" s="61">
        <f t="shared" ref="AR46" si="244">AR44/AR45</f>
        <v>2.5845522611452607E-2</v>
      </c>
      <c r="AS46" s="71"/>
      <c r="AT46" s="71"/>
      <c r="AU46" s="71"/>
    </row>
    <row r="47" spans="2:47" s="51" customFormat="1">
      <c r="B47" s="51" t="s">
        <v>17</v>
      </c>
      <c r="C47" s="54">
        <f>C46*C36</f>
        <v>13536.71612134365</v>
      </c>
      <c r="D47" s="54"/>
      <c r="E47" s="54">
        <f>E46*E36</f>
        <v>735.30511829582667</v>
      </c>
      <c r="F47" s="54">
        <f>F46*F36</f>
        <v>1736.8191194896151</v>
      </c>
      <c r="G47" s="54">
        <f>G46*G36</f>
        <v>2205.9153548874801</v>
      </c>
      <c r="H47" s="54">
        <f>H46*H36</f>
        <v>3207.4293560812685</v>
      </c>
      <c r="I47" s="54">
        <f>I46*I36</f>
        <v>3676.5255914791333</v>
      </c>
      <c r="J47" s="54">
        <f t="shared" ref="J47:K47" si="245">J46*J36</f>
        <v>4678.0395926729216</v>
      </c>
      <c r="K47" s="54">
        <f t="shared" si="245"/>
        <v>5147.1358280707864</v>
      </c>
      <c r="L47" s="54">
        <f t="shared" ref="L47:T47" si="246">L46*L36</f>
        <v>6148.6498292645747</v>
      </c>
      <c r="M47" s="54">
        <f t="shared" ref="M47:O47" si="247">M46*M36</f>
        <v>6617.7460646624395</v>
      </c>
      <c r="N47" s="54">
        <f t="shared" si="247"/>
        <v>7619.2600658562287</v>
      </c>
      <c r="O47" s="54">
        <f t="shared" si="247"/>
        <v>8088.3563012540935</v>
      </c>
      <c r="P47" s="54">
        <f t="shared" si="246"/>
        <v>9089.8703024478818</v>
      </c>
      <c r="Q47" s="54">
        <f t="shared" ref="Q47:R47" si="248">Q46*Q36</f>
        <v>9558.9665378457466</v>
      </c>
      <c r="R47" s="54">
        <f t="shared" si="248"/>
        <v>10560.480539039536</v>
      </c>
      <c r="S47" s="54">
        <f t="shared" ref="S47" si="249">S46*S36</f>
        <v>11029.576774437401</v>
      </c>
      <c r="T47" s="54">
        <f t="shared" si="246"/>
        <v>12031.090775631188</v>
      </c>
      <c r="U47" s="54">
        <f t="shared" ref="U47:W47" si="250">U46*U36</f>
        <v>12500.187011029053</v>
      </c>
      <c r="V47" s="54">
        <f t="shared" si="250"/>
        <v>13501.701012222842</v>
      </c>
      <c r="W47" s="54">
        <f t="shared" si="250"/>
        <v>13970.797247620707</v>
      </c>
      <c r="X47" s="54">
        <f t="shared" ref="X47:Y47" si="251">X46*X36</f>
        <v>14972.311248814494</v>
      </c>
      <c r="Y47" s="54">
        <f t="shared" si="251"/>
        <v>15441.407484212359</v>
      </c>
      <c r="Z47" s="54">
        <f t="shared" ref="Z47:AA47" si="252">Z46*Z36</f>
        <v>16442.921485406147</v>
      </c>
      <c r="AA47" s="54">
        <f t="shared" si="252"/>
        <v>16912.017720804011</v>
      </c>
      <c r="AB47" s="54">
        <f t="shared" ref="AB47:AC47" si="253">AB46*AB36</f>
        <v>17913.531721997802</v>
      </c>
      <c r="AC47" s="54">
        <f t="shared" si="253"/>
        <v>18382.627957395667</v>
      </c>
      <c r="AD47" s="54">
        <f t="shared" ref="AD47:AE47" si="254">AD46*AD36</f>
        <v>19384.141958589455</v>
      </c>
      <c r="AE47" s="54">
        <f t="shared" si="254"/>
        <v>19853.238193987319</v>
      </c>
      <c r="AF47" s="54">
        <f t="shared" ref="AF47:AG47" si="255">AF46*AF36</f>
        <v>20854.752195181107</v>
      </c>
      <c r="AG47" s="54">
        <f t="shared" si="255"/>
        <v>21323.848430578972</v>
      </c>
      <c r="AH47" s="54">
        <f t="shared" ref="AH47:AI47" si="256">AH46*AH36</f>
        <v>22325.362431772763</v>
      </c>
      <c r="AI47" s="54">
        <f t="shared" si="256"/>
        <v>22794.458667170627</v>
      </c>
      <c r="AJ47" s="54">
        <f t="shared" ref="AJ47:AM47" si="257">AJ46*AJ36</f>
        <v>23795.972668364415</v>
      </c>
      <c r="AK47" s="54">
        <f t="shared" si="257"/>
        <v>24265.06890376228</v>
      </c>
      <c r="AL47" s="54">
        <f t="shared" si="257"/>
        <v>25266.582904956067</v>
      </c>
      <c r="AM47" s="54">
        <f t="shared" si="257"/>
        <v>25735.679140353932</v>
      </c>
      <c r="AN47" s="54">
        <f t="shared" ref="AN47:AQ47" si="258">AN46*AN36</f>
        <v>26737.193141547723</v>
      </c>
      <c r="AO47" s="54">
        <f t="shared" si="258"/>
        <v>27206.289376945588</v>
      </c>
      <c r="AP47" s="54">
        <f t="shared" si="258"/>
        <v>28207.803378139375</v>
      </c>
      <c r="AQ47" s="54">
        <f t="shared" si="258"/>
        <v>28676.89961353724</v>
      </c>
      <c r="AR47" s="54">
        <f t="shared" ref="AR47" si="259">AR46*AR36</f>
        <v>29678.413614731027</v>
      </c>
      <c r="AS47" s="64"/>
      <c r="AT47" s="64"/>
      <c r="AU47" s="64"/>
    </row>
    <row r="48" spans="2:47">
      <c r="C48" s="4"/>
      <c r="D48" s="4"/>
      <c r="E48" s="4"/>
      <c r="F48" s="4"/>
      <c r="G48" s="4"/>
      <c r="H48" s="4"/>
      <c r="I48" s="4"/>
      <c r="J48" s="4"/>
      <c r="K48" s="4"/>
      <c r="L48" s="4"/>
      <c r="M48" s="4"/>
      <c r="AB48" s="4"/>
      <c r="AC48" s="4"/>
      <c r="AD48" s="4"/>
      <c r="AE48" s="4"/>
      <c r="AF48" s="4"/>
      <c r="AG48" s="4"/>
      <c r="AH48" s="4"/>
      <c r="AI48" s="4"/>
      <c r="AJ48" s="4"/>
      <c r="AK48" s="4"/>
      <c r="AL48" s="4"/>
      <c r="AM48" s="4"/>
      <c r="AN48" s="4"/>
      <c r="AO48" s="4"/>
      <c r="AP48" s="4"/>
      <c r="AQ48" s="4"/>
      <c r="AR48" s="4"/>
      <c r="AS48" s="64"/>
      <c r="AT48" s="64"/>
      <c r="AU48" s="64"/>
    </row>
    <row r="49" spans="2:47">
      <c r="B49" t="s">
        <v>34</v>
      </c>
      <c r="C49" s="4">
        <f>C29-C30</f>
        <v>205725.37382449524</v>
      </c>
      <c r="D49" s="4"/>
      <c r="E49" s="4">
        <f>E29-E30</f>
        <v>10294.645678199682</v>
      </c>
      <c r="F49" s="4">
        <f>F29-F30</f>
        <v>33367.317735501521</v>
      </c>
      <c r="G49" s="4">
        <f>G29-G30</f>
        <v>30883.937034599046</v>
      </c>
      <c r="H49" s="4">
        <f>H29-H30</f>
        <v>53956.609091900871</v>
      </c>
      <c r="I49" s="4">
        <f t="shared" ref="I49:J49" si="260">I29-I30</f>
        <v>51473.228390998382</v>
      </c>
      <c r="J49" s="4">
        <f t="shared" si="260"/>
        <v>74545.900448300235</v>
      </c>
      <c r="K49" s="4">
        <f t="shared" ref="K49" si="261">K29-K30</f>
        <v>72062.519747397746</v>
      </c>
      <c r="L49" s="4">
        <f t="shared" ref="L49:T49" si="262">L29-L30</f>
        <v>95135.1918046996</v>
      </c>
      <c r="M49" s="4">
        <f t="shared" ref="M49:O49" si="263">M29-M30</f>
        <v>92651.81110379711</v>
      </c>
      <c r="N49" s="4">
        <f t="shared" si="263"/>
        <v>115724.48316109896</v>
      </c>
      <c r="O49" s="4">
        <f t="shared" si="263"/>
        <v>113241.10246019647</v>
      </c>
      <c r="P49" s="4">
        <f t="shared" si="262"/>
        <v>136313.77451749833</v>
      </c>
      <c r="Q49" s="4">
        <f t="shared" ref="Q49:R49" si="264">Q29-Q30</f>
        <v>133830.39381659584</v>
      </c>
      <c r="R49" s="4">
        <f t="shared" si="264"/>
        <v>156903.06587389775</v>
      </c>
      <c r="S49" s="4">
        <f t="shared" ref="S49" si="265">S29-S30</f>
        <v>154419.6851729952</v>
      </c>
      <c r="T49" s="4">
        <f t="shared" si="262"/>
        <v>177492.35723029706</v>
      </c>
      <c r="U49" s="4">
        <f t="shared" ref="U49:W49" si="266">U29-U30</f>
        <v>175008.97652939451</v>
      </c>
      <c r="V49" s="4">
        <f t="shared" si="266"/>
        <v>198081.64858669648</v>
      </c>
      <c r="W49" s="4">
        <f t="shared" si="266"/>
        <v>195598.26788579393</v>
      </c>
      <c r="X49" s="4">
        <f t="shared" ref="X49:AR49" si="267">X29-X30</f>
        <v>218670.93994309567</v>
      </c>
      <c r="Y49" s="4">
        <f t="shared" ref="Y49:AA49" si="268">Y29-Y30</f>
        <v>216187.55924219324</v>
      </c>
      <c r="Z49" s="4">
        <f t="shared" si="268"/>
        <v>239260.23129949509</v>
      </c>
      <c r="AA49" s="4">
        <f t="shared" si="268"/>
        <v>236776.85059859254</v>
      </c>
      <c r="AB49" s="4">
        <f t="shared" si="267"/>
        <v>259849.52265589451</v>
      </c>
      <c r="AC49" s="4">
        <f t="shared" ref="AC49:AE49" si="269">AC29-AC30</f>
        <v>257366.14195499197</v>
      </c>
      <c r="AD49" s="4">
        <f t="shared" si="269"/>
        <v>280438.81401229382</v>
      </c>
      <c r="AE49" s="4">
        <f t="shared" si="269"/>
        <v>277955.43331139139</v>
      </c>
      <c r="AF49" s="4">
        <f t="shared" si="267"/>
        <v>301028.10536869313</v>
      </c>
      <c r="AG49" s="4">
        <f t="shared" ref="AG49:AI49" si="270">AG29-AG30</f>
        <v>298544.72466779058</v>
      </c>
      <c r="AH49" s="4">
        <f t="shared" si="270"/>
        <v>321617.39672509255</v>
      </c>
      <c r="AI49" s="4">
        <f t="shared" si="270"/>
        <v>319134.01602419</v>
      </c>
      <c r="AJ49" s="4">
        <f t="shared" si="267"/>
        <v>342206.68808149197</v>
      </c>
      <c r="AK49" s="4">
        <f t="shared" ref="AK49:AM49" si="271">AK29-AK30</f>
        <v>339723.30738058942</v>
      </c>
      <c r="AL49" s="4">
        <f t="shared" si="271"/>
        <v>362795.97943789116</v>
      </c>
      <c r="AM49" s="4">
        <f t="shared" si="271"/>
        <v>360312.59873698885</v>
      </c>
      <c r="AN49" s="4">
        <f t="shared" si="267"/>
        <v>383385.27079429058</v>
      </c>
      <c r="AO49" s="4">
        <f t="shared" ref="AO49:AQ49" si="272">AO29-AO30</f>
        <v>380901.89009338827</v>
      </c>
      <c r="AP49" s="4">
        <f t="shared" si="272"/>
        <v>403974.56215069001</v>
      </c>
      <c r="AQ49" s="4">
        <f t="shared" si="272"/>
        <v>401491.18144978746</v>
      </c>
      <c r="AR49" s="4">
        <f t="shared" si="267"/>
        <v>424563.85350708943</v>
      </c>
      <c r="AS49" s="64"/>
      <c r="AT49" s="64"/>
      <c r="AU49" s="64"/>
    </row>
    <row r="50" spans="2:47">
      <c r="B50" t="s">
        <v>35</v>
      </c>
      <c r="C50" s="7">
        <f>C49/C29</f>
        <v>0.31661632330846984</v>
      </c>
      <c r="D50" s="7"/>
      <c r="E50" s="7">
        <f>E49/E29</f>
        <v>0.2916772637997706</v>
      </c>
      <c r="F50" s="7">
        <f>F49/F29</f>
        <v>0.40024458794950807</v>
      </c>
      <c r="G50" s="7">
        <f>G49/G29</f>
        <v>0.2916772637997706</v>
      </c>
      <c r="H50" s="7">
        <f>H49/H29</f>
        <v>0.35046633860123999</v>
      </c>
      <c r="I50" s="7">
        <f>I49/I29</f>
        <v>0.29167726379977049</v>
      </c>
      <c r="J50" s="7">
        <f t="shared" ref="J50:K50" si="273">J49/J29</f>
        <v>0.33198513221337472</v>
      </c>
      <c r="K50" s="7">
        <f t="shared" si="273"/>
        <v>0.29167726379977055</v>
      </c>
      <c r="L50" s="7">
        <f t="shared" ref="L50:T50" si="274">L49/L29</f>
        <v>0.32234445246249588</v>
      </c>
      <c r="M50" s="7">
        <f t="shared" ref="M50:O50" si="275">M49/M29</f>
        <v>0.29167726379977055</v>
      </c>
      <c r="N50" s="7">
        <f t="shared" si="275"/>
        <v>0.31642531055303502</v>
      </c>
      <c r="O50" s="7">
        <f t="shared" si="275"/>
        <v>0.29167726379977055</v>
      </c>
      <c r="P50" s="7">
        <f t="shared" si="274"/>
        <v>0.31242143264498629</v>
      </c>
      <c r="Q50" s="7">
        <f t="shared" ref="Q50:R50" si="276">Q49/Q29</f>
        <v>0.29167726379977055</v>
      </c>
      <c r="R50" s="7">
        <f t="shared" si="276"/>
        <v>0.30953268274950724</v>
      </c>
      <c r="S50" s="7">
        <f t="shared" ref="S50" si="277">S49/S29</f>
        <v>0.29167726379977055</v>
      </c>
      <c r="T50" s="7">
        <f t="shared" si="274"/>
        <v>0.30735014066950711</v>
      </c>
      <c r="U50" s="7">
        <f t="shared" ref="U50:W50" si="278">U49/U29</f>
        <v>0.29167726379977049</v>
      </c>
      <c r="V50" s="7">
        <f t="shared" si="278"/>
        <v>0.3056430451605332</v>
      </c>
      <c r="W50" s="7">
        <f t="shared" si="278"/>
        <v>0.29167726379977055</v>
      </c>
      <c r="X50" s="7">
        <f t="shared" ref="X50:Y50" si="279">X49/X29</f>
        <v>0.30427129829461314</v>
      </c>
      <c r="Y50" s="7">
        <f t="shared" si="279"/>
        <v>0.29167726379977055</v>
      </c>
      <c r="Z50" s="7">
        <f t="shared" ref="Z50:AA50" si="280">Z49/Z29</f>
        <v>0.30314492205639165</v>
      </c>
      <c r="AA50" s="7">
        <f t="shared" si="280"/>
        <v>0.29167726379977049</v>
      </c>
      <c r="AB50" s="7">
        <f t="shared" ref="AB50:AC50" si="281">AB49/AB29</f>
        <v>0.30220348538808739</v>
      </c>
      <c r="AC50" s="7">
        <f t="shared" si="281"/>
        <v>0.29167726379977055</v>
      </c>
      <c r="AD50" s="7">
        <f t="shared" ref="AD50:AE50" si="282">AD49/AD29</f>
        <v>0.301404896043587</v>
      </c>
      <c r="AE50" s="7">
        <f t="shared" si="282"/>
        <v>0.2916772637997706</v>
      </c>
      <c r="AF50" s="7">
        <f t="shared" ref="AF50:AG50" si="283">AF49/AF29</f>
        <v>0.30071893461754517</v>
      </c>
      <c r="AG50" s="7">
        <f t="shared" si="283"/>
        <v>0.29167726379977044</v>
      </c>
      <c r="AH50" s="7">
        <f t="shared" ref="AH50:AI50" si="284">AH49/AH29</f>
        <v>0.30012334412260266</v>
      </c>
      <c r="AI50" s="7">
        <f t="shared" si="284"/>
        <v>0.29167726379977049</v>
      </c>
      <c r="AJ50" s="7">
        <f t="shared" ref="AJ50:AM50" si="285">AJ49/AJ29</f>
        <v>0.29960136957023042</v>
      </c>
      <c r="AK50" s="7">
        <f t="shared" si="285"/>
        <v>0.29167726379977055</v>
      </c>
      <c r="AL50" s="7">
        <f t="shared" si="285"/>
        <v>0.29914015678551348</v>
      </c>
      <c r="AM50" s="7">
        <f t="shared" si="285"/>
        <v>0.2916772637997706</v>
      </c>
      <c r="AN50" s="7">
        <f t="shared" ref="AN50:AQ50" si="286">AN49/AN29</f>
        <v>0.29872967963627356</v>
      </c>
      <c r="AO50" s="7">
        <f t="shared" si="286"/>
        <v>0.2916772637997706</v>
      </c>
      <c r="AP50" s="7">
        <f t="shared" si="286"/>
        <v>0.29836200283482861</v>
      </c>
      <c r="AQ50" s="7">
        <f t="shared" si="286"/>
        <v>0.29167726379977055</v>
      </c>
      <c r="AR50" s="7">
        <f t="shared" ref="AR50" si="287">AR49/AR29</f>
        <v>0.29803076391547412</v>
      </c>
      <c r="AS50" s="28"/>
      <c r="AT50" s="28"/>
      <c r="AU50" s="28"/>
    </row>
    <row r="53" spans="2:47">
      <c r="C53" s="195"/>
    </row>
    <row r="55" spans="2:47" ht="21">
      <c r="B55" s="53" t="s">
        <v>3</v>
      </c>
    </row>
    <row r="56" spans="2:47">
      <c r="B56" t="s">
        <v>25</v>
      </c>
      <c r="C56" s="4">
        <f>C74*C68</f>
        <v>601062.6109589726</v>
      </c>
      <c r="D56" s="4"/>
      <c r="E56" s="4">
        <f>E74*E68</f>
        <v>32893.170625398074</v>
      </c>
      <c r="F56" s="4">
        <f>F74*F68</f>
        <v>77751.014262271128</v>
      </c>
      <c r="G56" s="4">
        <f>G74*G68</f>
        <v>98679.511876194214</v>
      </c>
      <c r="H56" s="4">
        <f>H74*H68</f>
        <v>143537.35551306728</v>
      </c>
      <c r="I56" s="4">
        <f t="shared" ref="I56:J56" si="288">I74*I68</f>
        <v>164465.85312699038</v>
      </c>
      <c r="J56" s="4">
        <f t="shared" si="288"/>
        <v>209323.69676386344</v>
      </c>
      <c r="K56" s="4">
        <f t="shared" ref="K56" si="289">K74*K68</f>
        <v>230252.19437778651</v>
      </c>
      <c r="L56" s="4">
        <f t="shared" ref="L56:AR56" si="290">L74*L68</f>
        <v>275110.0380146596</v>
      </c>
      <c r="M56" s="4">
        <f t="shared" ref="M56:O56" si="291">M74*M68</f>
        <v>296038.53562858264</v>
      </c>
      <c r="N56" s="4">
        <f t="shared" si="291"/>
        <v>340896.3792654557</v>
      </c>
      <c r="O56" s="4">
        <f t="shared" si="291"/>
        <v>361824.87687937875</v>
      </c>
      <c r="P56" s="4">
        <f t="shared" si="290"/>
        <v>406682.72051625187</v>
      </c>
      <c r="Q56" s="4">
        <f t="shared" ref="Q56:R56" si="292">Q74*Q68</f>
        <v>427611.21813017497</v>
      </c>
      <c r="R56" s="4">
        <f t="shared" si="292"/>
        <v>472469.06176704797</v>
      </c>
      <c r="S56" s="4">
        <f t="shared" ref="S56" si="293">S74*S68</f>
        <v>493397.55938097107</v>
      </c>
      <c r="T56" s="4">
        <f t="shared" si="290"/>
        <v>538255.40301784419</v>
      </c>
      <c r="U56" s="4">
        <f t="shared" ref="U56:W56" si="294">U74*U68</f>
        <v>559183.90063176723</v>
      </c>
      <c r="V56" s="4">
        <f t="shared" si="294"/>
        <v>604041.74426864029</v>
      </c>
      <c r="W56" s="4">
        <f t="shared" si="294"/>
        <v>624970.24188256334</v>
      </c>
      <c r="X56" s="4">
        <f t="shared" si="290"/>
        <v>669828.08551943651</v>
      </c>
      <c r="Y56" s="4">
        <f t="shared" ref="Y56:AA56" si="295">Y74*Y68</f>
        <v>690756.58313335956</v>
      </c>
      <c r="Z56" s="4">
        <f t="shared" si="295"/>
        <v>735614.4267702325</v>
      </c>
      <c r="AA56" s="4">
        <f t="shared" si="295"/>
        <v>756542.92438415578</v>
      </c>
      <c r="AB56" s="4">
        <f t="shared" si="290"/>
        <v>801400.76802102872</v>
      </c>
      <c r="AC56" s="4">
        <f t="shared" ref="AC56:AE56" si="296">AC74*AC68</f>
        <v>822329.26563495165</v>
      </c>
      <c r="AD56" s="4">
        <f t="shared" si="296"/>
        <v>867187.10927182494</v>
      </c>
      <c r="AE56" s="4">
        <f t="shared" si="296"/>
        <v>888115.60688574798</v>
      </c>
      <c r="AF56" s="4">
        <f t="shared" si="290"/>
        <v>932973.45052262105</v>
      </c>
      <c r="AG56" s="4">
        <f t="shared" ref="AG56:AI56" si="297">AG74*AG68</f>
        <v>953901.94813654409</v>
      </c>
      <c r="AH56" s="4">
        <f t="shared" si="297"/>
        <v>998759.79177341715</v>
      </c>
      <c r="AI56" s="4">
        <f t="shared" si="297"/>
        <v>1019688.2893873402</v>
      </c>
      <c r="AJ56" s="4">
        <f t="shared" si="290"/>
        <v>1064546.1330242134</v>
      </c>
      <c r="AK56" s="4">
        <f t="shared" ref="AK56:AM56" si="298">AK74*AK68</f>
        <v>1085474.6306381363</v>
      </c>
      <c r="AL56" s="4">
        <f t="shared" si="298"/>
        <v>1130332.4742750095</v>
      </c>
      <c r="AM56" s="4">
        <f t="shared" si="298"/>
        <v>1151260.9718889326</v>
      </c>
      <c r="AN56" s="4">
        <f t="shared" si="290"/>
        <v>1196118.8155258056</v>
      </c>
      <c r="AO56" s="4">
        <f t="shared" ref="AO56:AQ56" si="299">AO74*AO68</f>
        <v>1217047.3131397285</v>
      </c>
      <c r="AP56" s="4">
        <f t="shared" si="299"/>
        <v>1261905.1567766017</v>
      </c>
      <c r="AQ56" s="4">
        <f t="shared" si="299"/>
        <v>1282833.6543905246</v>
      </c>
      <c r="AR56" s="4">
        <f t="shared" si="290"/>
        <v>1327691.498027398</v>
      </c>
      <c r="AS56" s="64"/>
      <c r="AT56" s="64"/>
      <c r="AU56" s="64"/>
    </row>
    <row r="57" spans="2:47" s="51" customFormat="1">
      <c r="B57" s="51" t="s">
        <v>26</v>
      </c>
      <c r="C57" s="54">
        <f>'DATA ENTRY'!E5</f>
        <v>443817.41000000003</v>
      </c>
      <c r="D57" s="54"/>
      <c r="E57" s="54">
        <v>25000</v>
      </c>
      <c r="F57" s="54">
        <v>50000</v>
      </c>
      <c r="G57" s="54">
        <v>75000</v>
      </c>
      <c r="H57" s="54">
        <v>100000</v>
      </c>
      <c r="I57" s="54">
        <v>125000</v>
      </c>
      <c r="J57" s="54">
        <v>150000</v>
      </c>
      <c r="K57" s="54">
        <v>175000</v>
      </c>
      <c r="L57" s="54">
        <v>200000</v>
      </c>
      <c r="M57" s="54">
        <v>225000</v>
      </c>
      <c r="N57" s="54">
        <v>250000</v>
      </c>
      <c r="O57" s="54">
        <v>275000</v>
      </c>
      <c r="P57" s="54">
        <v>300000</v>
      </c>
      <c r="Q57" s="54">
        <v>325000</v>
      </c>
      <c r="R57" s="54">
        <v>350000</v>
      </c>
      <c r="S57" s="54">
        <v>375000</v>
      </c>
      <c r="T57" s="54">
        <v>400000</v>
      </c>
      <c r="U57" s="54">
        <v>425000</v>
      </c>
      <c r="V57" s="54">
        <v>450000</v>
      </c>
      <c r="W57" s="54">
        <v>475000</v>
      </c>
      <c r="X57" s="54">
        <v>500000</v>
      </c>
      <c r="Y57" s="54">
        <v>525000</v>
      </c>
      <c r="Z57" s="54">
        <v>550000</v>
      </c>
      <c r="AA57" s="54">
        <v>575000</v>
      </c>
      <c r="AB57" s="54">
        <v>600000</v>
      </c>
      <c r="AC57" s="54">
        <v>625000</v>
      </c>
      <c r="AD57" s="54">
        <v>650000</v>
      </c>
      <c r="AE57" s="54">
        <v>675000</v>
      </c>
      <c r="AF57" s="54">
        <v>700000</v>
      </c>
      <c r="AG57" s="54">
        <v>725000</v>
      </c>
      <c r="AH57" s="54">
        <v>750000</v>
      </c>
      <c r="AI57" s="54">
        <v>775000</v>
      </c>
      <c r="AJ57" s="54">
        <v>800000</v>
      </c>
      <c r="AK57" s="54">
        <v>825000</v>
      </c>
      <c r="AL57" s="54">
        <v>850000</v>
      </c>
      <c r="AM57" s="54">
        <v>875000</v>
      </c>
      <c r="AN57" s="54">
        <v>900000</v>
      </c>
      <c r="AO57" s="54">
        <v>925000</v>
      </c>
      <c r="AP57" s="54">
        <v>950000</v>
      </c>
      <c r="AQ57" s="54">
        <v>975000</v>
      </c>
      <c r="AR57" s="54">
        <v>1000000</v>
      </c>
      <c r="AS57" s="64"/>
      <c r="AT57" s="64"/>
      <c r="AU57" s="64"/>
    </row>
    <row r="58" spans="2:47">
      <c r="B58" t="s">
        <v>27</v>
      </c>
      <c r="C58" s="4">
        <f>C57*0.09</f>
        <v>39943.566899999998</v>
      </c>
      <c r="D58" s="4"/>
      <c r="E58" s="4">
        <f t="shared" ref="E58:AR58" si="300">E57*0.08</f>
        <v>2000</v>
      </c>
      <c r="F58" s="4">
        <f t="shared" si="300"/>
        <v>4000</v>
      </c>
      <c r="G58" s="4">
        <f t="shared" si="300"/>
        <v>6000</v>
      </c>
      <c r="H58" s="4">
        <f t="shared" si="300"/>
        <v>8000</v>
      </c>
      <c r="I58" s="4">
        <f t="shared" si="300"/>
        <v>10000</v>
      </c>
      <c r="J58" s="4">
        <f t="shared" si="300"/>
        <v>12000</v>
      </c>
      <c r="K58" s="4">
        <f t="shared" si="300"/>
        <v>14000</v>
      </c>
      <c r="L58" s="4">
        <f t="shared" si="300"/>
        <v>16000</v>
      </c>
      <c r="M58" s="4">
        <f t="shared" si="300"/>
        <v>18000</v>
      </c>
      <c r="N58" s="4">
        <f t="shared" si="300"/>
        <v>20000</v>
      </c>
      <c r="O58" s="4">
        <f t="shared" si="300"/>
        <v>22000</v>
      </c>
      <c r="P58" s="4">
        <f t="shared" si="300"/>
        <v>24000</v>
      </c>
      <c r="Q58" s="4">
        <f t="shared" si="300"/>
        <v>26000</v>
      </c>
      <c r="R58" s="4">
        <f t="shared" si="300"/>
        <v>28000</v>
      </c>
      <c r="S58" s="4">
        <f t="shared" si="300"/>
        <v>30000</v>
      </c>
      <c r="T58" s="4">
        <f t="shared" si="300"/>
        <v>32000</v>
      </c>
      <c r="U58" s="4">
        <f t="shared" si="300"/>
        <v>34000</v>
      </c>
      <c r="V58" s="4">
        <f t="shared" si="300"/>
        <v>36000</v>
      </c>
      <c r="W58" s="4">
        <f t="shared" si="300"/>
        <v>38000</v>
      </c>
      <c r="X58" s="4">
        <f t="shared" si="300"/>
        <v>40000</v>
      </c>
      <c r="Y58" s="4">
        <f t="shared" si="300"/>
        <v>42000</v>
      </c>
      <c r="Z58" s="4">
        <f t="shared" si="300"/>
        <v>44000</v>
      </c>
      <c r="AA58" s="4">
        <f t="shared" si="300"/>
        <v>46000</v>
      </c>
      <c r="AB58" s="4">
        <f t="shared" si="300"/>
        <v>48000</v>
      </c>
      <c r="AC58" s="4">
        <f t="shared" si="300"/>
        <v>50000</v>
      </c>
      <c r="AD58" s="4">
        <f t="shared" si="300"/>
        <v>52000</v>
      </c>
      <c r="AE58" s="4">
        <f t="shared" si="300"/>
        <v>54000</v>
      </c>
      <c r="AF58" s="4">
        <f t="shared" si="300"/>
        <v>56000</v>
      </c>
      <c r="AG58" s="4">
        <f t="shared" si="300"/>
        <v>58000</v>
      </c>
      <c r="AH58" s="4">
        <f t="shared" si="300"/>
        <v>60000</v>
      </c>
      <c r="AI58" s="4">
        <f t="shared" si="300"/>
        <v>62000</v>
      </c>
      <c r="AJ58" s="4">
        <f t="shared" si="300"/>
        <v>64000</v>
      </c>
      <c r="AK58" s="4">
        <f t="shared" si="300"/>
        <v>66000</v>
      </c>
      <c r="AL58" s="4">
        <f t="shared" si="300"/>
        <v>68000</v>
      </c>
      <c r="AM58" s="4">
        <f t="shared" si="300"/>
        <v>70000</v>
      </c>
      <c r="AN58" s="4">
        <f t="shared" si="300"/>
        <v>72000</v>
      </c>
      <c r="AO58" s="4">
        <f t="shared" si="300"/>
        <v>74000</v>
      </c>
      <c r="AP58" s="4">
        <f t="shared" si="300"/>
        <v>76000</v>
      </c>
      <c r="AQ58" s="4">
        <f t="shared" si="300"/>
        <v>78000</v>
      </c>
      <c r="AR58" s="4">
        <f t="shared" si="300"/>
        <v>80000</v>
      </c>
      <c r="AS58" s="64"/>
      <c r="AT58" s="64"/>
      <c r="AU58" s="64"/>
    </row>
    <row r="59" spans="2:47">
      <c r="B59" t="s">
        <v>10</v>
      </c>
      <c r="C59" s="4">
        <f>(C57/1000)*C68</f>
        <v>15977.426760000002</v>
      </c>
      <c r="D59" s="4"/>
      <c r="E59" s="4">
        <f>(E57/1000)*E68</f>
        <v>900</v>
      </c>
      <c r="F59" s="4">
        <f>(F57/1000)*F68</f>
        <v>1800</v>
      </c>
      <c r="G59" s="4">
        <f>(G57/1000)*G68</f>
        <v>2700</v>
      </c>
      <c r="H59" s="4">
        <f>(H57/1000)*H68</f>
        <v>3600</v>
      </c>
      <c r="I59" s="4">
        <f t="shared" ref="I59:J59" si="301">(I57/1000)*I68</f>
        <v>4500</v>
      </c>
      <c r="J59" s="4">
        <f t="shared" si="301"/>
        <v>5400</v>
      </c>
      <c r="K59" s="4">
        <f t="shared" ref="K59" si="302">(K57/1000)*K68</f>
        <v>6300</v>
      </c>
      <c r="L59" s="4">
        <f t="shared" ref="L59:AR59" si="303">(L57/1000)*L68</f>
        <v>7200</v>
      </c>
      <c r="M59" s="4">
        <f t="shared" ref="M59:O59" si="304">(M57/1000)*M68</f>
        <v>8100</v>
      </c>
      <c r="N59" s="4">
        <f t="shared" si="304"/>
        <v>9000</v>
      </c>
      <c r="O59" s="4">
        <f t="shared" si="304"/>
        <v>9900</v>
      </c>
      <c r="P59" s="4">
        <f t="shared" si="303"/>
        <v>10800</v>
      </c>
      <c r="Q59" s="4">
        <f t="shared" ref="Q59:R59" si="305">(Q57/1000)*Q68</f>
        <v>11700</v>
      </c>
      <c r="R59" s="4">
        <f t="shared" si="305"/>
        <v>12600</v>
      </c>
      <c r="S59" s="4">
        <f t="shared" ref="S59" si="306">(S57/1000)*S68</f>
        <v>13500</v>
      </c>
      <c r="T59" s="4">
        <f t="shared" si="303"/>
        <v>14400</v>
      </c>
      <c r="U59" s="4">
        <f t="shared" ref="U59:W59" si="307">(U57/1000)*U68</f>
        <v>15300</v>
      </c>
      <c r="V59" s="4">
        <f t="shared" si="307"/>
        <v>16200</v>
      </c>
      <c r="W59" s="4">
        <f t="shared" si="307"/>
        <v>17100</v>
      </c>
      <c r="X59" s="4">
        <f t="shared" si="303"/>
        <v>18000</v>
      </c>
      <c r="Y59" s="4">
        <f t="shared" ref="Y59:AA59" si="308">(Y57/1000)*Y68</f>
        <v>18900</v>
      </c>
      <c r="Z59" s="4">
        <f t="shared" si="308"/>
        <v>19800</v>
      </c>
      <c r="AA59" s="4">
        <f t="shared" si="308"/>
        <v>20700</v>
      </c>
      <c r="AB59" s="4">
        <f t="shared" si="303"/>
        <v>21600</v>
      </c>
      <c r="AC59" s="4">
        <f t="shared" ref="AC59:AE59" si="309">(AC57/1000)*AC68</f>
        <v>22500</v>
      </c>
      <c r="AD59" s="4">
        <f t="shared" si="309"/>
        <v>23400</v>
      </c>
      <c r="AE59" s="4">
        <f t="shared" si="309"/>
        <v>24300</v>
      </c>
      <c r="AF59" s="4">
        <f t="shared" si="303"/>
        <v>25200</v>
      </c>
      <c r="AG59" s="4">
        <f t="shared" ref="AG59:AI59" si="310">(AG57/1000)*AG68</f>
        <v>26100</v>
      </c>
      <c r="AH59" s="4">
        <f t="shared" si="310"/>
        <v>27000</v>
      </c>
      <c r="AI59" s="4">
        <f t="shared" si="310"/>
        <v>27900</v>
      </c>
      <c r="AJ59" s="4">
        <f t="shared" si="303"/>
        <v>28800</v>
      </c>
      <c r="AK59" s="4">
        <f t="shared" ref="AK59:AM59" si="311">(AK57/1000)*AK68</f>
        <v>29700</v>
      </c>
      <c r="AL59" s="4">
        <f t="shared" si="311"/>
        <v>30600</v>
      </c>
      <c r="AM59" s="4">
        <f t="shared" si="311"/>
        <v>31500</v>
      </c>
      <c r="AN59" s="4">
        <f t="shared" si="303"/>
        <v>32400</v>
      </c>
      <c r="AO59" s="4">
        <f t="shared" ref="AO59:AQ59" si="312">(AO57/1000)*AO68</f>
        <v>33300</v>
      </c>
      <c r="AP59" s="4">
        <f t="shared" si="312"/>
        <v>34200</v>
      </c>
      <c r="AQ59" s="4">
        <f t="shared" si="312"/>
        <v>35100</v>
      </c>
      <c r="AR59" s="4">
        <f t="shared" si="303"/>
        <v>36000</v>
      </c>
      <c r="AS59" s="64"/>
      <c r="AT59" s="64"/>
      <c r="AU59" s="64"/>
    </row>
    <row r="60" spans="2:47">
      <c r="B60" t="s">
        <v>11</v>
      </c>
      <c r="C60" s="4">
        <f>'DATA ENTRY'!E10</f>
        <v>10000</v>
      </c>
      <c r="D60" s="4"/>
      <c r="E60" s="4"/>
      <c r="F60" s="4">
        <f>C60</f>
        <v>10000</v>
      </c>
      <c r="G60" s="4">
        <f t="shared" ref="G60:AR60" si="313">E60</f>
        <v>0</v>
      </c>
      <c r="H60" s="4">
        <f t="shared" si="313"/>
        <v>10000</v>
      </c>
      <c r="I60" s="4">
        <f t="shared" si="313"/>
        <v>0</v>
      </c>
      <c r="J60" s="4">
        <f t="shared" si="313"/>
        <v>10000</v>
      </c>
      <c r="K60" s="4">
        <f t="shared" si="313"/>
        <v>0</v>
      </c>
      <c r="L60" s="4">
        <f t="shared" si="313"/>
        <v>10000</v>
      </c>
      <c r="M60" s="4">
        <f t="shared" si="313"/>
        <v>0</v>
      </c>
      <c r="N60" s="4">
        <f t="shared" si="313"/>
        <v>10000</v>
      </c>
      <c r="O60" s="4">
        <f t="shared" si="313"/>
        <v>0</v>
      </c>
      <c r="P60" s="4">
        <f t="shared" si="313"/>
        <v>10000</v>
      </c>
      <c r="Q60" s="4">
        <f t="shared" si="313"/>
        <v>0</v>
      </c>
      <c r="R60" s="4">
        <f t="shared" si="313"/>
        <v>10000</v>
      </c>
      <c r="S60" s="4">
        <f t="shared" si="313"/>
        <v>0</v>
      </c>
      <c r="T60" s="4">
        <f t="shared" si="313"/>
        <v>10000</v>
      </c>
      <c r="U60" s="4">
        <f t="shared" si="313"/>
        <v>0</v>
      </c>
      <c r="V60" s="4">
        <f t="shared" si="313"/>
        <v>10000</v>
      </c>
      <c r="W60" s="4">
        <f t="shared" si="313"/>
        <v>0</v>
      </c>
      <c r="X60" s="4">
        <f t="shared" si="313"/>
        <v>10000</v>
      </c>
      <c r="Y60" s="4">
        <f t="shared" si="313"/>
        <v>0</v>
      </c>
      <c r="Z60" s="4">
        <f t="shared" si="313"/>
        <v>10000</v>
      </c>
      <c r="AA60" s="4">
        <f t="shared" si="313"/>
        <v>0</v>
      </c>
      <c r="AB60" s="4">
        <f t="shared" si="313"/>
        <v>10000</v>
      </c>
      <c r="AC60" s="4">
        <f t="shared" si="313"/>
        <v>0</v>
      </c>
      <c r="AD60" s="4">
        <f t="shared" si="313"/>
        <v>10000</v>
      </c>
      <c r="AE60" s="4">
        <f t="shared" si="313"/>
        <v>0</v>
      </c>
      <c r="AF60" s="4">
        <f t="shared" si="313"/>
        <v>10000</v>
      </c>
      <c r="AG60" s="4">
        <f t="shared" si="313"/>
        <v>0</v>
      </c>
      <c r="AH60" s="4">
        <f t="shared" si="313"/>
        <v>10000</v>
      </c>
      <c r="AI60" s="4">
        <f t="shared" si="313"/>
        <v>0</v>
      </c>
      <c r="AJ60" s="4">
        <f t="shared" si="313"/>
        <v>10000</v>
      </c>
      <c r="AK60" s="4">
        <f t="shared" si="313"/>
        <v>0</v>
      </c>
      <c r="AL60" s="4">
        <f t="shared" si="313"/>
        <v>10000</v>
      </c>
      <c r="AM60" s="4">
        <f t="shared" si="313"/>
        <v>0</v>
      </c>
      <c r="AN60" s="4">
        <f t="shared" si="313"/>
        <v>10000</v>
      </c>
      <c r="AO60" s="4">
        <f t="shared" si="313"/>
        <v>0</v>
      </c>
      <c r="AP60" s="4">
        <f t="shared" si="313"/>
        <v>10000</v>
      </c>
      <c r="AQ60" s="4">
        <f t="shared" si="313"/>
        <v>0</v>
      </c>
      <c r="AR60" s="4">
        <f t="shared" si="313"/>
        <v>10000</v>
      </c>
      <c r="AS60" s="64"/>
      <c r="AT60" s="64"/>
      <c r="AU60" s="64"/>
    </row>
    <row r="61" spans="2:47">
      <c r="B61" t="s">
        <v>12</v>
      </c>
      <c r="C61" s="4">
        <f>'DATA ENTRY'!E11</f>
        <v>300</v>
      </c>
      <c r="D61" s="4"/>
      <c r="E61" s="4"/>
      <c r="F61" s="4">
        <f>C61</f>
        <v>300</v>
      </c>
      <c r="G61" s="4">
        <f t="shared" ref="G61:AR61" si="314">E61</f>
        <v>0</v>
      </c>
      <c r="H61" s="4">
        <f t="shared" si="314"/>
        <v>300</v>
      </c>
      <c r="I61" s="4">
        <f t="shared" si="314"/>
        <v>0</v>
      </c>
      <c r="J61" s="4">
        <f t="shared" si="314"/>
        <v>300</v>
      </c>
      <c r="K61" s="4">
        <f t="shared" si="314"/>
        <v>0</v>
      </c>
      <c r="L61" s="4">
        <f t="shared" si="314"/>
        <v>300</v>
      </c>
      <c r="M61" s="4">
        <f t="shared" si="314"/>
        <v>0</v>
      </c>
      <c r="N61" s="4">
        <f t="shared" si="314"/>
        <v>300</v>
      </c>
      <c r="O61" s="4">
        <f t="shared" si="314"/>
        <v>0</v>
      </c>
      <c r="P61" s="4">
        <f t="shared" si="314"/>
        <v>300</v>
      </c>
      <c r="Q61" s="4">
        <f t="shared" si="314"/>
        <v>0</v>
      </c>
      <c r="R61" s="4">
        <f t="shared" si="314"/>
        <v>300</v>
      </c>
      <c r="S61" s="4">
        <f t="shared" si="314"/>
        <v>0</v>
      </c>
      <c r="T61" s="4">
        <f t="shared" si="314"/>
        <v>300</v>
      </c>
      <c r="U61" s="4">
        <f t="shared" si="314"/>
        <v>0</v>
      </c>
      <c r="V61" s="4">
        <f t="shared" si="314"/>
        <v>300</v>
      </c>
      <c r="W61" s="4">
        <f t="shared" si="314"/>
        <v>0</v>
      </c>
      <c r="X61" s="4">
        <f t="shared" si="314"/>
        <v>300</v>
      </c>
      <c r="Y61" s="4">
        <f t="shared" si="314"/>
        <v>0</v>
      </c>
      <c r="Z61" s="4">
        <f t="shared" si="314"/>
        <v>300</v>
      </c>
      <c r="AA61" s="4">
        <f t="shared" si="314"/>
        <v>0</v>
      </c>
      <c r="AB61" s="4">
        <f t="shared" si="314"/>
        <v>300</v>
      </c>
      <c r="AC61" s="4">
        <f t="shared" si="314"/>
        <v>0</v>
      </c>
      <c r="AD61" s="4">
        <f t="shared" si="314"/>
        <v>300</v>
      </c>
      <c r="AE61" s="4">
        <f t="shared" si="314"/>
        <v>0</v>
      </c>
      <c r="AF61" s="4">
        <f t="shared" si="314"/>
        <v>300</v>
      </c>
      <c r="AG61" s="4">
        <f t="shared" si="314"/>
        <v>0</v>
      </c>
      <c r="AH61" s="4">
        <f t="shared" si="314"/>
        <v>300</v>
      </c>
      <c r="AI61" s="4">
        <f t="shared" si="314"/>
        <v>0</v>
      </c>
      <c r="AJ61" s="4">
        <f t="shared" si="314"/>
        <v>300</v>
      </c>
      <c r="AK61" s="4">
        <f t="shared" si="314"/>
        <v>0</v>
      </c>
      <c r="AL61" s="4">
        <f t="shared" si="314"/>
        <v>300</v>
      </c>
      <c r="AM61" s="4">
        <f t="shared" si="314"/>
        <v>0</v>
      </c>
      <c r="AN61" s="4">
        <f t="shared" si="314"/>
        <v>300</v>
      </c>
      <c r="AO61" s="4">
        <f t="shared" si="314"/>
        <v>0</v>
      </c>
      <c r="AP61" s="4">
        <f t="shared" si="314"/>
        <v>300</v>
      </c>
      <c r="AQ61" s="4">
        <f t="shared" si="314"/>
        <v>0</v>
      </c>
      <c r="AR61" s="4">
        <f t="shared" si="314"/>
        <v>300</v>
      </c>
      <c r="AS61" s="64"/>
      <c r="AT61" s="64"/>
      <c r="AU61" s="64"/>
    </row>
    <row r="62" spans="2:47">
      <c r="B62" t="s">
        <v>13</v>
      </c>
      <c r="C62" s="4">
        <f>C67*C57*2</f>
        <v>7396.9568333333336</v>
      </c>
      <c r="D62" s="4"/>
      <c r="E62" s="4">
        <f>E67*E57*2</f>
        <v>416.66666666666669</v>
      </c>
      <c r="F62" s="4">
        <f t="shared" ref="F62:AR62" si="315">F67*F57*2</f>
        <v>833.33333333333337</v>
      </c>
      <c r="G62" s="4">
        <f t="shared" si="315"/>
        <v>1250</v>
      </c>
      <c r="H62" s="4">
        <f t="shared" si="315"/>
        <v>1666.6666666666667</v>
      </c>
      <c r="I62" s="4">
        <f t="shared" si="315"/>
        <v>2083.3333333333335</v>
      </c>
      <c r="J62" s="4">
        <f t="shared" si="315"/>
        <v>2500</v>
      </c>
      <c r="K62" s="4">
        <f t="shared" si="315"/>
        <v>2916.6666666666665</v>
      </c>
      <c r="L62" s="4">
        <f t="shared" si="315"/>
        <v>3333.3333333333335</v>
      </c>
      <c r="M62" s="4">
        <f t="shared" si="315"/>
        <v>3750</v>
      </c>
      <c r="N62" s="4">
        <f t="shared" si="315"/>
        <v>4166.666666666667</v>
      </c>
      <c r="O62" s="4">
        <f t="shared" si="315"/>
        <v>4583.333333333333</v>
      </c>
      <c r="P62" s="4">
        <f t="shared" si="315"/>
        <v>5000</v>
      </c>
      <c r="Q62" s="4">
        <f t="shared" si="315"/>
        <v>5416.666666666667</v>
      </c>
      <c r="R62" s="4">
        <f t="shared" si="315"/>
        <v>5833.333333333333</v>
      </c>
      <c r="S62" s="4">
        <f t="shared" si="315"/>
        <v>6250</v>
      </c>
      <c r="T62" s="4">
        <f t="shared" si="315"/>
        <v>6666.666666666667</v>
      </c>
      <c r="U62" s="4">
        <f t="shared" si="315"/>
        <v>7083.333333333333</v>
      </c>
      <c r="V62" s="4">
        <f t="shared" si="315"/>
        <v>7500</v>
      </c>
      <c r="W62" s="4">
        <f t="shared" si="315"/>
        <v>7916.666666666667</v>
      </c>
      <c r="X62" s="4">
        <f t="shared" si="315"/>
        <v>8333.3333333333339</v>
      </c>
      <c r="Y62" s="4">
        <f t="shared" si="315"/>
        <v>8750</v>
      </c>
      <c r="Z62" s="4">
        <f t="shared" si="315"/>
        <v>9166.6666666666661</v>
      </c>
      <c r="AA62" s="4">
        <f t="shared" si="315"/>
        <v>9583.3333333333339</v>
      </c>
      <c r="AB62" s="4">
        <f t="shared" si="315"/>
        <v>10000</v>
      </c>
      <c r="AC62" s="4">
        <f t="shared" si="315"/>
        <v>10416.666666666666</v>
      </c>
      <c r="AD62" s="4">
        <f t="shared" si="315"/>
        <v>10833.333333333334</v>
      </c>
      <c r="AE62" s="4">
        <f t="shared" si="315"/>
        <v>11250</v>
      </c>
      <c r="AF62" s="4">
        <f t="shared" si="315"/>
        <v>11666.666666666666</v>
      </c>
      <c r="AG62" s="4">
        <f t="shared" si="315"/>
        <v>12083.333333333334</v>
      </c>
      <c r="AH62" s="4">
        <f t="shared" si="315"/>
        <v>12500</v>
      </c>
      <c r="AI62" s="4">
        <f t="shared" si="315"/>
        <v>12916.666666666666</v>
      </c>
      <c r="AJ62" s="4">
        <f t="shared" si="315"/>
        <v>13333.333333333334</v>
      </c>
      <c r="AK62" s="4">
        <f t="shared" si="315"/>
        <v>13750</v>
      </c>
      <c r="AL62" s="4">
        <f t="shared" si="315"/>
        <v>14166.666666666666</v>
      </c>
      <c r="AM62" s="4">
        <f t="shared" si="315"/>
        <v>14583.333333333334</v>
      </c>
      <c r="AN62" s="4">
        <f t="shared" si="315"/>
        <v>15000</v>
      </c>
      <c r="AO62" s="4">
        <f t="shared" si="315"/>
        <v>15416.666666666666</v>
      </c>
      <c r="AP62" s="4">
        <f t="shared" si="315"/>
        <v>15833.333333333334</v>
      </c>
      <c r="AQ62" s="4">
        <f t="shared" si="315"/>
        <v>16250</v>
      </c>
      <c r="AR62" s="4">
        <f t="shared" si="315"/>
        <v>16666.666666666668</v>
      </c>
      <c r="AS62" s="64"/>
      <c r="AT62" s="64"/>
      <c r="AU62" s="64"/>
    </row>
    <row r="63" spans="2:47">
      <c r="B63" t="s">
        <v>28</v>
      </c>
      <c r="C63" s="4">
        <f>SUM(C57:C62)</f>
        <v>517435.36049333337</v>
      </c>
      <c r="D63" s="4"/>
      <c r="E63" s="4">
        <f>SUM(E57:E62)</f>
        <v>28316.666666666668</v>
      </c>
      <c r="F63" s="4">
        <f>SUM(F57:F62)</f>
        <v>66933.333333333328</v>
      </c>
      <c r="G63" s="4">
        <f>SUM(G57:G62)</f>
        <v>84950</v>
      </c>
      <c r="H63" s="4">
        <f>SUM(H57:H62)</f>
        <v>123566.66666666667</v>
      </c>
      <c r="I63" s="4">
        <f t="shared" ref="I63:J63" si="316">SUM(I57:I62)</f>
        <v>141583.33333333334</v>
      </c>
      <c r="J63" s="4">
        <f t="shared" si="316"/>
        <v>180200</v>
      </c>
      <c r="K63" s="4">
        <f t="shared" ref="K63" si="317">SUM(K57:K62)</f>
        <v>198216.66666666666</v>
      </c>
      <c r="L63" s="4">
        <f t="shared" ref="L63:AR63" si="318">SUM(L57:L62)</f>
        <v>236833.33333333334</v>
      </c>
      <c r="M63" s="4">
        <f t="shared" ref="M63:O63" si="319">SUM(M57:M62)</f>
        <v>254850</v>
      </c>
      <c r="N63" s="4">
        <f t="shared" si="319"/>
        <v>293466.66666666669</v>
      </c>
      <c r="O63" s="4">
        <f t="shared" si="319"/>
        <v>311483.33333333331</v>
      </c>
      <c r="P63" s="4">
        <f t="shared" si="318"/>
        <v>350100</v>
      </c>
      <c r="Q63" s="4">
        <f t="shared" ref="Q63:R63" si="320">SUM(Q57:Q62)</f>
        <v>368116.66666666669</v>
      </c>
      <c r="R63" s="4">
        <f t="shared" si="320"/>
        <v>406733.33333333331</v>
      </c>
      <c r="S63" s="4">
        <f t="shared" ref="S63" si="321">SUM(S57:S62)</f>
        <v>424750</v>
      </c>
      <c r="T63" s="4">
        <f t="shared" si="318"/>
        <v>463366.66666666669</v>
      </c>
      <c r="U63" s="4">
        <f t="shared" ref="U63:W63" si="322">SUM(U57:U62)</f>
        <v>481383.33333333331</v>
      </c>
      <c r="V63" s="4">
        <f t="shared" si="322"/>
        <v>520000</v>
      </c>
      <c r="W63" s="4">
        <f t="shared" si="322"/>
        <v>538016.66666666663</v>
      </c>
      <c r="X63" s="4">
        <f t="shared" si="318"/>
        <v>576633.33333333337</v>
      </c>
      <c r="Y63" s="4">
        <f t="shared" ref="Y63:AA63" si="323">SUM(Y57:Y62)</f>
        <v>594650</v>
      </c>
      <c r="Z63" s="4">
        <f t="shared" si="323"/>
        <v>633266.66666666663</v>
      </c>
      <c r="AA63" s="4">
        <f t="shared" si="323"/>
        <v>651283.33333333337</v>
      </c>
      <c r="AB63" s="4">
        <f t="shared" si="318"/>
        <v>689900</v>
      </c>
      <c r="AC63" s="4">
        <f t="shared" ref="AC63:AE63" si="324">SUM(AC57:AC62)</f>
        <v>707916.66666666663</v>
      </c>
      <c r="AD63" s="4">
        <f t="shared" si="324"/>
        <v>746533.33333333337</v>
      </c>
      <c r="AE63" s="4">
        <f t="shared" si="324"/>
        <v>764550</v>
      </c>
      <c r="AF63" s="4">
        <f t="shared" si="318"/>
        <v>803166.66666666663</v>
      </c>
      <c r="AG63" s="4">
        <f t="shared" ref="AG63:AI63" si="325">SUM(AG57:AG62)</f>
        <v>821183.33333333337</v>
      </c>
      <c r="AH63" s="4">
        <f t="shared" si="325"/>
        <v>859800</v>
      </c>
      <c r="AI63" s="4">
        <f t="shared" si="325"/>
        <v>877816.66666666663</v>
      </c>
      <c r="AJ63" s="4">
        <f t="shared" si="318"/>
        <v>916433.33333333337</v>
      </c>
      <c r="AK63" s="4">
        <f t="shared" ref="AK63:AM63" si="326">SUM(AK57:AK62)</f>
        <v>934450</v>
      </c>
      <c r="AL63" s="4">
        <f t="shared" si="326"/>
        <v>973066.66666666663</v>
      </c>
      <c r="AM63" s="4">
        <f t="shared" si="326"/>
        <v>991083.33333333337</v>
      </c>
      <c r="AN63" s="4">
        <f t="shared" si="318"/>
        <v>1029700</v>
      </c>
      <c r="AO63" s="4">
        <f t="shared" ref="AO63:AQ63" si="327">SUM(AO57:AO62)</f>
        <v>1047716.6666666666</v>
      </c>
      <c r="AP63" s="4">
        <f t="shared" si="327"/>
        <v>1086333.3333333333</v>
      </c>
      <c r="AQ63" s="4">
        <f t="shared" si="327"/>
        <v>1104350</v>
      </c>
      <c r="AR63" s="4">
        <f t="shared" si="318"/>
        <v>1142966.6666666667</v>
      </c>
      <c r="AS63" s="64"/>
      <c r="AT63" s="64"/>
      <c r="AU63" s="64"/>
    </row>
    <row r="64" spans="2:47">
      <c r="B64" s="62" t="s">
        <v>29</v>
      </c>
      <c r="C64" s="63">
        <v>0.1</v>
      </c>
      <c r="D64" s="63"/>
      <c r="E64" s="63">
        <f>C64</f>
        <v>0.1</v>
      </c>
      <c r="F64" s="63">
        <f>C64</f>
        <v>0.1</v>
      </c>
      <c r="G64" s="63">
        <f>F64</f>
        <v>0.1</v>
      </c>
      <c r="H64" s="63">
        <f t="shared" ref="H64:AR64" si="328">F64</f>
        <v>0.1</v>
      </c>
      <c r="I64" s="63">
        <f t="shared" si="328"/>
        <v>0.1</v>
      </c>
      <c r="J64" s="63">
        <f t="shared" si="328"/>
        <v>0.1</v>
      </c>
      <c r="K64" s="63">
        <f t="shared" si="328"/>
        <v>0.1</v>
      </c>
      <c r="L64" s="63">
        <f t="shared" si="328"/>
        <v>0.1</v>
      </c>
      <c r="M64" s="63">
        <f t="shared" si="328"/>
        <v>0.1</v>
      </c>
      <c r="N64" s="63">
        <f t="shared" si="328"/>
        <v>0.1</v>
      </c>
      <c r="O64" s="63">
        <f t="shared" si="328"/>
        <v>0.1</v>
      </c>
      <c r="P64" s="63">
        <f t="shared" si="328"/>
        <v>0.1</v>
      </c>
      <c r="Q64" s="63">
        <f t="shared" si="328"/>
        <v>0.1</v>
      </c>
      <c r="R64" s="63">
        <f t="shared" si="328"/>
        <v>0.1</v>
      </c>
      <c r="S64" s="63">
        <f t="shared" si="328"/>
        <v>0.1</v>
      </c>
      <c r="T64" s="63">
        <f t="shared" si="328"/>
        <v>0.1</v>
      </c>
      <c r="U64" s="63">
        <f t="shared" si="328"/>
        <v>0.1</v>
      </c>
      <c r="V64" s="63">
        <f t="shared" si="328"/>
        <v>0.1</v>
      </c>
      <c r="W64" s="63">
        <f t="shared" si="328"/>
        <v>0.1</v>
      </c>
      <c r="X64" s="63">
        <f t="shared" si="328"/>
        <v>0.1</v>
      </c>
      <c r="Y64" s="63">
        <f t="shared" si="328"/>
        <v>0.1</v>
      </c>
      <c r="Z64" s="63">
        <f t="shared" si="328"/>
        <v>0.1</v>
      </c>
      <c r="AA64" s="63">
        <f t="shared" si="328"/>
        <v>0.1</v>
      </c>
      <c r="AB64" s="63">
        <f t="shared" si="328"/>
        <v>0.1</v>
      </c>
      <c r="AC64" s="63">
        <f t="shared" si="328"/>
        <v>0.1</v>
      </c>
      <c r="AD64" s="63">
        <f t="shared" si="328"/>
        <v>0.1</v>
      </c>
      <c r="AE64" s="63">
        <f t="shared" si="328"/>
        <v>0.1</v>
      </c>
      <c r="AF64" s="63">
        <f t="shared" si="328"/>
        <v>0.1</v>
      </c>
      <c r="AG64" s="63">
        <f t="shared" si="328"/>
        <v>0.1</v>
      </c>
      <c r="AH64" s="63">
        <f t="shared" si="328"/>
        <v>0.1</v>
      </c>
      <c r="AI64" s="63">
        <f t="shared" si="328"/>
        <v>0.1</v>
      </c>
      <c r="AJ64" s="63">
        <f t="shared" si="328"/>
        <v>0.1</v>
      </c>
      <c r="AK64" s="63">
        <f t="shared" si="328"/>
        <v>0.1</v>
      </c>
      <c r="AL64" s="63">
        <f t="shared" si="328"/>
        <v>0.1</v>
      </c>
      <c r="AM64" s="63">
        <f t="shared" si="328"/>
        <v>0.1</v>
      </c>
      <c r="AN64" s="63">
        <f t="shared" si="328"/>
        <v>0.1</v>
      </c>
      <c r="AO64" s="63">
        <f t="shared" si="328"/>
        <v>0.1</v>
      </c>
      <c r="AP64" s="63">
        <f t="shared" si="328"/>
        <v>0.1</v>
      </c>
      <c r="AQ64" s="63">
        <f t="shared" si="328"/>
        <v>0.1</v>
      </c>
      <c r="AR64" s="63">
        <f t="shared" si="328"/>
        <v>0.1</v>
      </c>
      <c r="AS64" s="65"/>
      <c r="AT64" s="65"/>
      <c r="AU64" s="65"/>
    </row>
    <row r="65" spans="2:47">
      <c r="B65" s="56" t="s">
        <v>30</v>
      </c>
      <c r="C65" s="56">
        <f>(1+C64/C68)^C68-1</f>
        <v>0.10501771639529567</v>
      </c>
      <c r="D65" s="56"/>
      <c r="E65" s="56">
        <f>(1+E64/E68)^E68-1</f>
        <v>0.10501771639529567</v>
      </c>
      <c r="F65" s="56">
        <f>(1+F64/F68)^F68-1</f>
        <v>0.10501771639529567</v>
      </c>
      <c r="G65" s="56">
        <f>(1+G64/G68)^G68-1</f>
        <v>0.10501771639529567</v>
      </c>
      <c r="H65" s="56">
        <f t="shared" ref="H65:AR65" si="329">(1+H64/H68)^H68-1</f>
        <v>0.10501771639529567</v>
      </c>
      <c r="I65" s="56">
        <f t="shared" si="329"/>
        <v>0.10501771639529567</v>
      </c>
      <c r="J65" s="56">
        <f t="shared" si="329"/>
        <v>0.10501771639529567</v>
      </c>
      <c r="K65" s="56">
        <f t="shared" si="329"/>
        <v>0.10501771639529567</v>
      </c>
      <c r="L65" s="56">
        <f t="shared" si="329"/>
        <v>0.10501771639529567</v>
      </c>
      <c r="M65" s="56">
        <f t="shared" si="329"/>
        <v>0.10501771639529567</v>
      </c>
      <c r="N65" s="56">
        <f t="shared" si="329"/>
        <v>0.10501771639529567</v>
      </c>
      <c r="O65" s="56">
        <f t="shared" si="329"/>
        <v>0.10501771639529567</v>
      </c>
      <c r="P65" s="56">
        <f t="shared" si="329"/>
        <v>0.10501771639529567</v>
      </c>
      <c r="Q65" s="56">
        <f t="shared" si="329"/>
        <v>0.10501771639529567</v>
      </c>
      <c r="R65" s="56">
        <f t="shared" si="329"/>
        <v>0.10501771639529567</v>
      </c>
      <c r="S65" s="56">
        <f t="shared" si="329"/>
        <v>0.10501771639529567</v>
      </c>
      <c r="T65" s="56">
        <f t="shared" si="329"/>
        <v>0.10501771639529567</v>
      </c>
      <c r="U65" s="56">
        <f t="shared" si="329"/>
        <v>0.10501771639529567</v>
      </c>
      <c r="V65" s="56">
        <f t="shared" si="329"/>
        <v>0.10501771639529567</v>
      </c>
      <c r="W65" s="56">
        <f t="shared" si="329"/>
        <v>0.10501771639529567</v>
      </c>
      <c r="X65" s="56">
        <f t="shared" si="329"/>
        <v>0.10501771639529567</v>
      </c>
      <c r="Y65" s="56">
        <f t="shared" si="329"/>
        <v>0.10501771639529567</v>
      </c>
      <c r="Z65" s="56">
        <f t="shared" si="329"/>
        <v>0.10501771639529567</v>
      </c>
      <c r="AA65" s="56">
        <f t="shared" si="329"/>
        <v>0.10501771639529567</v>
      </c>
      <c r="AB65" s="56">
        <f t="shared" si="329"/>
        <v>0.10501771639529567</v>
      </c>
      <c r="AC65" s="56">
        <f t="shared" si="329"/>
        <v>0.10501771639529567</v>
      </c>
      <c r="AD65" s="56">
        <f t="shared" si="329"/>
        <v>0.10501771639529567</v>
      </c>
      <c r="AE65" s="56">
        <f t="shared" si="329"/>
        <v>0.10501771639529567</v>
      </c>
      <c r="AF65" s="56">
        <f t="shared" si="329"/>
        <v>0.10501771639529567</v>
      </c>
      <c r="AG65" s="56">
        <f t="shared" si="329"/>
        <v>0.10501771639529567</v>
      </c>
      <c r="AH65" s="56">
        <f t="shared" si="329"/>
        <v>0.10501771639529567</v>
      </c>
      <c r="AI65" s="56">
        <f t="shared" si="329"/>
        <v>0.10501771639529567</v>
      </c>
      <c r="AJ65" s="56">
        <f t="shared" si="329"/>
        <v>0.10501771639529567</v>
      </c>
      <c r="AK65" s="56">
        <f t="shared" si="329"/>
        <v>0.10501771639529567</v>
      </c>
      <c r="AL65" s="56">
        <f t="shared" si="329"/>
        <v>0.10501771639529567</v>
      </c>
      <c r="AM65" s="56">
        <f t="shared" si="329"/>
        <v>0.10501771639529567</v>
      </c>
      <c r="AN65" s="56">
        <f t="shared" si="329"/>
        <v>0.10501771639529567</v>
      </c>
      <c r="AO65" s="56">
        <f t="shared" si="329"/>
        <v>0.10501771639529567</v>
      </c>
      <c r="AP65" s="56">
        <f t="shared" si="329"/>
        <v>0.10501771639529567</v>
      </c>
      <c r="AQ65" s="56">
        <f t="shared" si="329"/>
        <v>0.10501771639529567</v>
      </c>
      <c r="AR65" s="66">
        <f t="shared" si="329"/>
        <v>0.10501771639529567</v>
      </c>
      <c r="AS65" s="67"/>
      <c r="AT65" s="67"/>
      <c r="AU65" s="67"/>
    </row>
    <row r="66" spans="2:47">
      <c r="B66" t="s">
        <v>31</v>
      </c>
      <c r="C66" s="57">
        <v>3</v>
      </c>
      <c r="D66" s="57"/>
      <c r="E66" s="57">
        <v>3</v>
      </c>
      <c r="F66" s="57">
        <v>3</v>
      </c>
      <c r="G66" s="57">
        <v>3</v>
      </c>
      <c r="H66" s="57">
        <v>3</v>
      </c>
      <c r="I66" s="57">
        <v>3</v>
      </c>
      <c r="J66" s="57">
        <v>3</v>
      </c>
      <c r="K66" s="57">
        <v>3</v>
      </c>
      <c r="L66" s="57">
        <f>H66</f>
        <v>3</v>
      </c>
      <c r="M66" s="57">
        <f>I66</f>
        <v>3</v>
      </c>
      <c r="N66" s="57">
        <f>K66</f>
        <v>3</v>
      </c>
      <c r="O66" s="57">
        <f t="shared" ref="O66:AR66" si="330">K66</f>
        <v>3</v>
      </c>
      <c r="P66" s="57">
        <f t="shared" si="330"/>
        <v>3</v>
      </c>
      <c r="Q66" s="57">
        <f t="shared" si="330"/>
        <v>3</v>
      </c>
      <c r="R66" s="57">
        <f t="shared" si="330"/>
        <v>3</v>
      </c>
      <c r="S66" s="57">
        <f t="shared" si="330"/>
        <v>3</v>
      </c>
      <c r="T66" s="57">
        <f t="shared" si="330"/>
        <v>3</v>
      </c>
      <c r="U66" s="57">
        <f t="shared" si="330"/>
        <v>3</v>
      </c>
      <c r="V66" s="57">
        <f t="shared" si="330"/>
        <v>3</v>
      </c>
      <c r="W66" s="57">
        <f t="shared" si="330"/>
        <v>3</v>
      </c>
      <c r="X66" s="57">
        <f t="shared" si="330"/>
        <v>3</v>
      </c>
      <c r="Y66" s="57">
        <f t="shared" si="330"/>
        <v>3</v>
      </c>
      <c r="Z66" s="57">
        <f t="shared" si="330"/>
        <v>3</v>
      </c>
      <c r="AA66" s="57">
        <f t="shared" si="330"/>
        <v>3</v>
      </c>
      <c r="AB66" s="57">
        <f t="shared" si="330"/>
        <v>3</v>
      </c>
      <c r="AC66" s="57">
        <f t="shared" si="330"/>
        <v>3</v>
      </c>
      <c r="AD66" s="57">
        <f t="shared" si="330"/>
        <v>3</v>
      </c>
      <c r="AE66" s="57">
        <f t="shared" si="330"/>
        <v>3</v>
      </c>
      <c r="AF66" s="57">
        <f t="shared" si="330"/>
        <v>3</v>
      </c>
      <c r="AG66" s="57">
        <f t="shared" si="330"/>
        <v>3</v>
      </c>
      <c r="AH66" s="57">
        <f t="shared" si="330"/>
        <v>3</v>
      </c>
      <c r="AI66" s="57">
        <f t="shared" si="330"/>
        <v>3</v>
      </c>
      <c r="AJ66" s="57">
        <f t="shared" si="330"/>
        <v>3</v>
      </c>
      <c r="AK66" s="57">
        <f t="shared" si="330"/>
        <v>3</v>
      </c>
      <c r="AL66" s="57">
        <f t="shared" si="330"/>
        <v>3</v>
      </c>
      <c r="AM66" s="57">
        <f t="shared" si="330"/>
        <v>3</v>
      </c>
      <c r="AN66" s="57">
        <f t="shared" si="330"/>
        <v>3</v>
      </c>
      <c r="AO66" s="57">
        <f t="shared" si="330"/>
        <v>3</v>
      </c>
      <c r="AP66" s="57">
        <f t="shared" si="330"/>
        <v>3</v>
      </c>
      <c r="AQ66" s="57">
        <f t="shared" si="330"/>
        <v>3</v>
      </c>
      <c r="AR66" s="57">
        <f t="shared" si="330"/>
        <v>3</v>
      </c>
      <c r="AS66" s="68"/>
      <c r="AT66" s="68"/>
      <c r="AU66" s="68"/>
    </row>
    <row r="67" spans="2:47">
      <c r="B67" t="s">
        <v>32</v>
      </c>
      <c r="C67" s="7">
        <f>C64/12</f>
        <v>8.3333333333333332E-3</v>
      </c>
      <c r="D67" s="7"/>
      <c r="E67" s="7">
        <f>E64/12</f>
        <v>8.3333333333333332E-3</v>
      </c>
      <c r="F67" s="7">
        <f>F64/12</f>
        <v>8.3333333333333332E-3</v>
      </c>
      <c r="G67" s="7">
        <f>G64/12</f>
        <v>8.3333333333333332E-3</v>
      </c>
      <c r="H67" s="7">
        <f>H64/12</f>
        <v>8.3333333333333332E-3</v>
      </c>
      <c r="I67" s="7">
        <f t="shared" ref="I67:J67" si="331">I64/12</f>
        <v>8.3333333333333332E-3</v>
      </c>
      <c r="J67" s="7">
        <f t="shared" si="331"/>
        <v>8.3333333333333332E-3</v>
      </c>
      <c r="K67" s="7">
        <f t="shared" ref="K67" si="332">K64/12</f>
        <v>8.3333333333333332E-3</v>
      </c>
      <c r="L67" s="7">
        <f t="shared" ref="L67:AR67" si="333">L64/12</f>
        <v>8.3333333333333332E-3</v>
      </c>
      <c r="M67" s="7">
        <f t="shared" ref="M67:O67" si="334">M64/12</f>
        <v>8.3333333333333332E-3</v>
      </c>
      <c r="N67" s="7">
        <f t="shared" si="334"/>
        <v>8.3333333333333332E-3</v>
      </c>
      <c r="O67" s="7">
        <f t="shared" si="334"/>
        <v>8.3333333333333332E-3</v>
      </c>
      <c r="P67" s="7">
        <f t="shared" si="333"/>
        <v>8.3333333333333332E-3</v>
      </c>
      <c r="Q67" s="7">
        <f t="shared" ref="Q67:R67" si="335">Q64/12</f>
        <v>8.3333333333333332E-3</v>
      </c>
      <c r="R67" s="7">
        <f t="shared" si="335"/>
        <v>8.3333333333333332E-3</v>
      </c>
      <c r="S67" s="7">
        <f t="shared" ref="S67" si="336">S64/12</f>
        <v>8.3333333333333332E-3</v>
      </c>
      <c r="T67" s="7">
        <f t="shared" si="333"/>
        <v>8.3333333333333332E-3</v>
      </c>
      <c r="U67" s="7">
        <f t="shared" ref="U67:W67" si="337">U64/12</f>
        <v>8.3333333333333332E-3</v>
      </c>
      <c r="V67" s="7">
        <f t="shared" si="337"/>
        <v>8.3333333333333332E-3</v>
      </c>
      <c r="W67" s="7">
        <f t="shared" si="337"/>
        <v>8.3333333333333332E-3</v>
      </c>
      <c r="X67" s="7">
        <f t="shared" si="333"/>
        <v>8.3333333333333332E-3</v>
      </c>
      <c r="Y67" s="7">
        <f t="shared" ref="Y67:AA67" si="338">Y64/12</f>
        <v>8.3333333333333332E-3</v>
      </c>
      <c r="Z67" s="7">
        <f t="shared" si="338"/>
        <v>8.3333333333333332E-3</v>
      </c>
      <c r="AA67" s="7">
        <f t="shared" si="338"/>
        <v>8.3333333333333332E-3</v>
      </c>
      <c r="AB67" s="7">
        <f t="shared" si="333"/>
        <v>8.3333333333333332E-3</v>
      </c>
      <c r="AC67" s="7">
        <f t="shared" ref="AC67:AE67" si="339">AC64/12</f>
        <v>8.3333333333333332E-3</v>
      </c>
      <c r="AD67" s="7">
        <f t="shared" si="339"/>
        <v>8.3333333333333332E-3</v>
      </c>
      <c r="AE67" s="7">
        <f t="shared" si="339"/>
        <v>8.3333333333333332E-3</v>
      </c>
      <c r="AF67" s="7">
        <f t="shared" si="333"/>
        <v>8.3333333333333332E-3</v>
      </c>
      <c r="AG67" s="7">
        <f t="shared" ref="AG67:AI67" si="340">AG64/12</f>
        <v>8.3333333333333332E-3</v>
      </c>
      <c r="AH67" s="7">
        <f t="shared" si="340"/>
        <v>8.3333333333333332E-3</v>
      </c>
      <c r="AI67" s="7">
        <f t="shared" si="340"/>
        <v>8.3333333333333332E-3</v>
      </c>
      <c r="AJ67" s="7">
        <f t="shared" si="333"/>
        <v>8.3333333333333332E-3</v>
      </c>
      <c r="AK67" s="7">
        <f t="shared" ref="AK67:AM67" si="341">AK64/12</f>
        <v>8.3333333333333332E-3</v>
      </c>
      <c r="AL67" s="7">
        <f t="shared" si="341"/>
        <v>8.3333333333333332E-3</v>
      </c>
      <c r="AM67" s="7">
        <f t="shared" si="341"/>
        <v>8.3333333333333332E-3</v>
      </c>
      <c r="AN67" s="7">
        <f t="shared" si="333"/>
        <v>8.3333333333333332E-3</v>
      </c>
      <c r="AO67" s="7">
        <f t="shared" ref="AO67:AQ67" si="342">AO64/12</f>
        <v>8.3333333333333332E-3</v>
      </c>
      <c r="AP67" s="7">
        <f t="shared" si="342"/>
        <v>8.3333333333333332E-3</v>
      </c>
      <c r="AQ67" s="7">
        <f t="shared" si="342"/>
        <v>8.3333333333333332E-3</v>
      </c>
      <c r="AR67" s="7">
        <f t="shared" si="333"/>
        <v>8.3333333333333332E-3</v>
      </c>
      <c r="AS67" s="28"/>
      <c r="AT67" s="28"/>
      <c r="AU67" s="28"/>
    </row>
    <row r="68" spans="2:47">
      <c r="B68" t="s">
        <v>33</v>
      </c>
      <c r="C68" s="57">
        <f>C66*12</f>
        <v>36</v>
      </c>
      <c r="D68" s="57"/>
      <c r="E68" s="57">
        <f>E66*12</f>
        <v>36</v>
      </c>
      <c r="F68" s="57">
        <f>F66*12</f>
        <v>36</v>
      </c>
      <c r="G68" s="57">
        <f>G66*12</f>
        <v>36</v>
      </c>
      <c r="H68" s="57">
        <f>H66*12</f>
        <v>36</v>
      </c>
      <c r="I68" s="57">
        <f t="shared" ref="I68:J68" si="343">I66*12</f>
        <v>36</v>
      </c>
      <c r="J68" s="57">
        <f t="shared" si="343"/>
        <v>36</v>
      </c>
      <c r="K68" s="57">
        <f t="shared" ref="K68" si="344">K66*12</f>
        <v>36</v>
      </c>
      <c r="L68" s="57">
        <f t="shared" ref="L68:AR68" si="345">L66*12</f>
        <v>36</v>
      </c>
      <c r="M68" s="57">
        <f t="shared" ref="M68:O68" si="346">M66*12</f>
        <v>36</v>
      </c>
      <c r="N68" s="57">
        <f t="shared" si="346"/>
        <v>36</v>
      </c>
      <c r="O68" s="57">
        <f t="shared" si="346"/>
        <v>36</v>
      </c>
      <c r="P68" s="57">
        <f t="shared" si="345"/>
        <v>36</v>
      </c>
      <c r="Q68" s="57">
        <f t="shared" ref="Q68:R68" si="347">Q66*12</f>
        <v>36</v>
      </c>
      <c r="R68" s="57">
        <f t="shared" si="347"/>
        <v>36</v>
      </c>
      <c r="S68" s="57">
        <f t="shared" ref="S68" si="348">S66*12</f>
        <v>36</v>
      </c>
      <c r="T68" s="57">
        <f t="shared" si="345"/>
        <v>36</v>
      </c>
      <c r="U68" s="57">
        <f t="shared" ref="U68:W68" si="349">U66*12</f>
        <v>36</v>
      </c>
      <c r="V68" s="57">
        <f t="shared" si="349"/>
        <v>36</v>
      </c>
      <c r="W68" s="57">
        <f t="shared" si="349"/>
        <v>36</v>
      </c>
      <c r="X68" s="57">
        <f t="shared" si="345"/>
        <v>36</v>
      </c>
      <c r="Y68" s="57">
        <f t="shared" ref="Y68:AA68" si="350">Y66*12</f>
        <v>36</v>
      </c>
      <c r="Z68" s="57">
        <f t="shared" si="350"/>
        <v>36</v>
      </c>
      <c r="AA68" s="57">
        <f t="shared" si="350"/>
        <v>36</v>
      </c>
      <c r="AB68" s="57">
        <f t="shared" si="345"/>
        <v>36</v>
      </c>
      <c r="AC68" s="57">
        <f t="shared" ref="AC68:AE68" si="351">AC66*12</f>
        <v>36</v>
      </c>
      <c r="AD68" s="57">
        <f t="shared" si="351"/>
        <v>36</v>
      </c>
      <c r="AE68" s="57">
        <f t="shared" si="351"/>
        <v>36</v>
      </c>
      <c r="AF68" s="57">
        <f t="shared" si="345"/>
        <v>36</v>
      </c>
      <c r="AG68" s="57">
        <f t="shared" ref="AG68:AI68" si="352">AG66*12</f>
        <v>36</v>
      </c>
      <c r="AH68" s="57">
        <f t="shared" si="352"/>
        <v>36</v>
      </c>
      <c r="AI68" s="57">
        <f t="shared" si="352"/>
        <v>36</v>
      </c>
      <c r="AJ68" s="57">
        <f t="shared" si="345"/>
        <v>36</v>
      </c>
      <c r="AK68" s="57">
        <f t="shared" ref="AK68:AM68" si="353">AK66*12</f>
        <v>36</v>
      </c>
      <c r="AL68" s="57">
        <f t="shared" si="353"/>
        <v>36</v>
      </c>
      <c r="AM68" s="57">
        <f t="shared" si="353"/>
        <v>36</v>
      </c>
      <c r="AN68" s="57">
        <f t="shared" si="345"/>
        <v>36</v>
      </c>
      <c r="AO68" s="57">
        <f t="shared" ref="AO68:AQ68" si="354">AO66*12</f>
        <v>36</v>
      </c>
      <c r="AP68" s="57">
        <f t="shared" si="354"/>
        <v>36</v>
      </c>
      <c r="AQ68" s="57">
        <f t="shared" si="354"/>
        <v>36</v>
      </c>
      <c r="AR68" s="57">
        <f t="shared" si="345"/>
        <v>36</v>
      </c>
      <c r="AS68" s="68"/>
      <c r="AT68" s="68"/>
      <c r="AU68" s="68"/>
    </row>
    <row r="69" spans="2:47">
      <c r="C69" s="4"/>
      <c r="D69" s="4"/>
      <c r="E69" s="4"/>
      <c r="F69" s="4"/>
      <c r="G69" s="4"/>
      <c r="H69" s="4"/>
      <c r="I69" s="4"/>
      <c r="J69" s="4"/>
      <c r="K69" s="4"/>
      <c r="L69" s="4"/>
      <c r="M69" s="4"/>
      <c r="AB69" s="4"/>
      <c r="AC69" s="4"/>
      <c r="AD69" s="4"/>
      <c r="AE69" s="4"/>
      <c r="AF69" s="4"/>
      <c r="AG69" s="4"/>
      <c r="AH69" s="4"/>
      <c r="AI69" s="4"/>
      <c r="AJ69" s="4"/>
      <c r="AK69" s="4"/>
      <c r="AL69" s="4"/>
      <c r="AM69" s="4"/>
      <c r="AN69" s="4"/>
      <c r="AO69" s="4"/>
      <c r="AP69" s="4"/>
      <c r="AQ69" s="4"/>
      <c r="AR69" s="4"/>
      <c r="AS69" s="64"/>
      <c r="AT69" s="64"/>
      <c r="AU69" s="64"/>
    </row>
    <row r="70" spans="2:47">
      <c r="B70" t="s">
        <v>17</v>
      </c>
      <c r="C70" s="59">
        <f>(1+C67)^C68</f>
        <v>1.3481818424188268</v>
      </c>
      <c r="D70" s="59"/>
      <c r="E70" s="59">
        <f>(1+E67)^E68</f>
        <v>1.3481818424188268</v>
      </c>
      <c r="F70" s="59">
        <f>(1+F67)^F68</f>
        <v>1.3481818424188268</v>
      </c>
      <c r="G70" s="59">
        <f>(1+G67)^G68</f>
        <v>1.3481818424188268</v>
      </c>
      <c r="H70" s="59">
        <f>(1+H67)^H68</f>
        <v>1.3481818424188268</v>
      </c>
      <c r="I70" s="59">
        <f t="shared" ref="I70:J70" si="355">(1+I67)^I68</f>
        <v>1.3481818424188268</v>
      </c>
      <c r="J70" s="59">
        <f t="shared" si="355"/>
        <v>1.3481818424188268</v>
      </c>
      <c r="K70" s="59">
        <f t="shared" ref="K70" si="356">(1+K67)^K68</f>
        <v>1.3481818424188268</v>
      </c>
      <c r="L70" s="59">
        <f t="shared" ref="L70:AR70" si="357">(1+L67)^L68</f>
        <v>1.3481818424188268</v>
      </c>
      <c r="M70" s="59">
        <f t="shared" ref="M70:O70" si="358">(1+M67)^M68</f>
        <v>1.3481818424188268</v>
      </c>
      <c r="N70" s="59">
        <f t="shared" si="358"/>
        <v>1.3481818424188268</v>
      </c>
      <c r="O70" s="59">
        <f t="shared" si="358"/>
        <v>1.3481818424188268</v>
      </c>
      <c r="P70" s="59">
        <f t="shared" si="357"/>
        <v>1.3481818424188268</v>
      </c>
      <c r="Q70" s="59">
        <f t="shared" ref="Q70:R70" si="359">(1+Q67)^Q68</f>
        <v>1.3481818424188268</v>
      </c>
      <c r="R70" s="59">
        <f t="shared" si="359"/>
        <v>1.3481818424188268</v>
      </c>
      <c r="S70" s="59">
        <f t="shared" ref="S70" si="360">(1+S67)^S68</f>
        <v>1.3481818424188268</v>
      </c>
      <c r="T70" s="59">
        <f t="shared" si="357"/>
        <v>1.3481818424188268</v>
      </c>
      <c r="U70" s="59">
        <f t="shared" ref="U70:W70" si="361">(1+U67)^U68</f>
        <v>1.3481818424188268</v>
      </c>
      <c r="V70" s="59">
        <f t="shared" si="361"/>
        <v>1.3481818424188268</v>
      </c>
      <c r="W70" s="59">
        <f t="shared" si="361"/>
        <v>1.3481818424188268</v>
      </c>
      <c r="X70" s="59">
        <f t="shared" si="357"/>
        <v>1.3481818424188268</v>
      </c>
      <c r="Y70" s="59">
        <f t="shared" ref="Y70:AA70" si="362">(1+Y67)^Y68</f>
        <v>1.3481818424188268</v>
      </c>
      <c r="Z70" s="59">
        <f t="shared" si="362"/>
        <v>1.3481818424188268</v>
      </c>
      <c r="AA70" s="59">
        <f t="shared" si="362"/>
        <v>1.3481818424188268</v>
      </c>
      <c r="AB70" s="59">
        <f t="shared" si="357"/>
        <v>1.3481818424188268</v>
      </c>
      <c r="AC70" s="59">
        <f t="shared" ref="AC70:AE70" si="363">(1+AC67)^AC68</f>
        <v>1.3481818424188268</v>
      </c>
      <c r="AD70" s="59">
        <f t="shared" si="363"/>
        <v>1.3481818424188268</v>
      </c>
      <c r="AE70" s="59">
        <f t="shared" si="363"/>
        <v>1.3481818424188268</v>
      </c>
      <c r="AF70" s="59">
        <f t="shared" si="357"/>
        <v>1.3481818424188268</v>
      </c>
      <c r="AG70" s="59">
        <f t="shared" ref="AG70:AI70" si="364">(1+AG67)^AG68</f>
        <v>1.3481818424188268</v>
      </c>
      <c r="AH70" s="59">
        <f t="shared" si="364"/>
        <v>1.3481818424188268</v>
      </c>
      <c r="AI70" s="59">
        <f t="shared" si="364"/>
        <v>1.3481818424188268</v>
      </c>
      <c r="AJ70" s="59">
        <f t="shared" si="357"/>
        <v>1.3481818424188268</v>
      </c>
      <c r="AK70" s="59">
        <f t="shared" ref="AK70:AM70" si="365">(1+AK67)^AK68</f>
        <v>1.3481818424188268</v>
      </c>
      <c r="AL70" s="59">
        <f t="shared" si="365"/>
        <v>1.3481818424188268</v>
      </c>
      <c r="AM70" s="59">
        <f t="shared" si="365"/>
        <v>1.3481818424188268</v>
      </c>
      <c r="AN70" s="59">
        <f t="shared" si="357"/>
        <v>1.3481818424188268</v>
      </c>
      <c r="AO70" s="59">
        <f t="shared" ref="AO70:AQ70" si="366">(1+AO67)^AO68</f>
        <v>1.3481818424188268</v>
      </c>
      <c r="AP70" s="59">
        <f t="shared" si="366"/>
        <v>1.3481818424188268</v>
      </c>
      <c r="AQ70" s="59">
        <f t="shared" si="366"/>
        <v>1.3481818424188268</v>
      </c>
      <c r="AR70" s="59">
        <f t="shared" si="357"/>
        <v>1.3481818424188268</v>
      </c>
      <c r="AS70" s="69"/>
      <c r="AT70" s="69"/>
      <c r="AU70" s="69"/>
    </row>
    <row r="71" spans="2:47">
      <c r="C71" s="60">
        <f>C70*C67</f>
        <v>1.1234848686823557E-2</v>
      </c>
      <c r="D71" s="60"/>
      <c r="E71" s="60">
        <f>E70*E67</f>
        <v>1.1234848686823557E-2</v>
      </c>
      <c r="F71" s="60">
        <f>F70*F67</f>
        <v>1.1234848686823557E-2</v>
      </c>
      <c r="G71" s="60">
        <f>G70*G67</f>
        <v>1.1234848686823557E-2</v>
      </c>
      <c r="H71" s="60">
        <f>H70*H67</f>
        <v>1.1234848686823557E-2</v>
      </c>
      <c r="I71" s="60">
        <f t="shared" ref="I71:J71" si="367">I70*I67</f>
        <v>1.1234848686823557E-2</v>
      </c>
      <c r="J71" s="60">
        <f t="shared" si="367"/>
        <v>1.1234848686823557E-2</v>
      </c>
      <c r="K71" s="60">
        <f t="shared" ref="K71" si="368">K70*K67</f>
        <v>1.1234848686823557E-2</v>
      </c>
      <c r="L71" s="60">
        <f t="shared" ref="L71:AR71" si="369">L70*L67</f>
        <v>1.1234848686823557E-2</v>
      </c>
      <c r="M71" s="60">
        <f t="shared" ref="M71:O71" si="370">M70*M67</f>
        <v>1.1234848686823557E-2</v>
      </c>
      <c r="N71" s="60">
        <f t="shared" si="370"/>
        <v>1.1234848686823557E-2</v>
      </c>
      <c r="O71" s="60">
        <f t="shared" si="370"/>
        <v>1.1234848686823557E-2</v>
      </c>
      <c r="P71" s="60">
        <f t="shared" si="369"/>
        <v>1.1234848686823557E-2</v>
      </c>
      <c r="Q71" s="60">
        <f t="shared" ref="Q71:R71" si="371">Q70*Q67</f>
        <v>1.1234848686823557E-2</v>
      </c>
      <c r="R71" s="60">
        <f t="shared" si="371"/>
        <v>1.1234848686823557E-2</v>
      </c>
      <c r="S71" s="60">
        <f t="shared" ref="S71" si="372">S70*S67</f>
        <v>1.1234848686823557E-2</v>
      </c>
      <c r="T71" s="60">
        <f t="shared" si="369"/>
        <v>1.1234848686823557E-2</v>
      </c>
      <c r="U71" s="60">
        <f t="shared" ref="U71:W71" si="373">U70*U67</f>
        <v>1.1234848686823557E-2</v>
      </c>
      <c r="V71" s="60">
        <f t="shared" si="373"/>
        <v>1.1234848686823557E-2</v>
      </c>
      <c r="W71" s="60">
        <f t="shared" si="373"/>
        <v>1.1234848686823557E-2</v>
      </c>
      <c r="X71" s="60">
        <f t="shared" si="369"/>
        <v>1.1234848686823557E-2</v>
      </c>
      <c r="Y71" s="60">
        <f t="shared" ref="Y71:AA71" si="374">Y70*Y67</f>
        <v>1.1234848686823557E-2</v>
      </c>
      <c r="Z71" s="60">
        <f t="shared" si="374"/>
        <v>1.1234848686823557E-2</v>
      </c>
      <c r="AA71" s="60">
        <f t="shared" si="374"/>
        <v>1.1234848686823557E-2</v>
      </c>
      <c r="AB71" s="60">
        <f t="shared" si="369"/>
        <v>1.1234848686823557E-2</v>
      </c>
      <c r="AC71" s="60">
        <f t="shared" ref="AC71:AE71" si="375">AC70*AC67</f>
        <v>1.1234848686823557E-2</v>
      </c>
      <c r="AD71" s="60">
        <f t="shared" si="375"/>
        <v>1.1234848686823557E-2</v>
      </c>
      <c r="AE71" s="60">
        <f t="shared" si="375"/>
        <v>1.1234848686823557E-2</v>
      </c>
      <c r="AF71" s="60">
        <f t="shared" si="369"/>
        <v>1.1234848686823557E-2</v>
      </c>
      <c r="AG71" s="60">
        <f t="shared" ref="AG71:AI71" si="376">AG70*AG67</f>
        <v>1.1234848686823557E-2</v>
      </c>
      <c r="AH71" s="60">
        <f t="shared" si="376"/>
        <v>1.1234848686823557E-2</v>
      </c>
      <c r="AI71" s="60">
        <f t="shared" si="376"/>
        <v>1.1234848686823557E-2</v>
      </c>
      <c r="AJ71" s="60">
        <f t="shared" si="369"/>
        <v>1.1234848686823557E-2</v>
      </c>
      <c r="AK71" s="60">
        <f t="shared" ref="AK71:AM71" si="377">AK70*AK67</f>
        <v>1.1234848686823557E-2</v>
      </c>
      <c r="AL71" s="60">
        <f t="shared" si="377"/>
        <v>1.1234848686823557E-2</v>
      </c>
      <c r="AM71" s="60">
        <f t="shared" si="377"/>
        <v>1.1234848686823557E-2</v>
      </c>
      <c r="AN71" s="60">
        <f t="shared" si="369"/>
        <v>1.1234848686823557E-2</v>
      </c>
      <c r="AO71" s="60">
        <f t="shared" ref="AO71:AQ71" si="378">AO70*AO67</f>
        <v>1.1234848686823557E-2</v>
      </c>
      <c r="AP71" s="60">
        <f t="shared" si="378"/>
        <v>1.1234848686823557E-2</v>
      </c>
      <c r="AQ71" s="60">
        <f t="shared" si="378"/>
        <v>1.1234848686823557E-2</v>
      </c>
      <c r="AR71" s="60">
        <f t="shared" si="369"/>
        <v>1.1234848686823557E-2</v>
      </c>
      <c r="AS71" s="70"/>
      <c r="AT71" s="70"/>
      <c r="AU71" s="70"/>
    </row>
    <row r="72" spans="2:47">
      <c r="C72" s="61">
        <f>C70-1</f>
        <v>0.34818184241882677</v>
      </c>
      <c r="D72" s="61"/>
      <c r="E72" s="61">
        <f>E70-1</f>
        <v>0.34818184241882677</v>
      </c>
      <c r="F72" s="61">
        <f>F70-1</f>
        <v>0.34818184241882677</v>
      </c>
      <c r="G72" s="61">
        <f>G70-1</f>
        <v>0.34818184241882677</v>
      </c>
      <c r="H72" s="61">
        <f>H70-1</f>
        <v>0.34818184241882677</v>
      </c>
      <c r="I72" s="61">
        <f t="shared" ref="I72:J72" si="379">I70-1</f>
        <v>0.34818184241882677</v>
      </c>
      <c r="J72" s="61">
        <f t="shared" si="379"/>
        <v>0.34818184241882677</v>
      </c>
      <c r="K72" s="61">
        <f t="shared" ref="K72" si="380">K70-1</f>
        <v>0.34818184241882677</v>
      </c>
      <c r="L72" s="61">
        <f t="shared" ref="L72:AR72" si="381">L70-1</f>
        <v>0.34818184241882677</v>
      </c>
      <c r="M72" s="61">
        <f t="shared" ref="M72:O72" si="382">M70-1</f>
        <v>0.34818184241882677</v>
      </c>
      <c r="N72" s="61">
        <f t="shared" si="382"/>
        <v>0.34818184241882677</v>
      </c>
      <c r="O72" s="61">
        <f t="shared" si="382"/>
        <v>0.34818184241882677</v>
      </c>
      <c r="P72" s="61">
        <f t="shared" si="381"/>
        <v>0.34818184241882677</v>
      </c>
      <c r="Q72" s="61">
        <f t="shared" ref="Q72:R72" si="383">Q70-1</f>
        <v>0.34818184241882677</v>
      </c>
      <c r="R72" s="61">
        <f t="shared" si="383"/>
        <v>0.34818184241882677</v>
      </c>
      <c r="S72" s="61">
        <f t="shared" ref="S72" si="384">S70-1</f>
        <v>0.34818184241882677</v>
      </c>
      <c r="T72" s="61">
        <f t="shared" si="381"/>
        <v>0.34818184241882677</v>
      </c>
      <c r="U72" s="61">
        <f t="shared" ref="U72:W72" si="385">U70-1</f>
        <v>0.34818184241882677</v>
      </c>
      <c r="V72" s="61">
        <f t="shared" si="385"/>
        <v>0.34818184241882677</v>
      </c>
      <c r="W72" s="61">
        <f t="shared" si="385"/>
        <v>0.34818184241882677</v>
      </c>
      <c r="X72" s="61">
        <f t="shared" si="381"/>
        <v>0.34818184241882677</v>
      </c>
      <c r="Y72" s="61">
        <f t="shared" ref="Y72:AA72" si="386">Y70-1</f>
        <v>0.34818184241882677</v>
      </c>
      <c r="Z72" s="61">
        <f t="shared" si="386"/>
        <v>0.34818184241882677</v>
      </c>
      <c r="AA72" s="61">
        <f t="shared" si="386"/>
        <v>0.34818184241882677</v>
      </c>
      <c r="AB72" s="61">
        <f t="shared" si="381"/>
        <v>0.34818184241882677</v>
      </c>
      <c r="AC72" s="61">
        <f t="shared" ref="AC72:AE72" si="387">AC70-1</f>
        <v>0.34818184241882677</v>
      </c>
      <c r="AD72" s="61">
        <f t="shared" si="387"/>
        <v>0.34818184241882677</v>
      </c>
      <c r="AE72" s="61">
        <f t="shared" si="387"/>
        <v>0.34818184241882677</v>
      </c>
      <c r="AF72" s="61">
        <f t="shared" si="381"/>
        <v>0.34818184241882677</v>
      </c>
      <c r="AG72" s="61">
        <f t="shared" ref="AG72:AI72" si="388">AG70-1</f>
        <v>0.34818184241882677</v>
      </c>
      <c r="AH72" s="61">
        <f t="shared" si="388"/>
        <v>0.34818184241882677</v>
      </c>
      <c r="AI72" s="61">
        <f t="shared" si="388"/>
        <v>0.34818184241882677</v>
      </c>
      <c r="AJ72" s="61">
        <f t="shared" si="381"/>
        <v>0.34818184241882677</v>
      </c>
      <c r="AK72" s="61">
        <f t="shared" ref="AK72:AM72" si="389">AK70-1</f>
        <v>0.34818184241882677</v>
      </c>
      <c r="AL72" s="61">
        <f t="shared" si="389"/>
        <v>0.34818184241882677</v>
      </c>
      <c r="AM72" s="61">
        <f t="shared" si="389"/>
        <v>0.34818184241882677</v>
      </c>
      <c r="AN72" s="61">
        <f t="shared" si="381"/>
        <v>0.34818184241882677</v>
      </c>
      <c r="AO72" s="61">
        <f t="shared" ref="AO72:AQ72" si="390">AO70-1</f>
        <v>0.34818184241882677</v>
      </c>
      <c r="AP72" s="61">
        <f t="shared" si="390"/>
        <v>0.34818184241882677</v>
      </c>
      <c r="AQ72" s="61">
        <f t="shared" si="390"/>
        <v>0.34818184241882677</v>
      </c>
      <c r="AR72" s="61">
        <f t="shared" si="381"/>
        <v>0.34818184241882677</v>
      </c>
      <c r="AS72" s="71"/>
      <c r="AT72" s="71"/>
      <c r="AU72" s="71"/>
    </row>
    <row r="73" spans="2:47">
      <c r="C73" s="61">
        <f>C71/C72</f>
        <v>3.2267187193837622E-2</v>
      </c>
      <c r="D73" s="61"/>
      <c r="E73" s="61">
        <f>E71/E72</f>
        <v>3.2267187193837622E-2</v>
      </c>
      <c r="F73" s="61">
        <f>F71/F72</f>
        <v>3.2267187193837622E-2</v>
      </c>
      <c r="G73" s="61">
        <f>G71/G72</f>
        <v>3.2267187193837622E-2</v>
      </c>
      <c r="H73" s="61">
        <f>H71/H72</f>
        <v>3.2267187193837622E-2</v>
      </c>
      <c r="I73" s="61">
        <f t="shared" ref="I73:J73" si="391">I71/I72</f>
        <v>3.2267187193837622E-2</v>
      </c>
      <c r="J73" s="61">
        <f t="shared" si="391"/>
        <v>3.2267187193837622E-2</v>
      </c>
      <c r="K73" s="61">
        <f t="shared" ref="K73" si="392">K71/K72</f>
        <v>3.2267187193837622E-2</v>
      </c>
      <c r="L73" s="61">
        <f t="shared" ref="L73:AR73" si="393">L71/L72</f>
        <v>3.2267187193837622E-2</v>
      </c>
      <c r="M73" s="61">
        <f t="shared" ref="M73:O73" si="394">M71/M72</f>
        <v>3.2267187193837622E-2</v>
      </c>
      <c r="N73" s="61">
        <f t="shared" si="394"/>
        <v>3.2267187193837622E-2</v>
      </c>
      <c r="O73" s="61">
        <f t="shared" si="394"/>
        <v>3.2267187193837622E-2</v>
      </c>
      <c r="P73" s="61">
        <f t="shared" si="393"/>
        <v>3.2267187193837622E-2</v>
      </c>
      <c r="Q73" s="61">
        <f t="shared" ref="Q73:R73" si="395">Q71/Q72</f>
        <v>3.2267187193837622E-2</v>
      </c>
      <c r="R73" s="61">
        <f t="shared" si="395"/>
        <v>3.2267187193837622E-2</v>
      </c>
      <c r="S73" s="61">
        <f t="shared" ref="S73" si="396">S71/S72</f>
        <v>3.2267187193837622E-2</v>
      </c>
      <c r="T73" s="61">
        <f t="shared" si="393"/>
        <v>3.2267187193837622E-2</v>
      </c>
      <c r="U73" s="61">
        <f t="shared" ref="U73:W73" si="397">U71/U72</f>
        <v>3.2267187193837622E-2</v>
      </c>
      <c r="V73" s="61">
        <f t="shared" si="397"/>
        <v>3.2267187193837622E-2</v>
      </c>
      <c r="W73" s="61">
        <f t="shared" si="397"/>
        <v>3.2267187193837622E-2</v>
      </c>
      <c r="X73" s="61">
        <f t="shared" si="393"/>
        <v>3.2267187193837622E-2</v>
      </c>
      <c r="Y73" s="61">
        <f t="shared" ref="Y73:AA73" si="398">Y71/Y72</f>
        <v>3.2267187193837622E-2</v>
      </c>
      <c r="Z73" s="61">
        <f t="shared" si="398"/>
        <v>3.2267187193837622E-2</v>
      </c>
      <c r="AA73" s="61">
        <f t="shared" si="398"/>
        <v>3.2267187193837622E-2</v>
      </c>
      <c r="AB73" s="61">
        <f t="shared" si="393"/>
        <v>3.2267187193837622E-2</v>
      </c>
      <c r="AC73" s="61">
        <f t="shared" ref="AC73:AE73" si="399">AC71/AC72</f>
        <v>3.2267187193837622E-2</v>
      </c>
      <c r="AD73" s="61">
        <f t="shared" si="399"/>
        <v>3.2267187193837622E-2</v>
      </c>
      <c r="AE73" s="61">
        <f t="shared" si="399"/>
        <v>3.2267187193837622E-2</v>
      </c>
      <c r="AF73" s="61">
        <f t="shared" si="393"/>
        <v>3.2267187193837622E-2</v>
      </c>
      <c r="AG73" s="61">
        <f t="shared" ref="AG73:AI73" si="400">AG71/AG72</f>
        <v>3.2267187193837622E-2</v>
      </c>
      <c r="AH73" s="61">
        <f t="shared" si="400"/>
        <v>3.2267187193837622E-2</v>
      </c>
      <c r="AI73" s="61">
        <f t="shared" si="400"/>
        <v>3.2267187193837622E-2</v>
      </c>
      <c r="AJ73" s="61">
        <f t="shared" si="393"/>
        <v>3.2267187193837622E-2</v>
      </c>
      <c r="AK73" s="61">
        <f t="shared" ref="AK73:AM73" si="401">AK71/AK72</f>
        <v>3.2267187193837622E-2</v>
      </c>
      <c r="AL73" s="61">
        <f t="shared" si="401"/>
        <v>3.2267187193837622E-2</v>
      </c>
      <c r="AM73" s="61">
        <f t="shared" si="401"/>
        <v>3.2267187193837622E-2</v>
      </c>
      <c r="AN73" s="61">
        <f t="shared" si="393"/>
        <v>3.2267187193837622E-2</v>
      </c>
      <c r="AO73" s="61">
        <f t="shared" ref="AO73:AQ73" si="402">AO71/AO72</f>
        <v>3.2267187193837622E-2</v>
      </c>
      <c r="AP73" s="61">
        <f t="shared" si="402"/>
        <v>3.2267187193837622E-2</v>
      </c>
      <c r="AQ73" s="61">
        <f t="shared" si="402"/>
        <v>3.2267187193837622E-2</v>
      </c>
      <c r="AR73" s="61">
        <f t="shared" si="393"/>
        <v>3.2267187193837622E-2</v>
      </c>
      <c r="AS73" s="71"/>
      <c r="AT73" s="71"/>
      <c r="AU73" s="71"/>
    </row>
    <row r="74" spans="2:47" s="51" customFormat="1">
      <c r="B74" s="51" t="s">
        <v>17</v>
      </c>
      <c r="C74" s="54">
        <f>C73*C63</f>
        <v>16696.18363774924</v>
      </c>
      <c r="D74" s="54"/>
      <c r="E74" s="54">
        <f>E73*E63</f>
        <v>913.69918403883537</v>
      </c>
      <c r="F74" s="54">
        <f>F73*F63</f>
        <v>2159.7503961741982</v>
      </c>
      <c r="G74" s="54">
        <f>G73*G63</f>
        <v>2741.097552116506</v>
      </c>
      <c r="H74" s="54">
        <f>H73*H63</f>
        <v>3987.1487642518691</v>
      </c>
      <c r="I74" s="54">
        <f t="shared" ref="I74:J74" si="403">I73*I63</f>
        <v>4568.4959201941774</v>
      </c>
      <c r="J74" s="54">
        <f t="shared" si="403"/>
        <v>5814.5471323295396</v>
      </c>
      <c r="K74" s="54">
        <f t="shared" ref="K74" si="404">K73*K63</f>
        <v>6395.8942882718475</v>
      </c>
      <c r="L74" s="54">
        <f t="shared" ref="L74:AR74" si="405">L73*L63</f>
        <v>7641.9455004072106</v>
      </c>
      <c r="M74" s="54">
        <f t="shared" ref="M74:O74" si="406">M73*M63</f>
        <v>8223.2926563495184</v>
      </c>
      <c r="N74" s="54">
        <f t="shared" si="406"/>
        <v>9469.3438684848807</v>
      </c>
      <c r="O74" s="54">
        <f t="shared" si="406"/>
        <v>10050.691024427188</v>
      </c>
      <c r="P74" s="54">
        <f t="shared" si="405"/>
        <v>11296.742236562552</v>
      </c>
      <c r="Q74" s="54">
        <f t="shared" ref="Q74:R74" si="407">Q73*Q63</f>
        <v>11878.08939250486</v>
      </c>
      <c r="R74" s="54">
        <f t="shared" si="407"/>
        <v>13124.140604640221</v>
      </c>
      <c r="S74" s="54">
        <f t="shared" ref="S74" si="408">S73*S63</f>
        <v>13705.48776058253</v>
      </c>
      <c r="T74" s="54">
        <f t="shared" si="405"/>
        <v>14951.538972717894</v>
      </c>
      <c r="U74" s="54">
        <f t="shared" ref="U74:W74" si="409">U73*U63</f>
        <v>15532.8861286602</v>
      </c>
      <c r="V74" s="54">
        <f t="shared" si="409"/>
        <v>16778.937340795565</v>
      </c>
      <c r="W74" s="54">
        <f t="shared" si="409"/>
        <v>17360.28449673787</v>
      </c>
      <c r="X74" s="54">
        <f t="shared" si="405"/>
        <v>18606.335708873237</v>
      </c>
      <c r="Y74" s="54">
        <f t="shared" ref="Y74:AA74" si="410">Y73*Y63</f>
        <v>19187.682864815542</v>
      </c>
      <c r="Z74" s="54">
        <f t="shared" si="410"/>
        <v>20433.734076950903</v>
      </c>
      <c r="AA74" s="54">
        <f t="shared" si="410"/>
        <v>21015.081232893215</v>
      </c>
      <c r="AB74" s="54">
        <f t="shared" si="405"/>
        <v>22261.132445028576</v>
      </c>
      <c r="AC74" s="54">
        <f t="shared" ref="AC74:AE74" si="411">AC73*AC63</f>
        <v>22842.479600970881</v>
      </c>
      <c r="AD74" s="54">
        <f t="shared" si="411"/>
        <v>24088.530813106248</v>
      </c>
      <c r="AE74" s="54">
        <f t="shared" si="411"/>
        <v>24669.877969048553</v>
      </c>
      <c r="AF74" s="54">
        <f t="shared" si="405"/>
        <v>25915.929181183918</v>
      </c>
      <c r="AG74" s="54">
        <f t="shared" ref="AG74:AI74" si="412">AG73*AG63</f>
        <v>26497.276337126226</v>
      </c>
      <c r="AH74" s="54">
        <f t="shared" si="412"/>
        <v>27743.327549261587</v>
      </c>
      <c r="AI74" s="54">
        <f t="shared" si="412"/>
        <v>28324.674705203895</v>
      </c>
      <c r="AJ74" s="54">
        <f t="shared" si="405"/>
        <v>29570.725917339259</v>
      </c>
      <c r="AK74" s="54">
        <f t="shared" ref="AK74:AM74" si="413">AK73*AK63</f>
        <v>30152.073073281565</v>
      </c>
      <c r="AL74" s="54">
        <f t="shared" si="413"/>
        <v>31398.124285416929</v>
      </c>
      <c r="AM74" s="54">
        <f t="shared" si="413"/>
        <v>31979.471441359237</v>
      </c>
      <c r="AN74" s="54">
        <f t="shared" si="405"/>
        <v>33225.522653494598</v>
      </c>
      <c r="AO74" s="54">
        <f t="shared" ref="AO74:AQ74" si="414">AO73*AO63</f>
        <v>33806.869809436903</v>
      </c>
      <c r="AP74" s="54">
        <f t="shared" si="414"/>
        <v>35052.921021572271</v>
      </c>
      <c r="AQ74" s="54">
        <f t="shared" si="414"/>
        <v>35634.268177514576</v>
      </c>
      <c r="AR74" s="54">
        <f t="shared" si="405"/>
        <v>36880.319389649943</v>
      </c>
      <c r="AS74" s="64"/>
      <c r="AT74" s="64"/>
      <c r="AU74" s="64"/>
    </row>
    <row r="75" spans="2:47">
      <c r="C75" s="4"/>
      <c r="D75" s="4"/>
      <c r="E75" s="4"/>
      <c r="F75" s="4"/>
      <c r="G75" s="4"/>
      <c r="H75" s="4"/>
      <c r="I75" s="4"/>
      <c r="J75" s="4"/>
      <c r="K75" s="4"/>
      <c r="L75" s="4"/>
      <c r="M75" s="4"/>
      <c r="AB75" s="4"/>
      <c r="AC75" s="4"/>
      <c r="AD75" s="4"/>
      <c r="AE75" s="4"/>
      <c r="AF75" s="4"/>
      <c r="AG75" s="4"/>
      <c r="AH75" s="4"/>
      <c r="AI75" s="4"/>
      <c r="AJ75" s="4"/>
      <c r="AK75" s="4"/>
      <c r="AL75" s="4"/>
      <c r="AM75" s="4"/>
      <c r="AN75" s="4"/>
      <c r="AO75" s="4"/>
      <c r="AP75" s="4"/>
      <c r="AQ75" s="4"/>
      <c r="AR75" s="4"/>
      <c r="AS75" s="64"/>
      <c r="AT75" s="64"/>
      <c r="AU75" s="64"/>
    </row>
    <row r="76" spans="2:47">
      <c r="B76" t="s">
        <v>34</v>
      </c>
      <c r="C76" s="4">
        <f>C56-C57</f>
        <v>157245.20095897256</v>
      </c>
      <c r="D76" s="4"/>
      <c r="E76" s="4">
        <f>E56-E57</f>
        <v>7893.1706253980738</v>
      </c>
      <c r="F76" s="4">
        <f>F56-F57</f>
        <v>27751.014262271128</v>
      </c>
      <c r="G76" s="4">
        <f>G56-G57</f>
        <v>23679.511876194214</v>
      </c>
      <c r="H76" s="4">
        <f>H56-H57</f>
        <v>43537.355513067276</v>
      </c>
      <c r="I76" s="4">
        <f t="shared" ref="I76:J76" si="415">I56-I57</f>
        <v>39465.853126990376</v>
      </c>
      <c r="J76" s="4">
        <f t="shared" si="415"/>
        <v>59323.696763863438</v>
      </c>
      <c r="K76" s="4">
        <f t="shared" ref="K76" si="416">K56-K57</f>
        <v>55252.194377786509</v>
      </c>
      <c r="L76" s="4">
        <f t="shared" ref="L76:AR76" si="417">L56-L57</f>
        <v>75110.0380146596</v>
      </c>
      <c r="M76" s="4">
        <f t="shared" ref="M76:O76" si="418">M56-M57</f>
        <v>71038.535628582642</v>
      </c>
      <c r="N76" s="4">
        <f t="shared" si="418"/>
        <v>90896.379265455704</v>
      </c>
      <c r="O76" s="4">
        <f t="shared" si="418"/>
        <v>86824.876879378746</v>
      </c>
      <c r="P76" s="4">
        <f t="shared" si="417"/>
        <v>106682.72051625187</v>
      </c>
      <c r="Q76" s="4">
        <f t="shared" ref="Q76:R76" si="419">Q56-Q57</f>
        <v>102611.21813017497</v>
      </c>
      <c r="R76" s="4">
        <f t="shared" si="419"/>
        <v>122469.06176704797</v>
      </c>
      <c r="S76" s="4">
        <f t="shared" ref="S76" si="420">S56-S57</f>
        <v>118397.55938097107</v>
      </c>
      <c r="T76" s="4">
        <f t="shared" si="417"/>
        <v>138255.40301784419</v>
      </c>
      <c r="U76" s="4">
        <f t="shared" ref="U76:W76" si="421">U56-U57</f>
        <v>134183.90063176723</v>
      </c>
      <c r="V76" s="4">
        <f t="shared" si="421"/>
        <v>154041.74426864029</v>
      </c>
      <c r="W76" s="4">
        <f t="shared" si="421"/>
        <v>149970.24188256334</v>
      </c>
      <c r="X76" s="4">
        <f t="shared" si="417"/>
        <v>169828.08551943651</v>
      </c>
      <c r="Y76" s="4">
        <f t="shared" ref="Y76:AA76" si="422">Y56-Y57</f>
        <v>165756.58313335956</v>
      </c>
      <c r="Z76" s="4">
        <f t="shared" si="422"/>
        <v>185614.4267702325</v>
      </c>
      <c r="AA76" s="4">
        <f t="shared" si="422"/>
        <v>181542.92438415578</v>
      </c>
      <c r="AB76" s="4">
        <f t="shared" si="417"/>
        <v>201400.76802102872</v>
      </c>
      <c r="AC76" s="4">
        <f t="shared" ref="AC76:AE76" si="423">AC56-AC57</f>
        <v>197329.26563495165</v>
      </c>
      <c r="AD76" s="4">
        <f t="shared" si="423"/>
        <v>217187.10927182494</v>
      </c>
      <c r="AE76" s="4">
        <f t="shared" si="423"/>
        <v>213115.60688574798</v>
      </c>
      <c r="AF76" s="4">
        <f t="shared" si="417"/>
        <v>232973.45052262105</v>
      </c>
      <c r="AG76" s="4">
        <f t="shared" ref="AG76:AI76" si="424">AG56-AG57</f>
        <v>228901.94813654409</v>
      </c>
      <c r="AH76" s="4">
        <f t="shared" si="424"/>
        <v>248759.79177341715</v>
      </c>
      <c r="AI76" s="4">
        <f t="shared" si="424"/>
        <v>244688.28938734019</v>
      </c>
      <c r="AJ76" s="4">
        <f t="shared" si="417"/>
        <v>264546.13302421337</v>
      </c>
      <c r="AK76" s="4">
        <f t="shared" ref="AK76:AM76" si="425">AK56-AK57</f>
        <v>260474.6306381363</v>
      </c>
      <c r="AL76" s="4">
        <f t="shared" si="425"/>
        <v>280332.47427500947</v>
      </c>
      <c r="AM76" s="4">
        <f t="shared" si="425"/>
        <v>276260.97188893263</v>
      </c>
      <c r="AN76" s="4">
        <f t="shared" si="417"/>
        <v>296118.81552580558</v>
      </c>
      <c r="AO76" s="4">
        <f t="shared" ref="AO76:AQ76" si="426">AO56-AO57</f>
        <v>292047.3131397285</v>
      </c>
      <c r="AP76" s="4">
        <f t="shared" si="426"/>
        <v>311905.15677660168</v>
      </c>
      <c r="AQ76" s="4">
        <f t="shared" si="426"/>
        <v>307833.65439052461</v>
      </c>
      <c r="AR76" s="4">
        <f t="shared" si="417"/>
        <v>327691.49802739802</v>
      </c>
      <c r="AS76" s="64"/>
      <c r="AT76" s="64"/>
      <c r="AU76" s="64"/>
    </row>
    <row r="77" spans="2:47">
      <c r="B77" t="s">
        <v>35</v>
      </c>
      <c r="C77" s="7">
        <f>C76/C56</f>
        <v>0.26161201527423877</v>
      </c>
      <c r="D77" s="7"/>
      <c r="E77" s="7">
        <f>E76/E56</f>
        <v>0.23996381240619763</v>
      </c>
      <c r="F77" s="7">
        <f>F76/F56</f>
        <v>0.35692157234966615</v>
      </c>
      <c r="G77" s="7">
        <f>G76/G56</f>
        <v>0.23996381240619757</v>
      </c>
      <c r="H77" s="7">
        <f>H76/H56</f>
        <v>0.30331724698037749</v>
      </c>
      <c r="I77" s="7">
        <f t="shared" ref="I77:J77" si="427">I76/I56</f>
        <v>0.23996381240619766</v>
      </c>
      <c r="J77" s="7">
        <f t="shared" si="427"/>
        <v>0.28340650237410087</v>
      </c>
      <c r="K77" s="7">
        <f t="shared" ref="K77" si="428">K76/K56</f>
        <v>0.2399638124061976</v>
      </c>
      <c r="L77" s="7">
        <f t="shared" ref="L77:AR77" si="429">L76/L56</f>
        <v>0.27301816595531592</v>
      </c>
      <c r="M77" s="7">
        <f t="shared" ref="M77:O77" si="430">M76/M56</f>
        <v>0.23996381240619757</v>
      </c>
      <c r="N77" s="7">
        <f t="shared" si="430"/>
        <v>0.26663932148916952</v>
      </c>
      <c r="O77" s="7">
        <f t="shared" si="430"/>
        <v>0.23996381240619749</v>
      </c>
      <c r="P77" s="7">
        <f t="shared" si="429"/>
        <v>0.26232420295808612</v>
      </c>
      <c r="Q77" s="7">
        <f t="shared" ref="Q77:R77" si="431">Q76/Q56</f>
        <v>0.23996381240619763</v>
      </c>
      <c r="R77" s="7">
        <f t="shared" si="431"/>
        <v>0.25921075405236088</v>
      </c>
      <c r="S77" s="7">
        <f t="shared" ref="S77" si="432">S76/S56</f>
        <v>0.23996381240619757</v>
      </c>
      <c r="T77" s="7">
        <f t="shared" si="429"/>
        <v>0.25685836545752383</v>
      </c>
      <c r="U77" s="7">
        <f t="shared" ref="U77:W77" si="433">U76/U56</f>
        <v>0.2399638124061976</v>
      </c>
      <c r="V77" s="7">
        <f t="shared" si="433"/>
        <v>0.25501837535276717</v>
      </c>
      <c r="W77" s="7">
        <f t="shared" si="433"/>
        <v>0.23996381240619755</v>
      </c>
      <c r="X77" s="7">
        <f t="shared" si="429"/>
        <v>0.25353980997637426</v>
      </c>
      <c r="Y77" s="7">
        <f t="shared" ref="Y77:AA77" si="434">Y76/Y56</f>
        <v>0.23996381240619763</v>
      </c>
      <c r="Z77" s="7">
        <f t="shared" si="434"/>
        <v>0.25232570218230471</v>
      </c>
      <c r="AA77" s="7">
        <f t="shared" si="434"/>
        <v>0.23996381240619771</v>
      </c>
      <c r="AB77" s="7">
        <f t="shared" si="429"/>
        <v>0.25131092464306692</v>
      </c>
      <c r="AC77" s="7">
        <f t="shared" ref="AC77:AE77" si="435">AC76/AC56</f>
        <v>0.23996381240619744</v>
      </c>
      <c r="AD77" s="7">
        <f t="shared" si="435"/>
        <v>0.25045011272618717</v>
      </c>
      <c r="AE77" s="7">
        <f t="shared" si="435"/>
        <v>0.23996381240619763</v>
      </c>
      <c r="AF77" s="7">
        <f t="shared" si="429"/>
        <v>0.24971069690366535</v>
      </c>
      <c r="AG77" s="7">
        <f t="shared" ref="AG77:AI77" si="436">AG76/AG56</f>
        <v>0.2399638124061976</v>
      </c>
      <c r="AH77" s="7">
        <f t="shared" si="436"/>
        <v>0.24906868881026384</v>
      </c>
      <c r="AI77" s="7">
        <f t="shared" si="436"/>
        <v>0.23996381240619755</v>
      </c>
      <c r="AJ77" s="7">
        <f t="shared" si="429"/>
        <v>0.24850602976939865</v>
      </c>
      <c r="AK77" s="7">
        <f t="shared" ref="AK77:AM77" si="437">AK76/AK56</f>
        <v>0.23996381240619755</v>
      </c>
      <c r="AL77" s="7">
        <f t="shared" si="437"/>
        <v>0.24800886522774068</v>
      </c>
      <c r="AM77" s="7">
        <f t="shared" si="437"/>
        <v>0.23996381240619766</v>
      </c>
      <c r="AN77" s="7">
        <f t="shared" si="429"/>
        <v>0.24756638862472352</v>
      </c>
      <c r="AO77" s="7">
        <f t="shared" ref="AO77:AQ77" si="438">AO76/AO56</f>
        <v>0.23996381240619749</v>
      </c>
      <c r="AP77" s="7">
        <f t="shared" si="438"/>
        <v>0.24717004689427627</v>
      </c>
      <c r="AQ77" s="7">
        <f t="shared" si="438"/>
        <v>0.23996381240619746</v>
      </c>
      <c r="AR77" s="7">
        <f t="shared" si="429"/>
        <v>0.24681298216811798</v>
      </c>
      <c r="AS77" s="28"/>
      <c r="AT77" s="28"/>
      <c r="AU77" s="28"/>
    </row>
    <row r="81" spans="2:47" ht="21">
      <c r="B81" s="53" t="s">
        <v>2</v>
      </c>
    </row>
    <row r="82" spans="2:47">
      <c r="B82" t="s">
        <v>25</v>
      </c>
      <c r="C82" s="4">
        <f>C100*C94</f>
        <v>127991.37285891263</v>
      </c>
      <c r="D82" s="4"/>
      <c r="E82" s="4">
        <f>E100*E94</f>
        <v>30623.857246873235</v>
      </c>
      <c r="F82" s="4">
        <f>F100*F94</f>
        <v>66743.658365166179</v>
      </c>
      <c r="G82" s="4">
        <f>G100*G94</f>
        <v>91871.571740619693</v>
      </c>
      <c r="H82" s="4">
        <f>H100*H94</f>
        <v>127991.37285891263</v>
      </c>
      <c r="I82" s="4">
        <f t="shared" ref="I82:J82" si="439">I100*I94</f>
        <v>153119.28623436615</v>
      </c>
      <c r="J82" s="4">
        <f t="shared" si="439"/>
        <v>189239.08735265909</v>
      </c>
      <c r="K82" s="4">
        <f t="shared" ref="K82" si="440">K100*K94</f>
        <v>214367.00072811265</v>
      </c>
      <c r="L82" s="4">
        <f t="shared" ref="L82:AR82" si="441">L100*L94</f>
        <v>250486.80184640561</v>
      </c>
      <c r="M82" s="4">
        <f t="shared" ref="M82:O82" si="442">M100*M94</f>
        <v>275614.71522185905</v>
      </c>
      <c r="N82" s="4">
        <f t="shared" si="442"/>
        <v>311734.51634015201</v>
      </c>
      <c r="O82" s="4">
        <f t="shared" si="442"/>
        <v>336862.42971560551</v>
      </c>
      <c r="P82" s="4">
        <f t="shared" si="441"/>
        <v>372982.23083389847</v>
      </c>
      <c r="Q82" s="4">
        <f t="shared" ref="Q82:R82" si="443">Q100*Q94</f>
        <v>398110.14420935209</v>
      </c>
      <c r="R82" s="4">
        <f t="shared" si="443"/>
        <v>434229.94532764493</v>
      </c>
      <c r="S82" s="4">
        <f t="shared" ref="S82" si="444">S100*S94</f>
        <v>459357.85870309849</v>
      </c>
      <c r="T82" s="4">
        <f t="shared" si="441"/>
        <v>495477.65982139145</v>
      </c>
      <c r="U82" s="4">
        <f t="shared" ref="U82:W82" si="445">U100*U94</f>
        <v>520605.57319684495</v>
      </c>
      <c r="V82" s="4">
        <f t="shared" si="445"/>
        <v>556725.37431513797</v>
      </c>
      <c r="W82" s="4">
        <f t="shared" si="445"/>
        <v>581853.2876905913</v>
      </c>
      <c r="X82" s="4">
        <f t="shared" si="441"/>
        <v>617973.08880888438</v>
      </c>
      <c r="Y82" s="4">
        <f t="shared" ref="Y82:AA82" si="446">Y100*Y94</f>
        <v>643101.00218433782</v>
      </c>
      <c r="Z82" s="4">
        <f t="shared" si="446"/>
        <v>679220.80330263078</v>
      </c>
      <c r="AA82" s="4">
        <f t="shared" si="446"/>
        <v>704348.71667808434</v>
      </c>
      <c r="AB82" s="4">
        <f t="shared" si="441"/>
        <v>740468.5177963773</v>
      </c>
      <c r="AC82" s="4">
        <f t="shared" ref="AC82:AE82" si="447">AC100*AC94</f>
        <v>765596.43117183074</v>
      </c>
      <c r="AD82" s="4">
        <f t="shared" si="447"/>
        <v>801716.23229012371</v>
      </c>
      <c r="AE82" s="4">
        <f t="shared" si="447"/>
        <v>826844.14566557738</v>
      </c>
      <c r="AF82" s="4">
        <f t="shared" si="441"/>
        <v>862963.94678387011</v>
      </c>
      <c r="AG82" s="4">
        <f t="shared" ref="AG82:AI82" si="448">AG100*AG94</f>
        <v>888091.86015932378</v>
      </c>
      <c r="AH82" s="4">
        <f t="shared" si="448"/>
        <v>924211.66127761663</v>
      </c>
      <c r="AI82" s="4">
        <f t="shared" si="448"/>
        <v>949339.57465307019</v>
      </c>
      <c r="AJ82" s="4">
        <f t="shared" si="441"/>
        <v>985459.37577136303</v>
      </c>
      <c r="AK82" s="4">
        <f t="shared" ref="AK82:AM82" si="449">AK100*AK94</f>
        <v>1010587.2891468167</v>
      </c>
      <c r="AL82" s="4">
        <f t="shared" si="449"/>
        <v>1046707.0902651094</v>
      </c>
      <c r="AM82" s="4">
        <f t="shared" si="449"/>
        <v>1071835.0036405632</v>
      </c>
      <c r="AN82" s="4">
        <f t="shared" si="441"/>
        <v>1107954.8047588561</v>
      </c>
      <c r="AO82" s="4">
        <f t="shared" ref="AO82:AQ82" si="450">AO100*AO94</f>
        <v>1133082.7181343096</v>
      </c>
      <c r="AP82" s="4">
        <f t="shared" si="450"/>
        <v>1169202.5192526025</v>
      </c>
      <c r="AQ82" s="4">
        <f t="shared" si="450"/>
        <v>1194330.432628056</v>
      </c>
      <c r="AR82" s="4">
        <f t="shared" si="441"/>
        <v>1230450.2337463491</v>
      </c>
      <c r="AS82" s="64"/>
      <c r="AT82" s="64"/>
      <c r="AU82" s="64"/>
    </row>
    <row r="83" spans="2:47" s="51" customFormat="1">
      <c r="B83" s="51" t="s">
        <v>26</v>
      </c>
      <c r="C83" s="54">
        <f>'DATA ENTRY'!D5</f>
        <v>100000</v>
      </c>
      <c r="D83" s="54"/>
      <c r="E83" s="54">
        <v>25000</v>
      </c>
      <c r="F83" s="54">
        <v>50000</v>
      </c>
      <c r="G83" s="54">
        <v>75000</v>
      </c>
      <c r="H83" s="54">
        <v>100000</v>
      </c>
      <c r="I83" s="54">
        <v>125000</v>
      </c>
      <c r="J83" s="54">
        <v>150000</v>
      </c>
      <c r="K83" s="54">
        <v>175000</v>
      </c>
      <c r="L83" s="54">
        <v>200000</v>
      </c>
      <c r="M83" s="54">
        <v>225000</v>
      </c>
      <c r="N83" s="54">
        <v>250000</v>
      </c>
      <c r="O83" s="54">
        <v>275000</v>
      </c>
      <c r="P83" s="54">
        <v>300000</v>
      </c>
      <c r="Q83" s="54">
        <v>325000</v>
      </c>
      <c r="R83" s="54">
        <v>350000</v>
      </c>
      <c r="S83" s="54">
        <v>375000</v>
      </c>
      <c r="T83" s="54">
        <v>400000</v>
      </c>
      <c r="U83" s="54">
        <v>425000</v>
      </c>
      <c r="V83" s="54">
        <v>450000</v>
      </c>
      <c r="W83" s="54">
        <v>475000</v>
      </c>
      <c r="X83" s="54">
        <v>500000</v>
      </c>
      <c r="Y83" s="54">
        <v>525000</v>
      </c>
      <c r="Z83" s="54">
        <v>550000</v>
      </c>
      <c r="AA83" s="54">
        <v>575000</v>
      </c>
      <c r="AB83" s="54">
        <v>600000</v>
      </c>
      <c r="AC83" s="54">
        <v>625000</v>
      </c>
      <c r="AD83" s="54">
        <v>650000</v>
      </c>
      <c r="AE83" s="54">
        <v>675000</v>
      </c>
      <c r="AF83" s="54">
        <v>700000</v>
      </c>
      <c r="AG83" s="54">
        <v>725000</v>
      </c>
      <c r="AH83" s="54">
        <v>750000</v>
      </c>
      <c r="AI83" s="54">
        <v>775000</v>
      </c>
      <c r="AJ83" s="54">
        <v>800000</v>
      </c>
      <c r="AK83" s="54">
        <v>825000</v>
      </c>
      <c r="AL83" s="54">
        <v>850000</v>
      </c>
      <c r="AM83" s="54">
        <v>875000</v>
      </c>
      <c r="AN83" s="54">
        <v>900000</v>
      </c>
      <c r="AO83" s="54">
        <v>925000</v>
      </c>
      <c r="AP83" s="54">
        <v>950000</v>
      </c>
      <c r="AQ83" s="54">
        <v>975000</v>
      </c>
      <c r="AR83" s="54">
        <v>1000000</v>
      </c>
      <c r="AS83" s="64"/>
      <c r="AT83" s="64"/>
      <c r="AU83" s="64"/>
    </row>
    <row r="84" spans="2:47">
      <c r="B84" t="s">
        <v>27</v>
      </c>
      <c r="C84" s="4">
        <f t="shared" ref="C84:AR84" si="451">C83*0.075</f>
        <v>7500</v>
      </c>
      <c r="D84" s="4"/>
      <c r="E84" s="4">
        <f t="shared" si="451"/>
        <v>1875</v>
      </c>
      <c r="F84" s="4">
        <f t="shared" si="451"/>
        <v>3750</v>
      </c>
      <c r="G84" s="4">
        <f t="shared" si="451"/>
        <v>5625</v>
      </c>
      <c r="H84" s="4">
        <f t="shared" si="451"/>
        <v>7500</v>
      </c>
      <c r="I84" s="4">
        <f t="shared" si="451"/>
        <v>9375</v>
      </c>
      <c r="J84" s="4">
        <f t="shared" si="451"/>
        <v>11250</v>
      </c>
      <c r="K84" s="4">
        <f t="shared" si="451"/>
        <v>13125</v>
      </c>
      <c r="L84" s="4">
        <f t="shared" si="451"/>
        <v>15000</v>
      </c>
      <c r="M84" s="4">
        <f t="shared" si="451"/>
        <v>16875</v>
      </c>
      <c r="N84" s="4">
        <f t="shared" si="451"/>
        <v>18750</v>
      </c>
      <c r="O84" s="4">
        <f t="shared" si="451"/>
        <v>20625</v>
      </c>
      <c r="P84" s="4">
        <f t="shared" si="451"/>
        <v>22500</v>
      </c>
      <c r="Q84" s="4">
        <f t="shared" si="451"/>
        <v>24375</v>
      </c>
      <c r="R84" s="4">
        <f t="shared" si="451"/>
        <v>26250</v>
      </c>
      <c r="S84" s="4">
        <f t="shared" si="451"/>
        <v>28125</v>
      </c>
      <c r="T84" s="4">
        <f t="shared" si="451"/>
        <v>30000</v>
      </c>
      <c r="U84" s="4">
        <f t="shared" si="451"/>
        <v>31875</v>
      </c>
      <c r="V84" s="4">
        <f t="shared" si="451"/>
        <v>33750</v>
      </c>
      <c r="W84" s="4">
        <f t="shared" si="451"/>
        <v>35625</v>
      </c>
      <c r="X84" s="4">
        <f t="shared" si="451"/>
        <v>37500</v>
      </c>
      <c r="Y84" s="4">
        <f t="shared" si="451"/>
        <v>39375</v>
      </c>
      <c r="Z84" s="4">
        <f t="shared" si="451"/>
        <v>41250</v>
      </c>
      <c r="AA84" s="4">
        <f t="shared" si="451"/>
        <v>43125</v>
      </c>
      <c r="AB84" s="4">
        <f t="shared" si="451"/>
        <v>45000</v>
      </c>
      <c r="AC84" s="4">
        <f t="shared" si="451"/>
        <v>46875</v>
      </c>
      <c r="AD84" s="4">
        <f t="shared" si="451"/>
        <v>48750</v>
      </c>
      <c r="AE84" s="4">
        <f t="shared" si="451"/>
        <v>50625</v>
      </c>
      <c r="AF84" s="4">
        <f t="shared" si="451"/>
        <v>52500</v>
      </c>
      <c r="AG84" s="4">
        <f t="shared" si="451"/>
        <v>54375</v>
      </c>
      <c r="AH84" s="4">
        <f t="shared" si="451"/>
        <v>56250</v>
      </c>
      <c r="AI84" s="4">
        <f t="shared" si="451"/>
        <v>58125</v>
      </c>
      <c r="AJ84" s="4">
        <f t="shared" si="451"/>
        <v>60000</v>
      </c>
      <c r="AK84" s="4">
        <f t="shared" si="451"/>
        <v>61875</v>
      </c>
      <c r="AL84" s="4">
        <f t="shared" si="451"/>
        <v>63750</v>
      </c>
      <c r="AM84" s="4">
        <f t="shared" si="451"/>
        <v>65625</v>
      </c>
      <c r="AN84" s="4">
        <f t="shared" si="451"/>
        <v>67500</v>
      </c>
      <c r="AO84" s="4">
        <f t="shared" si="451"/>
        <v>69375</v>
      </c>
      <c r="AP84" s="4">
        <f t="shared" si="451"/>
        <v>71250</v>
      </c>
      <c r="AQ84" s="4">
        <f t="shared" si="451"/>
        <v>73125</v>
      </c>
      <c r="AR84" s="4">
        <f t="shared" si="451"/>
        <v>75000</v>
      </c>
      <c r="AS84" s="64"/>
      <c r="AT84" s="64"/>
      <c r="AU84" s="64"/>
    </row>
    <row r="85" spans="2:47">
      <c r="B85" t="s">
        <v>10</v>
      </c>
      <c r="C85" s="4">
        <f>(C83/1000)*C94</f>
        <v>2400</v>
      </c>
      <c r="D85" s="4"/>
      <c r="E85" s="4">
        <f>(E83/1000)*E94</f>
        <v>600</v>
      </c>
      <c r="F85" s="4">
        <f>(F83/1000)*F94</f>
        <v>1200</v>
      </c>
      <c r="G85" s="4">
        <f>(G83/1000)*G94</f>
        <v>1800</v>
      </c>
      <c r="H85" s="4">
        <f>(H83/1000)*H94</f>
        <v>2400</v>
      </c>
      <c r="I85" s="4">
        <f t="shared" ref="I85:J85" si="452">(I83/1000)*I94</f>
        <v>3000</v>
      </c>
      <c r="J85" s="4">
        <f t="shared" si="452"/>
        <v>3600</v>
      </c>
      <c r="K85" s="4">
        <f t="shared" ref="K85" si="453">(K83/1000)*K94</f>
        <v>4200</v>
      </c>
      <c r="L85" s="4">
        <f t="shared" ref="L85:AR85" si="454">(L83/1000)*L94</f>
        <v>4800</v>
      </c>
      <c r="M85" s="4">
        <f t="shared" ref="M85:O85" si="455">(M83/1000)*M94</f>
        <v>5400</v>
      </c>
      <c r="N85" s="4">
        <f t="shared" si="455"/>
        <v>6000</v>
      </c>
      <c r="O85" s="4">
        <f t="shared" si="455"/>
        <v>6600</v>
      </c>
      <c r="P85" s="4">
        <f t="shared" si="454"/>
        <v>7200</v>
      </c>
      <c r="Q85" s="4">
        <f t="shared" ref="Q85:R85" si="456">(Q83/1000)*Q94</f>
        <v>7800</v>
      </c>
      <c r="R85" s="4">
        <f t="shared" si="456"/>
        <v>8400</v>
      </c>
      <c r="S85" s="4">
        <f t="shared" ref="S85" si="457">(S83/1000)*S94</f>
        <v>9000</v>
      </c>
      <c r="T85" s="4">
        <f t="shared" si="454"/>
        <v>9600</v>
      </c>
      <c r="U85" s="4">
        <f t="shared" ref="U85:W85" si="458">(U83/1000)*U94</f>
        <v>10200</v>
      </c>
      <c r="V85" s="4">
        <f t="shared" si="458"/>
        <v>10800</v>
      </c>
      <c r="W85" s="4">
        <f t="shared" si="458"/>
        <v>11400</v>
      </c>
      <c r="X85" s="4">
        <f t="shared" si="454"/>
        <v>12000</v>
      </c>
      <c r="Y85" s="4">
        <f t="shared" ref="Y85:AA85" si="459">(Y83/1000)*Y94</f>
        <v>12600</v>
      </c>
      <c r="Z85" s="4">
        <f t="shared" si="459"/>
        <v>13200</v>
      </c>
      <c r="AA85" s="4">
        <f t="shared" si="459"/>
        <v>13800</v>
      </c>
      <c r="AB85" s="4">
        <f t="shared" si="454"/>
        <v>14400</v>
      </c>
      <c r="AC85" s="4">
        <f t="shared" ref="AC85:AE85" si="460">(AC83/1000)*AC94</f>
        <v>15000</v>
      </c>
      <c r="AD85" s="4">
        <f t="shared" si="460"/>
        <v>15600</v>
      </c>
      <c r="AE85" s="4">
        <f t="shared" si="460"/>
        <v>16200</v>
      </c>
      <c r="AF85" s="4">
        <f t="shared" si="454"/>
        <v>16800</v>
      </c>
      <c r="AG85" s="4">
        <f t="shared" ref="AG85:AI85" si="461">(AG83/1000)*AG94</f>
        <v>17400</v>
      </c>
      <c r="AH85" s="4">
        <f t="shared" si="461"/>
        <v>18000</v>
      </c>
      <c r="AI85" s="4">
        <f t="shared" si="461"/>
        <v>18600</v>
      </c>
      <c r="AJ85" s="4">
        <f t="shared" si="454"/>
        <v>19200</v>
      </c>
      <c r="AK85" s="4">
        <f t="shared" ref="AK85:AM85" si="462">(AK83/1000)*AK94</f>
        <v>19800</v>
      </c>
      <c r="AL85" s="4">
        <f t="shared" si="462"/>
        <v>20400</v>
      </c>
      <c r="AM85" s="4">
        <f t="shared" si="462"/>
        <v>21000</v>
      </c>
      <c r="AN85" s="4">
        <f t="shared" si="454"/>
        <v>21600</v>
      </c>
      <c r="AO85" s="4">
        <f t="shared" ref="AO85:AQ85" si="463">(AO83/1000)*AO94</f>
        <v>22200</v>
      </c>
      <c r="AP85" s="4">
        <f t="shared" si="463"/>
        <v>22800</v>
      </c>
      <c r="AQ85" s="4">
        <f t="shared" si="463"/>
        <v>23400</v>
      </c>
      <c r="AR85" s="4">
        <f t="shared" si="454"/>
        <v>24000</v>
      </c>
      <c r="AS85" s="64"/>
      <c r="AT85" s="64"/>
      <c r="AU85" s="64"/>
    </row>
    <row r="86" spans="2:47">
      <c r="B86" t="s">
        <v>11</v>
      </c>
      <c r="C86" s="4">
        <f>'DATA ENTRY'!D10</f>
        <v>5000</v>
      </c>
      <c r="D86" s="4"/>
      <c r="E86" s="4"/>
      <c r="F86" s="4">
        <f>C86</f>
        <v>5000</v>
      </c>
      <c r="G86" s="4">
        <f t="shared" ref="G86:AR86" si="464">E86</f>
        <v>0</v>
      </c>
      <c r="H86" s="4">
        <f t="shared" si="464"/>
        <v>5000</v>
      </c>
      <c r="I86" s="4">
        <f t="shared" si="464"/>
        <v>0</v>
      </c>
      <c r="J86" s="4">
        <f t="shared" si="464"/>
        <v>5000</v>
      </c>
      <c r="K86" s="4">
        <f t="shared" si="464"/>
        <v>0</v>
      </c>
      <c r="L86" s="4">
        <f t="shared" si="464"/>
        <v>5000</v>
      </c>
      <c r="M86" s="4">
        <f t="shared" si="464"/>
        <v>0</v>
      </c>
      <c r="N86" s="4">
        <f t="shared" si="464"/>
        <v>5000</v>
      </c>
      <c r="O86" s="4">
        <f t="shared" si="464"/>
        <v>0</v>
      </c>
      <c r="P86" s="4">
        <f t="shared" si="464"/>
        <v>5000</v>
      </c>
      <c r="Q86" s="4">
        <f t="shared" si="464"/>
        <v>0</v>
      </c>
      <c r="R86" s="4">
        <f t="shared" si="464"/>
        <v>5000</v>
      </c>
      <c r="S86" s="4">
        <f t="shared" si="464"/>
        <v>0</v>
      </c>
      <c r="T86" s="4">
        <f t="shared" si="464"/>
        <v>5000</v>
      </c>
      <c r="U86" s="4">
        <f t="shared" si="464"/>
        <v>0</v>
      </c>
      <c r="V86" s="4">
        <f t="shared" si="464"/>
        <v>5000</v>
      </c>
      <c r="W86" s="4">
        <f t="shared" si="464"/>
        <v>0</v>
      </c>
      <c r="X86" s="4">
        <f t="shared" si="464"/>
        <v>5000</v>
      </c>
      <c r="Y86" s="4">
        <f t="shared" si="464"/>
        <v>0</v>
      </c>
      <c r="Z86" s="4">
        <f t="shared" si="464"/>
        <v>5000</v>
      </c>
      <c r="AA86" s="4">
        <f t="shared" si="464"/>
        <v>0</v>
      </c>
      <c r="AB86" s="4">
        <f t="shared" si="464"/>
        <v>5000</v>
      </c>
      <c r="AC86" s="4">
        <f t="shared" si="464"/>
        <v>0</v>
      </c>
      <c r="AD86" s="4">
        <f t="shared" si="464"/>
        <v>5000</v>
      </c>
      <c r="AE86" s="4">
        <f t="shared" si="464"/>
        <v>0</v>
      </c>
      <c r="AF86" s="4">
        <f t="shared" si="464"/>
        <v>5000</v>
      </c>
      <c r="AG86" s="4">
        <f t="shared" si="464"/>
        <v>0</v>
      </c>
      <c r="AH86" s="4">
        <f t="shared" si="464"/>
        <v>5000</v>
      </c>
      <c r="AI86" s="4">
        <f t="shared" si="464"/>
        <v>0</v>
      </c>
      <c r="AJ86" s="4">
        <f t="shared" si="464"/>
        <v>5000</v>
      </c>
      <c r="AK86" s="4">
        <f t="shared" si="464"/>
        <v>0</v>
      </c>
      <c r="AL86" s="4">
        <f t="shared" si="464"/>
        <v>5000</v>
      </c>
      <c r="AM86" s="4">
        <f t="shared" si="464"/>
        <v>0</v>
      </c>
      <c r="AN86" s="4">
        <f t="shared" si="464"/>
        <v>5000</v>
      </c>
      <c r="AO86" s="4">
        <f t="shared" si="464"/>
        <v>0</v>
      </c>
      <c r="AP86" s="4">
        <f t="shared" si="464"/>
        <v>5000</v>
      </c>
      <c r="AQ86" s="4">
        <f t="shared" si="464"/>
        <v>0</v>
      </c>
      <c r="AR86" s="4">
        <f t="shared" si="464"/>
        <v>5000</v>
      </c>
      <c r="AS86" s="64"/>
      <c r="AT86" s="64"/>
      <c r="AU86" s="64"/>
    </row>
    <row r="87" spans="2:47">
      <c r="B87" t="s">
        <v>12</v>
      </c>
      <c r="C87" s="4">
        <f>'DATA ENTRY'!D11</f>
        <v>0</v>
      </c>
      <c r="D87" s="4"/>
      <c r="E87" s="4"/>
      <c r="F87" s="4">
        <f>C87</f>
        <v>0</v>
      </c>
      <c r="G87" s="4">
        <f t="shared" ref="G87:AR87" si="465">E87</f>
        <v>0</v>
      </c>
      <c r="H87" s="4">
        <f t="shared" si="465"/>
        <v>0</v>
      </c>
      <c r="I87" s="4">
        <f t="shared" si="465"/>
        <v>0</v>
      </c>
      <c r="J87" s="4">
        <f t="shared" si="465"/>
        <v>0</v>
      </c>
      <c r="K87" s="4">
        <f t="shared" si="465"/>
        <v>0</v>
      </c>
      <c r="L87" s="4">
        <f t="shared" si="465"/>
        <v>0</v>
      </c>
      <c r="M87" s="4">
        <f t="shared" si="465"/>
        <v>0</v>
      </c>
      <c r="N87" s="4">
        <f t="shared" si="465"/>
        <v>0</v>
      </c>
      <c r="O87" s="4">
        <f t="shared" si="465"/>
        <v>0</v>
      </c>
      <c r="P87" s="4">
        <f t="shared" si="465"/>
        <v>0</v>
      </c>
      <c r="Q87" s="4">
        <f t="shared" si="465"/>
        <v>0</v>
      </c>
      <c r="R87" s="4">
        <f t="shared" si="465"/>
        <v>0</v>
      </c>
      <c r="S87" s="4">
        <f t="shared" si="465"/>
        <v>0</v>
      </c>
      <c r="T87" s="4">
        <f t="shared" si="465"/>
        <v>0</v>
      </c>
      <c r="U87" s="4">
        <f t="shared" si="465"/>
        <v>0</v>
      </c>
      <c r="V87" s="4">
        <f t="shared" si="465"/>
        <v>0</v>
      </c>
      <c r="W87" s="4">
        <f t="shared" si="465"/>
        <v>0</v>
      </c>
      <c r="X87" s="4">
        <f t="shared" si="465"/>
        <v>0</v>
      </c>
      <c r="Y87" s="4">
        <f t="shared" si="465"/>
        <v>0</v>
      </c>
      <c r="Z87" s="4">
        <f t="shared" si="465"/>
        <v>0</v>
      </c>
      <c r="AA87" s="4">
        <f t="shared" si="465"/>
        <v>0</v>
      </c>
      <c r="AB87" s="4">
        <f t="shared" si="465"/>
        <v>0</v>
      </c>
      <c r="AC87" s="4">
        <f t="shared" si="465"/>
        <v>0</v>
      </c>
      <c r="AD87" s="4">
        <f t="shared" si="465"/>
        <v>0</v>
      </c>
      <c r="AE87" s="4">
        <f t="shared" si="465"/>
        <v>0</v>
      </c>
      <c r="AF87" s="4">
        <f t="shared" si="465"/>
        <v>0</v>
      </c>
      <c r="AG87" s="4">
        <f t="shared" si="465"/>
        <v>0</v>
      </c>
      <c r="AH87" s="4">
        <f t="shared" si="465"/>
        <v>0</v>
      </c>
      <c r="AI87" s="4">
        <f t="shared" si="465"/>
        <v>0</v>
      </c>
      <c r="AJ87" s="4">
        <f t="shared" si="465"/>
        <v>0</v>
      </c>
      <c r="AK87" s="4">
        <f t="shared" si="465"/>
        <v>0</v>
      </c>
      <c r="AL87" s="4">
        <f t="shared" si="465"/>
        <v>0</v>
      </c>
      <c r="AM87" s="4">
        <f t="shared" si="465"/>
        <v>0</v>
      </c>
      <c r="AN87" s="4">
        <f t="shared" si="465"/>
        <v>0</v>
      </c>
      <c r="AO87" s="4">
        <f t="shared" si="465"/>
        <v>0</v>
      </c>
      <c r="AP87" s="4">
        <f t="shared" si="465"/>
        <v>0</v>
      </c>
      <c r="AQ87" s="4">
        <f t="shared" si="465"/>
        <v>0</v>
      </c>
      <c r="AR87" s="4">
        <f t="shared" si="465"/>
        <v>0</v>
      </c>
      <c r="AS87" s="64"/>
      <c r="AT87" s="64"/>
      <c r="AU87" s="64"/>
    </row>
    <row r="88" spans="2:47">
      <c r="B88" t="s">
        <v>13</v>
      </c>
      <c r="C88" s="4">
        <f>C93*C83*2</f>
        <v>1541.6666666666667</v>
      </c>
      <c r="D88" s="4"/>
      <c r="E88" s="4">
        <f>E93*E83*2</f>
        <v>385.41666666666669</v>
      </c>
      <c r="F88" s="4">
        <f t="shared" ref="F88:AR88" si="466">F93*F83*2</f>
        <v>770.83333333333337</v>
      </c>
      <c r="G88" s="4">
        <f t="shared" si="466"/>
        <v>1156.25</v>
      </c>
      <c r="H88" s="4">
        <f t="shared" si="466"/>
        <v>1541.6666666666667</v>
      </c>
      <c r="I88" s="4">
        <f t="shared" si="466"/>
        <v>1927.0833333333335</v>
      </c>
      <c r="J88" s="4">
        <f t="shared" si="466"/>
        <v>2312.5</v>
      </c>
      <c r="K88" s="4">
        <f t="shared" si="466"/>
        <v>2697.9166666666665</v>
      </c>
      <c r="L88" s="4">
        <f t="shared" si="466"/>
        <v>3083.3333333333335</v>
      </c>
      <c r="M88" s="4">
        <f t="shared" si="466"/>
        <v>3468.75</v>
      </c>
      <c r="N88" s="4">
        <f t="shared" si="466"/>
        <v>3854.166666666667</v>
      </c>
      <c r="O88" s="4">
        <f t="shared" si="466"/>
        <v>4239.583333333333</v>
      </c>
      <c r="P88" s="4">
        <f t="shared" si="466"/>
        <v>4625</v>
      </c>
      <c r="Q88" s="4">
        <f t="shared" si="466"/>
        <v>5010.416666666667</v>
      </c>
      <c r="R88" s="4">
        <f t="shared" si="466"/>
        <v>5395.833333333333</v>
      </c>
      <c r="S88" s="4">
        <f t="shared" si="466"/>
        <v>5781.25</v>
      </c>
      <c r="T88" s="4">
        <f t="shared" si="466"/>
        <v>6166.666666666667</v>
      </c>
      <c r="U88" s="4">
        <f t="shared" si="466"/>
        <v>6552.0833333333339</v>
      </c>
      <c r="V88" s="4">
        <f t="shared" si="466"/>
        <v>6937.5</v>
      </c>
      <c r="W88" s="4">
        <f t="shared" si="466"/>
        <v>7322.916666666667</v>
      </c>
      <c r="X88" s="4">
        <f t="shared" si="466"/>
        <v>7708.3333333333339</v>
      </c>
      <c r="Y88" s="4">
        <f t="shared" si="466"/>
        <v>8093.75</v>
      </c>
      <c r="Z88" s="4">
        <f t="shared" si="466"/>
        <v>8479.1666666666661</v>
      </c>
      <c r="AA88" s="4">
        <f t="shared" si="466"/>
        <v>8864.5833333333339</v>
      </c>
      <c r="AB88" s="4">
        <f t="shared" si="466"/>
        <v>9250</v>
      </c>
      <c r="AC88" s="4">
        <f t="shared" si="466"/>
        <v>9635.4166666666661</v>
      </c>
      <c r="AD88" s="4">
        <f t="shared" si="466"/>
        <v>10020.833333333334</v>
      </c>
      <c r="AE88" s="4">
        <f t="shared" si="466"/>
        <v>10406.25</v>
      </c>
      <c r="AF88" s="4">
        <f t="shared" si="466"/>
        <v>10791.666666666666</v>
      </c>
      <c r="AG88" s="4">
        <f t="shared" si="466"/>
        <v>11177.083333333334</v>
      </c>
      <c r="AH88" s="4">
        <f t="shared" si="466"/>
        <v>11562.5</v>
      </c>
      <c r="AI88" s="4">
        <f t="shared" si="466"/>
        <v>11947.916666666668</v>
      </c>
      <c r="AJ88" s="4">
        <f t="shared" si="466"/>
        <v>12333.333333333334</v>
      </c>
      <c r="AK88" s="4">
        <f t="shared" si="466"/>
        <v>12718.75</v>
      </c>
      <c r="AL88" s="4">
        <f t="shared" si="466"/>
        <v>13104.166666666668</v>
      </c>
      <c r="AM88" s="4">
        <f t="shared" si="466"/>
        <v>13489.583333333334</v>
      </c>
      <c r="AN88" s="4">
        <f t="shared" si="466"/>
        <v>13875</v>
      </c>
      <c r="AO88" s="4">
        <f t="shared" si="466"/>
        <v>14260.416666666668</v>
      </c>
      <c r="AP88" s="4">
        <f t="shared" si="466"/>
        <v>14645.833333333334</v>
      </c>
      <c r="AQ88" s="4">
        <f t="shared" si="466"/>
        <v>15031.25</v>
      </c>
      <c r="AR88" s="4">
        <f t="shared" si="466"/>
        <v>15416.666666666668</v>
      </c>
      <c r="AS88" s="64"/>
      <c r="AT88" s="64"/>
      <c r="AU88" s="64"/>
    </row>
    <row r="89" spans="2:47">
      <c r="B89" t="s">
        <v>28</v>
      </c>
      <c r="C89" s="4">
        <f>SUM(C83:C88)</f>
        <v>116441.66666666667</v>
      </c>
      <c r="D89" s="4"/>
      <c r="E89" s="4">
        <f>SUM(E83:E88)</f>
        <v>27860.416666666668</v>
      </c>
      <c r="F89" s="4">
        <f>SUM(F83:F88)</f>
        <v>60720.833333333336</v>
      </c>
      <c r="G89" s="4">
        <f>SUM(G83:G88)</f>
        <v>83581.25</v>
      </c>
      <c r="H89" s="4">
        <f>SUM(H83:H88)</f>
        <v>116441.66666666667</v>
      </c>
      <c r="I89" s="4">
        <f t="shared" ref="I89:J89" si="467">SUM(I83:I88)</f>
        <v>139302.08333333334</v>
      </c>
      <c r="J89" s="4">
        <f t="shared" si="467"/>
        <v>172162.5</v>
      </c>
      <c r="K89" s="4">
        <f t="shared" ref="K89" si="468">SUM(K83:K88)</f>
        <v>195022.91666666666</v>
      </c>
      <c r="L89" s="4">
        <f t="shared" ref="L89:AR89" si="469">SUM(L83:L88)</f>
        <v>227883.33333333334</v>
      </c>
      <c r="M89" s="4">
        <f t="shared" ref="M89:O89" si="470">SUM(M83:M88)</f>
        <v>250743.75</v>
      </c>
      <c r="N89" s="4">
        <f t="shared" si="470"/>
        <v>283604.16666666669</v>
      </c>
      <c r="O89" s="4">
        <f t="shared" si="470"/>
        <v>306464.58333333331</v>
      </c>
      <c r="P89" s="4">
        <f t="shared" si="469"/>
        <v>339325</v>
      </c>
      <c r="Q89" s="4">
        <f t="shared" ref="Q89:R89" si="471">SUM(Q83:Q88)</f>
        <v>362185.41666666669</v>
      </c>
      <c r="R89" s="4">
        <f t="shared" si="471"/>
        <v>395045.83333333331</v>
      </c>
      <c r="S89" s="4">
        <f t="shared" ref="S89" si="472">SUM(S83:S88)</f>
        <v>417906.25</v>
      </c>
      <c r="T89" s="4">
        <f t="shared" si="469"/>
        <v>450766.66666666669</v>
      </c>
      <c r="U89" s="4">
        <f t="shared" ref="U89:W89" si="473">SUM(U83:U88)</f>
        <v>473627.08333333331</v>
      </c>
      <c r="V89" s="4">
        <f t="shared" si="473"/>
        <v>506487.5</v>
      </c>
      <c r="W89" s="4">
        <f t="shared" si="473"/>
        <v>529347.91666666663</v>
      </c>
      <c r="X89" s="4">
        <f t="shared" si="469"/>
        <v>562208.33333333337</v>
      </c>
      <c r="Y89" s="4">
        <f t="shared" ref="Y89:AA89" si="474">SUM(Y83:Y88)</f>
        <v>585068.75</v>
      </c>
      <c r="Z89" s="4">
        <f t="shared" si="474"/>
        <v>617929.16666666663</v>
      </c>
      <c r="AA89" s="4">
        <f t="shared" si="474"/>
        <v>640789.58333333337</v>
      </c>
      <c r="AB89" s="4">
        <f t="shared" si="469"/>
        <v>673650</v>
      </c>
      <c r="AC89" s="4">
        <f t="shared" ref="AC89:AE89" si="475">SUM(AC83:AC88)</f>
        <v>696510.41666666663</v>
      </c>
      <c r="AD89" s="4">
        <f t="shared" si="475"/>
        <v>729370.83333333337</v>
      </c>
      <c r="AE89" s="4">
        <f t="shared" si="475"/>
        <v>752231.25</v>
      </c>
      <c r="AF89" s="4">
        <f t="shared" si="469"/>
        <v>785091.66666666663</v>
      </c>
      <c r="AG89" s="4">
        <f t="shared" ref="AG89:AI89" si="476">SUM(AG83:AG88)</f>
        <v>807952.08333333337</v>
      </c>
      <c r="AH89" s="4">
        <f t="shared" si="476"/>
        <v>840812.5</v>
      </c>
      <c r="AI89" s="4">
        <f t="shared" si="476"/>
        <v>863672.91666666663</v>
      </c>
      <c r="AJ89" s="4">
        <f t="shared" si="469"/>
        <v>896533.33333333337</v>
      </c>
      <c r="AK89" s="4">
        <f t="shared" ref="AK89:AM89" si="477">SUM(AK83:AK88)</f>
        <v>919393.75</v>
      </c>
      <c r="AL89" s="4">
        <f t="shared" si="477"/>
        <v>952254.16666666663</v>
      </c>
      <c r="AM89" s="4">
        <f t="shared" si="477"/>
        <v>975114.58333333337</v>
      </c>
      <c r="AN89" s="4">
        <f t="shared" si="469"/>
        <v>1007975</v>
      </c>
      <c r="AO89" s="4">
        <f t="shared" ref="AO89:AQ89" si="478">SUM(AO83:AO88)</f>
        <v>1030835.4166666666</v>
      </c>
      <c r="AP89" s="4">
        <f t="shared" si="478"/>
        <v>1063695.8333333333</v>
      </c>
      <c r="AQ89" s="4">
        <f t="shared" si="478"/>
        <v>1086556.25</v>
      </c>
      <c r="AR89" s="4">
        <f t="shared" si="469"/>
        <v>1119416.6666666667</v>
      </c>
      <c r="AS89" s="64"/>
      <c r="AT89" s="64"/>
      <c r="AU89" s="64"/>
    </row>
    <row r="90" spans="2:47">
      <c r="B90" s="62" t="s">
        <v>29</v>
      </c>
      <c r="C90" s="63">
        <v>9.2499999999999999E-2</v>
      </c>
      <c r="D90" s="63"/>
      <c r="E90" s="63">
        <f>C90</f>
        <v>9.2499999999999999E-2</v>
      </c>
      <c r="F90" s="63">
        <f>C90</f>
        <v>9.2499999999999999E-2</v>
      </c>
      <c r="G90" s="63">
        <f>F90</f>
        <v>9.2499999999999999E-2</v>
      </c>
      <c r="H90" s="63">
        <f t="shared" ref="H90:AR90" si="479">F90</f>
        <v>9.2499999999999999E-2</v>
      </c>
      <c r="I90" s="63">
        <f t="shared" si="479"/>
        <v>9.2499999999999999E-2</v>
      </c>
      <c r="J90" s="63">
        <f t="shared" si="479"/>
        <v>9.2499999999999999E-2</v>
      </c>
      <c r="K90" s="63">
        <f t="shared" si="479"/>
        <v>9.2499999999999999E-2</v>
      </c>
      <c r="L90" s="63">
        <f t="shared" si="479"/>
        <v>9.2499999999999999E-2</v>
      </c>
      <c r="M90" s="63">
        <f t="shared" si="479"/>
        <v>9.2499999999999999E-2</v>
      </c>
      <c r="N90" s="63">
        <f t="shared" si="479"/>
        <v>9.2499999999999999E-2</v>
      </c>
      <c r="O90" s="63">
        <f t="shared" si="479"/>
        <v>9.2499999999999999E-2</v>
      </c>
      <c r="P90" s="63">
        <f t="shared" si="479"/>
        <v>9.2499999999999999E-2</v>
      </c>
      <c r="Q90" s="63">
        <f t="shared" si="479"/>
        <v>9.2499999999999999E-2</v>
      </c>
      <c r="R90" s="63">
        <f t="shared" si="479"/>
        <v>9.2499999999999999E-2</v>
      </c>
      <c r="S90" s="63">
        <f t="shared" si="479"/>
        <v>9.2499999999999999E-2</v>
      </c>
      <c r="T90" s="63">
        <f t="shared" si="479"/>
        <v>9.2499999999999999E-2</v>
      </c>
      <c r="U90" s="63">
        <f t="shared" si="479"/>
        <v>9.2499999999999999E-2</v>
      </c>
      <c r="V90" s="63">
        <f t="shared" si="479"/>
        <v>9.2499999999999999E-2</v>
      </c>
      <c r="W90" s="63">
        <f t="shared" si="479"/>
        <v>9.2499999999999999E-2</v>
      </c>
      <c r="X90" s="63">
        <f t="shared" si="479"/>
        <v>9.2499999999999999E-2</v>
      </c>
      <c r="Y90" s="63">
        <f t="shared" si="479"/>
        <v>9.2499999999999999E-2</v>
      </c>
      <c r="Z90" s="63">
        <f t="shared" si="479"/>
        <v>9.2499999999999999E-2</v>
      </c>
      <c r="AA90" s="63">
        <f t="shared" si="479"/>
        <v>9.2499999999999999E-2</v>
      </c>
      <c r="AB90" s="63">
        <f t="shared" si="479"/>
        <v>9.2499999999999999E-2</v>
      </c>
      <c r="AC90" s="63">
        <f t="shared" si="479"/>
        <v>9.2499999999999999E-2</v>
      </c>
      <c r="AD90" s="63">
        <f t="shared" si="479"/>
        <v>9.2499999999999999E-2</v>
      </c>
      <c r="AE90" s="63">
        <f t="shared" si="479"/>
        <v>9.2499999999999999E-2</v>
      </c>
      <c r="AF90" s="63">
        <f t="shared" si="479"/>
        <v>9.2499999999999999E-2</v>
      </c>
      <c r="AG90" s="63">
        <f t="shared" si="479"/>
        <v>9.2499999999999999E-2</v>
      </c>
      <c r="AH90" s="63">
        <f t="shared" si="479"/>
        <v>9.2499999999999999E-2</v>
      </c>
      <c r="AI90" s="63">
        <f t="shared" si="479"/>
        <v>9.2499999999999999E-2</v>
      </c>
      <c r="AJ90" s="63">
        <f t="shared" si="479"/>
        <v>9.2499999999999999E-2</v>
      </c>
      <c r="AK90" s="63">
        <f t="shared" si="479"/>
        <v>9.2499999999999999E-2</v>
      </c>
      <c r="AL90" s="63">
        <f t="shared" si="479"/>
        <v>9.2499999999999999E-2</v>
      </c>
      <c r="AM90" s="63">
        <f t="shared" si="479"/>
        <v>9.2499999999999999E-2</v>
      </c>
      <c r="AN90" s="63">
        <f t="shared" si="479"/>
        <v>9.2499999999999999E-2</v>
      </c>
      <c r="AO90" s="63">
        <f t="shared" si="479"/>
        <v>9.2499999999999999E-2</v>
      </c>
      <c r="AP90" s="63">
        <f t="shared" si="479"/>
        <v>9.2499999999999999E-2</v>
      </c>
      <c r="AQ90" s="63">
        <f t="shared" si="479"/>
        <v>9.2499999999999999E-2</v>
      </c>
      <c r="AR90" s="63">
        <f t="shared" si="479"/>
        <v>9.2499999999999999E-2</v>
      </c>
      <c r="AS90" s="65"/>
      <c r="AT90" s="65"/>
      <c r="AU90" s="65"/>
    </row>
    <row r="91" spans="2:47">
      <c r="B91" s="56" t="s">
        <v>30</v>
      </c>
      <c r="C91" s="56">
        <f>(1+C90/C94)^C94-1</f>
        <v>9.6718129373591699E-2</v>
      </c>
      <c r="D91" s="56"/>
      <c r="E91" s="56">
        <f>(1+E90/E94)^E94-1</f>
        <v>9.6718129373591699E-2</v>
      </c>
      <c r="F91" s="56">
        <f>(1+F90/F94)^F94-1</f>
        <v>9.6718129373591699E-2</v>
      </c>
      <c r="G91" s="56">
        <f>(1+G90/G94)^G94-1</f>
        <v>9.6718129373591699E-2</v>
      </c>
      <c r="H91" s="56">
        <f t="shared" ref="H91:AR91" si="480">(1+H90/H94)^H94-1</f>
        <v>9.6718129373591699E-2</v>
      </c>
      <c r="I91" s="56">
        <f t="shared" si="480"/>
        <v>9.6718129373591699E-2</v>
      </c>
      <c r="J91" s="56">
        <f t="shared" si="480"/>
        <v>9.6718129373591699E-2</v>
      </c>
      <c r="K91" s="56">
        <f t="shared" si="480"/>
        <v>9.6718129373591699E-2</v>
      </c>
      <c r="L91" s="56">
        <f t="shared" si="480"/>
        <v>9.6718129373591699E-2</v>
      </c>
      <c r="M91" s="56">
        <f t="shared" si="480"/>
        <v>9.6718129373591699E-2</v>
      </c>
      <c r="N91" s="56">
        <f t="shared" si="480"/>
        <v>9.6718129373591699E-2</v>
      </c>
      <c r="O91" s="56">
        <f t="shared" si="480"/>
        <v>9.6718129373591699E-2</v>
      </c>
      <c r="P91" s="56">
        <f t="shared" si="480"/>
        <v>9.6718129373591699E-2</v>
      </c>
      <c r="Q91" s="56">
        <f t="shared" si="480"/>
        <v>9.6718129373591699E-2</v>
      </c>
      <c r="R91" s="56">
        <f t="shared" si="480"/>
        <v>9.6718129373591699E-2</v>
      </c>
      <c r="S91" s="56">
        <f t="shared" si="480"/>
        <v>9.6718129373591699E-2</v>
      </c>
      <c r="T91" s="56">
        <f t="shared" si="480"/>
        <v>9.6718129373591699E-2</v>
      </c>
      <c r="U91" s="56">
        <f t="shared" si="480"/>
        <v>9.6718129373591699E-2</v>
      </c>
      <c r="V91" s="56">
        <f t="shared" si="480"/>
        <v>9.6718129373591699E-2</v>
      </c>
      <c r="W91" s="56">
        <f t="shared" si="480"/>
        <v>9.6718129373591699E-2</v>
      </c>
      <c r="X91" s="56">
        <f t="shared" si="480"/>
        <v>9.6718129373591699E-2</v>
      </c>
      <c r="Y91" s="56">
        <f t="shared" si="480"/>
        <v>9.6718129373591699E-2</v>
      </c>
      <c r="Z91" s="56">
        <f t="shared" si="480"/>
        <v>9.6718129373591699E-2</v>
      </c>
      <c r="AA91" s="56">
        <f t="shared" si="480"/>
        <v>9.6718129373591699E-2</v>
      </c>
      <c r="AB91" s="56">
        <f t="shared" si="480"/>
        <v>9.6718129373591699E-2</v>
      </c>
      <c r="AC91" s="56">
        <f t="shared" si="480"/>
        <v>9.6718129373591699E-2</v>
      </c>
      <c r="AD91" s="56">
        <f t="shared" si="480"/>
        <v>9.6718129373591699E-2</v>
      </c>
      <c r="AE91" s="56">
        <f t="shared" si="480"/>
        <v>9.6718129373591699E-2</v>
      </c>
      <c r="AF91" s="56">
        <f t="shared" si="480"/>
        <v>9.6718129373591699E-2</v>
      </c>
      <c r="AG91" s="56">
        <f t="shared" si="480"/>
        <v>9.6718129373591699E-2</v>
      </c>
      <c r="AH91" s="56">
        <f t="shared" si="480"/>
        <v>9.6718129373591699E-2</v>
      </c>
      <c r="AI91" s="56">
        <f t="shared" si="480"/>
        <v>9.6718129373591699E-2</v>
      </c>
      <c r="AJ91" s="56">
        <f t="shared" si="480"/>
        <v>9.6718129373591699E-2</v>
      </c>
      <c r="AK91" s="56">
        <f t="shared" si="480"/>
        <v>9.6718129373591699E-2</v>
      </c>
      <c r="AL91" s="56">
        <f t="shared" si="480"/>
        <v>9.6718129373591699E-2</v>
      </c>
      <c r="AM91" s="56">
        <f t="shared" si="480"/>
        <v>9.6718129373591699E-2</v>
      </c>
      <c r="AN91" s="56">
        <f t="shared" si="480"/>
        <v>9.6718129373591699E-2</v>
      </c>
      <c r="AO91" s="56">
        <f t="shared" si="480"/>
        <v>9.6718129373591699E-2</v>
      </c>
      <c r="AP91" s="56">
        <f t="shared" si="480"/>
        <v>9.6718129373591699E-2</v>
      </c>
      <c r="AQ91" s="56">
        <f t="shared" si="480"/>
        <v>9.6718129373591699E-2</v>
      </c>
      <c r="AR91" s="66">
        <f t="shared" si="480"/>
        <v>9.6718129373591699E-2</v>
      </c>
      <c r="AS91" s="67"/>
      <c r="AT91" s="67"/>
      <c r="AU91" s="67"/>
    </row>
    <row r="92" spans="2:47">
      <c r="B92" t="s">
        <v>31</v>
      </c>
      <c r="C92" s="57">
        <v>2</v>
      </c>
      <c r="D92" s="57"/>
      <c r="E92" s="57">
        <v>2</v>
      </c>
      <c r="F92" s="57">
        <v>2</v>
      </c>
      <c r="G92" s="57">
        <v>2</v>
      </c>
      <c r="H92" s="57">
        <v>2</v>
      </c>
      <c r="I92" s="57">
        <v>2</v>
      </c>
      <c r="J92" s="57">
        <v>2</v>
      </c>
      <c r="K92" s="57">
        <v>2</v>
      </c>
      <c r="L92" s="57">
        <f>H92</f>
        <v>2</v>
      </c>
      <c r="M92" s="57">
        <f>I92</f>
        <v>2</v>
      </c>
      <c r="N92" s="57">
        <f>K92</f>
        <v>2</v>
      </c>
      <c r="O92" s="57">
        <f t="shared" ref="O92:AR92" si="481">K92</f>
        <v>2</v>
      </c>
      <c r="P92" s="57">
        <f t="shared" si="481"/>
        <v>2</v>
      </c>
      <c r="Q92" s="57">
        <f t="shared" si="481"/>
        <v>2</v>
      </c>
      <c r="R92" s="57">
        <f t="shared" si="481"/>
        <v>2</v>
      </c>
      <c r="S92" s="57">
        <f t="shared" si="481"/>
        <v>2</v>
      </c>
      <c r="T92" s="57">
        <f t="shared" si="481"/>
        <v>2</v>
      </c>
      <c r="U92" s="57">
        <f t="shared" si="481"/>
        <v>2</v>
      </c>
      <c r="V92" s="57">
        <f t="shared" si="481"/>
        <v>2</v>
      </c>
      <c r="W92" s="57">
        <f t="shared" si="481"/>
        <v>2</v>
      </c>
      <c r="X92" s="57">
        <f t="shared" si="481"/>
        <v>2</v>
      </c>
      <c r="Y92" s="57">
        <f t="shared" si="481"/>
        <v>2</v>
      </c>
      <c r="Z92" s="57">
        <f t="shared" si="481"/>
        <v>2</v>
      </c>
      <c r="AA92" s="57">
        <f t="shared" si="481"/>
        <v>2</v>
      </c>
      <c r="AB92" s="57">
        <f t="shared" si="481"/>
        <v>2</v>
      </c>
      <c r="AC92" s="57">
        <f t="shared" si="481"/>
        <v>2</v>
      </c>
      <c r="AD92" s="57">
        <f t="shared" si="481"/>
        <v>2</v>
      </c>
      <c r="AE92" s="57">
        <f t="shared" si="481"/>
        <v>2</v>
      </c>
      <c r="AF92" s="57">
        <f t="shared" si="481"/>
        <v>2</v>
      </c>
      <c r="AG92" s="57">
        <f t="shared" si="481"/>
        <v>2</v>
      </c>
      <c r="AH92" s="57">
        <f t="shared" si="481"/>
        <v>2</v>
      </c>
      <c r="AI92" s="57">
        <f t="shared" si="481"/>
        <v>2</v>
      </c>
      <c r="AJ92" s="57">
        <f t="shared" si="481"/>
        <v>2</v>
      </c>
      <c r="AK92" s="57">
        <f t="shared" si="481"/>
        <v>2</v>
      </c>
      <c r="AL92" s="57">
        <f t="shared" si="481"/>
        <v>2</v>
      </c>
      <c r="AM92" s="57">
        <f t="shared" si="481"/>
        <v>2</v>
      </c>
      <c r="AN92" s="57">
        <f t="shared" si="481"/>
        <v>2</v>
      </c>
      <c r="AO92" s="57">
        <f t="shared" si="481"/>
        <v>2</v>
      </c>
      <c r="AP92" s="57">
        <f t="shared" si="481"/>
        <v>2</v>
      </c>
      <c r="AQ92" s="57">
        <f t="shared" si="481"/>
        <v>2</v>
      </c>
      <c r="AR92" s="57">
        <f t="shared" si="481"/>
        <v>2</v>
      </c>
      <c r="AS92" s="68"/>
      <c r="AT92" s="68"/>
      <c r="AU92" s="68"/>
    </row>
    <row r="93" spans="2:47">
      <c r="B93" t="s">
        <v>32</v>
      </c>
      <c r="C93" s="7">
        <f>C90/12</f>
        <v>7.7083333333333335E-3</v>
      </c>
      <c r="D93" s="7"/>
      <c r="E93" s="7">
        <f>E90/12</f>
        <v>7.7083333333333335E-3</v>
      </c>
      <c r="F93" s="7">
        <f>F90/12</f>
        <v>7.7083333333333335E-3</v>
      </c>
      <c r="G93" s="7">
        <f>G90/12</f>
        <v>7.7083333333333335E-3</v>
      </c>
      <c r="H93" s="7">
        <f>H90/12</f>
        <v>7.7083333333333335E-3</v>
      </c>
      <c r="I93" s="7">
        <f t="shared" ref="I93:J93" si="482">I90/12</f>
        <v>7.7083333333333335E-3</v>
      </c>
      <c r="J93" s="7">
        <f t="shared" si="482"/>
        <v>7.7083333333333335E-3</v>
      </c>
      <c r="K93" s="7">
        <f t="shared" ref="K93" si="483">K90/12</f>
        <v>7.7083333333333335E-3</v>
      </c>
      <c r="L93" s="7">
        <f t="shared" ref="L93:AR93" si="484">L90/12</f>
        <v>7.7083333333333335E-3</v>
      </c>
      <c r="M93" s="7">
        <f t="shared" ref="M93:O93" si="485">M90/12</f>
        <v>7.7083333333333335E-3</v>
      </c>
      <c r="N93" s="7">
        <f t="shared" si="485"/>
        <v>7.7083333333333335E-3</v>
      </c>
      <c r="O93" s="7">
        <f t="shared" si="485"/>
        <v>7.7083333333333335E-3</v>
      </c>
      <c r="P93" s="7">
        <f t="shared" si="484"/>
        <v>7.7083333333333335E-3</v>
      </c>
      <c r="Q93" s="7">
        <f t="shared" ref="Q93:R93" si="486">Q90/12</f>
        <v>7.7083333333333335E-3</v>
      </c>
      <c r="R93" s="7">
        <f t="shared" si="486"/>
        <v>7.7083333333333335E-3</v>
      </c>
      <c r="S93" s="7">
        <f t="shared" ref="S93" si="487">S90/12</f>
        <v>7.7083333333333335E-3</v>
      </c>
      <c r="T93" s="7">
        <f t="shared" si="484"/>
        <v>7.7083333333333335E-3</v>
      </c>
      <c r="U93" s="7">
        <f t="shared" ref="U93:W93" si="488">U90/12</f>
        <v>7.7083333333333335E-3</v>
      </c>
      <c r="V93" s="7">
        <f t="shared" si="488"/>
        <v>7.7083333333333335E-3</v>
      </c>
      <c r="W93" s="7">
        <f t="shared" si="488"/>
        <v>7.7083333333333335E-3</v>
      </c>
      <c r="X93" s="7">
        <f t="shared" si="484"/>
        <v>7.7083333333333335E-3</v>
      </c>
      <c r="Y93" s="7">
        <f t="shared" ref="Y93:AA93" si="489">Y90/12</f>
        <v>7.7083333333333335E-3</v>
      </c>
      <c r="Z93" s="7">
        <f t="shared" si="489"/>
        <v>7.7083333333333335E-3</v>
      </c>
      <c r="AA93" s="7">
        <f t="shared" si="489"/>
        <v>7.7083333333333335E-3</v>
      </c>
      <c r="AB93" s="7">
        <f t="shared" si="484"/>
        <v>7.7083333333333335E-3</v>
      </c>
      <c r="AC93" s="7">
        <f t="shared" ref="AC93:AE93" si="490">AC90/12</f>
        <v>7.7083333333333335E-3</v>
      </c>
      <c r="AD93" s="7">
        <f t="shared" si="490"/>
        <v>7.7083333333333335E-3</v>
      </c>
      <c r="AE93" s="7">
        <f t="shared" si="490"/>
        <v>7.7083333333333335E-3</v>
      </c>
      <c r="AF93" s="7">
        <f t="shared" si="484"/>
        <v>7.7083333333333335E-3</v>
      </c>
      <c r="AG93" s="7">
        <f t="shared" ref="AG93:AI93" si="491">AG90/12</f>
        <v>7.7083333333333335E-3</v>
      </c>
      <c r="AH93" s="7">
        <f t="shared" si="491"/>
        <v>7.7083333333333335E-3</v>
      </c>
      <c r="AI93" s="7">
        <f t="shared" si="491"/>
        <v>7.7083333333333335E-3</v>
      </c>
      <c r="AJ93" s="7">
        <f t="shared" si="484"/>
        <v>7.7083333333333335E-3</v>
      </c>
      <c r="AK93" s="7">
        <f t="shared" ref="AK93:AM93" si="492">AK90/12</f>
        <v>7.7083333333333335E-3</v>
      </c>
      <c r="AL93" s="7">
        <f t="shared" si="492"/>
        <v>7.7083333333333335E-3</v>
      </c>
      <c r="AM93" s="7">
        <f t="shared" si="492"/>
        <v>7.7083333333333335E-3</v>
      </c>
      <c r="AN93" s="7">
        <f t="shared" si="484"/>
        <v>7.7083333333333335E-3</v>
      </c>
      <c r="AO93" s="7">
        <f t="shared" ref="AO93:AQ93" si="493">AO90/12</f>
        <v>7.7083333333333335E-3</v>
      </c>
      <c r="AP93" s="7">
        <f t="shared" si="493"/>
        <v>7.7083333333333335E-3</v>
      </c>
      <c r="AQ93" s="7">
        <f t="shared" si="493"/>
        <v>7.7083333333333335E-3</v>
      </c>
      <c r="AR93" s="7">
        <f t="shared" si="484"/>
        <v>7.7083333333333335E-3</v>
      </c>
      <c r="AS93" s="28"/>
      <c r="AT93" s="28"/>
      <c r="AU93" s="28"/>
    </row>
    <row r="94" spans="2:47">
      <c r="B94" t="s">
        <v>33</v>
      </c>
      <c r="C94" s="57">
        <f>C92*12</f>
        <v>24</v>
      </c>
      <c r="D94" s="57"/>
      <c r="E94" s="57">
        <f>E92*12</f>
        <v>24</v>
      </c>
      <c r="F94" s="57">
        <f>F92*12</f>
        <v>24</v>
      </c>
      <c r="G94" s="57">
        <f>G92*12</f>
        <v>24</v>
      </c>
      <c r="H94" s="57">
        <f>H92*12</f>
        <v>24</v>
      </c>
      <c r="I94" s="57">
        <f t="shared" ref="I94:J94" si="494">I92*12</f>
        <v>24</v>
      </c>
      <c r="J94" s="57">
        <f t="shared" si="494"/>
        <v>24</v>
      </c>
      <c r="K94" s="57">
        <f t="shared" ref="K94" si="495">K92*12</f>
        <v>24</v>
      </c>
      <c r="L94" s="57">
        <f t="shared" ref="L94:AR94" si="496">L92*12</f>
        <v>24</v>
      </c>
      <c r="M94" s="57">
        <f t="shared" ref="M94:O94" si="497">M92*12</f>
        <v>24</v>
      </c>
      <c r="N94" s="57">
        <f t="shared" si="497"/>
        <v>24</v>
      </c>
      <c r="O94" s="57">
        <f t="shared" si="497"/>
        <v>24</v>
      </c>
      <c r="P94" s="57">
        <f t="shared" si="496"/>
        <v>24</v>
      </c>
      <c r="Q94" s="57">
        <f t="shared" ref="Q94:R94" si="498">Q92*12</f>
        <v>24</v>
      </c>
      <c r="R94" s="57">
        <f t="shared" si="498"/>
        <v>24</v>
      </c>
      <c r="S94" s="57">
        <f t="shared" ref="S94" si="499">S92*12</f>
        <v>24</v>
      </c>
      <c r="T94" s="57">
        <f t="shared" si="496"/>
        <v>24</v>
      </c>
      <c r="U94" s="57">
        <f t="shared" ref="U94:W94" si="500">U92*12</f>
        <v>24</v>
      </c>
      <c r="V94" s="57">
        <f t="shared" si="500"/>
        <v>24</v>
      </c>
      <c r="W94" s="57">
        <f t="shared" si="500"/>
        <v>24</v>
      </c>
      <c r="X94" s="57">
        <f t="shared" si="496"/>
        <v>24</v>
      </c>
      <c r="Y94" s="57">
        <f t="shared" ref="Y94:AA94" si="501">Y92*12</f>
        <v>24</v>
      </c>
      <c r="Z94" s="57">
        <f t="shared" si="501"/>
        <v>24</v>
      </c>
      <c r="AA94" s="57">
        <f t="shared" si="501"/>
        <v>24</v>
      </c>
      <c r="AB94" s="57">
        <f t="shared" si="496"/>
        <v>24</v>
      </c>
      <c r="AC94" s="57">
        <f t="shared" ref="AC94:AE94" si="502">AC92*12</f>
        <v>24</v>
      </c>
      <c r="AD94" s="57">
        <f t="shared" si="502"/>
        <v>24</v>
      </c>
      <c r="AE94" s="57">
        <f t="shared" si="502"/>
        <v>24</v>
      </c>
      <c r="AF94" s="57">
        <f t="shared" si="496"/>
        <v>24</v>
      </c>
      <c r="AG94" s="57">
        <f t="shared" ref="AG94:AI94" si="503">AG92*12</f>
        <v>24</v>
      </c>
      <c r="AH94" s="57">
        <f t="shared" si="503"/>
        <v>24</v>
      </c>
      <c r="AI94" s="57">
        <f t="shared" si="503"/>
        <v>24</v>
      </c>
      <c r="AJ94" s="57">
        <f t="shared" si="496"/>
        <v>24</v>
      </c>
      <c r="AK94" s="57">
        <f t="shared" ref="AK94:AM94" si="504">AK92*12</f>
        <v>24</v>
      </c>
      <c r="AL94" s="57">
        <f t="shared" si="504"/>
        <v>24</v>
      </c>
      <c r="AM94" s="57">
        <f t="shared" si="504"/>
        <v>24</v>
      </c>
      <c r="AN94" s="57">
        <f t="shared" si="496"/>
        <v>24</v>
      </c>
      <c r="AO94" s="57">
        <f t="shared" ref="AO94:AQ94" si="505">AO92*12</f>
        <v>24</v>
      </c>
      <c r="AP94" s="57">
        <f t="shared" si="505"/>
        <v>24</v>
      </c>
      <c r="AQ94" s="57">
        <f t="shared" si="505"/>
        <v>24</v>
      </c>
      <c r="AR94" s="57">
        <f t="shared" si="496"/>
        <v>24</v>
      </c>
      <c r="AS94" s="68"/>
      <c r="AT94" s="68"/>
      <c r="AU94" s="68"/>
    </row>
    <row r="95" spans="2:47">
      <c r="C95" s="4"/>
      <c r="D95" s="4"/>
      <c r="E95" s="4"/>
      <c r="F95" s="4"/>
      <c r="G95" s="4"/>
      <c r="H95" s="4"/>
      <c r="I95" s="4"/>
      <c r="J95" s="4"/>
      <c r="K95" s="4"/>
      <c r="L95" s="4"/>
      <c r="M95" s="4"/>
      <c r="AB95" s="4"/>
      <c r="AC95" s="4"/>
      <c r="AD95" s="4"/>
      <c r="AE95" s="4"/>
      <c r="AF95" s="4"/>
      <c r="AG95" s="4"/>
      <c r="AH95" s="4"/>
      <c r="AI95" s="4"/>
      <c r="AJ95" s="4"/>
      <c r="AK95" s="4"/>
      <c r="AL95" s="4"/>
      <c r="AM95" s="4"/>
      <c r="AN95" s="4"/>
      <c r="AO95" s="4"/>
      <c r="AP95" s="4"/>
      <c r="AQ95" s="4"/>
      <c r="AR95" s="4"/>
      <c r="AS95" s="64"/>
      <c r="AT95" s="64"/>
      <c r="AU95" s="64"/>
    </row>
    <row r="96" spans="2:47">
      <c r="B96" t="s">
        <v>17</v>
      </c>
      <c r="C96" s="59">
        <f>(1+C93)^C94</f>
        <v>1.2023652064037926</v>
      </c>
      <c r="D96" s="59"/>
      <c r="E96" s="59">
        <f>(1+E93)^E94</f>
        <v>1.2023652064037926</v>
      </c>
      <c r="F96" s="59">
        <f>(1+F93)^F94</f>
        <v>1.2023652064037926</v>
      </c>
      <c r="G96" s="59">
        <f>(1+G93)^G94</f>
        <v>1.2023652064037926</v>
      </c>
      <c r="H96" s="59">
        <f>(1+H93)^H94</f>
        <v>1.2023652064037926</v>
      </c>
      <c r="I96" s="59">
        <f t="shared" ref="I96:J96" si="506">(1+I93)^I94</f>
        <v>1.2023652064037926</v>
      </c>
      <c r="J96" s="59">
        <f t="shared" si="506"/>
        <v>1.2023652064037926</v>
      </c>
      <c r="K96" s="59">
        <f t="shared" ref="K96" si="507">(1+K93)^K94</f>
        <v>1.2023652064037926</v>
      </c>
      <c r="L96" s="59">
        <f t="shared" ref="L96:AR96" si="508">(1+L93)^L94</f>
        <v>1.2023652064037926</v>
      </c>
      <c r="M96" s="59">
        <f t="shared" ref="M96:O96" si="509">(1+M93)^M94</f>
        <v>1.2023652064037926</v>
      </c>
      <c r="N96" s="59">
        <f t="shared" si="509"/>
        <v>1.2023652064037926</v>
      </c>
      <c r="O96" s="59">
        <f t="shared" si="509"/>
        <v>1.2023652064037926</v>
      </c>
      <c r="P96" s="59">
        <f t="shared" si="508"/>
        <v>1.2023652064037926</v>
      </c>
      <c r="Q96" s="59">
        <f t="shared" ref="Q96:R96" si="510">(1+Q93)^Q94</f>
        <v>1.2023652064037926</v>
      </c>
      <c r="R96" s="59">
        <f t="shared" si="510"/>
        <v>1.2023652064037926</v>
      </c>
      <c r="S96" s="59">
        <f t="shared" ref="S96" si="511">(1+S93)^S94</f>
        <v>1.2023652064037926</v>
      </c>
      <c r="T96" s="59">
        <f t="shared" si="508"/>
        <v>1.2023652064037926</v>
      </c>
      <c r="U96" s="59">
        <f t="shared" ref="U96:W96" si="512">(1+U93)^U94</f>
        <v>1.2023652064037926</v>
      </c>
      <c r="V96" s="59">
        <f t="shared" si="512"/>
        <v>1.2023652064037926</v>
      </c>
      <c r="W96" s="59">
        <f t="shared" si="512"/>
        <v>1.2023652064037926</v>
      </c>
      <c r="X96" s="59">
        <f t="shared" si="508"/>
        <v>1.2023652064037926</v>
      </c>
      <c r="Y96" s="59">
        <f t="shared" ref="Y96:AA96" si="513">(1+Y93)^Y94</f>
        <v>1.2023652064037926</v>
      </c>
      <c r="Z96" s="59">
        <f t="shared" si="513"/>
        <v>1.2023652064037926</v>
      </c>
      <c r="AA96" s="59">
        <f t="shared" si="513"/>
        <v>1.2023652064037926</v>
      </c>
      <c r="AB96" s="59">
        <f t="shared" si="508"/>
        <v>1.2023652064037926</v>
      </c>
      <c r="AC96" s="59">
        <f t="shared" ref="AC96:AE96" si="514">(1+AC93)^AC94</f>
        <v>1.2023652064037926</v>
      </c>
      <c r="AD96" s="59">
        <f t="shared" si="514"/>
        <v>1.2023652064037926</v>
      </c>
      <c r="AE96" s="59">
        <f t="shared" si="514"/>
        <v>1.2023652064037926</v>
      </c>
      <c r="AF96" s="59">
        <f t="shared" si="508"/>
        <v>1.2023652064037926</v>
      </c>
      <c r="AG96" s="59">
        <f t="shared" ref="AG96:AI96" si="515">(1+AG93)^AG94</f>
        <v>1.2023652064037926</v>
      </c>
      <c r="AH96" s="59">
        <f t="shared" si="515"/>
        <v>1.2023652064037926</v>
      </c>
      <c r="AI96" s="59">
        <f t="shared" si="515"/>
        <v>1.2023652064037926</v>
      </c>
      <c r="AJ96" s="59">
        <f t="shared" si="508"/>
        <v>1.2023652064037926</v>
      </c>
      <c r="AK96" s="59">
        <f t="shared" ref="AK96:AM96" si="516">(1+AK93)^AK94</f>
        <v>1.2023652064037926</v>
      </c>
      <c r="AL96" s="59">
        <f t="shared" si="516"/>
        <v>1.2023652064037926</v>
      </c>
      <c r="AM96" s="59">
        <f t="shared" si="516"/>
        <v>1.2023652064037926</v>
      </c>
      <c r="AN96" s="59">
        <f t="shared" si="508"/>
        <v>1.2023652064037926</v>
      </c>
      <c r="AO96" s="59">
        <f t="shared" ref="AO96:AQ96" si="517">(1+AO93)^AO94</f>
        <v>1.2023652064037926</v>
      </c>
      <c r="AP96" s="59">
        <f t="shared" si="517"/>
        <v>1.2023652064037926</v>
      </c>
      <c r="AQ96" s="59">
        <f t="shared" si="517"/>
        <v>1.2023652064037926</v>
      </c>
      <c r="AR96" s="59">
        <f t="shared" si="508"/>
        <v>1.2023652064037926</v>
      </c>
      <c r="AS96" s="69"/>
      <c r="AT96" s="69"/>
      <c r="AU96" s="69"/>
    </row>
    <row r="97" spans="2:47">
      <c r="C97" s="60">
        <f>C96*C93</f>
        <v>9.2682317993625692E-3</v>
      </c>
      <c r="D97" s="60"/>
      <c r="E97" s="60">
        <f>E96*E93</f>
        <v>9.2682317993625692E-3</v>
      </c>
      <c r="F97" s="60">
        <f>F96*F93</f>
        <v>9.2682317993625692E-3</v>
      </c>
      <c r="G97" s="60">
        <f>G96*G93</f>
        <v>9.2682317993625692E-3</v>
      </c>
      <c r="H97" s="60">
        <f>H96*H93</f>
        <v>9.2682317993625692E-3</v>
      </c>
      <c r="I97" s="60">
        <f t="shared" ref="I97:J97" si="518">I96*I93</f>
        <v>9.2682317993625692E-3</v>
      </c>
      <c r="J97" s="60">
        <f t="shared" si="518"/>
        <v>9.2682317993625692E-3</v>
      </c>
      <c r="K97" s="60">
        <f t="shared" ref="K97" si="519">K96*K93</f>
        <v>9.2682317993625692E-3</v>
      </c>
      <c r="L97" s="60">
        <f t="shared" ref="L97:AR97" si="520">L96*L93</f>
        <v>9.2682317993625692E-3</v>
      </c>
      <c r="M97" s="60">
        <f t="shared" ref="M97:O97" si="521">M96*M93</f>
        <v>9.2682317993625692E-3</v>
      </c>
      <c r="N97" s="60">
        <f t="shared" si="521"/>
        <v>9.2682317993625692E-3</v>
      </c>
      <c r="O97" s="60">
        <f t="shared" si="521"/>
        <v>9.2682317993625692E-3</v>
      </c>
      <c r="P97" s="60">
        <f t="shared" si="520"/>
        <v>9.2682317993625692E-3</v>
      </c>
      <c r="Q97" s="60">
        <f t="shared" ref="Q97:R97" si="522">Q96*Q93</f>
        <v>9.2682317993625692E-3</v>
      </c>
      <c r="R97" s="60">
        <f t="shared" si="522"/>
        <v>9.2682317993625692E-3</v>
      </c>
      <c r="S97" s="60">
        <f t="shared" ref="S97" si="523">S96*S93</f>
        <v>9.2682317993625692E-3</v>
      </c>
      <c r="T97" s="60">
        <f t="shared" si="520"/>
        <v>9.2682317993625692E-3</v>
      </c>
      <c r="U97" s="60">
        <f t="shared" ref="U97:W97" si="524">U96*U93</f>
        <v>9.2682317993625692E-3</v>
      </c>
      <c r="V97" s="60">
        <f t="shared" si="524"/>
        <v>9.2682317993625692E-3</v>
      </c>
      <c r="W97" s="60">
        <f t="shared" si="524"/>
        <v>9.2682317993625692E-3</v>
      </c>
      <c r="X97" s="60">
        <f t="shared" si="520"/>
        <v>9.2682317993625692E-3</v>
      </c>
      <c r="Y97" s="60">
        <f t="shared" ref="Y97:AA97" si="525">Y96*Y93</f>
        <v>9.2682317993625692E-3</v>
      </c>
      <c r="Z97" s="60">
        <f t="shared" si="525"/>
        <v>9.2682317993625692E-3</v>
      </c>
      <c r="AA97" s="60">
        <f t="shared" si="525"/>
        <v>9.2682317993625692E-3</v>
      </c>
      <c r="AB97" s="60">
        <f t="shared" si="520"/>
        <v>9.2682317993625692E-3</v>
      </c>
      <c r="AC97" s="60">
        <f t="shared" ref="AC97:AE97" si="526">AC96*AC93</f>
        <v>9.2682317993625692E-3</v>
      </c>
      <c r="AD97" s="60">
        <f t="shared" si="526"/>
        <v>9.2682317993625692E-3</v>
      </c>
      <c r="AE97" s="60">
        <f t="shared" si="526"/>
        <v>9.2682317993625692E-3</v>
      </c>
      <c r="AF97" s="60">
        <f t="shared" si="520"/>
        <v>9.2682317993625692E-3</v>
      </c>
      <c r="AG97" s="60">
        <f t="shared" ref="AG97:AI97" si="527">AG96*AG93</f>
        <v>9.2682317993625692E-3</v>
      </c>
      <c r="AH97" s="60">
        <f t="shared" si="527"/>
        <v>9.2682317993625692E-3</v>
      </c>
      <c r="AI97" s="60">
        <f t="shared" si="527"/>
        <v>9.2682317993625692E-3</v>
      </c>
      <c r="AJ97" s="60">
        <f t="shared" si="520"/>
        <v>9.2682317993625692E-3</v>
      </c>
      <c r="AK97" s="60">
        <f t="shared" ref="AK97:AM97" si="528">AK96*AK93</f>
        <v>9.2682317993625692E-3</v>
      </c>
      <c r="AL97" s="60">
        <f t="shared" si="528"/>
        <v>9.2682317993625692E-3</v>
      </c>
      <c r="AM97" s="60">
        <f t="shared" si="528"/>
        <v>9.2682317993625692E-3</v>
      </c>
      <c r="AN97" s="60">
        <f t="shared" si="520"/>
        <v>9.2682317993625692E-3</v>
      </c>
      <c r="AO97" s="60">
        <f t="shared" ref="AO97:AQ97" si="529">AO96*AO93</f>
        <v>9.2682317993625692E-3</v>
      </c>
      <c r="AP97" s="60">
        <f t="shared" si="529"/>
        <v>9.2682317993625692E-3</v>
      </c>
      <c r="AQ97" s="60">
        <f t="shared" si="529"/>
        <v>9.2682317993625692E-3</v>
      </c>
      <c r="AR97" s="60">
        <f t="shared" si="520"/>
        <v>9.2682317993625692E-3</v>
      </c>
      <c r="AS97" s="70"/>
      <c r="AT97" s="70"/>
      <c r="AU97" s="70"/>
    </row>
    <row r="98" spans="2:47">
      <c r="C98" s="61">
        <f>C96-1</f>
        <v>0.20236520640379263</v>
      </c>
      <c r="D98" s="61"/>
      <c r="E98" s="61">
        <f>E96-1</f>
        <v>0.20236520640379263</v>
      </c>
      <c r="F98" s="61">
        <f>F96-1</f>
        <v>0.20236520640379263</v>
      </c>
      <c r="G98" s="61">
        <f>G96-1</f>
        <v>0.20236520640379263</v>
      </c>
      <c r="H98" s="61">
        <f>H96-1</f>
        <v>0.20236520640379263</v>
      </c>
      <c r="I98" s="61">
        <f t="shared" ref="I98:J98" si="530">I96-1</f>
        <v>0.20236520640379263</v>
      </c>
      <c r="J98" s="61">
        <f t="shared" si="530"/>
        <v>0.20236520640379263</v>
      </c>
      <c r="K98" s="61">
        <f t="shared" ref="K98" si="531">K96-1</f>
        <v>0.20236520640379263</v>
      </c>
      <c r="L98" s="61">
        <f t="shared" ref="L98:AR98" si="532">L96-1</f>
        <v>0.20236520640379263</v>
      </c>
      <c r="M98" s="61">
        <f t="shared" ref="M98:O98" si="533">M96-1</f>
        <v>0.20236520640379263</v>
      </c>
      <c r="N98" s="61">
        <f t="shared" si="533"/>
        <v>0.20236520640379263</v>
      </c>
      <c r="O98" s="61">
        <f t="shared" si="533"/>
        <v>0.20236520640379263</v>
      </c>
      <c r="P98" s="61">
        <f t="shared" si="532"/>
        <v>0.20236520640379263</v>
      </c>
      <c r="Q98" s="61">
        <f t="shared" ref="Q98:R98" si="534">Q96-1</f>
        <v>0.20236520640379263</v>
      </c>
      <c r="R98" s="61">
        <f t="shared" si="534"/>
        <v>0.20236520640379263</v>
      </c>
      <c r="S98" s="61">
        <f t="shared" ref="S98" si="535">S96-1</f>
        <v>0.20236520640379263</v>
      </c>
      <c r="T98" s="61">
        <f t="shared" si="532"/>
        <v>0.20236520640379263</v>
      </c>
      <c r="U98" s="61">
        <f t="shared" ref="U98:W98" si="536">U96-1</f>
        <v>0.20236520640379263</v>
      </c>
      <c r="V98" s="61">
        <f t="shared" si="536"/>
        <v>0.20236520640379263</v>
      </c>
      <c r="W98" s="61">
        <f t="shared" si="536"/>
        <v>0.20236520640379263</v>
      </c>
      <c r="X98" s="61">
        <f t="shared" si="532"/>
        <v>0.20236520640379263</v>
      </c>
      <c r="Y98" s="61">
        <f t="shared" ref="Y98:AA98" si="537">Y96-1</f>
        <v>0.20236520640379263</v>
      </c>
      <c r="Z98" s="61">
        <f t="shared" si="537"/>
        <v>0.20236520640379263</v>
      </c>
      <c r="AA98" s="61">
        <f t="shared" si="537"/>
        <v>0.20236520640379263</v>
      </c>
      <c r="AB98" s="61">
        <f t="shared" si="532"/>
        <v>0.20236520640379263</v>
      </c>
      <c r="AC98" s="61">
        <f t="shared" ref="AC98:AE98" si="538">AC96-1</f>
        <v>0.20236520640379263</v>
      </c>
      <c r="AD98" s="61">
        <f t="shared" si="538"/>
        <v>0.20236520640379263</v>
      </c>
      <c r="AE98" s="61">
        <f t="shared" si="538"/>
        <v>0.20236520640379263</v>
      </c>
      <c r="AF98" s="61">
        <f t="shared" si="532"/>
        <v>0.20236520640379263</v>
      </c>
      <c r="AG98" s="61">
        <f t="shared" ref="AG98:AI98" si="539">AG96-1</f>
        <v>0.20236520640379263</v>
      </c>
      <c r="AH98" s="61">
        <f t="shared" si="539"/>
        <v>0.20236520640379263</v>
      </c>
      <c r="AI98" s="61">
        <f t="shared" si="539"/>
        <v>0.20236520640379263</v>
      </c>
      <c r="AJ98" s="61">
        <f t="shared" si="532"/>
        <v>0.20236520640379263</v>
      </c>
      <c r="AK98" s="61">
        <f t="shared" ref="AK98:AM98" si="540">AK96-1</f>
        <v>0.20236520640379263</v>
      </c>
      <c r="AL98" s="61">
        <f t="shared" si="540"/>
        <v>0.20236520640379263</v>
      </c>
      <c r="AM98" s="61">
        <f t="shared" si="540"/>
        <v>0.20236520640379263</v>
      </c>
      <c r="AN98" s="61">
        <f t="shared" si="532"/>
        <v>0.20236520640379263</v>
      </c>
      <c r="AO98" s="61">
        <f t="shared" ref="AO98:AQ98" si="541">AO96-1</f>
        <v>0.20236520640379263</v>
      </c>
      <c r="AP98" s="61">
        <f t="shared" si="541"/>
        <v>0.20236520640379263</v>
      </c>
      <c r="AQ98" s="61">
        <f t="shared" si="541"/>
        <v>0.20236520640379263</v>
      </c>
      <c r="AR98" s="61">
        <f t="shared" si="532"/>
        <v>0.20236520640379263</v>
      </c>
      <c r="AS98" s="71"/>
      <c r="AT98" s="71"/>
      <c r="AU98" s="71"/>
    </row>
    <row r="99" spans="2:47">
      <c r="C99" s="61">
        <f>C97/C98</f>
        <v>4.5799532261830901E-2</v>
      </c>
      <c r="D99" s="61"/>
      <c r="E99" s="61">
        <f>E97/E98</f>
        <v>4.5799532261830901E-2</v>
      </c>
      <c r="F99" s="61">
        <f>F97/F98</f>
        <v>4.5799532261830901E-2</v>
      </c>
      <c r="G99" s="61">
        <f>G97/G98</f>
        <v>4.5799532261830901E-2</v>
      </c>
      <c r="H99" s="61">
        <f>H97/H98</f>
        <v>4.5799532261830901E-2</v>
      </c>
      <c r="I99" s="61">
        <f t="shared" ref="I99:J99" si="542">I97/I98</f>
        <v>4.5799532261830901E-2</v>
      </c>
      <c r="J99" s="61">
        <f t="shared" si="542"/>
        <v>4.5799532261830901E-2</v>
      </c>
      <c r="K99" s="61">
        <f t="shared" ref="K99" si="543">K97/K98</f>
        <v>4.5799532261830901E-2</v>
      </c>
      <c r="L99" s="61">
        <f t="shared" ref="L99:AR99" si="544">L97/L98</f>
        <v>4.5799532261830901E-2</v>
      </c>
      <c r="M99" s="61">
        <f t="shared" ref="M99:O99" si="545">M97/M98</f>
        <v>4.5799532261830901E-2</v>
      </c>
      <c r="N99" s="61">
        <f t="shared" si="545"/>
        <v>4.5799532261830901E-2</v>
      </c>
      <c r="O99" s="61">
        <f t="shared" si="545"/>
        <v>4.5799532261830901E-2</v>
      </c>
      <c r="P99" s="61">
        <f t="shared" si="544"/>
        <v>4.5799532261830901E-2</v>
      </c>
      <c r="Q99" s="61">
        <f t="shared" ref="Q99:R99" si="546">Q97/Q98</f>
        <v>4.5799532261830901E-2</v>
      </c>
      <c r="R99" s="61">
        <f t="shared" si="546"/>
        <v>4.5799532261830901E-2</v>
      </c>
      <c r="S99" s="61">
        <f t="shared" ref="S99" si="547">S97/S98</f>
        <v>4.5799532261830901E-2</v>
      </c>
      <c r="T99" s="61">
        <f t="shared" si="544"/>
        <v>4.5799532261830901E-2</v>
      </c>
      <c r="U99" s="61">
        <f t="shared" ref="U99:W99" si="548">U97/U98</f>
        <v>4.5799532261830901E-2</v>
      </c>
      <c r="V99" s="61">
        <f t="shared" si="548"/>
        <v>4.5799532261830901E-2</v>
      </c>
      <c r="W99" s="61">
        <f t="shared" si="548"/>
        <v>4.5799532261830901E-2</v>
      </c>
      <c r="X99" s="61">
        <f t="shared" si="544"/>
        <v>4.5799532261830901E-2</v>
      </c>
      <c r="Y99" s="61">
        <f t="shared" ref="Y99:AA99" si="549">Y97/Y98</f>
        <v>4.5799532261830901E-2</v>
      </c>
      <c r="Z99" s="61">
        <f t="shared" si="549"/>
        <v>4.5799532261830901E-2</v>
      </c>
      <c r="AA99" s="61">
        <f t="shared" si="549"/>
        <v>4.5799532261830901E-2</v>
      </c>
      <c r="AB99" s="61">
        <f t="shared" si="544"/>
        <v>4.5799532261830901E-2</v>
      </c>
      <c r="AC99" s="61">
        <f t="shared" ref="AC99:AE99" si="550">AC97/AC98</f>
        <v>4.5799532261830901E-2</v>
      </c>
      <c r="AD99" s="61">
        <f t="shared" si="550"/>
        <v>4.5799532261830901E-2</v>
      </c>
      <c r="AE99" s="61">
        <f t="shared" si="550"/>
        <v>4.5799532261830901E-2</v>
      </c>
      <c r="AF99" s="61">
        <f t="shared" si="544"/>
        <v>4.5799532261830901E-2</v>
      </c>
      <c r="AG99" s="61">
        <f t="shared" ref="AG99:AI99" si="551">AG97/AG98</f>
        <v>4.5799532261830901E-2</v>
      </c>
      <c r="AH99" s="61">
        <f t="shared" si="551"/>
        <v>4.5799532261830901E-2</v>
      </c>
      <c r="AI99" s="61">
        <f t="shared" si="551"/>
        <v>4.5799532261830901E-2</v>
      </c>
      <c r="AJ99" s="61">
        <f t="shared" si="544"/>
        <v>4.5799532261830901E-2</v>
      </c>
      <c r="AK99" s="61">
        <f t="shared" ref="AK99:AM99" si="552">AK97/AK98</f>
        <v>4.5799532261830901E-2</v>
      </c>
      <c r="AL99" s="61">
        <f t="shared" si="552"/>
        <v>4.5799532261830901E-2</v>
      </c>
      <c r="AM99" s="61">
        <f t="shared" si="552"/>
        <v>4.5799532261830901E-2</v>
      </c>
      <c r="AN99" s="61">
        <f t="shared" si="544"/>
        <v>4.5799532261830901E-2</v>
      </c>
      <c r="AO99" s="61">
        <f t="shared" ref="AO99:AQ99" si="553">AO97/AO98</f>
        <v>4.5799532261830901E-2</v>
      </c>
      <c r="AP99" s="61">
        <f t="shared" si="553"/>
        <v>4.5799532261830901E-2</v>
      </c>
      <c r="AQ99" s="61">
        <f t="shared" si="553"/>
        <v>4.5799532261830901E-2</v>
      </c>
      <c r="AR99" s="61">
        <f t="shared" si="544"/>
        <v>4.5799532261830901E-2</v>
      </c>
      <c r="AS99" s="71"/>
      <c r="AT99" s="71"/>
      <c r="AU99" s="71"/>
    </row>
    <row r="100" spans="2:47" s="51" customFormat="1">
      <c r="B100" s="51" t="s">
        <v>17</v>
      </c>
      <c r="C100" s="54">
        <f>C99*C89</f>
        <v>5332.9738691213597</v>
      </c>
      <c r="D100" s="54"/>
      <c r="E100" s="54">
        <f>E99*E89</f>
        <v>1275.9940519530514</v>
      </c>
      <c r="F100" s="54">
        <f>F99*F89</f>
        <v>2780.9857652152573</v>
      </c>
      <c r="G100" s="54">
        <f>G99*G89</f>
        <v>3827.9821558591539</v>
      </c>
      <c r="H100" s="54">
        <f>H99*H89</f>
        <v>5332.9738691213597</v>
      </c>
      <c r="I100" s="54">
        <f t="shared" ref="I100:J100" si="554">I99*I89</f>
        <v>6379.9702597652567</v>
      </c>
      <c r="J100" s="54">
        <f t="shared" si="554"/>
        <v>7884.9619730274626</v>
      </c>
      <c r="K100" s="54">
        <f t="shared" ref="K100" si="555">K99*K89</f>
        <v>8931.9583636713596</v>
      </c>
      <c r="L100" s="54">
        <f t="shared" ref="L100:AR100" si="556">L99*L89</f>
        <v>10436.950076933566</v>
      </c>
      <c r="M100" s="54">
        <f t="shared" ref="M100:O100" si="557">M99*M89</f>
        <v>11483.946467577462</v>
      </c>
      <c r="N100" s="54">
        <f t="shared" si="557"/>
        <v>12988.938180839668</v>
      </c>
      <c r="O100" s="54">
        <f t="shared" si="557"/>
        <v>14035.934571483564</v>
      </c>
      <c r="P100" s="54">
        <f t="shared" si="556"/>
        <v>15540.92628474577</v>
      </c>
      <c r="Q100" s="54">
        <f t="shared" ref="Q100:R100" si="558">Q99*Q89</f>
        <v>16587.922675389669</v>
      </c>
      <c r="R100" s="54">
        <f t="shared" si="558"/>
        <v>18092.914388651872</v>
      </c>
      <c r="S100" s="54">
        <f t="shared" ref="S100" si="559">S99*S89</f>
        <v>19139.910779295769</v>
      </c>
      <c r="T100" s="54">
        <f t="shared" si="556"/>
        <v>20644.902492557976</v>
      </c>
      <c r="U100" s="54">
        <f t="shared" ref="U100:W100" si="560">U99*U89</f>
        <v>21691.898883201873</v>
      </c>
      <c r="V100" s="54">
        <f t="shared" si="560"/>
        <v>23196.89059646408</v>
      </c>
      <c r="W100" s="54">
        <f t="shared" si="560"/>
        <v>24243.886987107973</v>
      </c>
      <c r="X100" s="54">
        <f t="shared" si="556"/>
        <v>25748.878700370184</v>
      </c>
      <c r="Y100" s="54">
        <f t="shared" ref="Y100:AA100" si="561">Y99*Y89</f>
        <v>26795.875091014077</v>
      </c>
      <c r="Z100" s="54">
        <f t="shared" si="561"/>
        <v>28300.866804276284</v>
      </c>
      <c r="AA100" s="54">
        <f t="shared" si="561"/>
        <v>29347.863194920181</v>
      </c>
      <c r="AB100" s="54">
        <f t="shared" si="556"/>
        <v>30852.854908182388</v>
      </c>
      <c r="AC100" s="54">
        <f t="shared" ref="AC100:AE100" si="562">AC99*AC89</f>
        <v>31899.851298826281</v>
      </c>
      <c r="AD100" s="54">
        <f t="shared" si="562"/>
        <v>33404.843012088488</v>
      </c>
      <c r="AE100" s="54">
        <f t="shared" si="562"/>
        <v>34451.839402732388</v>
      </c>
      <c r="AF100" s="54">
        <f t="shared" si="556"/>
        <v>35956.831115994588</v>
      </c>
      <c r="AG100" s="54">
        <f t="shared" ref="AG100:AI100" si="563">AG99*AG89</f>
        <v>37003.827506638489</v>
      </c>
      <c r="AH100" s="54">
        <f t="shared" si="563"/>
        <v>38508.819219900695</v>
      </c>
      <c r="AI100" s="54">
        <f t="shared" si="563"/>
        <v>39555.815610544589</v>
      </c>
      <c r="AJ100" s="54">
        <f t="shared" si="556"/>
        <v>41060.807323806795</v>
      </c>
      <c r="AK100" s="54">
        <f t="shared" ref="AK100:AM100" si="564">AK99*AK89</f>
        <v>42107.803714450696</v>
      </c>
      <c r="AL100" s="54">
        <f t="shared" si="564"/>
        <v>43612.795427712896</v>
      </c>
      <c r="AM100" s="54">
        <f t="shared" si="564"/>
        <v>44659.791818356796</v>
      </c>
      <c r="AN100" s="54">
        <f t="shared" si="556"/>
        <v>46164.783531619003</v>
      </c>
      <c r="AO100" s="54">
        <f t="shared" ref="AO100:AQ100" si="565">AO99*AO89</f>
        <v>47211.779922262896</v>
      </c>
      <c r="AP100" s="54">
        <f t="shared" si="565"/>
        <v>48716.771635525103</v>
      </c>
      <c r="AQ100" s="54">
        <f t="shared" si="565"/>
        <v>49763.768026169004</v>
      </c>
      <c r="AR100" s="54">
        <f t="shared" si="556"/>
        <v>51268.759739431211</v>
      </c>
      <c r="AS100" s="64"/>
      <c r="AT100" s="64"/>
      <c r="AU100" s="64"/>
    </row>
    <row r="101" spans="2:47">
      <c r="C101" s="4"/>
      <c r="D101" s="4"/>
      <c r="E101" s="4"/>
      <c r="F101" s="4"/>
      <c r="G101" s="4"/>
      <c r="H101" s="4"/>
      <c r="I101" s="4"/>
      <c r="J101" s="4"/>
      <c r="K101" s="4"/>
      <c r="L101" s="4"/>
      <c r="M101" s="4"/>
      <c r="AB101" s="4"/>
      <c r="AC101" s="4"/>
      <c r="AD101" s="4"/>
      <c r="AE101" s="4"/>
      <c r="AF101" s="4"/>
      <c r="AG101" s="4"/>
      <c r="AH101" s="4"/>
      <c r="AI101" s="4"/>
      <c r="AJ101" s="4"/>
      <c r="AK101" s="4"/>
      <c r="AL101" s="4"/>
      <c r="AM101" s="4"/>
      <c r="AN101" s="4"/>
      <c r="AO101" s="4"/>
      <c r="AP101" s="4"/>
      <c r="AQ101" s="4"/>
      <c r="AR101" s="4"/>
      <c r="AS101" s="64"/>
      <c r="AT101" s="64"/>
      <c r="AU101" s="64"/>
    </row>
    <row r="102" spans="2:47">
      <c r="B102" t="s">
        <v>34</v>
      </c>
      <c r="C102" s="4">
        <f>C82-C83</f>
        <v>27991.372858912626</v>
      </c>
      <c r="D102" s="4"/>
      <c r="E102" s="4">
        <f>E82-E83</f>
        <v>5623.8572468732345</v>
      </c>
      <c r="F102" s="4">
        <f>F82-F83</f>
        <v>16743.658365166179</v>
      </c>
      <c r="G102" s="4">
        <f>G82-G83</f>
        <v>16871.571740619693</v>
      </c>
      <c r="H102" s="4">
        <f>H82-H83</f>
        <v>27991.372858912626</v>
      </c>
      <c r="I102" s="4">
        <f t="shared" ref="I102:J102" si="566">I82-I83</f>
        <v>28119.286234366155</v>
      </c>
      <c r="J102" s="4">
        <f t="shared" si="566"/>
        <v>39239.087352659088</v>
      </c>
      <c r="K102" s="4">
        <f t="shared" ref="K102" si="567">K82-K83</f>
        <v>39367.000728112645</v>
      </c>
      <c r="L102" s="4">
        <f t="shared" ref="L102:AR102" si="568">L82-L83</f>
        <v>50486.801846405608</v>
      </c>
      <c r="M102" s="4">
        <f t="shared" ref="M102:O102" si="569">M82-M83</f>
        <v>50614.715221859049</v>
      </c>
      <c r="N102" s="4">
        <f t="shared" si="569"/>
        <v>61734.516340152011</v>
      </c>
      <c r="O102" s="4">
        <f t="shared" si="569"/>
        <v>61862.429715605511</v>
      </c>
      <c r="P102" s="4">
        <f t="shared" si="568"/>
        <v>72982.230833898473</v>
      </c>
      <c r="Q102" s="4">
        <f t="shared" ref="Q102:R102" si="570">Q82-Q83</f>
        <v>73110.144209352089</v>
      </c>
      <c r="R102" s="4">
        <f t="shared" si="570"/>
        <v>84229.945327644935</v>
      </c>
      <c r="S102" s="4">
        <f t="shared" ref="S102" si="571">S82-S83</f>
        <v>84357.858703098493</v>
      </c>
      <c r="T102" s="4">
        <f t="shared" si="568"/>
        <v>95477.659821391455</v>
      </c>
      <c r="U102" s="4">
        <f t="shared" ref="U102:W102" si="572">U82-U83</f>
        <v>95605.573196844955</v>
      </c>
      <c r="V102" s="4">
        <f t="shared" si="572"/>
        <v>106725.37431513797</v>
      </c>
      <c r="W102" s="4">
        <f t="shared" si="572"/>
        <v>106853.2876905913</v>
      </c>
      <c r="X102" s="4">
        <f t="shared" si="568"/>
        <v>117973.08880888438</v>
      </c>
      <c r="Y102" s="4">
        <f t="shared" ref="Y102:AA102" si="573">Y82-Y83</f>
        <v>118101.00218433782</v>
      </c>
      <c r="Z102" s="4">
        <f t="shared" si="573"/>
        <v>129220.80330263078</v>
      </c>
      <c r="AA102" s="4">
        <f t="shared" si="573"/>
        <v>129348.71667808434</v>
      </c>
      <c r="AB102" s="4">
        <f t="shared" si="568"/>
        <v>140468.5177963773</v>
      </c>
      <c r="AC102" s="4">
        <f t="shared" ref="AC102:AE102" si="574">AC82-AC83</f>
        <v>140596.43117183074</v>
      </c>
      <c r="AD102" s="4">
        <f t="shared" si="574"/>
        <v>151716.23229012371</v>
      </c>
      <c r="AE102" s="4">
        <f t="shared" si="574"/>
        <v>151844.14566557738</v>
      </c>
      <c r="AF102" s="4">
        <f t="shared" si="568"/>
        <v>162963.94678387011</v>
      </c>
      <c r="AG102" s="4">
        <f t="shared" ref="AG102:AI102" si="575">AG82-AG83</f>
        <v>163091.86015932378</v>
      </c>
      <c r="AH102" s="4">
        <f t="shared" si="575"/>
        <v>174211.66127761663</v>
      </c>
      <c r="AI102" s="4">
        <f t="shared" si="575"/>
        <v>174339.57465307019</v>
      </c>
      <c r="AJ102" s="4">
        <f t="shared" si="568"/>
        <v>185459.37577136303</v>
      </c>
      <c r="AK102" s="4">
        <f t="shared" ref="AK102:AM102" si="576">AK82-AK83</f>
        <v>185587.28914681671</v>
      </c>
      <c r="AL102" s="4">
        <f t="shared" si="576"/>
        <v>196707.09026510944</v>
      </c>
      <c r="AM102" s="4">
        <f t="shared" si="576"/>
        <v>196835.00364056323</v>
      </c>
      <c r="AN102" s="4">
        <f t="shared" si="568"/>
        <v>207954.80475885607</v>
      </c>
      <c r="AO102" s="4">
        <f t="shared" ref="AO102:AQ102" si="577">AO82-AO83</f>
        <v>208082.71813430963</v>
      </c>
      <c r="AP102" s="4">
        <f t="shared" si="577"/>
        <v>219202.51925260248</v>
      </c>
      <c r="AQ102" s="4">
        <f t="shared" si="577"/>
        <v>219330.43262805603</v>
      </c>
      <c r="AR102" s="4">
        <f t="shared" si="568"/>
        <v>230450.23374634911</v>
      </c>
      <c r="AS102" s="64"/>
      <c r="AT102" s="64"/>
      <c r="AU102" s="64"/>
    </row>
    <row r="103" spans="2:47">
      <c r="B103" t="s">
        <v>35</v>
      </c>
      <c r="C103" s="7">
        <f>C102/C82</f>
        <v>0.21869734056035214</v>
      </c>
      <c r="D103" s="7"/>
      <c r="E103" s="7">
        <f>E102/E82</f>
        <v>0.1836430075263443</v>
      </c>
      <c r="F103" s="7">
        <f>F102/F82</f>
        <v>0.25086515745898597</v>
      </c>
      <c r="G103" s="7">
        <f>G102/G82</f>
        <v>0.18364300752634419</v>
      </c>
      <c r="H103" s="7">
        <f>H102/H82</f>
        <v>0.21869734056035214</v>
      </c>
      <c r="I103" s="7">
        <f t="shared" ref="I103:J103" si="578">I102/I82</f>
        <v>0.18364300752634419</v>
      </c>
      <c r="J103" s="7">
        <f t="shared" si="578"/>
        <v>0.2073519160422421</v>
      </c>
      <c r="K103" s="7">
        <f t="shared" ref="K103" si="579">K102/K82</f>
        <v>0.1836430075263443</v>
      </c>
      <c r="L103" s="7">
        <f t="shared" ref="L103:AR103" si="580">L102/L82</f>
        <v>0.20155473851018818</v>
      </c>
      <c r="M103" s="7">
        <f t="shared" ref="M103:O103" si="581">M102/M82</f>
        <v>0.1836430075263441</v>
      </c>
      <c r="N103" s="7">
        <f t="shared" si="581"/>
        <v>0.19803554981633736</v>
      </c>
      <c r="O103" s="7">
        <f t="shared" si="581"/>
        <v>0.18364300752634413</v>
      </c>
      <c r="P103" s="7">
        <f t="shared" si="580"/>
        <v>0.1956721387791793</v>
      </c>
      <c r="Q103" s="7">
        <f t="shared" ref="Q103:R103" si="582">Q102/Q82</f>
        <v>0.18364300752634438</v>
      </c>
      <c r="R103" s="7">
        <f t="shared" si="582"/>
        <v>0.19397544143135928</v>
      </c>
      <c r="S103" s="7">
        <f t="shared" ref="S103" si="583">S102/S82</f>
        <v>0.18364300752634424</v>
      </c>
      <c r="T103" s="7">
        <f t="shared" si="580"/>
        <v>0.19269821338828677</v>
      </c>
      <c r="U103" s="7">
        <f t="shared" ref="U103:W103" si="584">U102/U82</f>
        <v>0.18364300752634424</v>
      </c>
      <c r="V103" s="7">
        <f t="shared" si="584"/>
        <v>0.19170201186972555</v>
      </c>
      <c r="W103" s="7">
        <f t="shared" si="584"/>
        <v>0.18364300752634408</v>
      </c>
      <c r="X103" s="7">
        <f t="shared" si="580"/>
        <v>0.19090327871116888</v>
      </c>
      <c r="Y103" s="7">
        <f t="shared" ref="Y103:AA103" si="585">Y102/Y82</f>
        <v>0.18364300752634416</v>
      </c>
      <c r="Z103" s="7">
        <f t="shared" si="585"/>
        <v>0.19024859467541325</v>
      </c>
      <c r="AA103" s="7">
        <f t="shared" si="585"/>
        <v>0.18364300752634422</v>
      </c>
      <c r="AB103" s="7">
        <f t="shared" si="580"/>
        <v>0.1897022147739777</v>
      </c>
      <c r="AC103" s="7">
        <f t="shared" ref="AC103:AE103" si="586">AC102/AC82</f>
        <v>0.18364300752634416</v>
      </c>
      <c r="AD103" s="7">
        <f t="shared" si="586"/>
        <v>0.18923931707948866</v>
      </c>
      <c r="AE103" s="7">
        <f t="shared" si="586"/>
        <v>0.18364300752634433</v>
      </c>
      <c r="AF103" s="7">
        <f t="shared" si="580"/>
        <v>0.18884212647725426</v>
      </c>
      <c r="AG103" s="7">
        <f t="shared" ref="AG103:AI103" si="587">AG102/AG82</f>
        <v>0.18364300752634427</v>
      </c>
      <c r="AH103" s="7">
        <f t="shared" si="587"/>
        <v>0.18849757969596379</v>
      </c>
      <c r="AI103" s="7">
        <f t="shared" si="587"/>
        <v>0.18364300752634422</v>
      </c>
      <c r="AJ103" s="7">
        <f t="shared" si="580"/>
        <v>0.18819586106854552</v>
      </c>
      <c r="AK103" s="7">
        <f t="shared" ref="AK103:AM103" si="588">AK102/AK82</f>
        <v>0.18364300752634427</v>
      </c>
      <c r="AL103" s="7">
        <f t="shared" si="588"/>
        <v>0.18792945236980058</v>
      </c>
      <c r="AM103" s="7">
        <f t="shared" si="588"/>
        <v>0.1836430075263443</v>
      </c>
      <c r="AN103" s="7">
        <f t="shared" si="580"/>
        <v>0.18769249780375019</v>
      </c>
      <c r="AO103" s="7">
        <f t="shared" ref="AO103:AQ103" si="589">AO102/AO82</f>
        <v>0.18364300752634424</v>
      </c>
      <c r="AP103" s="7">
        <f t="shared" si="589"/>
        <v>0.18748036857868289</v>
      </c>
      <c r="AQ103" s="7">
        <f t="shared" si="589"/>
        <v>0.18364300752634422</v>
      </c>
      <c r="AR103" s="7">
        <f t="shared" si="580"/>
        <v>0.18728935752622664</v>
      </c>
      <c r="AS103" s="28"/>
      <c r="AT103" s="28"/>
      <c r="AU103" s="28"/>
    </row>
    <row r="107" spans="2:47" ht="21">
      <c r="B107" s="53" t="s">
        <v>1</v>
      </c>
    </row>
    <row r="108" spans="2:47">
      <c r="B108" t="s">
        <v>25</v>
      </c>
      <c r="C108" s="4">
        <f>C126*C120</f>
        <v>174984.10851028329</v>
      </c>
      <c r="D108" s="4"/>
      <c r="E108" s="4">
        <f>E126*E120</f>
        <v>28780.281004980803</v>
      </c>
      <c r="F108" s="4">
        <f>F126*F120</f>
        <v>57560.562009961606</v>
      </c>
      <c r="G108" s="4">
        <f>G126*G120</f>
        <v>86340.843014942424</v>
      </c>
      <c r="H108" s="4">
        <f>H126*H120</f>
        <v>115121.12401992321</v>
      </c>
      <c r="I108" s="4">
        <f t="shared" ref="I108:J108" si="590">I126*I120</f>
        <v>143901.40502490403</v>
      </c>
      <c r="J108" s="4">
        <f t="shared" si="590"/>
        <v>172681.68602988485</v>
      </c>
      <c r="K108" s="4">
        <f t="shared" ref="K108" si="591">K126*K120</f>
        <v>201461.96703486564</v>
      </c>
      <c r="L108" s="4">
        <f t="shared" ref="L108:AR108" si="592">L126*L120</f>
        <v>230242.24803984642</v>
      </c>
      <c r="M108" s="4">
        <f t="shared" ref="M108:O108" si="593">M126*M120</f>
        <v>259022.52904482721</v>
      </c>
      <c r="N108" s="4">
        <f t="shared" si="593"/>
        <v>287802.81004980806</v>
      </c>
      <c r="O108" s="4">
        <f t="shared" si="593"/>
        <v>316583.09105478891</v>
      </c>
      <c r="P108" s="4">
        <f t="shared" si="592"/>
        <v>345363.3720597697</v>
      </c>
      <c r="Q108" s="4">
        <f t="shared" ref="Q108:R108" si="594">Q126*Q120</f>
        <v>374143.65306475048</v>
      </c>
      <c r="R108" s="4">
        <f t="shared" si="594"/>
        <v>402923.93406973127</v>
      </c>
      <c r="S108" s="4">
        <f t="shared" ref="S108" si="595">S126*S120</f>
        <v>431704.21507471206</v>
      </c>
      <c r="T108" s="4">
        <f t="shared" si="592"/>
        <v>460484.49607969285</v>
      </c>
      <c r="U108" s="4">
        <f t="shared" ref="U108:W108" si="596">U126*U120</f>
        <v>489264.7770846737</v>
      </c>
      <c r="V108" s="4">
        <f t="shared" si="596"/>
        <v>518045.05808965443</v>
      </c>
      <c r="W108" s="4">
        <f t="shared" si="596"/>
        <v>546825.33909463533</v>
      </c>
      <c r="X108" s="4">
        <f t="shared" si="592"/>
        <v>575605.62009961612</v>
      </c>
      <c r="Y108" s="4">
        <f t="shared" ref="Y108:AA108" si="597">Y126*Y120</f>
        <v>604385.90110459691</v>
      </c>
      <c r="Z108" s="4">
        <f t="shared" si="597"/>
        <v>633166.18210957781</v>
      </c>
      <c r="AA108" s="4">
        <f t="shared" si="597"/>
        <v>661946.46311455849</v>
      </c>
      <c r="AB108" s="4">
        <f t="shared" si="592"/>
        <v>690726.74411953939</v>
      </c>
      <c r="AC108" s="4">
        <f t="shared" ref="AC108:AE108" si="598">AC126*AC120</f>
        <v>719507.02512452006</v>
      </c>
      <c r="AD108" s="4">
        <f t="shared" si="598"/>
        <v>748287.30612950097</v>
      </c>
      <c r="AE108" s="4">
        <f t="shared" si="598"/>
        <v>777067.58713448176</v>
      </c>
      <c r="AF108" s="4">
        <f t="shared" si="592"/>
        <v>805847.86813946255</v>
      </c>
      <c r="AG108" s="4">
        <f t="shared" ref="AG108:AI108" si="599">AG126*AG120</f>
        <v>834628.14914444333</v>
      </c>
      <c r="AH108" s="4">
        <f t="shared" si="599"/>
        <v>863408.43014942412</v>
      </c>
      <c r="AI108" s="4">
        <f t="shared" si="599"/>
        <v>892188.71115440503</v>
      </c>
      <c r="AJ108" s="4">
        <f t="shared" si="592"/>
        <v>920968.9921593857</v>
      </c>
      <c r="AK108" s="4">
        <f t="shared" ref="AK108:AM108" si="600">AK126*AK120</f>
        <v>949749.2731643666</v>
      </c>
      <c r="AL108" s="4">
        <f t="shared" si="600"/>
        <v>978529.55416934739</v>
      </c>
      <c r="AM108" s="4">
        <f t="shared" si="600"/>
        <v>1007309.8351743282</v>
      </c>
      <c r="AN108" s="4">
        <f t="shared" si="592"/>
        <v>1036090.1161793089</v>
      </c>
      <c r="AO108" s="4">
        <f t="shared" ref="AO108:AQ108" si="601">AO126*AO120</f>
        <v>1064870.3971842898</v>
      </c>
      <c r="AP108" s="4">
        <f t="shared" si="601"/>
        <v>1093650.6781892707</v>
      </c>
      <c r="AQ108" s="4">
        <f t="shared" si="601"/>
        <v>1122430.9591942513</v>
      </c>
      <c r="AR108" s="4">
        <f t="shared" si="592"/>
        <v>1151211.2401992322</v>
      </c>
      <c r="AS108" s="64"/>
      <c r="AT108" s="64"/>
      <c r="AU108" s="64"/>
    </row>
    <row r="109" spans="2:47" s="51" customFormat="1">
      <c r="B109" s="51" t="s">
        <v>26</v>
      </c>
      <c r="C109" s="54">
        <f>'DATA ENTRY'!C5</f>
        <v>152000</v>
      </c>
      <c r="D109" s="54"/>
      <c r="E109" s="54">
        <v>25000</v>
      </c>
      <c r="F109" s="54">
        <v>50000</v>
      </c>
      <c r="G109" s="54">
        <v>75000</v>
      </c>
      <c r="H109" s="54">
        <v>100000</v>
      </c>
      <c r="I109" s="54">
        <v>125000</v>
      </c>
      <c r="J109" s="54">
        <v>150000</v>
      </c>
      <c r="K109" s="54">
        <v>175000</v>
      </c>
      <c r="L109" s="54">
        <v>200000</v>
      </c>
      <c r="M109" s="54">
        <v>225000</v>
      </c>
      <c r="N109" s="54">
        <v>250000</v>
      </c>
      <c r="O109" s="54">
        <v>275000</v>
      </c>
      <c r="P109" s="54">
        <v>300000</v>
      </c>
      <c r="Q109" s="54">
        <v>325000</v>
      </c>
      <c r="R109" s="54">
        <v>350000</v>
      </c>
      <c r="S109" s="54">
        <v>375000</v>
      </c>
      <c r="T109" s="54">
        <v>400000</v>
      </c>
      <c r="U109" s="54">
        <v>425000</v>
      </c>
      <c r="V109" s="54">
        <v>450000</v>
      </c>
      <c r="W109" s="54">
        <v>475000</v>
      </c>
      <c r="X109" s="54">
        <v>500000</v>
      </c>
      <c r="Y109" s="54">
        <v>525000</v>
      </c>
      <c r="Z109" s="54">
        <v>550000</v>
      </c>
      <c r="AA109" s="54">
        <v>575000</v>
      </c>
      <c r="AB109" s="54">
        <v>600000</v>
      </c>
      <c r="AC109" s="54">
        <v>625000</v>
      </c>
      <c r="AD109" s="54">
        <v>650000</v>
      </c>
      <c r="AE109" s="54">
        <v>675000</v>
      </c>
      <c r="AF109" s="54">
        <v>700000</v>
      </c>
      <c r="AG109" s="54">
        <v>725000</v>
      </c>
      <c r="AH109" s="54">
        <v>750000</v>
      </c>
      <c r="AI109" s="54">
        <v>775000</v>
      </c>
      <c r="AJ109" s="54">
        <v>800000</v>
      </c>
      <c r="AK109" s="54">
        <v>825000</v>
      </c>
      <c r="AL109" s="54">
        <v>850000</v>
      </c>
      <c r="AM109" s="54">
        <v>875000</v>
      </c>
      <c r="AN109" s="54">
        <v>900000</v>
      </c>
      <c r="AO109" s="54">
        <v>925000</v>
      </c>
      <c r="AP109" s="54">
        <v>950000</v>
      </c>
      <c r="AQ109" s="54">
        <v>975000</v>
      </c>
      <c r="AR109" s="54">
        <v>1000000</v>
      </c>
      <c r="AS109" s="64"/>
      <c r="AT109" s="64"/>
      <c r="AU109" s="64"/>
    </row>
    <row r="110" spans="2:47">
      <c r="B110" t="s">
        <v>27</v>
      </c>
      <c r="C110" s="4">
        <f t="shared" ref="C110:AR110" si="602">C109*0.07</f>
        <v>10640.000000000002</v>
      </c>
      <c r="D110" s="4"/>
      <c r="E110" s="4">
        <f t="shared" si="602"/>
        <v>1750.0000000000002</v>
      </c>
      <c r="F110" s="4">
        <f t="shared" si="602"/>
        <v>3500.0000000000005</v>
      </c>
      <c r="G110" s="4">
        <f t="shared" si="602"/>
        <v>5250.0000000000009</v>
      </c>
      <c r="H110" s="4">
        <f t="shared" si="602"/>
        <v>7000.0000000000009</v>
      </c>
      <c r="I110" s="4">
        <f t="shared" si="602"/>
        <v>8750</v>
      </c>
      <c r="J110" s="4">
        <f t="shared" si="602"/>
        <v>10500.000000000002</v>
      </c>
      <c r="K110" s="4">
        <f t="shared" si="602"/>
        <v>12250.000000000002</v>
      </c>
      <c r="L110" s="4">
        <f t="shared" si="602"/>
        <v>14000.000000000002</v>
      </c>
      <c r="M110" s="4">
        <f t="shared" si="602"/>
        <v>15750.000000000002</v>
      </c>
      <c r="N110" s="4">
        <f t="shared" si="602"/>
        <v>17500</v>
      </c>
      <c r="O110" s="4">
        <f t="shared" si="602"/>
        <v>19250.000000000004</v>
      </c>
      <c r="P110" s="4">
        <f t="shared" si="602"/>
        <v>21000.000000000004</v>
      </c>
      <c r="Q110" s="4">
        <f t="shared" si="602"/>
        <v>22750.000000000004</v>
      </c>
      <c r="R110" s="4">
        <f t="shared" si="602"/>
        <v>24500.000000000004</v>
      </c>
      <c r="S110" s="4">
        <f t="shared" si="602"/>
        <v>26250.000000000004</v>
      </c>
      <c r="T110" s="4">
        <f t="shared" si="602"/>
        <v>28000.000000000004</v>
      </c>
      <c r="U110" s="4">
        <f t="shared" si="602"/>
        <v>29750.000000000004</v>
      </c>
      <c r="V110" s="4">
        <f t="shared" si="602"/>
        <v>31500.000000000004</v>
      </c>
      <c r="W110" s="4">
        <f t="shared" si="602"/>
        <v>33250</v>
      </c>
      <c r="X110" s="4">
        <f t="shared" si="602"/>
        <v>35000</v>
      </c>
      <c r="Y110" s="4">
        <f t="shared" si="602"/>
        <v>36750</v>
      </c>
      <c r="Z110" s="4">
        <f t="shared" si="602"/>
        <v>38500.000000000007</v>
      </c>
      <c r="AA110" s="4">
        <f t="shared" si="602"/>
        <v>40250.000000000007</v>
      </c>
      <c r="AB110" s="4">
        <f t="shared" si="602"/>
        <v>42000.000000000007</v>
      </c>
      <c r="AC110" s="4">
        <f t="shared" si="602"/>
        <v>43750.000000000007</v>
      </c>
      <c r="AD110" s="4">
        <f t="shared" si="602"/>
        <v>45500.000000000007</v>
      </c>
      <c r="AE110" s="4">
        <f t="shared" si="602"/>
        <v>47250.000000000007</v>
      </c>
      <c r="AF110" s="4">
        <f t="shared" si="602"/>
        <v>49000.000000000007</v>
      </c>
      <c r="AG110" s="4">
        <f t="shared" si="602"/>
        <v>50750.000000000007</v>
      </c>
      <c r="AH110" s="4">
        <f t="shared" si="602"/>
        <v>52500.000000000007</v>
      </c>
      <c r="AI110" s="4">
        <f t="shared" si="602"/>
        <v>54250.000000000007</v>
      </c>
      <c r="AJ110" s="4">
        <f t="shared" si="602"/>
        <v>56000.000000000007</v>
      </c>
      <c r="AK110" s="4">
        <f t="shared" si="602"/>
        <v>57750.000000000007</v>
      </c>
      <c r="AL110" s="4">
        <f t="shared" si="602"/>
        <v>59500.000000000007</v>
      </c>
      <c r="AM110" s="4">
        <f t="shared" si="602"/>
        <v>61250.000000000007</v>
      </c>
      <c r="AN110" s="4">
        <f t="shared" si="602"/>
        <v>63000.000000000007</v>
      </c>
      <c r="AO110" s="4">
        <f t="shared" si="602"/>
        <v>64750.000000000007</v>
      </c>
      <c r="AP110" s="4">
        <f t="shared" si="602"/>
        <v>66500</v>
      </c>
      <c r="AQ110" s="4">
        <f t="shared" si="602"/>
        <v>68250</v>
      </c>
      <c r="AR110" s="4">
        <f t="shared" si="602"/>
        <v>70000</v>
      </c>
      <c r="AS110" s="64"/>
      <c r="AT110" s="64"/>
      <c r="AU110" s="64"/>
    </row>
    <row r="111" spans="2:47">
      <c r="B111" t="s">
        <v>10</v>
      </c>
      <c r="C111" s="4">
        <f>(C109/1000)*C120</f>
        <v>1824</v>
      </c>
      <c r="D111" s="4"/>
      <c r="E111" s="4">
        <f>(E109/1000)*E120</f>
        <v>300</v>
      </c>
      <c r="F111" s="4">
        <f>(F109/1000)*F120</f>
        <v>600</v>
      </c>
      <c r="G111" s="4">
        <f>(G109/1000)*G120</f>
        <v>900</v>
      </c>
      <c r="H111" s="4">
        <f>(H109/1000)*H120</f>
        <v>1200</v>
      </c>
      <c r="I111" s="4">
        <f t="shared" ref="I111:J111" si="603">(I109/1000)*I120</f>
        <v>1500</v>
      </c>
      <c r="J111" s="4">
        <f t="shared" si="603"/>
        <v>1800</v>
      </c>
      <c r="K111" s="4">
        <f t="shared" ref="K111" si="604">(K109/1000)*K120</f>
        <v>2100</v>
      </c>
      <c r="L111" s="4">
        <f t="shared" ref="L111:AR111" si="605">(L109/1000)*L120</f>
        <v>2400</v>
      </c>
      <c r="M111" s="4">
        <f t="shared" ref="M111:O111" si="606">(M109/1000)*M120</f>
        <v>2700</v>
      </c>
      <c r="N111" s="4">
        <f t="shared" si="606"/>
        <v>3000</v>
      </c>
      <c r="O111" s="4">
        <f t="shared" si="606"/>
        <v>3300</v>
      </c>
      <c r="P111" s="4">
        <f t="shared" si="605"/>
        <v>3600</v>
      </c>
      <c r="Q111" s="4">
        <f t="shared" ref="Q111:R111" si="607">(Q109/1000)*Q120</f>
        <v>3900</v>
      </c>
      <c r="R111" s="4">
        <f t="shared" si="607"/>
        <v>4200</v>
      </c>
      <c r="S111" s="4">
        <f t="shared" ref="S111" si="608">(S109/1000)*S120</f>
        <v>4500</v>
      </c>
      <c r="T111" s="4">
        <f t="shared" si="605"/>
        <v>4800</v>
      </c>
      <c r="U111" s="4">
        <f t="shared" ref="U111:W111" si="609">(U109/1000)*U120</f>
        <v>5100</v>
      </c>
      <c r="V111" s="4">
        <f t="shared" si="609"/>
        <v>5400</v>
      </c>
      <c r="W111" s="4">
        <f t="shared" si="609"/>
        <v>5700</v>
      </c>
      <c r="X111" s="4">
        <f t="shared" si="605"/>
        <v>6000</v>
      </c>
      <c r="Y111" s="4">
        <f t="shared" ref="Y111:AA111" si="610">(Y109/1000)*Y120</f>
        <v>6300</v>
      </c>
      <c r="Z111" s="4">
        <f t="shared" si="610"/>
        <v>6600</v>
      </c>
      <c r="AA111" s="4">
        <f t="shared" si="610"/>
        <v>6900</v>
      </c>
      <c r="AB111" s="4">
        <f t="shared" si="605"/>
        <v>7200</v>
      </c>
      <c r="AC111" s="4">
        <f t="shared" ref="AC111:AE111" si="611">(AC109/1000)*AC120</f>
        <v>7500</v>
      </c>
      <c r="AD111" s="4">
        <f t="shared" si="611"/>
        <v>7800</v>
      </c>
      <c r="AE111" s="4">
        <f t="shared" si="611"/>
        <v>8100</v>
      </c>
      <c r="AF111" s="4">
        <f t="shared" si="605"/>
        <v>8400</v>
      </c>
      <c r="AG111" s="4">
        <f t="shared" ref="AG111:AI111" si="612">(AG109/1000)*AG120</f>
        <v>8700</v>
      </c>
      <c r="AH111" s="4">
        <f t="shared" si="612"/>
        <v>9000</v>
      </c>
      <c r="AI111" s="4">
        <f t="shared" si="612"/>
        <v>9300</v>
      </c>
      <c r="AJ111" s="4">
        <f t="shared" si="605"/>
        <v>9600</v>
      </c>
      <c r="AK111" s="4">
        <f t="shared" ref="AK111:AM111" si="613">(AK109/1000)*AK120</f>
        <v>9900</v>
      </c>
      <c r="AL111" s="4">
        <f t="shared" si="613"/>
        <v>10200</v>
      </c>
      <c r="AM111" s="4">
        <f t="shared" si="613"/>
        <v>10500</v>
      </c>
      <c r="AN111" s="4">
        <f t="shared" si="605"/>
        <v>10800</v>
      </c>
      <c r="AO111" s="4">
        <f t="shared" ref="AO111:AQ111" si="614">(AO109/1000)*AO120</f>
        <v>11100</v>
      </c>
      <c r="AP111" s="4">
        <f t="shared" si="614"/>
        <v>11400</v>
      </c>
      <c r="AQ111" s="4">
        <f t="shared" si="614"/>
        <v>11700</v>
      </c>
      <c r="AR111" s="4">
        <f t="shared" si="605"/>
        <v>12000</v>
      </c>
      <c r="AS111" s="64"/>
      <c r="AT111" s="64"/>
      <c r="AU111" s="64"/>
    </row>
    <row r="112" spans="2:47">
      <c r="B112" t="s">
        <v>11</v>
      </c>
      <c r="C112" s="4">
        <f>'DATA ENTRY'!C10</f>
        <v>0</v>
      </c>
      <c r="D112" s="4"/>
      <c r="E112" s="4"/>
      <c r="F112" s="4">
        <f>C112</f>
        <v>0</v>
      </c>
      <c r="G112" s="4">
        <f t="shared" ref="G112:AR112" si="615">E112</f>
        <v>0</v>
      </c>
      <c r="H112" s="4">
        <f t="shared" si="615"/>
        <v>0</v>
      </c>
      <c r="I112" s="4">
        <f t="shared" si="615"/>
        <v>0</v>
      </c>
      <c r="J112" s="4">
        <f t="shared" si="615"/>
        <v>0</v>
      </c>
      <c r="K112" s="4">
        <f t="shared" si="615"/>
        <v>0</v>
      </c>
      <c r="L112" s="4">
        <f t="shared" si="615"/>
        <v>0</v>
      </c>
      <c r="M112" s="4">
        <f t="shared" si="615"/>
        <v>0</v>
      </c>
      <c r="N112" s="4">
        <f t="shared" si="615"/>
        <v>0</v>
      </c>
      <c r="O112" s="4">
        <f t="shared" si="615"/>
        <v>0</v>
      </c>
      <c r="P112" s="4">
        <f t="shared" si="615"/>
        <v>0</v>
      </c>
      <c r="Q112" s="4">
        <f t="shared" si="615"/>
        <v>0</v>
      </c>
      <c r="R112" s="4">
        <f t="shared" si="615"/>
        <v>0</v>
      </c>
      <c r="S112" s="4">
        <f t="shared" si="615"/>
        <v>0</v>
      </c>
      <c r="T112" s="4">
        <f t="shared" si="615"/>
        <v>0</v>
      </c>
      <c r="U112" s="4">
        <f t="shared" si="615"/>
        <v>0</v>
      </c>
      <c r="V112" s="4">
        <f t="shared" si="615"/>
        <v>0</v>
      </c>
      <c r="W112" s="4">
        <f t="shared" si="615"/>
        <v>0</v>
      </c>
      <c r="X112" s="4">
        <f t="shared" si="615"/>
        <v>0</v>
      </c>
      <c r="Y112" s="4">
        <f t="shared" si="615"/>
        <v>0</v>
      </c>
      <c r="Z112" s="4">
        <f t="shared" si="615"/>
        <v>0</v>
      </c>
      <c r="AA112" s="4">
        <f t="shared" si="615"/>
        <v>0</v>
      </c>
      <c r="AB112" s="4">
        <f t="shared" si="615"/>
        <v>0</v>
      </c>
      <c r="AC112" s="4">
        <f t="shared" si="615"/>
        <v>0</v>
      </c>
      <c r="AD112" s="4">
        <f t="shared" si="615"/>
        <v>0</v>
      </c>
      <c r="AE112" s="4">
        <f t="shared" si="615"/>
        <v>0</v>
      </c>
      <c r="AF112" s="4">
        <f t="shared" si="615"/>
        <v>0</v>
      </c>
      <c r="AG112" s="4">
        <f t="shared" si="615"/>
        <v>0</v>
      </c>
      <c r="AH112" s="4">
        <f t="shared" si="615"/>
        <v>0</v>
      </c>
      <c r="AI112" s="4">
        <f t="shared" si="615"/>
        <v>0</v>
      </c>
      <c r="AJ112" s="4">
        <f t="shared" si="615"/>
        <v>0</v>
      </c>
      <c r="AK112" s="4">
        <f t="shared" si="615"/>
        <v>0</v>
      </c>
      <c r="AL112" s="4">
        <f t="shared" si="615"/>
        <v>0</v>
      </c>
      <c r="AM112" s="4">
        <f t="shared" si="615"/>
        <v>0</v>
      </c>
      <c r="AN112" s="4">
        <f t="shared" si="615"/>
        <v>0</v>
      </c>
      <c r="AO112" s="4">
        <f t="shared" si="615"/>
        <v>0</v>
      </c>
      <c r="AP112" s="4">
        <f t="shared" si="615"/>
        <v>0</v>
      </c>
      <c r="AQ112" s="4">
        <f t="shared" si="615"/>
        <v>0</v>
      </c>
      <c r="AR112" s="4">
        <f t="shared" si="615"/>
        <v>0</v>
      </c>
      <c r="AS112" s="64"/>
      <c r="AT112" s="64"/>
      <c r="AU112" s="64"/>
    </row>
    <row r="113" spans="2:47">
      <c r="B113" t="s">
        <v>12</v>
      </c>
      <c r="C113" s="4">
        <f>'DATA ENTRY'!C11</f>
        <v>0</v>
      </c>
      <c r="D113" s="4"/>
      <c r="E113" s="4"/>
      <c r="F113" s="4">
        <f>C113</f>
        <v>0</v>
      </c>
      <c r="G113" s="4">
        <f t="shared" ref="G113:AR113" si="616">E113</f>
        <v>0</v>
      </c>
      <c r="H113" s="4">
        <f t="shared" si="616"/>
        <v>0</v>
      </c>
      <c r="I113" s="4">
        <f t="shared" si="616"/>
        <v>0</v>
      </c>
      <c r="J113" s="4">
        <f t="shared" si="616"/>
        <v>0</v>
      </c>
      <c r="K113" s="4">
        <f t="shared" si="616"/>
        <v>0</v>
      </c>
      <c r="L113" s="4">
        <f t="shared" si="616"/>
        <v>0</v>
      </c>
      <c r="M113" s="4">
        <f t="shared" si="616"/>
        <v>0</v>
      </c>
      <c r="N113" s="4">
        <f t="shared" si="616"/>
        <v>0</v>
      </c>
      <c r="O113" s="4">
        <f t="shared" si="616"/>
        <v>0</v>
      </c>
      <c r="P113" s="4">
        <f t="shared" si="616"/>
        <v>0</v>
      </c>
      <c r="Q113" s="4">
        <f t="shared" si="616"/>
        <v>0</v>
      </c>
      <c r="R113" s="4">
        <f t="shared" si="616"/>
        <v>0</v>
      </c>
      <c r="S113" s="4">
        <f t="shared" si="616"/>
        <v>0</v>
      </c>
      <c r="T113" s="4">
        <f t="shared" si="616"/>
        <v>0</v>
      </c>
      <c r="U113" s="4">
        <f t="shared" si="616"/>
        <v>0</v>
      </c>
      <c r="V113" s="4">
        <f t="shared" si="616"/>
        <v>0</v>
      </c>
      <c r="W113" s="4">
        <f t="shared" si="616"/>
        <v>0</v>
      </c>
      <c r="X113" s="4">
        <f t="shared" si="616"/>
        <v>0</v>
      </c>
      <c r="Y113" s="4">
        <f t="shared" si="616"/>
        <v>0</v>
      </c>
      <c r="Z113" s="4">
        <f t="shared" si="616"/>
        <v>0</v>
      </c>
      <c r="AA113" s="4">
        <f t="shared" si="616"/>
        <v>0</v>
      </c>
      <c r="AB113" s="4">
        <f t="shared" si="616"/>
        <v>0</v>
      </c>
      <c r="AC113" s="4">
        <f t="shared" si="616"/>
        <v>0</v>
      </c>
      <c r="AD113" s="4">
        <f t="shared" si="616"/>
        <v>0</v>
      </c>
      <c r="AE113" s="4">
        <f t="shared" si="616"/>
        <v>0</v>
      </c>
      <c r="AF113" s="4">
        <f t="shared" si="616"/>
        <v>0</v>
      </c>
      <c r="AG113" s="4">
        <f t="shared" si="616"/>
        <v>0</v>
      </c>
      <c r="AH113" s="4">
        <f t="shared" si="616"/>
        <v>0</v>
      </c>
      <c r="AI113" s="4">
        <f t="shared" si="616"/>
        <v>0</v>
      </c>
      <c r="AJ113" s="4">
        <f t="shared" si="616"/>
        <v>0</v>
      </c>
      <c r="AK113" s="4">
        <f t="shared" si="616"/>
        <v>0</v>
      </c>
      <c r="AL113" s="4">
        <f t="shared" si="616"/>
        <v>0</v>
      </c>
      <c r="AM113" s="4">
        <f t="shared" si="616"/>
        <v>0</v>
      </c>
      <c r="AN113" s="4">
        <f t="shared" si="616"/>
        <v>0</v>
      </c>
      <c r="AO113" s="4">
        <f t="shared" si="616"/>
        <v>0</v>
      </c>
      <c r="AP113" s="4">
        <f t="shared" si="616"/>
        <v>0</v>
      </c>
      <c r="AQ113" s="4">
        <f t="shared" si="616"/>
        <v>0</v>
      </c>
      <c r="AR113" s="4">
        <f t="shared" si="616"/>
        <v>0</v>
      </c>
      <c r="AS113" s="64"/>
      <c r="AT113" s="64"/>
      <c r="AU113" s="64"/>
    </row>
    <row r="114" spans="2:47">
      <c r="B114" t="s">
        <v>13</v>
      </c>
      <c r="C114" s="4">
        <f>C119*C109*2</f>
        <v>2280</v>
      </c>
      <c r="D114" s="4"/>
      <c r="E114" s="4">
        <f>E119*E109*2</f>
        <v>375</v>
      </c>
      <c r="F114" s="4">
        <f t="shared" ref="F114:AR114" si="617">F119*F109*2</f>
        <v>750</v>
      </c>
      <c r="G114" s="4">
        <f t="shared" si="617"/>
        <v>1125</v>
      </c>
      <c r="H114" s="4">
        <f t="shared" si="617"/>
        <v>1500</v>
      </c>
      <c r="I114" s="4">
        <f t="shared" si="617"/>
        <v>1875</v>
      </c>
      <c r="J114" s="4">
        <f t="shared" si="617"/>
        <v>2250</v>
      </c>
      <c r="K114" s="4">
        <f t="shared" si="617"/>
        <v>2625</v>
      </c>
      <c r="L114" s="4">
        <f t="shared" si="617"/>
        <v>3000</v>
      </c>
      <c r="M114" s="4">
        <f t="shared" si="617"/>
        <v>3375</v>
      </c>
      <c r="N114" s="4">
        <f t="shared" si="617"/>
        <v>3750</v>
      </c>
      <c r="O114" s="4">
        <f t="shared" si="617"/>
        <v>4125</v>
      </c>
      <c r="P114" s="4">
        <f t="shared" si="617"/>
        <v>4500</v>
      </c>
      <c r="Q114" s="4">
        <f t="shared" si="617"/>
        <v>4875</v>
      </c>
      <c r="R114" s="4">
        <f t="shared" si="617"/>
        <v>5250</v>
      </c>
      <c r="S114" s="4">
        <f t="shared" si="617"/>
        <v>5625</v>
      </c>
      <c r="T114" s="4">
        <f t="shared" si="617"/>
        <v>6000</v>
      </c>
      <c r="U114" s="4">
        <f t="shared" si="617"/>
        <v>6375</v>
      </c>
      <c r="V114" s="4">
        <f t="shared" si="617"/>
        <v>6750</v>
      </c>
      <c r="W114" s="4">
        <f t="shared" si="617"/>
        <v>7125</v>
      </c>
      <c r="X114" s="4">
        <f t="shared" si="617"/>
        <v>7500</v>
      </c>
      <c r="Y114" s="4">
        <f t="shared" si="617"/>
        <v>7875</v>
      </c>
      <c r="Z114" s="4">
        <f t="shared" si="617"/>
        <v>8250</v>
      </c>
      <c r="AA114" s="4">
        <f t="shared" si="617"/>
        <v>8625</v>
      </c>
      <c r="AB114" s="4">
        <f t="shared" si="617"/>
        <v>9000</v>
      </c>
      <c r="AC114" s="4">
        <f t="shared" si="617"/>
        <v>9375</v>
      </c>
      <c r="AD114" s="4">
        <f t="shared" si="617"/>
        <v>9750</v>
      </c>
      <c r="AE114" s="4">
        <f t="shared" si="617"/>
        <v>10125</v>
      </c>
      <c r="AF114" s="4">
        <f t="shared" si="617"/>
        <v>10500</v>
      </c>
      <c r="AG114" s="4">
        <f t="shared" si="617"/>
        <v>10875</v>
      </c>
      <c r="AH114" s="4">
        <f t="shared" si="617"/>
        <v>11250</v>
      </c>
      <c r="AI114" s="4">
        <f t="shared" si="617"/>
        <v>11625</v>
      </c>
      <c r="AJ114" s="4">
        <f t="shared" si="617"/>
        <v>12000</v>
      </c>
      <c r="AK114" s="4">
        <f t="shared" si="617"/>
        <v>12375</v>
      </c>
      <c r="AL114" s="4">
        <f t="shared" si="617"/>
        <v>12750</v>
      </c>
      <c r="AM114" s="4">
        <f t="shared" si="617"/>
        <v>13125</v>
      </c>
      <c r="AN114" s="4">
        <f t="shared" si="617"/>
        <v>13500</v>
      </c>
      <c r="AO114" s="4">
        <f t="shared" si="617"/>
        <v>13875</v>
      </c>
      <c r="AP114" s="4">
        <f t="shared" si="617"/>
        <v>14250</v>
      </c>
      <c r="AQ114" s="4">
        <f t="shared" si="617"/>
        <v>14625</v>
      </c>
      <c r="AR114" s="4">
        <f t="shared" si="617"/>
        <v>15000</v>
      </c>
      <c r="AS114" s="64"/>
      <c r="AT114" s="64"/>
      <c r="AU114" s="64"/>
    </row>
    <row r="115" spans="2:47">
      <c r="B115" t="s">
        <v>28</v>
      </c>
      <c r="C115" s="4">
        <f>SUM(C109:C114)</f>
        <v>166744</v>
      </c>
      <c r="D115" s="4"/>
      <c r="E115" s="4">
        <f>SUM(E109:E114)</f>
        <v>27425</v>
      </c>
      <c r="F115" s="4">
        <f>SUM(F109:F114)</f>
        <v>54850</v>
      </c>
      <c r="G115" s="4">
        <f>SUM(G109:G114)</f>
        <v>82275</v>
      </c>
      <c r="H115" s="4">
        <f>SUM(H109:H114)</f>
        <v>109700</v>
      </c>
      <c r="I115" s="4">
        <f t="shared" ref="I115:J115" si="618">SUM(I109:I114)</f>
        <v>137125</v>
      </c>
      <c r="J115" s="4">
        <f t="shared" si="618"/>
        <v>164550</v>
      </c>
      <c r="K115" s="4">
        <f t="shared" ref="K115" si="619">SUM(K109:K114)</f>
        <v>191975</v>
      </c>
      <c r="L115" s="4">
        <f t="shared" ref="L115:AR115" si="620">SUM(L109:L114)</f>
        <v>219400</v>
      </c>
      <c r="M115" s="4">
        <f t="shared" ref="M115:O115" si="621">SUM(M109:M114)</f>
        <v>246825</v>
      </c>
      <c r="N115" s="4">
        <f t="shared" si="621"/>
        <v>274250</v>
      </c>
      <c r="O115" s="4">
        <f t="shared" si="621"/>
        <v>301675</v>
      </c>
      <c r="P115" s="4">
        <f t="shared" si="620"/>
        <v>329100</v>
      </c>
      <c r="Q115" s="4">
        <f t="shared" ref="Q115:R115" si="622">SUM(Q109:Q114)</f>
        <v>356525</v>
      </c>
      <c r="R115" s="4">
        <f t="shared" si="622"/>
        <v>383950</v>
      </c>
      <c r="S115" s="4">
        <f t="shared" ref="S115" si="623">SUM(S109:S114)</f>
        <v>411375</v>
      </c>
      <c r="T115" s="4">
        <f t="shared" si="620"/>
        <v>438800</v>
      </c>
      <c r="U115" s="4">
        <f t="shared" ref="U115:W115" si="624">SUM(U109:U114)</f>
        <v>466225</v>
      </c>
      <c r="V115" s="4">
        <f t="shared" si="624"/>
        <v>493650</v>
      </c>
      <c r="W115" s="4">
        <f t="shared" si="624"/>
        <v>521075</v>
      </c>
      <c r="X115" s="4">
        <f t="shared" si="620"/>
        <v>548500</v>
      </c>
      <c r="Y115" s="4">
        <f t="shared" ref="Y115:AA115" si="625">SUM(Y109:Y114)</f>
        <v>575925</v>
      </c>
      <c r="Z115" s="4">
        <f t="shared" si="625"/>
        <v>603350</v>
      </c>
      <c r="AA115" s="4">
        <f t="shared" si="625"/>
        <v>630775</v>
      </c>
      <c r="AB115" s="4">
        <f t="shared" si="620"/>
        <v>658200</v>
      </c>
      <c r="AC115" s="4">
        <f t="shared" ref="AC115:AE115" si="626">SUM(AC109:AC114)</f>
        <v>685625</v>
      </c>
      <c r="AD115" s="4">
        <f t="shared" si="626"/>
        <v>713050</v>
      </c>
      <c r="AE115" s="4">
        <f t="shared" si="626"/>
        <v>740475</v>
      </c>
      <c r="AF115" s="4">
        <f t="shared" si="620"/>
        <v>767900</v>
      </c>
      <c r="AG115" s="4">
        <f t="shared" ref="AG115:AI115" si="627">SUM(AG109:AG114)</f>
        <v>795325</v>
      </c>
      <c r="AH115" s="4">
        <f t="shared" si="627"/>
        <v>822750</v>
      </c>
      <c r="AI115" s="4">
        <f t="shared" si="627"/>
        <v>850175</v>
      </c>
      <c r="AJ115" s="4">
        <f t="shared" si="620"/>
        <v>877600</v>
      </c>
      <c r="AK115" s="4">
        <f t="shared" ref="AK115:AM115" si="628">SUM(AK109:AK114)</f>
        <v>905025</v>
      </c>
      <c r="AL115" s="4">
        <f t="shared" si="628"/>
        <v>932450</v>
      </c>
      <c r="AM115" s="4">
        <f t="shared" si="628"/>
        <v>959875</v>
      </c>
      <c r="AN115" s="4">
        <f t="shared" si="620"/>
        <v>987300</v>
      </c>
      <c r="AO115" s="4">
        <f t="shared" ref="AO115:AQ115" si="629">SUM(AO109:AO114)</f>
        <v>1014725</v>
      </c>
      <c r="AP115" s="4">
        <f t="shared" si="629"/>
        <v>1042150</v>
      </c>
      <c r="AQ115" s="4">
        <f t="shared" si="629"/>
        <v>1069575</v>
      </c>
      <c r="AR115" s="4">
        <f t="shared" si="620"/>
        <v>1097000</v>
      </c>
      <c r="AS115" s="64"/>
      <c r="AT115" s="64"/>
      <c r="AU115" s="64"/>
    </row>
    <row r="116" spans="2:47">
      <c r="B116" s="62" t="s">
        <v>29</v>
      </c>
      <c r="C116" s="63">
        <v>0.09</v>
      </c>
      <c r="D116" s="63"/>
      <c r="E116" s="63">
        <f>C116</f>
        <v>0.09</v>
      </c>
      <c r="F116" s="63">
        <f>E116</f>
        <v>0.09</v>
      </c>
      <c r="G116" s="63">
        <f t="shared" ref="G116:AR116" si="630">E116</f>
        <v>0.09</v>
      </c>
      <c r="H116" s="63">
        <f t="shared" si="630"/>
        <v>0.09</v>
      </c>
      <c r="I116" s="63">
        <f t="shared" si="630"/>
        <v>0.09</v>
      </c>
      <c r="J116" s="63">
        <f t="shared" si="630"/>
        <v>0.09</v>
      </c>
      <c r="K116" s="63">
        <f t="shared" si="630"/>
        <v>0.09</v>
      </c>
      <c r="L116" s="63">
        <f t="shared" si="630"/>
        <v>0.09</v>
      </c>
      <c r="M116" s="63">
        <f t="shared" si="630"/>
        <v>0.09</v>
      </c>
      <c r="N116" s="63">
        <f t="shared" si="630"/>
        <v>0.09</v>
      </c>
      <c r="O116" s="63">
        <f t="shared" si="630"/>
        <v>0.09</v>
      </c>
      <c r="P116" s="63">
        <f t="shared" si="630"/>
        <v>0.09</v>
      </c>
      <c r="Q116" s="63">
        <f t="shared" si="630"/>
        <v>0.09</v>
      </c>
      <c r="R116" s="63">
        <f t="shared" si="630"/>
        <v>0.09</v>
      </c>
      <c r="S116" s="63">
        <f t="shared" si="630"/>
        <v>0.09</v>
      </c>
      <c r="T116" s="63">
        <f t="shared" si="630"/>
        <v>0.09</v>
      </c>
      <c r="U116" s="63">
        <f t="shared" si="630"/>
        <v>0.09</v>
      </c>
      <c r="V116" s="63">
        <f t="shared" si="630"/>
        <v>0.09</v>
      </c>
      <c r="W116" s="63">
        <f t="shared" si="630"/>
        <v>0.09</v>
      </c>
      <c r="X116" s="63">
        <f t="shared" si="630"/>
        <v>0.09</v>
      </c>
      <c r="Y116" s="63">
        <f t="shared" si="630"/>
        <v>0.09</v>
      </c>
      <c r="Z116" s="63">
        <f t="shared" si="630"/>
        <v>0.09</v>
      </c>
      <c r="AA116" s="63">
        <f t="shared" si="630"/>
        <v>0.09</v>
      </c>
      <c r="AB116" s="63">
        <f t="shared" si="630"/>
        <v>0.09</v>
      </c>
      <c r="AC116" s="63">
        <f t="shared" si="630"/>
        <v>0.09</v>
      </c>
      <c r="AD116" s="63">
        <f t="shared" si="630"/>
        <v>0.09</v>
      </c>
      <c r="AE116" s="63">
        <f t="shared" si="630"/>
        <v>0.09</v>
      </c>
      <c r="AF116" s="63">
        <f t="shared" si="630"/>
        <v>0.09</v>
      </c>
      <c r="AG116" s="63">
        <f t="shared" si="630"/>
        <v>0.09</v>
      </c>
      <c r="AH116" s="63">
        <f t="shared" si="630"/>
        <v>0.09</v>
      </c>
      <c r="AI116" s="63">
        <f t="shared" si="630"/>
        <v>0.09</v>
      </c>
      <c r="AJ116" s="63">
        <f t="shared" si="630"/>
        <v>0.09</v>
      </c>
      <c r="AK116" s="63">
        <f t="shared" si="630"/>
        <v>0.09</v>
      </c>
      <c r="AL116" s="63">
        <f t="shared" si="630"/>
        <v>0.09</v>
      </c>
      <c r="AM116" s="63">
        <f t="shared" si="630"/>
        <v>0.09</v>
      </c>
      <c r="AN116" s="63">
        <f t="shared" si="630"/>
        <v>0.09</v>
      </c>
      <c r="AO116" s="63">
        <f t="shared" si="630"/>
        <v>0.09</v>
      </c>
      <c r="AP116" s="63">
        <f t="shared" si="630"/>
        <v>0.09</v>
      </c>
      <c r="AQ116" s="63">
        <f t="shared" si="630"/>
        <v>0.09</v>
      </c>
      <c r="AR116" s="63">
        <f t="shared" si="630"/>
        <v>0.09</v>
      </c>
      <c r="AS116" s="65"/>
      <c r="AT116" s="65"/>
      <c r="AU116" s="65"/>
    </row>
    <row r="117" spans="2:47">
      <c r="B117" s="56" t="s">
        <v>30</v>
      </c>
      <c r="C117" s="56">
        <f>(1+C116/C120)^C120-1</f>
        <v>9.3806897670984268E-2</v>
      </c>
      <c r="D117" s="56"/>
      <c r="E117" s="56">
        <f>(1+E116/E120)^E120-1</f>
        <v>9.3806897670984268E-2</v>
      </c>
      <c r="F117" s="56">
        <f>(1+F116/F120)^F120-1</f>
        <v>9.3806897670984268E-2</v>
      </c>
      <c r="G117" s="56">
        <f>(1+G116/G120)^G120-1</f>
        <v>9.3806897670984268E-2</v>
      </c>
      <c r="H117" s="56">
        <f t="shared" ref="H117:AR117" si="631">(1+H116/H120)^H120-1</f>
        <v>9.3806897670984268E-2</v>
      </c>
      <c r="I117" s="56">
        <f t="shared" si="631"/>
        <v>9.3806897670984268E-2</v>
      </c>
      <c r="J117" s="56">
        <f t="shared" si="631"/>
        <v>9.3806897670984268E-2</v>
      </c>
      <c r="K117" s="56">
        <f t="shared" si="631"/>
        <v>9.3806897670984268E-2</v>
      </c>
      <c r="L117" s="56">
        <f t="shared" si="631"/>
        <v>9.3806897670984268E-2</v>
      </c>
      <c r="M117" s="56">
        <f t="shared" si="631"/>
        <v>9.3806897670984268E-2</v>
      </c>
      <c r="N117" s="56">
        <f t="shared" si="631"/>
        <v>9.3806897670984268E-2</v>
      </c>
      <c r="O117" s="56">
        <f t="shared" si="631"/>
        <v>9.3806897670984268E-2</v>
      </c>
      <c r="P117" s="56">
        <f t="shared" si="631"/>
        <v>9.3806897670984268E-2</v>
      </c>
      <c r="Q117" s="56">
        <f t="shared" si="631"/>
        <v>9.3806897670984268E-2</v>
      </c>
      <c r="R117" s="56">
        <f t="shared" si="631"/>
        <v>9.3806897670984268E-2</v>
      </c>
      <c r="S117" s="56">
        <f t="shared" si="631"/>
        <v>9.3806897670984268E-2</v>
      </c>
      <c r="T117" s="56">
        <f t="shared" si="631"/>
        <v>9.3806897670984268E-2</v>
      </c>
      <c r="U117" s="56">
        <f t="shared" si="631"/>
        <v>9.3806897670984268E-2</v>
      </c>
      <c r="V117" s="56">
        <f t="shared" si="631"/>
        <v>9.3806897670984268E-2</v>
      </c>
      <c r="W117" s="56">
        <f t="shared" si="631"/>
        <v>9.3806897670984268E-2</v>
      </c>
      <c r="X117" s="56">
        <f t="shared" si="631"/>
        <v>9.3806897670984268E-2</v>
      </c>
      <c r="Y117" s="56">
        <f t="shared" si="631"/>
        <v>9.3806897670984268E-2</v>
      </c>
      <c r="Z117" s="56">
        <f t="shared" si="631"/>
        <v>9.3806897670984268E-2</v>
      </c>
      <c r="AA117" s="56">
        <f t="shared" si="631"/>
        <v>9.3806897670984268E-2</v>
      </c>
      <c r="AB117" s="56">
        <f t="shared" si="631"/>
        <v>9.3806897670984268E-2</v>
      </c>
      <c r="AC117" s="56">
        <f t="shared" si="631"/>
        <v>9.3806897670984268E-2</v>
      </c>
      <c r="AD117" s="56">
        <f t="shared" si="631"/>
        <v>9.3806897670984268E-2</v>
      </c>
      <c r="AE117" s="56">
        <f t="shared" si="631"/>
        <v>9.3806897670984268E-2</v>
      </c>
      <c r="AF117" s="56">
        <f t="shared" si="631"/>
        <v>9.3806897670984268E-2</v>
      </c>
      <c r="AG117" s="56">
        <f t="shared" si="631"/>
        <v>9.3806897670984268E-2</v>
      </c>
      <c r="AH117" s="56">
        <f t="shared" si="631"/>
        <v>9.3806897670984268E-2</v>
      </c>
      <c r="AI117" s="56">
        <f t="shared" si="631"/>
        <v>9.3806897670984268E-2</v>
      </c>
      <c r="AJ117" s="56">
        <f t="shared" si="631"/>
        <v>9.3806897670984268E-2</v>
      </c>
      <c r="AK117" s="56">
        <f t="shared" si="631"/>
        <v>9.3806897670984268E-2</v>
      </c>
      <c r="AL117" s="56">
        <f t="shared" si="631"/>
        <v>9.3806897670984268E-2</v>
      </c>
      <c r="AM117" s="56">
        <f t="shared" si="631"/>
        <v>9.3806897670984268E-2</v>
      </c>
      <c r="AN117" s="56">
        <f t="shared" si="631"/>
        <v>9.3806897670984268E-2</v>
      </c>
      <c r="AO117" s="56">
        <f t="shared" si="631"/>
        <v>9.3806897670984268E-2</v>
      </c>
      <c r="AP117" s="56">
        <f t="shared" si="631"/>
        <v>9.3806897670984268E-2</v>
      </c>
      <c r="AQ117" s="56">
        <f t="shared" si="631"/>
        <v>9.3806897670984268E-2</v>
      </c>
      <c r="AR117" s="66">
        <f t="shared" si="631"/>
        <v>9.3806897670984268E-2</v>
      </c>
      <c r="AS117" s="67"/>
      <c r="AT117" s="67"/>
      <c r="AU117" s="67"/>
    </row>
    <row r="118" spans="2:47">
      <c r="B118" t="s">
        <v>31</v>
      </c>
      <c r="C118" s="57">
        <v>1</v>
      </c>
      <c r="D118" s="57"/>
      <c r="E118" s="57">
        <v>1</v>
      </c>
      <c r="F118" s="57">
        <v>1</v>
      </c>
      <c r="G118" s="57">
        <v>1</v>
      </c>
      <c r="H118" s="57">
        <v>1</v>
      </c>
      <c r="I118" s="57">
        <v>1</v>
      </c>
      <c r="J118" s="57">
        <v>1</v>
      </c>
      <c r="K118" s="57">
        <v>1</v>
      </c>
      <c r="L118" s="57">
        <f>H118</f>
        <v>1</v>
      </c>
      <c r="M118" s="57">
        <f>I118</f>
        <v>1</v>
      </c>
      <c r="N118" s="57">
        <f>K118</f>
        <v>1</v>
      </c>
      <c r="O118" s="57">
        <f t="shared" ref="O118:AR118" si="632">K118</f>
        <v>1</v>
      </c>
      <c r="P118" s="57">
        <f t="shared" si="632"/>
        <v>1</v>
      </c>
      <c r="Q118" s="57">
        <f t="shared" si="632"/>
        <v>1</v>
      </c>
      <c r="R118" s="57">
        <f t="shared" si="632"/>
        <v>1</v>
      </c>
      <c r="S118" s="57">
        <f t="shared" si="632"/>
        <v>1</v>
      </c>
      <c r="T118" s="57">
        <f t="shared" si="632"/>
        <v>1</v>
      </c>
      <c r="U118" s="57">
        <f t="shared" si="632"/>
        <v>1</v>
      </c>
      <c r="V118" s="57">
        <f t="shared" si="632"/>
        <v>1</v>
      </c>
      <c r="W118" s="57">
        <f t="shared" si="632"/>
        <v>1</v>
      </c>
      <c r="X118" s="57">
        <f t="shared" si="632"/>
        <v>1</v>
      </c>
      <c r="Y118" s="57">
        <f t="shared" si="632"/>
        <v>1</v>
      </c>
      <c r="Z118" s="57">
        <f t="shared" si="632"/>
        <v>1</v>
      </c>
      <c r="AA118" s="57">
        <f t="shared" si="632"/>
        <v>1</v>
      </c>
      <c r="AB118" s="57">
        <f t="shared" si="632"/>
        <v>1</v>
      </c>
      <c r="AC118" s="57">
        <f t="shared" si="632"/>
        <v>1</v>
      </c>
      <c r="AD118" s="57">
        <f t="shared" si="632"/>
        <v>1</v>
      </c>
      <c r="AE118" s="57">
        <f t="shared" si="632"/>
        <v>1</v>
      </c>
      <c r="AF118" s="57">
        <f t="shared" si="632"/>
        <v>1</v>
      </c>
      <c r="AG118" s="57">
        <f t="shared" si="632"/>
        <v>1</v>
      </c>
      <c r="AH118" s="57">
        <f t="shared" si="632"/>
        <v>1</v>
      </c>
      <c r="AI118" s="57">
        <f t="shared" si="632"/>
        <v>1</v>
      </c>
      <c r="AJ118" s="57">
        <f t="shared" si="632"/>
        <v>1</v>
      </c>
      <c r="AK118" s="57">
        <f t="shared" si="632"/>
        <v>1</v>
      </c>
      <c r="AL118" s="57">
        <f t="shared" si="632"/>
        <v>1</v>
      </c>
      <c r="AM118" s="57">
        <f t="shared" si="632"/>
        <v>1</v>
      </c>
      <c r="AN118" s="57">
        <f t="shared" si="632"/>
        <v>1</v>
      </c>
      <c r="AO118" s="57">
        <f t="shared" si="632"/>
        <v>1</v>
      </c>
      <c r="AP118" s="57">
        <f t="shared" si="632"/>
        <v>1</v>
      </c>
      <c r="AQ118" s="57">
        <f t="shared" si="632"/>
        <v>1</v>
      </c>
      <c r="AR118" s="57">
        <f t="shared" si="632"/>
        <v>1</v>
      </c>
      <c r="AS118" s="68"/>
      <c r="AT118" s="68"/>
      <c r="AU118" s="68"/>
    </row>
    <row r="119" spans="2:47">
      <c r="B119" t="s">
        <v>32</v>
      </c>
      <c r="C119" s="7">
        <f>C116/12</f>
        <v>7.4999999999999997E-3</v>
      </c>
      <c r="D119" s="7"/>
      <c r="E119" s="7">
        <f>E116/12</f>
        <v>7.4999999999999997E-3</v>
      </c>
      <c r="F119" s="7">
        <f>F116/12</f>
        <v>7.4999999999999997E-3</v>
      </c>
      <c r="G119" s="7">
        <f>G116/12</f>
        <v>7.4999999999999997E-3</v>
      </c>
      <c r="H119" s="7">
        <f>H116/12</f>
        <v>7.4999999999999997E-3</v>
      </c>
      <c r="I119" s="7">
        <f t="shared" ref="I119:J119" si="633">I116/12</f>
        <v>7.4999999999999997E-3</v>
      </c>
      <c r="J119" s="7">
        <f t="shared" si="633"/>
        <v>7.4999999999999997E-3</v>
      </c>
      <c r="K119" s="7">
        <f t="shared" ref="K119" si="634">K116/12</f>
        <v>7.4999999999999997E-3</v>
      </c>
      <c r="L119" s="7">
        <f t="shared" ref="L119:AR119" si="635">L116/12</f>
        <v>7.4999999999999997E-3</v>
      </c>
      <c r="M119" s="7">
        <f t="shared" ref="M119:O119" si="636">M116/12</f>
        <v>7.4999999999999997E-3</v>
      </c>
      <c r="N119" s="7">
        <f t="shared" si="636"/>
        <v>7.4999999999999997E-3</v>
      </c>
      <c r="O119" s="7">
        <f t="shared" si="636"/>
        <v>7.4999999999999997E-3</v>
      </c>
      <c r="P119" s="7">
        <f t="shared" si="635"/>
        <v>7.4999999999999997E-3</v>
      </c>
      <c r="Q119" s="7">
        <f t="shared" ref="Q119:R119" si="637">Q116/12</f>
        <v>7.4999999999999997E-3</v>
      </c>
      <c r="R119" s="7">
        <f t="shared" si="637"/>
        <v>7.4999999999999997E-3</v>
      </c>
      <c r="S119" s="7">
        <f t="shared" ref="S119" si="638">S116/12</f>
        <v>7.4999999999999997E-3</v>
      </c>
      <c r="T119" s="7">
        <f t="shared" si="635"/>
        <v>7.4999999999999997E-3</v>
      </c>
      <c r="U119" s="7">
        <f t="shared" ref="U119:W119" si="639">U116/12</f>
        <v>7.4999999999999997E-3</v>
      </c>
      <c r="V119" s="7">
        <f t="shared" si="639"/>
        <v>7.4999999999999997E-3</v>
      </c>
      <c r="W119" s="7">
        <f t="shared" si="639"/>
        <v>7.4999999999999997E-3</v>
      </c>
      <c r="X119" s="7">
        <f t="shared" si="635"/>
        <v>7.4999999999999997E-3</v>
      </c>
      <c r="Y119" s="7">
        <f t="shared" ref="Y119:AA119" si="640">Y116/12</f>
        <v>7.4999999999999997E-3</v>
      </c>
      <c r="Z119" s="7">
        <f t="shared" si="640"/>
        <v>7.4999999999999997E-3</v>
      </c>
      <c r="AA119" s="7">
        <f t="shared" si="640"/>
        <v>7.4999999999999997E-3</v>
      </c>
      <c r="AB119" s="7">
        <f t="shared" si="635"/>
        <v>7.4999999999999997E-3</v>
      </c>
      <c r="AC119" s="7">
        <f t="shared" ref="AC119:AE119" si="641">AC116/12</f>
        <v>7.4999999999999997E-3</v>
      </c>
      <c r="AD119" s="7">
        <f t="shared" si="641"/>
        <v>7.4999999999999997E-3</v>
      </c>
      <c r="AE119" s="7">
        <f t="shared" si="641"/>
        <v>7.4999999999999997E-3</v>
      </c>
      <c r="AF119" s="7">
        <f t="shared" si="635"/>
        <v>7.4999999999999997E-3</v>
      </c>
      <c r="AG119" s="7">
        <f t="shared" ref="AG119:AI119" si="642">AG116/12</f>
        <v>7.4999999999999997E-3</v>
      </c>
      <c r="AH119" s="7">
        <f t="shared" si="642"/>
        <v>7.4999999999999997E-3</v>
      </c>
      <c r="AI119" s="7">
        <f t="shared" si="642"/>
        <v>7.4999999999999997E-3</v>
      </c>
      <c r="AJ119" s="7">
        <f t="shared" si="635"/>
        <v>7.4999999999999997E-3</v>
      </c>
      <c r="AK119" s="7">
        <f t="shared" ref="AK119:AM119" si="643">AK116/12</f>
        <v>7.4999999999999997E-3</v>
      </c>
      <c r="AL119" s="7">
        <f t="shared" si="643"/>
        <v>7.4999999999999997E-3</v>
      </c>
      <c r="AM119" s="7">
        <f t="shared" si="643"/>
        <v>7.4999999999999997E-3</v>
      </c>
      <c r="AN119" s="7">
        <f t="shared" si="635"/>
        <v>7.4999999999999997E-3</v>
      </c>
      <c r="AO119" s="7">
        <f t="shared" ref="AO119:AQ119" si="644">AO116/12</f>
        <v>7.4999999999999997E-3</v>
      </c>
      <c r="AP119" s="7">
        <f t="shared" si="644"/>
        <v>7.4999999999999997E-3</v>
      </c>
      <c r="AQ119" s="7">
        <f t="shared" si="644"/>
        <v>7.4999999999999997E-3</v>
      </c>
      <c r="AR119" s="7">
        <f t="shared" si="635"/>
        <v>7.4999999999999997E-3</v>
      </c>
      <c r="AS119" s="28"/>
      <c r="AT119" s="28"/>
      <c r="AU119" s="28"/>
    </row>
    <row r="120" spans="2:47">
      <c r="B120" t="s">
        <v>33</v>
      </c>
      <c r="C120" s="57">
        <f>C118*12</f>
        <v>12</v>
      </c>
      <c r="D120" s="57"/>
      <c r="E120" s="57">
        <f>E118*12</f>
        <v>12</v>
      </c>
      <c r="F120" s="57">
        <f>F118*12</f>
        <v>12</v>
      </c>
      <c r="G120" s="57">
        <f>G118*12</f>
        <v>12</v>
      </c>
      <c r="H120" s="57">
        <f>H118*12</f>
        <v>12</v>
      </c>
      <c r="I120" s="57">
        <f t="shared" ref="I120:J120" si="645">I118*12</f>
        <v>12</v>
      </c>
      <c r="J120" s="57">
        <f t="shared" si="645"/>
        <v>12</v>
      </c>
      <c r="K120" s="57">
        <f t="shared" ref="K120" si="646">K118*12</f>
        <v>12</v>
      </c>
      <c r="L120" s="57">
        <f t="shared" ref="L120:AR120" si="647">L118*12</f>
        <v>12</v>
      </c>
      <c r="M120" s="57">
        <f t="shared" ref="M120:O120" si="648">M118*12</f>
        <v>12</v>
      </c>
      <c r="N120" s="57">
        <f t="shared" si="648"/>
        <v>12</v>
      </c>
      <c r="O120" s="57">
        <f t="shared" si="648"/>
        <v>12</v>
      </c>
      <c r="P120" s="57">
        <f t="shared" si="647"/>
        <v>12</v>
      </c>
      <c r="Q120" s="57">
        <f t="shared" ref="Q120:R120" si="649">Q118*12</f>
        <v>12</v>
      </c>
      <c r="R120" s="57">
        <f t="shared" si="649"/>
        <v>12</v>
      </c>
      <c r="S120" s="57">
        <f t="shared" ref="S120" si="650">S118*12</f>
        <v>12</v>
      </c>
      <c r="T120" s="57">
        <f t="shared" si="647"/>
        <v>12</v>
      </c>
      <c r="U120" s="57">
        <f t="shared" ref="U120:W120" si="651">U118*12</f>
        <v>12</v>
      </c>
      <c r="V120" s="57">
        <f t="shared" si="651"/>
        <v>12</v>
      </c>
      <c r="W120" s="57">
        <f t="shared" si="651"/>
        <v>12</v>
      </c>
      <c r="X120" s="57">
        <f t="shared" si="647"/>
        <v>12</v>
      </c>
      <c r="Y120" s="57">
        <f t="shared" ref="Y120:AA120" si="652">Y118*12</f>
        <v>12</v>
      </c>
      <c r="Z120" s="57">
        <f t="shared" si="652"/>
        <v>12</v>
      </c>
      <c r="AA120" s="57">
        <f t="shared" si="652"/>
        <v>12</v>
      </c>
      <c r="AB120" s="57">
        <f t="shared" si="647"/>
        <v>12</v>
      </c>
      <c r="AC120" s="57">
        <f t="shared" ref="AC120:AE120" si="653">AC118*12</f>
        <v>12</v>
      </c>
      <c r="AD120" s="57">
        <f t="shared" si="653"/>
        <v>12</v>
      </c>
      <c r="AE120" s="57">
        <f t="shared" si="653"/>
        <v>12</v>
      </c>
      <c r="AF120" s="57">
        <f t="shared" si="647"/>
        <v>12</v>
      </c>
      <c r="AG120" s="57">
        <f t="shared" ref="AG120:AI120" si="654">AG118*12</f>
        <v>12</v>
      </c>
      <c r="AH120" s="57">
        <f t="shared" si="654"/>
        <v>12</v>
      </c>
      <c r="AI120" s="57">
        <f t="shared" si="654"/>
        <v>12</v>
      </c>
      <c r="AJ120" s="57">
        <f t="shared" si="647"/>
        <v>12</v>
      </c>
      <c r="AK120" s="57">
        <f t="shared" ref="AK120:AM120" si="655">AK118*12</f>
        <v>12</v>
      </c>
      <c r="AL120" s="57">
        <f t="shared" si="655"/>
        <v>12</v>
      </c>
      <c r="AM120" s="57">
        <f t="shared" si="655"/>
        <v>12</v>
      </c>
      <c r="AN120" s="57">
        <f t="shared" si="647"/>
        <v>12</v>
      </c>
      <c r="AO120" s="57">
        <f t="shared" ref="AO120:AQ120" si="656">AO118*12</f>
        <v>12</v>
      </c>
      <c r="AP120" s="57">
        <f t="shared" si="656"/>
        <v>12</v>
      </c>
      <c r="AQ120" s="57">
        <f t="shared" si="656"/>
        <v>12</v>
      </c>
      <c r="AR120" s="57">
        <f t="shared" si="647"/>
        <v>12</v>
      </c>
      <c r="AS120" s="68"/>
      <c r="AT120" s="68"/>
      <c r="AU120" s="68"/>
    </row>
    <row r="121" spans="2:47">
      <c r="C121" s="4"/>
      <c r="D121" s="4"/>
      <c r="E121" s="4"/>
      <c r="F121" s="4"/>
      <c r="G121" s="4"/>
      <c r="H121" s="4"/>
      <c r="I121" s="4"/>
      <c r="J121" s="4"/>
      <c r="K121" s="4"/>
      <c r="L121" s="4"/>
      <c r="M121" s="4"/>
      <c r="AB121" s="4"/>
      <c r="AC121" s="4"/>
      <c r="AD121" s="4"/>
      <c r="AE121" s="4"/>
      <c r="AF121" s="4"/>
      <c r="AG121" s="4"/>
      <c r="AH121" s="4"/>
      <c r="AI121" s="4"/>
      <c r="AJ121" s="4"/>
      <c r="AK121" s="4"/>
      <c r="AL121" s="4"/>
      <c r="AM121" s="4"/>
      <c r="AN121" s="4"/>
      <c r="AO121" s="4"/>
      <c r="AP121" s="4"/>
      <c r="AQ121" s="4"/>
      <c r="AR121" s="4"/>
      <c r="AS121" s="64"/>
      <c r="AT121" s="64"/>
      <c r="AU121" s="64"/>
    </row>
    <row r="122" spans="2:47">
      <c r="B122" t="s">
        <v>17</v>
      </c>
      <c r="C122" s="59">
        <f>(1+C119)^C120</f>
        <v>1.0938068976709843</v>
      </c>
      <c r="D122" s="59"/>
      <c r="E122" s="59">
        <f>(1+E119)^E120</f>
        <v>1.0938068976709843</v>
      </c>
      <c r="F122" s="59">
        <f>(1+F119)^F120</f>
        <v>1.0938068976709843</v>
      </c>
      <c r="G122" s="59">
        <f>(1+G119)^G120</f>
        <v>1.0938068976709843</v>
      </c>
      <c r="H122" s="59">
        <f>(1+H119)^H120</f>
        <v>1.0938068976709843</v>
      </c>
      <c r="I122" s="59">
        <f t="shared" ref="I122:J122" si="657">(1+I119)^I120</f>
        <v>1.0938068976709843</v>
      </c>
      <c r="J122" s="59">
        <f t="shared" si="657"/>
        <v>1.0938068976709843</v>
      </c>
      <c r="K122" s="59">
        <f t="shared" ref="K122" si="658">(1+K119)^K120</f>
        <v>1.0938068976709843</v>
      </c>
      <c r="L122" s="59">
        <f t="shared" ref="L122:AR122" si="659">(1+L119)^L120</f>
        <v>1.0938068976709843</v>
      </c>
      <c r="M122" s="59">
        <f t="shared" ref="M122:O122" si="660">(1+M119)^M120</f>
        <v>1.0938068976709843</v>
      </c>
      <c r="N122" s="59">
        <f t="shared" si="660"/>
        <v>1.0938068976709843</v>
      </c>
      <c r="O122" s="59">
        <f t="shared" si="660"/>
        <v>1.0938068976709843</v>
      </c>
      <c r="P122" s="59">
        <f t="shared" si="659"/>
        <v>1.0938068976709843</v>
      </c>
      <c r="Q122" s="59">
        <f t="shared" ref="Q122:R122" si="661">(1+Q119)^Q120</f>
        <v>1.0938068976709843</v>
      </c>
      <c r="R122" s="59">
        <f t="shared" si="661"/>
        <v>1.0938068976709843</v>
      </c>
      <c r="S122" s="59">
        <f t="shared" ref="S122" si="662">(1+S119)^S120</f>
        <v>1.0938068976709843</v>
      </c>
      <c r="T122" s="59">
        <f t="shared" si="659"/>
        <v>1.0938068976709843</v>
      </c>
      <c r="U122" s="59">
        <f t="shared" ref="U122:W122" si="663">(1+U119)^U120</f>
        <v>1.0938068976709843</v>
      </c>
      <c r="V122" s="59">
        <f t="shared" si="663"/>
        <v>1.0938068976709843</v>
      </c>
      <c r="W122" s="59">
        <f t="shared" si="663"/>
        <v>1.0938068976709843</v>
      </c>
      <c r="X122" s="59">
        <f t="shared" si="659"/>
        <v>1.0938068976709843</v>
      </c>
      <c r="Y122" s="59">
        <f t="shared" ref="Y122:AA122" si="664">(1+Y119)^Y120</f>
        <v>1.0938068976709843</v>
      </c>
      <c r="Z122" s="59">
        <f t="shared" si="664"/>
        <v>1.0938068976709843</v>
      </c>
      <c r="AA122" s="59">
        <f t="shared" si="664"/>
        <v>1.0938068976709843</v>
      </c>
      <c r="AB122" s="59">
        <f t="shared" si="659"/>
        <v>1.0938068976709843</v>
      </c>
      <c r="AC122" s="59">
        <f t="shared" ref="AC122:AE122" si="665">(1+AC119)^AC120</f>
        <v>1.0938068976709843</v>
      </c>
      <c r="AD122" s="59">
        <f t="shared" si="665"/>
        <v>1.0938068976709843</v>
      </c>
      <c r="AE122" s="59">
        <f t="shared" si="665"/>
        <v>1.0938068976709843</v>
      </c>
      <c r="AF122" s="59">
        <f t="shared" si="659"/>
        <v>1.0938068976709843</v>
      </c>
      <c r="AG122" s="59">
        <f t="shared" ref="AG122:AI122" si="666">(1+AG119)^AG120</f>
        <v>1.0938068976709843</v>
      </c>
      <c r="AH122" s="59">
        <f t="shared" si="666"/>
        <v>1.0938068976709843</v>
      </c>
      <c r="AI122" s="59">
        <f t="shared" si="666"/>
        <v>1.0938068976709843</v>
      </c>
      <c r="AJ122" s="59">
        <f t="shared" si="659"/>
        <v>1.0938068976709843</v>
      </c>
      <c r="AK122" s="59">
        <f t="shared" ref="AK122:AM122" si="667">(1+AK119)^AK120</f>
        <v>1.0938068976709843</v>
      </c>
      <c r="AL122" s="59">
        <f t="shared" si="667"/>
        <v>1.0938068976709843</v>
      </c>
      <c r="AM122" s="59">
        <f t="shared" si="667"/>
        <v>1.0938068976709843</v>
      </c>
      <c r="AN122" s="59">
        <f t="shared" si="659"/>
        <v>1.0938068976709843</v>
      </c>
      <c r="AO122" s="59">
        <f t="shared" ref="AO122:AQ122" si="668">(1+AO119)^AO120</f>
        <v>1.0938068976709843</v>
      </c>
      <c r="AP122" s="59">
        <f t="shared" si="668"/>
        <v>1.0938068976709843</v>
      </c>
      <c r="AQ122" s="59">
        <f t="shared" si="668"/>
        <v>1.0938068976709843</v>
      </c>
      <c r="AR122" s="59">
        <f t="shared" si="659"/>
        <v>1.0938068976709843</v>
      </c>
      <c r="AS122" s="69"/>
      <c r="AT122" s="69"/>
      <c r="AU122" s="69"/>
    </row>
    <row r="123" spans="2:47">
      <c r="C123" s="60">
        <f>C122*C119</f>
        <v>8.2035517325323819E-3</v>
      </c>
      <c r="D123" s="60"/>
      <c r="E123" s="60">
        <f>E122*E119</f>
        <v>8.2035517325323819E-3</v>
      </c>
      <c r="F123" s="60">
        <f>F122*F119</f>
        <v>8.2035517325323819E-3</v>
      </c>
      <c r="G123" s="60">
        <f>G122*G119</f>
        <v>8.2035517325323819E-3</v>
      </c>
      <c r="H123" s="60">
        <f>H122*H119</f>
        <v>8.2035517325323819E-3</v>
      </c>
      <c r="I123" s="60">
        <f t="shared" ref="I123:J123" si="669">I122*I119</f>
        <v>8.2035517325323819E-3</v>
      </c>
      <c r="J123" s="60">
        <f t="shared" si="669"/>
        <v>8.2035517325323819E-3</v>
      </c>
      <c r="K123" s="60">
        <f t="shared" ref="K123" si="670">K122*K119</f>
        <v>8.2035517325323819E-3</v>
      </c>
      <c r="L123" s="60">
        <f t="shared" ref="L123:AR123" si="671">L122*L119</f>
        <v>8.2035517325323819E-3</v>
      </c>
      <c r="M123" s="60">
        <f t="shared" ref="M123:O123" si="672">M122*M119</f>
        <v>8.2035517325323819E-3</v>
      </c>
      <c r="N123" s="60">
        <f t="shared" si="672"/>
        <v>8.2035517325323819E-3</v>
      </c>
      <c r="O123" s="60">
        <f t="shared" si="672"/>
        <v>8.2035517325323819E-3</v>
      </c>
      <c r="P123" s="60">
        <f t="shared" si="671"/>
        <v>8.2035517325323819E-3</v>
      </c>
      <c r="Q123" s="60">
        <f t="shared" ref="Q123:R123" si="673">Q122*Q119</f>
        <v>8.2035517325323819E-3</v>
      </c>
      <c r="R123" s="60">
        <f t="shared" si="673"/>
        <v>8.2035517325323819E-3</v>
      </c>
      <c r="S123" s="60">
        <f t="shared" ref="S123" si="674">S122*S119</f>
        <v>8.2035517325323819E-3</v>
      </c>
      <c r="T123" s="60">
        <f t="shared" si="671"/>
        <v>8.2035517325323819E-3</v>
      </c>
      <c r="U123" s="60">
        <f t="shared" ref="U123:W123" si="675">U122*U119</f>
        <v>8.2035517325323819E-3</v>
      </c>
      <c r="V123" s="60">
        <f t="shared" si="675"/>
        <v>8.2035517325323819E-3</v>
      </c>
      <c r="W123" s="60">
        <f t="shared" si="675"/>
        <v>8.2035517325323819E-3</v>
      </c>
      <c r="X123" s="60">
        <f t="shared" si="671"/>
        <v>8.2035517325323819E-3</v>
      </c>
      <c r="Y123" s="60">
        <f t="shared" ref="Y123:AA123" si="676">Y122*Y119</f>
        <v>8.2035517325323819E-3</v>
      </c>
      <c r="Z123" s="60">
        <f t="shared" si="676"/>
        <v>8.2035517325323819E-3</v>
      </c>
      <c r="AA123" s="60">
        <f t="shared" si="676"/>
        <v>8.2035517325323819E-3</v>
      </c>
      <c r="AB123" s="60">
        <f t="shared" si="671"/>
        <v>8.2035517325323819E-3</v>
      </c>
      <c r="AC123" s="60">
        <f t="shared" ref="AC123:AE123" si="677">AC122*AC119</f>
        <v>8.2035517325323819E-3</v>
      </c>
      <c r="AD123" s="60">
        <f t="shared" si="677"/>
        <v>8.2035517325323819E-3</v>
      </c>
      <c r="AE123" s="60">
        <f t="shared" si="677"/>
        <v>8.2035517325323819E-3</v>
      </c>
      <c r="AF123" s="60">
        <f t="shared" si="671"/>
        <v>8.2035517325323819E-3</v>
      </c>
      <c r="AG123" s="60">
        <f t="shared" ref="AG123:AI123" si="678">AG122*AG119</f>
        <v>8.2035517325323819E-3</v>
      </c>
      <c r="AH123" s="60">
        <f t="shared" si="678"/>
        <v>8.2035517325323819E-3</v>
      </c>
      <c r="AI123" s="60">
        <f t="shared" si="678"/>
        <v>8.2035517325323819E-3</v>
      </c>
      <c r="AJ123" s="60">
        <f t="shared" si="671"/>
        <v>8.2035517325323819E-3</v>
      </c>
      <c r="AK123" s="60">
        <f t="shared" ref="AK123:AM123" si="679">AK122*AK119</f>
        <v>8.2035517325323819E-3</v>
      </c>
      <c r="AL123" s="60">
        <f t="shared" si="679"/>
        <v>8.2035517325323819E-3</v>
      </c>
      <c r="AM123" s="60">
        <f t="shared" si="679"/>
        <v>8.2035517325323819E-3</v>
      </c>
      <c r="AN123" s="60">
        <f t="shared" si="671"/>
        <v>8.2035517325323819E-3</v>
      </c>
      <c r="AO123" s="60">
        <f t="shared" ref="AO123:AQ123" si="680">AO122*AO119</f>
        <v>8.2035517325323819E-3</v>
      </c>
      <c r="AP123" s="60">
        <f t="shared" si="680"/>
        <v>8.2035517325323819E-3</v>
      </c>
      <c r="AQ123" s="60">
        <f t="shared" si="680"/>
        <v>8.2035517325323819E-3</v>
      </c>
      <c r="AR123" s="60">
        <f t="shared" si="671"/>
        <v>8.2035517325323819E-3</v>
      </c>
      <c r="AS123" s="70"/>
      <c r="AT123" s="70"/>
      <c r="AU123" s="70"/>
    </row>
    <row r="124" spans="2:47">
      <c r="C124" s="61">
        <f>C122-1</f>
        <v>9.3806897670984268E-2</v>
      </c>
      <c r="D124" s="61"/>
      <c r="E124" s="61">
        <f>E122-1</f>
        <v>9.3806897670984268E-2</v>
      </c>
      <c r="F124" s="61">
        <f>F122-1</f>
        <v>9.3806897670984268E-2</v>
      </c>
      <c r="G124" s="61">
        <f>G122-1</f>
        <v>9.3806897670984268E-2</v>
      </c>
      <c r="H124" s="61">
        <f>H122-1</f>
        <v>9.3806897670984268E-2</v>
      </c>
      <c r="I124" s="61">
        <f t="shared" ref="I124:J124" si="681">I122-1</f>
        <v>9.3806897670984268E-2</v>
      </c>
      <c r="J124" s="61">
        <f t="shared" si="681"/>
        <v>9.3806897670984268E-2</v>
      </c>
      <c r="K124" s="61">
        <f t="shared" ref="K124" si="682">K122-1</f>
        <v>9.3806897670984268E-2</v>
      </c>
      <c r="L124" s="61">
        <f t="shared" ref="L124:AR124" si="683">L122-1</f>
        <v>9.3806897670984268E-2</v>
      </c>
      <c r="M124" s="61">
        <f t="shared" ref="M124:O124" si="684">M122-1</f>
        <v>9.3806897670984268E-2</v>
      </c>
      <c r="N124" s="61">
        <f t="shared" si="684"/>
        <v>9.3806897670984268E-2</v>
      </c>
      <c r="O124" s="61">
        <f t="shared" si="684"/>
        <v>9.3806897670984268E-2</v>
      </c>
      <c r="P124" s="61">
        <f t="shared" si="683"/>
        <v>9.3806897670984268E-2</v>
      </c>
      <c r="Q124" s="61">
        <f t="shared" ref="Q124:R124" si="685">Q122-1</f>
        <v>9.3806897670984268E-2</v>
      </c>
      <c r="R124" s="61">
        <f t="shared" si="685"/>
        <v>9.3806897670984268E-2</v>
      </c>
      <c r="S124" s="61">
        <f t="shared" ref="S124" si="686">S122-1</f>
        <v>9.3806897670984268E-2</v>
      </c>
      <c r="T124" s="61">
        <f t="shared" si="683"/>
        <v>9.3806897670984268E-2</v>
      </c>
      <c r="U124" s="61">
        <f t="shared" ref="U124:W124" si="687">U122-1</f>
        <v>9.3806897670984268E-2</v>
      </c>
      <c r="V124" s="61">
        <f t="shared" si="687"/>
        <v>9.3806897670984268E-2</v>
      </c>
      <c r="W124" s="61">
        <f t="shared" si="687"/>
        <v>9.3806897670984268E-2</v>
      </c>
      <c r="X124" s="61">
        <f t="shared" si="683"/>
        <v>9.3806897670984268E-2</v>
      </c>
      <c r="Y124" s="61">
        <f t="shared" ref="Y124:AA124" si="688">Y122-1</f>
        <v>9.3806897670984268E-2</v>
      </c>
      <c r="Z124" s="61">
        <f t="shared" si="688"/>
        <v>9.3806897670984268E-2</v>
      </c>
      <c r="AA124" s="61">
        <f t="shared" si="688"/>
        <v>9.3806897670984268E-2</v>
      </c>
      <c r="AB124" s="61">
        <f t="shared" si="683"/>
        <v>9.3806897670984268E-2</v>
      </c>
      <c r="AC124" s="61">
        <f t="shared" ref="AC124:AE124" si="689">AC122-1</f>
        <v>9.3806897670984268E-2</v>
      </c>
      <c r="AD124" s="61">
        <f t="shared" si="689"/>
        <v>9.3806897670984268E-2</v>
      </c>
      <c r="AE124" s="61">
        <f t="shared" si="689"/>
        <v>9.3806897670984268E-2</v>
      </c>
      <c r="AF124" s="61">
        <f t="shared" si="683"/>
        <v>9.3806897670984268E-2</v>
      </c>
      <c r="AG124" s="61">
        <f t="shared" ref="AG124:AI124" si="690">AG122-1</f>
        <v>9.3806897670984268E-2</v>
      </c>
      <c r="AH124" s="61">
        <f t="shared" si="690"/>
        <v>9.3806897670984268E-2</v>
      </c>
      <c r="AI124" s="61">
        <f t="shared" si="690"/>
        <v>9.3806897670984268E-2</v>
      </c>
      <c r="AJ124" s="61">
        <f t="shared" si="683"/>
        <v>9.3806897670984268E-2</v>
      </c>
      <c r="AK124" s="61">
        <f t="shared" ref="AK124:AM124" si="691">AK122-1</f>
        <v>9.3806897670984268E-2</v>
      </c>
      <c r="AL124" s="61">
        <f t="shared" si="691"/>
        <v>9.3806897670984268E-2</v>
      </c>
      <c r="AM124" s="61">
        <f t="shared" si="691"/>
        <v>9.3806897670984268E-2</v>
      </c>
      <c r="AN124" s="61">
        <f t="shared" si="683"/>
        <v>9.3806897670984268E-2</v>
      </c>
      <c r="AO124" s="61">
        <f t="shared" ref="AO124:AQ124" si="692">AO122-1</f>
        <v>9.3806897670984268E-2</v>
      </c>
      <c r="AP124" s="61">
        <f t="shared" si="692"/>
        <v>9.3806897670984268E-2</v>
      </c>
      <c r="AQ124" s="61">
        <f t="shared" si="692"/>
        <v>9.3806897670984268E-2</v>
      </c>
      <c r="AR124" s="61">
        <f t="shared" si="683"/>
        <v>9.3806897670984268E-2</v>
      </c>
      <c r="AS124" s="71"/>
      <c r="AT124" s="71"/>
      <c r="AU124" s="71"/>
    </row>
    <row r="125" spans="2:47">
      <c r="C125" s="61">
        <f>C123/C124</f>
        <v>8.7451476769920405E-2</v>
      </c>
      <c r="D125" s="61"/>
      <c r="E125" s="61">
        <f>E123/E124</f>
        <v>8.7451476769920405E-2</v>
      </c>
      <c r="F125" s="61">
        <f>F123/F124</f>
        <v>8.7451476769920405E-2</v>
      </c>
      <c r="G125" s="61">
        <f>G123/G124</f>
        <v>8.7451476769920405E-2</v>
      </c>
      <c r="H125" s="61">
        <f>H123/H124</f>
        <v>8.7451476769920405E-2</v>
      </c>
      <c r="I125" s="61">
        <f t="shared" ref="I125:J125" si="693">I123/I124</f>
        <v>8.7451476769920405E-2</v>
      </c>
      <c r="J125" s="61">
        <f t="shared" si="693"/>
        <v>8.7451476769920405E-2</v>
      </c>
      <c r="K125" s="61">
        <f t="shared" ref="K125" si="694">K123/K124</f>
        <v>8.7451476769920405E-2</v>
      </c>
      <c r="L125" s="61">
        <f t="shared" ref="L125:AR125" si="695">L123/L124</f>
        <v>8.7451476769920405E-2</v>
      </c>
      <c r="M125" s="61">
        <f t="shared" ref="M125:O125" si="696">M123/M124</f>
        <v>8.7451476769920405E-2</v>
      </c>
      <c r="N125" s="61">
        <f t="shared" si="696"/>
        <v>8.7451476769920405E-2</v>
      </c>
      <c r="O125" s="61">
        <f t="shared" si="696"/>
        <v>8.7451476769920405E-2</v>
      </c>
      <c r="P125" s="61">
        <f t="shared" si="695"/>
        <v>8.7451476769920405E-2</v>
      </c>
      <c r="Q125" s="61">
        <f t="shared" ref="Q125:R125" si="697">Q123/Q124</f>
        <v>8.7451476769920405E-2</v>
      </c>
      <c r="R125" s="61">
        <f t="shared" si="697"/>
        <v>8.7451476769920405E-2</v>
      </c>
      <c r="S125" s="61">
        <f t="shared" ref="S125" si="698">S123/S124</f>
        <v>8.7451476769920405E-2</v>
      </c>
      <c r="T125" s="61">
        <f t="shared" si="695"/>
        <v>8.7451476769920405E-2</v>
      </c>
      <c r="U125" s="61">
        <f t="shared" ref="U125:W125" si="699">U123/U124</f>
        <v>8.7451476769920405E-2</v>
      </c>
      <c r="V125" s="61">
        <f t="shared" si="699"/>
        <v>8.7451476769920405E-2</v>
      </c>
      <c r="W125" s="61">
        <f t="shared" si="699"/>
        <v>8.7451476769920405E-2</v>
      </c>
      <c r="X125" s="61">
        <f t="shared" si="695"/>
        <v>8.7451476769920405E-2</v>
      </c>
      <c r="Y125" s="61">
        <f t="shared" ref="Y125:AA125" si="700">Y123/Y124</f>
        <v>8.7451476769920405E-2</v>
      </c>
      <c r="Z125" s="61">
        <f t="shared" si="700"/>
        <v>8.7451476769920405E-2</v>
      </c>
      <c r="AA125" s="61">
        <f t="shared" si="700"/>
        <v>8.7451476769920405E-2</v>
      </c>
      <c r="AB125" s="61">
        <f t="shared" si="695"/>
        <v>8.7451476769920405E-2</v>
      </c>
      <c r="AC125" s="61">
        <f t="shared" ref="AC125:AE125" si="701">AC123/AC124</f>
        <v>8.7451476769920405E-2</v>
      </c>
      <c r="AD125" s="61">
        <f t="shared" si="701"/>
        <v>8.7451476769920405E-2</v>
      </c>
      <c r="AE125" s="61">
        <f t="shared" si="701"/>
        <v>8.7451476769920405E-2</v>
      </c>
      <c r="AF125" s="61">
        <f t="shared" si="695"/>
        <v>8.7451476769920405E-2</v>
      </c>
      <c r="AG125" s="61">
        <f t="shared" ref="AG125:AI125" si="702">AG123/AG124</f>
        <v>8.7451476769920405E-2</v>
      </c>
      <c r="AH125" s="61">
        <f t="shared" si="702"/>
        <v>8.7451476769920405E-2</v>
      </c>
      <c r="AI125" s="61">
        <f t="shared" si="702"/>
        <v>8.7451476769920405E-2</v>
      </c>
      <c r="AJ125" s="61">
        <f t="shared" si="695"/>
        <v>8.7451476769920405E-2</v>
      </c>
      <c r="AK125" s="61">
        <f t="shared" ref="AK125:AM125" si="703">AK123/AK124</f>
        <v>8.7451476769920405E-2</v>
      </c>
      <c r="AL125" s="61">
        <f t="shared" si="703"/>
        <v>8.7451476769920405E-2</v>
      </c>
      <c r="AM125" s="61">
        <f t="shared" si="703"/>
        <v>8.7451476769920405E-2</v>
      </c>
      <c r="AN125" s="61">
        <f t="shared" si="695"/>
        <v>8.7451476769920405E-2</v>
      </c>
      <c r="AO125" s="61">
        <f t="shared" ref="AO125:AQ125" si="704">AO123/AO124</f>
        <v>8.7451476769920405E-2</v>
      </c>
      <c r="AP125" s="61">
        <f t="shared" si="704"/>
        <v>8.7451476769920405E-2</v>
      </c>
      <c r="AQ125" s="61">
        <f t="shared" si="704"/>
        <v>8.7451476769920405E-2</v>
      </c>
      <c r="AR125" s="61">
        <f t="shared" si="695"/>
        <v>8.7451476769920405E-2</v>
      </c>
      <c r="AS125" s="71"/>
      <c r="AT125" s="71"/>
      <c r="AU125" s="71"/>
    </row>
    <row r="126" spans="2:47" s="51" customFormat="1">
      <c r="B126" s="51" t="s">
        <v>17</v>
      </c>
      <c r="C126" s="54">
        <f>C125*C115</f>
        <v>14582.009042523609</v>
      </c>
      <c r="D126" s="54"/>
      <c r="E126" s="54">
        <f>E125*E115</f>
        <v>2398.3567504150669</v>
      </c>
      <c r="F126" s="54">
        <f t="shared" ref="F126:K126" si="705">F125*F115</f>
        <v>4796.7135008301339</v>
      </c>
      <c r="G126" s="54">
        <f t="shared" si="705"/>
        <v>7195.0702512452017</v>
      </c>
      <c r="H126" s="54">
        <f t="shared" si="705"/>
        <v>9593.4270016602677</v>
      </c>
      <c r="I126" s="54">
        <f t="shared" si="705"/>
        <v>11991.783752075336</v>
      </c>
      <c r="J126" s="54">
        <f t="shared" si="705"/>
        <v>14390.140502490403</v>
      </c>
      <c r="K126" s="54">
        <f t="shared" si="705"/>
        <v>16788.497252905468</v>
      </c>
      <c r="L126" s="54">
        <f t="shared" ref="L126:AR126" si="706">L125*L115</f>
        <v>19186.854003320535</v>
      </c>
      <c r="M126" s="54">
        <f t="shared" ref="M126:O126" si="707">M125*M115</f>
        <v>21585.210753735602</v>
      </c>
      <c r="N126" s="54">
        <f t="shared" si="707"/>
        <v>23983.567504150673</v>
      </c>
      <c r="O126" s="54">
        <f t="shared" si="707"/>
        <v>26381.92425456574</v>
      </c>
      <c r="P126" s="54">
        <f t="shared" si="706"/>
        <v>28780.281004980807</v>
      </c>
      <c r="Q126" s="54">
        <f t="shared" ref="Q126:R126" si="708">Q125*Q115</f>
        <v>31178.637755395874</v>
      </c>
      <c r="R126" s="54">
        <f t="shared" si="708"/>
        <v>33576.994505810937</v>
      </c>
      <c r="S126" s="54">
        <f t="shared" ref="S126" si="709">S125*S115</f>
        <v>35975.351256226008</v>
      </c>
      <c r="T126" s="54">
        <f t="shared" si="706"/>
        <v>38373.708006641071</v>
      </c>
      <c r="U126" s="54">
        <f t="shared" ref="U126:W126" si="710">U125*U115</f>
        <v>40772.064757056141</v>
      </c>
      <c r="V126" s="54">
        <f t="shared" si="710"/>
        <v>43170.421507471205</v>
      </c>
      <c r="W126" s="54">
        <f t="shared" si="710"/>
        <v>45568.778257886275</v>
      </c>
      <c r="X126" s="54">
        <f t="shared" si="706"/>
        <v>47967.135008301346</v>
      </c>
      <c r="Y126" s="54">
        <f t="shared" ref="Y126:AA126" si="711">Y125*Y115</f>
        <v>50365.491758716409</v>
      </c>
      <c r="Z126" s="54">
        <f t="shared" si="711"/>
        <v>52763.84850913148</v>
      </c>
      <c r="AA126" s="54">
        <f t="shared" si="711"/>
        <v>55162.205259546543</v>
      </c>
      <c r="AB126" s="54">
        <f t="shared" si="706"/>
        <v>57560.562009961614</v>
      </c>
      <c r="AC126" s="54">
        <f t="shared" ref="AC126:AE126" si="712">AC125*AC115</f>
        <v>59958.918760376677</v>
      </c>
      <c r="AD126" s="54">
        <f t="shared" si="712"/>
        <v>62357.275510791747</v>
      </c>
      <c r="AE126" s="54">
        <f t="shared" si="712"/>
        <v>64755.632261206811</v>
      </c>
      <c r="AF126" s="54">
        <f t="shared" si="706"/>
        <v>67153.989011621874</v>
      </c>
      <c r="AG126" s="54">
        <f t="shared" ref="AG126:AI126" si="713">AG125*AG115</f>
        <v>69552.345762036945</v>
      </c>
      <c r="AH126" s="54">
        <f t="shared" si="713"/>
        <v>71950.702512452015</v>
      </c>
      <c r="AI126" s="54">
        <f t="shared" si="713"/>
        <v>74349.059262867086</v>
      </c>
      <c r="AJ126" s="54">
        <f t="shared" si="706"/>
        <v>76747.416013282142</v>
      </c>
      <c r="AK126" s="54">
        <f t="shared" ref="AK126:AM126" si="714">AK125*AK115</f>
        <v>79145.772763697212</v>
      </c>
      <c r="AL126" s="54">
        <f t="shared" si="714"/>
        <v>81544.129514112283</v>
      </c>
      <c r="AM126" s="54">
        <f t="shared" si="714"/>
        <v>83942.486264527353</v>
      </c>
      <c r="AN126" s="54">
        <f t="shared" si="706"/>
        <v>86340.843014942409</v>
      </c>
      <c r="AO126" s="54">
        <f t="shared" ref="AO126:AQ126" si="715">AO125*AO115</f>
        <v>88739.19976535748</v>
      </c>
      <c r="AP126" s="54">
        <f t="shared" si="715"/>
        <v>91137.55651577255</v>
      </c>
      <c r="AQ126" s="54">
        <f t="shared" si="715"/>
        <v>93535.913266187621</v>
      </c>
      <c r="AR126" s="54">
        <f t="shared" si="706"/>
        <v>95934.270016602692</v>
      </c>
      <c r="AS126" s="64"/>
      <c r="AT126" s="64"/>
      <c r="AU126" s="64"/>
    </row>
    <row r="127" spans="2:47">
      <c r="C127" s="4"/>
      <c r="D127" s="4"/>
      <c r="E127" s="4"/>
      <c r="F127" s="4"/>
      <c r="G127" s="4"/>
      <c r="H127" s="4"/>
      <c r="I127" s="4"/>
      <c r="J127" s="4"/>
      <c r="K127" s="4"/>
      <c r="L127" s="4"/>
      <c r="M127" s="4"/>
      <c r="AB127" s="4"/>
      <c r="AC127" s="4"/>
      <c r="AD127" s="4"/>
      <c r="AE127" s="4"/>
      <c r="AF127" s="4"/>
      <c r="AG127" s="4"/>
      <c r="AH127" s="4"/>
      <c r="AI127" s="4"/>
      <c r="AJ127" s="4"/>
      <c r="AK127" s="4"/>
      <c r="AL127" s="4"/>
      <c r="AM127" s="4"/>
      <c r="AN127" s="4"/>
      <c r="AO127" s="4"/>
      <c r="AP127" s="4"/>
      <c r="AQ127" s="4"/>
      <c r="AR127" s="4"/>
      <c r="AS127" s="64"/>
      <c r="AT127" s="64"/>
      <c r="AU127" s="64"/>
    </row>
    <row r="128" spans="2:47">
      <c r="B128" t="s">
        <v>34</v>
      </c>
      <c r="C128" s="4">
        <f>C108-C109</f>
        <v>22984.108510283288</v>
      </c>
      <c r="D128" s="4"/>
      <c r="E128" s="4">
        <f>E108-E109</f>
        <v>3780.2810049808031</v>
      </c>
      <c r="F128" s="4">
        <f>F108-F109</f>
        <v>7560.5620099616062</v>
      </c>
      <c r="G128" s="4">
        <f>G108-G109</f>
        <v>11340.843014942424</v>
      </c>
      <c r="H128" s="4">
        <f>H108-H109</f>
        <v>15121.124019923212</v>
      </c>
      <c r="I128" s="4">
        <f t="shared" ref="I128:J128" si="716">I108-I109</f>
        <v>18901.40502490403</v>
      </c>
      <c r="J128" s="4">
        <f t="shared" si="716"/>
        <v>22681.686029884848</v>
      </c>
      <c r="K128" s="4">
        <f t="shared" ref="K128" si="717">K108-K109</f>
        <v>26461.967034865636</v>
      </c>
      <c r="L128" s="4">
        <f t="shared" ref="L128:AR128" si="718">L108-L109</f>
        <v>30242.248039846425</v>
      </c>
      <c r="M128" s="4">
        <f t="shared" ref="M128:O128" si="719">M108-M109</f>
        <v>34022.529044827214</v>
      </c>
      <c r="N128" s="4">
        <f t="shared" si="719"/>
        <v>37802.81004980806</v>
      </c>
      <c r="O128" s="4">
        <f t="shared" si="719"/>
        <v>41583.091054788907</v>
      </c>
      <c r="P128" s="4">
        <f t="shared" si="718"/>
        <v>45363.372059769696</v>
      </c>
      <c r="Q128" s="4">
        <f t="shared" ref="Q128:R128" si="720">Q108-Q109</f>
        <v>49143.653064750484</v>
      </c>
      <c r="R128" s="4">
        <f t="shared" si="720"/>
        <v>52923.934069731273</v>
      </c>
      <c r="S128" s="4">
        <f t="shared" ref="S128" si="721">S108-S109</f>
        <v>56704.215074712061</v>
      </c>
      <c r="T128" s="4">
        <f t="shared" si="718"/>
        <v>60484.49607969285</v>
      </c>
      <c r="U128" s="4">
        <f t="shared" ref="U128:W128" si="722">U108-U109</f>
        <v>64264.777084673697</v>
      </c>
      <c r="V128" s="4">
        <f t="shared" si="722"/>
        <v>68045.058089654427</v>
      </c>
      <c r="W128" s="4">
        <f t="shared" si="722"/>
        <v>71825.339094635332</v>
      </c>
      <c r="X128" s="4">
        <f t="shared" si="718"/>
        <v>75605.620099616121</v>
      </c>
      <c r="Y128" s="4">
        <f t="shared" ref="Y128:AA128" si="723">Y108-Y109</f>
        <v>79385.901104596909</v>
      </c>
      <c r="Z128" s="4">
        <f t="shared" si="723"/>
        <v>83166.182109577814</v>
      </c>
      <c r="AA128" s="4">
        <f t="shared" si="723"/>
        <v>86946.463114558486</v>
      </c>
      <c r="AB128" s="4">
        <f t="shared" si="718"/>
        <v>90726.744119539391</v>
      </c>
      <c r="AC128" s="4">
        <f t="shared" ref="AC128:AE128" si="724">AC108-AC109</f>
        <v>94507.025124520063</v>
      </c>
      <c r="AD128" s="4">
        <f t="shared" si="724"/>
        <v>98287.306129500968</v>
      </c>
      <c r="AE128" s="4">
        <f t="shared" si="724"/>
        <v>102067.58713448176</v>
      </c>
      <c r="AF128" s="4">
        <f t="shared" si="718"/>
        <v>105847.86813946255</v>
      </c>
      <c r="AG128" s="4">
        <f t="shared" ref="AG128:AI128" si="725">AG108-AG109</f>
        <v>109628.14914444333</v>
      </c>
      <c r="AH128" s="4">
        <f t="shared" si="725"/>
        <v>113408.43014942412</v>
      </c>
      <c r="AI128" s="4">
        <f t="shared" si="725"/>
        <v>117188.71115440503</v>
      </c>
      <c r="AJ128" s="4">
        <f t="shared" si="718"/>
        <v>120968.9921593857</v>
      </c>
      <c r="AK128" s="4">
        <f t="shared" ref="AK128:AM128" si="726">AK108-AK109</f>
        <v>124749.2731643666</v>
      </c>
      <c r="AL128" s="4">
        <f t="shared" si="726"/>
        <v>128529.55416934739</v>
      </c>
      <c r="AM128" s="4">
        <f t="shared" si="726"/>
        <v>132309.83517432818</v>
      </c>
      <c r="AN128" s="4">
        <f t="shared" si="718"/>
        <v>136090.11617930885</v>
      </c>
      <c r="AO128" s="4">
        <f t="shared" ref="AO128:AQ128" si="727">AO108-AO109</f>
        <v>139870.39718428976</v>
      </c>
      <c r="AP128" s="4">
        <f t="shared" si="727"/>
        <v>143650.67818927066</v>
      </c>
      <c r="AQ128" s="4">
        <f t="shared" si="727"/>
        <v>147430.95919425134</v>
      </c>
      <c r="AR128" s="4">
        <f t="shared" si="718"/>
        <v>151211.24019923224</v>
      </c>
      <c r="AS128" s="64"/>
      <c r="AT128" s="64"/>
      <c r="AU128" s="64"/>
    </row>
    <row r="129" spans="2:47">
      <c r="B129" t="s">
        <v>35</v>
      </c>
      <c r="C129" s="7">
        <f>C128/C108</f>
        <v>0.13134969058594587</v>
      </c>
      <c r="D129" s="7"/>
      <c r="E129" s="7">
        <f>E128/E108</f>
        <v>0.13134969058594584</v>
      </c>
      <c r="F129" s="7">
        <f>F128/F108</f>
        <v>0.13134969058594584</v>
      </c>
      <c r="G129" s="7">
        <f>G128/G108</f>
        <v>0.13134969058594601</v>
      </c>
      <c r="H129" s="7">
        <f>H128/H108</f>
        <v>0.13134969058594584</v>
      </c>
      <c r="I129" s="7">
        <f t="shared" ref="I129:J129" si="728">I128/I108</f>
        <v>0.13134969058594595</v>
      </c>
      <c r="J129" s="7">
        <f t="shared" si="728"/>
        <v>0.13134969058594601</v>
      </c>
      <c r="K129" s="7">
        <f t="shared" ref="K129" si="729">K128/K108</f>
        <v>0.13134969058594592</v>
      </c>
      <c r="L129" s="7">
        <f t="shared" ref="L129:AR129" si="730">L128/L108</f>
        <v>0.13134969058594584</v>
      </c>
      <c r="M129" s="7">
        <f t="shared" ref="M129:O129" si="731">M128/M108</f>
        <v>0.13134969058594581</v>
      </c>
      <c r="N129" s="7">
        <f t="shared" si="731"/>
        <v>0.13134969058594595</v>
      </c>
      <c r="O129" s="7">
        <f t="shared" si="731"/>
        <v>0.13134969058594606</v>
      </c>
      <c r="P129" s="7">
        <f t="shared" si="730"/>
        <v>0.13134969058594601</v>
      </c>
      <c r="Q129" s="7">
        <f t="shared" ref="Q129:R129" si="732">Q128/Q108</f>
        <v>0.13134969058594595</v>
      </c>
      <c r="R129" s="7">
        <f t="shared" si="732"/>
        <v>0.13134969058594592</v>
      </c>
      <c r="S129" s="7">
        <f t="shared" ref="S129" si="733">S128/S108</f>
        <v>0.13134969058594587</v>
      </c>
      <c r="T129" s="7">
        <f t="shared" si="730"/>
        <v>0.13134969058594584</v>
      </c>
      <c r="U129" s="7">
        <f t="shared" ref="U129:W129" si="734">U128/U108</f>
        <v>0.13134969058594592</v>
      </c>
      <c r="V129" s="7">
        <f t="shared" si="734"/>
        <v>0.13134969058594581</v>
      </c>
      <c r="W129" s="7">
        <f t="shared" si="734"/>
        <v>0.13134969058594598</v>
      </c>
      <c r="X129" s="7">
        <f t="shared" si="730"/>
        <v>0.13134969058594595</v>
      </c>
      <c r="Y129" s="7">
        <f t="shared" ref="Y129:AA129" si="735">Y128/Y108</f>
        <v>0.13134969058594592</v>
      </c>
      <c r="Z129" s="7">
        <f t="shared" si="735"/>
        <v>0.13134969058594606</v>
      </c>
      <c r="AA129" s="7">
        <f t="shared" si="735"/>
        <v>0.13134969058594587</v>
      </c>
      <c r="AB129" s="7">
        <f t="shared" si="730"/>
        <v>0.13134969058594601</v>
      </c>
      <c r="AC129" s="7">
        <f t="shared" ref="AC129:AE129" si="736">AC128/AC108</f>
        <v>0.13134969058594584</v>
      </c>
      <c r="AD129" s="7">
        <f t="shared" si="736"/>
        <v>0.13134969058594595</v>
      </c>
      <c r="AE129" s="7">
        <f t="shared" si="736"/>
        <v>0.13134969058594592</v>
      </c>
      <c r="AF129" s="7">
        <f t="shared" si="730"/>
        <v>0.13134969058594592</v>
      </c>
      <c r="AG129" s="7">
        <f t="shared" ref="AG129:AI129" si="737">AG128/AG108</f>
        <v>0.13134969058594589</v>
      </c>
      <c r="AH129" s="7">
        <f t="shared" si="737"/>
        <v>0.13134969058594587</v>
      </c>
      <c r="AI129" s="7">
        <f t="shared" si="737"/>
        <v>0.13134969058594598</v>
      </c>
      <c r="AJ129" s="7">
        <f t="shared" si="730"/>
        <v>0.13134969058594584</v>
      </c>
      <c r="AK129" s="7">
        <f t="shared" ref="AK129:AM129" si="738">AK128/AK108</f>
        <v>0.13134969058594595</v>
      </c>
      <c r="AL129" s="7">
        <f t="shared" si="738"/>
        <v>0.13134969058594592</v>
      </c>
      <c r="AM129" s="7">
        <f t="shared" si="738"/>
        <v>0.13134969058594592</v>
      </c>
      <c r="AN129" s="7">
        <f t="shared" si="730"/>
        <v>0.13134969058594581</v>
      </c>
      <c r="AO129" s="7">
        <f t="shared" ref="AO129:AQ129" si="739">AO128/AO108</f>
        <v>0.13134969058594589</v>
      </c>
      <c r="AP129" s="7">
        <f t="shared" si="739"/>
        <v>0.13134969058594598</v>
      </c>
      <c r="AQ129" s="7">
        <f t="shared" si="739"/>
        <v>0.13134969058594587</v>
      </c>
      <c r="AR129" s="7">
        <f t="shared" si="730"/>
        <v>0.13134969058594595</v>
      </c>
      <c r="AS129" s="28"/>
      <c r="AT129" s="28"/>
      <c r="AU129" s="28"/>
    </row>
    <row r="133" spans="2:47" ht="21">
      <c r="B133" s="53"/>
      <c r="C133" s="53"/>
      <c r="D133" s="53"/>
      <c r="E133" s="53"/>
      <c r="F133" s="53"/>
      <c r="G133" s="53"/>
      <c r="H133" s="72"/>
      <c r="I133" s="72"/>
      <c r="J133" s="72"/>
      <c r="K133" s="72"/>
      <c r="L133" s="72"/>
      <c r="M133" s="72"/>
      <c r="N133" s="78"/>
      <c r="O133" s="78"/>
      <c r="P133" s="78"/>
      <c r="Q133" s="78"/>
      <c r="R133" s="78"/>
      <c r="S133" s="78"/>
      <c r="T133" s="78"/>
      <c r="U133" s="78"/>
      <c r="V133" s="78"/>
      <c r="W133" s="78"/>
      <c r="X133" s="78"/>
      <c r="Y133" s="78"/>
      <c r="Z133" s="78"/>
      <c r="AA133" s="78"/>
      <c r="AB133" s="72"/>
      <c r="AC133" s="72"/>
      <c r="AD133" s="72"/>
      <c r="AE133" s="72"/>
      <c r="AF133" s="72"/>
      <c r="AG133" s="72"/>
      <c r="AH133" s="72"/>
      <c r="AI133" s="72"/>
      <c r="AJ133" s="72"/>
      <c r="AK133" s="72"/>
      <c r="AL133" s="72"/>
      <c r="AM133" s="72"/>
      <c r="AN133" s="72"/>
      <c r="AO133" s="72"/>
      <c r="AP133" s="72"/>
      <c r="AQ133" s="72"/>
      <c r="AR133" s="72"/>
      <c r="AS133" s="72"/>
      <c r="AT133" s="72"/>
      <c r="AU133" s="72"/>
    </row>
    <row r="134" spans="2:47">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64"/>
      <c r="AT134" s="64"/>
      <c r="AU134" s="64"/>
    </row>
    <row r="135" spans="2:47">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64"/>
      <c r="AT135" s="64"/>
      <c r="AU135" s="64"/>
    </row>
    <row r="136" spans="2:47">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64"/>
      <c r="AT136" s="64"/>
      <c r="AU136" s="64"/>
    </row>
    <row r="137" spans="2:47">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64"/>
      <c r="AT137" s="64"/>
      <c r="AU137" s="64"/>
    </row>
    <row r="138" spans="2:47">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64"/>
      <c r="AT138" s="64"/>
      <c r="AU138" s="64"/>
    </row>
    <row r="139" spans="2:47">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64"/>
      <c r="AT139" s="64"/>
      <c r="AU139" s="64"/>
    </row>
    <row r="140" spans="2:47">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64"/>
      <c r="AT140" s="64"/>
      <c r="AU140" s="64"/>
    </row>
    <row r="141" spans="2:47">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65"/>
      <c r="AT141" s="65"/>
      <c r="AU141" s="65"/>
    </row>
    <row r="142" spans="2:47">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68"/>
      <c r="AT142" s="68"/>
      <c r="AU142" s="68"/>
    </row>
    <row r="143" spans="2:47">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28"/>
      <c r="AT143" s="28"/>
      <c r="AU143" s="28"/>
    </row>
    <row r="144" spans="2:47">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68"/>
      <c r="AT144" s="68"/>
      <c r="AU144" s="68"/>
    </row>
    <row r="145" spans="8:47">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64"/>
      <c r="AT145" s="64"/>
      <c r="AU145" s="64"/>
    </row>
    <row r="146" spans="8:47">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69"/>
      <c r="AT146" s="69"/>
      <c r="AU146" s="69"/>
    </row>
    <row r="147" spans="8:47">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0"/>
      <c r="AT147" s="70"/>
      <c r="AU147" s="70"/>
    </row>
    <row r="148" spans="8:4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77"/>
      <c r="AL148" s="77"/>
      <c r="AM148" s="77"/>
      <c r="AN148" s="77"/>
      <c r="AO148" s="77"/>
      <c r="AP148" s="77"/>
      <c r="AQ148" s="77"/>
      <c r="AR148" s="77"/>
      <c r="AS148" s="71"/>
      <c r="AT148" s="71"/>
      <c r="AU148" s="71"/>
    </row>
    <row r="149" spans="8:4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c r="AO149" s="77"/>
      <c r="AP149" s="77"/>
      <c r="AQ149" s="77"/>
      <c r="AR149" s="77"/>
      <c r="AS149" s="71"/>
      <c r="AT149" s="71"/>
      <c r="AU149" s="71"/>
    </row>
    <row r="150" spans="8:47">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64"/>
      <c r="AT150" s="64"/>
      <c r="AU150" s="64"/>
    </row>
    <row r="151" spans="8:47">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64"/>
      <c r="AT151" s="64"/>
      <c r="AU151" s="64"/>
    </row>
    <row r="152" spans="8:47">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64"/>
      <c r="AT152" s="64"/>
      <c r="AU152" s="64"/>
    </row>
    <row r="153" spans="8:47">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28"/>
      <c r="AT153" s="28"/>
      <c r="AU153"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05F2-CA78-4CE6-B2B0-D75FA9EB80BF}">
  <sheetPr>
    <pageSetUpPr fitToPage="1"/>
  </sheetPr>
  <dimension ref="A1:BE165"/>
  <sheetViews>
    <sheetView zoomScale="70" zoomScaleNormal="70" workbookViewId="0">
      <selection activeCell="C10" sqref="C10"/>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50" width="4.85546875" customWidth="1"/>
    <col min="51" max="51" width="5.7109375" bestFit="1" customWidth="1"/>
    <col min="52" max="64" width="4.85546875" customWidth="1"/>
  </cols>
  <sheetData>
    <row r="1" spans="1:27">
      <c r="A1" s="111" t="s">
        <v>91</v>
      </c>
      <c r="B1" t="s">
        <v>37</v>
      </c>
      <c r="C1" s="1">
        <f>'DATA ENTRY'!D16</f>
        <v>5332.9738691213597</v>
      </c>
    </row>
    <row r="2" spans="1:27">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row>
    <row r="3" spans="1:27">
      <c r="B3" s="2" t="s">
        <v>6</v>
      </c>
      <c r="C3" s="4">
        <f>'DATA ENTRY'!D4</f>
        <v>127991.37285891263</v>
      </c>
      <c r="D3" s="4"/>
      <c r="E3" s="4"/>
      <c r="F3" s="4"/>
      <c r="G3" s="4"/>
      <c r="H3" s="4"/>
      <c r="I3" s="4"/>
      <c r="J3" s="4"/>
      <c r="K3" s="4"/>
      <c r="L3" s="4"/>
      <c r="M3" s="4"/>
      <c r="N3" s="4"/>
      <c r="O3" s="4"/>
      <c r="P3" s="4"/>
      <c r="Q3" s="4"/>
      <c r="R3" s="4"/>
      <c r="S3" s="4"/>
      <c r="T3" s="4"/>
      <c r="U3" s="4"/>
      <c r="V3" s="4"/>
      <c r="W3" s="4"/>
      <c r="X3" s="4"/>
      <c r="Y3" s="4"/>
      <c r="Z3" s="4"/>
      <c r="AA3" s="4"/>
    </row>
    <row r="4" spans="1:27">
      <c r="B4" s="2" t="s">
        <v>14</v>
      </c>
      <c r="C4" s="4">
        <f>'DATA ENTRY'!D13</f>
        <v>116441.66666666667</v>
      </c>
      <c r="D4" s="6">
        <f t="shared" ref="D4:AA4" si="0">-$C1</f>
        <v>-5332.9738691213597</v>
      </c>
      <c r="E4" s="6">
        <f t="shared" si="0"/>
        <v>-5332.9738691213597</v>
      </c>
      <c r="F4" s="6">
        <f t="shared" si="0"/>
        <v>-5332.9738691213597</v>
      </c>
      <c r="G4" s="6">
        <f t="shared" si="0"/>
        <v>-5332.9738691213597</v>
      </c>
      <c r="H4" s="6">
        <f t="shared" si="0"/>
        <v>-5332.9738691213597</v>
      </c>
      <c r="I4" s="6">
        <f t="shared" si="0"/>
        <v>-5332.9738691213597</v>
      </c>
      <c r="J4" s="6">
        <f t="shared" si="0"/>
        <v>-5332.9738691213597</v>
      </c>
      <c r="K4" s="6">
        <f t="shared" si="0"/>
        <v>-5332.9738691213597</v>
      </c>
      <c r="L4" s="6">
        <f t="shared" si="0"/>
        <v>-5332.9738691213597</v>
      </c>
      <c r="M4" s="6">
        <f t="shared" si="0"/>
        <v>-5332.9738691213597</v>
      </c>
      <c r="N4" s="6">
        <f t="shared" si="0"/>
        <v>-5332.9738691213597</v>
      </c>
      <c r="O4" s="6">
        <f t="shared" si="0"/>
        <v>-5332.9738691213597</v>
      </c>
      <c r="P4" s="6">
        <f t="shared" si="0"/>
        <v>-5332.9738691213597</v>
      </c>
      <c r="Q4" s="6">
        <f t="shared" si="0"/>
        <v>-5332.9738691213597</v>
      </c>
      <c r="R4" s="6">
        <f t="shared" si="0"/>
        <v>-5332.9738691213597</v>
      </c>
      <c r="S4" s="6">
        <f t="shared" si="0"/>
        <v>-5332.9738691213597</v>
      </c>
      <c r="T4" s="6">
        <f t="shared" si="0"/>
        <v>-5332.9738691213597</v>
      </c>
      <c r="U4" s="6">
        <f t="shared" si="0"/>
        <v>-5332.9738691213597</v>
      </c>
      <c r="V4" s="6">
        <f t="shared" si="0"/>
        <v>-5332.9738691213597</v>
      </c>
      <c r="W4" s="6">
        <f t="shared" si="0"/>
        <v>-5332.9738691213597</v>
      </c>
      <c r="X4" s="6">
        <f t="shared" si="0"/>
        <v>-5332.9738691213597</v>
      </c>
      <c r="Y4" s="6">
        <f t="shared" si="0"/>
        <v>-5332.9738691213597</v>
      </c>
      <c r="Z4" s="6">
        <f t="shared" si="0"/>
        <v>-5332.9738691213597</v>
      </c>
      <c r="AA4" s="6">
        <f t="shared" si="0"/>
        <v>-5332.9738691213597</v>
      </c>
    </row>
    <row r="5" spans="1:27">
      <c r="B5" s="2" t="s">
        <v>9</v>
      </c>
      <c r="C5" s="4">
        <f>'DATA ENTRY'!D8</f>
        <v>7500</v>
      </c>
      <c r="D5" s="4"/>
      <c r="E5" s="4"/>
      <c r="F5" s="4"/>
      <c r="G5" s="4"/>
      <c r="H5" s="4"/>
      <c r="I5" s="4"/>
      <c r="J5" s="4"/>
      <c r="K5" s="4"/>
      <c r="L5" s="4"/>
      <c r="M5" s="4"/>
      <c r="N5" s="4"/>
      <c r="O5" s="4"/>
      <c r="P5" s="4"/>
      <c r="Q5" s="4"/>
      <c r="R5" s="4"/>
      <c r="S5" s="4"/>
      <c r="T5" s="4"/>
      <c r="U5" s="4"/>
      <c r="V5" s="4"/>
      <c r="W5" s="4"/>
      <c r="X5" s="4"/>
      <c r="Y5" s="4"/>
      <c r="Z5" s="4"/>
      <c r="AA5" s="4"/>
    </row>
    <row r="6" spans="1:27">
      <c r="B6" s="2" t="s">
        <v>10</v>
      </c>
      <c r="C6" s="4">
        <f>'DATA ENTRY'!D9</f>
        <v>2400</v>
      </c>
      <c r="D6" s="4"/>
      <c r="E6" s="4"/>
      <c r="F6" s="4"/>
      <c r="G6" s="4"/>
      <c r="H6" s="4"/>
      <c r="I6" s="4"/>
      <c r="J6" s="4"/>
      <c r="K6" s="4"/>
      <c r="L6" s="4"/>
      <c r="M6" s="4"/>
      <c r="N6" s="4"/>
      <c r="O6" s="4"/>
      <c r="P6" s="4"/>
      <c r="Q6" s="4"/>
      <c r="R6" s="4"/>
      <c r="S6" s="4"/>
      <c r="T6" s="4"/>
      <c r="U6" s="4"/>
      <c r="V6" s="4"/>
      <c r="W6" s="4"/>
      <c r="X6" s="4"/>
      <c r="Y6" s="4"/>
      <c r="Z6" s="4"/>
      <c r="AA6" s="4"/>
    </row>
    <row r="7" spans="1:27">
      <c r="B7" s="2" t="s">
        <v>11</v>
      </c>
      <c r="C7" s="4">
        <f>'DATA ENTRY'!D10</f>
        <v>5000</v>
      </c>
      <c r="D7" s="4"/>
      <c r="E7" s="4"/>
      <c r="F7" s="4"/>
      <c r="G7" s="4"/>
      <c r="H7" s="4"/>
      <c r="I7" s="4"/>
      <c r="J7" s="4"/>
      <c r="K7" s="4"/>
      <c r="L7" s="4"/>
      <c r="M7" s="4"/>
      <c r="N7" s="4"/>
      <c r="O7" s="4"/>
      <c r="P7" s="4"/>
      <c r="Q7" s="4"/>
      <c r="R7" s="4"/>
      <c r="S7" s="4"/>
      <c r="T7" s="4"/>
      <c r="U7" s="4"/>
      <c r="V7" s="4"/>
      <c r="W7" s="4"/>
      <c r="X7" s="4"/>
      <c r="Y7" s="4"/>
      <c r="Z7" s="4"/>
      <c r="AA7" s="4"/>
    </row>
    <row r="8" spans="1:27">
      <c r="B8" s="2" t="s">
        <v>12</v>
      </c>
      <c r="C8" s="4">
        <f>'DATA ENTRY'!D11</f>
        <v>0</v>
      </c>
      <c r="D8" s="4"/>
      <c r="E8" s="4"/>
      <c r="F8" s="4"/>
      <c r="G8" s="4"/>
      <c r="H8" s="4"/>
      <c r="I8" s="4"/>
      <c r="J8" s="4"/>
      <c r="K8" s="4"/>
      <c r="L8" s="4"/>
      <c r="M8" s="4"/>
      <c r="N8" s="4"/>
      <c r="O8" s="4"/>
      <c r="P8" s="4"/>
      <c r="Q8" s="4"/>
      <c r="R8" s="4"/>
      <c r="S8" s="4"/>
      <c r="T8" s="4"/>
      <c r="U8" s="4"/>
      <c r="V8" s="4"/>
      <c r="W8" s="4"/>
      <c r="X8" s="4"/>
      <c r="Y8" s="4"/>
      <c r="Z8" s="4"/>
      <c r="AA8" s="4"/>
    </row>
    <row r="9" spans="1:27">
      <c r="B9" s="2" t="s">
        <v>13</v>
      </c>
      <c r="C9" s="4">
        <f>'DATA ENTRY'!D12</f>
        <v>1541.6666666666667</v>
      </c>
      <c r="D9" s="4"/>
      <c r="E9" s="4"/>
      <c r="F9" s="4"/>
      <c r="I9" s="4"/>
      <c r="J9" s="4"/>
      <c r="K9" s="4"/>
      <c r="L9" s="4"/>
      <c r="M9" s="4"/>
      <c r="N9" s="4"/>
      <c r="O9" s="4"/>
      <c r="P9" s="4"/>
      <c r="Q9" s="4"/>
      <c r="R9" s="4"/>
      <c r="S9" s="4"/>
      <c r="T9" s="4"/>
      <c r="U9" s="4"/>
      <c r="V9" s="4"/>
      <c r="W9" s="4"/>
      <c r="X9" s="4"/>
      <c r="Y9" s="4"/>
      <c r="Z9" s="4"/>
      <c r="AA9" s="4"/>
    </row>
    <row r="10" spans="1:27">
      <c r="B10" s="5" t="s">
        <v>39</v>
      </c>
      <c r="C10" s="6">
        <f>C4-C5-C6-C7-C8-C9</f>
        <v>100000</v>
      </c>
    </row>
    <row r="12" spans="1:27">
      <c r="B12" t="s">
        <v>40</v>
      </c>
      <c r="C12" s="7">
        <f>IRR(C4:AA4)</f>
        <v>7.7083333333336501E-3</v>
      </c>
      <c r="D12">
        <f>C12/5</f>
        <v>1.54166666666673E-3</v>
      </c>
    </row>
    <row r="13" spans="1:27">
      <c r="C13" s="8"/>
    </row>
    <row r="14" spans="1:27">
      <c r="B14" t="s">
        <v>85</v>
      </c>
      <c r="C14" s="9"/>
    </row>
    <row r="15" spans="1:27">
      <c r="B15" t="s">
        <v>32</v>
      </c>
      <c r="C15" s="10">
        <f>'DATA ENTRY'!D14/12</f>
        <v>7.7083333333333335E-3</v>
      </c>
    </row>
    <row r="16" spans="1:27">
      <c r="B16" t="s">
        <v>16</v>
      </c>
      <c r="C16" s="98">
        <f>'DATA ENTRY'!D15</f>
        <v>9.6718129373591699E-2</v>
      </c>
      <c r="K16" s="51" t="s">
        <v>238</v>
      </c>
    </row>
    <row r="19" spans="2:57" ht="15.75" thickBot="1">
      <c r="H19" s="11"/>
    </row>
    <row r="20" spans="2:57" ht="15.75">
      <c r="B20" s="1"/>
      <c r="C20" s="375" t="s">
        <v>41</v>
      </c>
      <c r="D20" s="376"/>
      <c r="E20" s="376"/>
      <c r="F20" s="376"/>
      <c r="G20" s="376"/>
      <c r="H20" s="377"/>
      <c r="I20" s="24"/>
      <c r="J20" s="29"/>
      <c r="K20" s="30"/>
      <c r="L20" s="30"/>
      <c r="M20" s="30"/>
      <c r="N20" s="30"/>
      <c r="O20" s="31"/>
      <c r="P20" s="30"/>
      <c r="Q20" s="30"/>
      <c r="R20" s="30"/>
      <c r="S20" s="30"/>
      <c r="T20" s="30"/>
      <c r="U20" s="46"/>
      <c r="W20" s="118" t="s">
        <v>271</v>
      </c>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row>
    <row r="21" spans="2:57" ht="15.75">
      <c r="C21" s="378"/>
      <c r="D21" s="379"/>
      <c r="E21" s="379"/>
      <c r="F21" s="379"/>
      <c r="G21" s="379"/>
      <c r="H21" s="380"/>
      <c r="J21" s="32"/>
      <c r="K21" s="33"/>
      <c r="L21" s="33"/>
      <c r="M21" s="33"/>
      <c r="N21" s="33"/>
      <c r="O21" s="99"/>
      <c r="P21" s="33"/>
      <c r="Q21" s="33"/>
      <c r="R21" s="33"/>
      <c r="S21" s="33"/>
      <c r="T21" s="33"/>
      <c r="U21" s="47"/>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row>
    <row r="22" spans="2:57" ht="15.75">
      <c r="C22" s="12" t="s">
        <v>42</v>
      </c>
      <c r="D22" s="204" t="s">
        <v>260</v>
      </c>
      <c r="E22" s="13"/>
      <c r="F22" s="14"/>
      <c r="G22" s="2" t="s">
        <v>44</v>
      </c>
      <c r="H22" s="206" t="s">
        <v>262</v>
      </c>
      <c r="J22" s="32"/>
      <c r="K22" s="33"/>
      <c r="L22" s="33"/>
      <c r="M22" s="33"/>
      <c r="N22" s="33"/>
      <c r="O22" s="34"/>
      <c r="P22" s="33"/>
      <c r="Q22" s="33"/>
      <c r="R22" s="33"/>
      <c r="S22" s="33"/>
      <c r="T22" s="33"/>
      <c r="U22" s="47"/>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row>
    <row r="23" spans="2:57" ht="15.75">
      <c r="C23" s="16" t="s">
        <v>45</v>
      </c>
      <c r="D23" s="203" t="s">
        <v>259</v>
      </c>
      <c r="E23" s="17" t="s">
        <v>46</v>
      </c>
      <c r="F23" s="202" t="s">
        <v>258</v>
      </c>
      <c r="G23" s="2" t="s">
        <v>47</v>
      </c>
      <c r="H23" s="18">
        <f>C10-C14</f>
        <v>100000</v>
      </c>
      <c r="J23" s="32"/>
      <c r="K23" s="33"/>
      <c r="L23" s="33"/>
      <c r="M23" s="33"/>
      <c r="N23" s="33"/>
      <c r="O23" s="34"/>
      <c r="P23" s="33"/>
      <c r="Q23" s="33"/>
      <c r="R23" s="33"/>
      <c r="S23" s="33"/>
      <c r="T23" s="33"/>
      <c r="U23" s="47"/>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row>
    <row r="24" spans="2:57" ht="21">
      <c r="C24" s="381" t="s">
        <v>48</v>
      </c>
      <c r="D24" s="12" t="s">
        <v>49</v>
      </c>
      <c r="E24" s="50">
        <v>45915</v>
      </c>
      <c r="F24" s="2" t="s">
        <v>50</v>
      </c>
      <c r="G24" s="19">
        <f>B51</f>
        <v>46675</v>
      </c>
      <c r="H24" s="15"/>
      <c r="J24" s="32"/>
      <c r="K24" s="382" t="s">
        <v>59</v>
      </c>
      <c r="L24" s="382"/>
      <c r="M24" s="382"/>
      <c r="N24" s="382"/>
      <c r="O24" s="382"/>
      <c r="P24" s="382"/>
      <c r="Q24" s="382"/>
      <c r="R24" s="382"/>
      <c r="S24" s="382"/>
      <c r="T24" s="382"/>
      <c r="U24" s="47"/>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row>
    <row r="25" spans="2:57" ht="15.75">
      <c r="C25" s="381"/>
      <c r="D25" s="2" t="s">
        <v>51</v>
      </c>
      <c r="E25" s="2">
        <v>24</v>
      </c>
      <c r="F25" s="2" t="s">
        <v>52</v>
      </c>
      <c r="G25" s="2"/>
      <c r="H25" s="15"/>
      <c r="J25" s="32"/>
      <c r="K25" s="383" t="s">
        <v>60</v>
      </c>
      <c r="L25" s="383"/>
      <c r="M25" s="383"/>
      <c r="N25" s="383"/>
      <c r="O25" s="383"/>
      <c r="P25" s="383"/>
      <c r="Q25" s="383"/>
      <c r="R25" s="383"/>
      <c r="S25" s="383"/>
      <c r="T25" s="383"/>
      <c r="U25" s="47"/>
      <c r="W25" s="118"/>
      <c r="X25" s="384" t="s">
        <v>92</v>
      </c>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84"/>
      <c r="BD25" s="384"/>
      <c r="BE25" s="118"/>
    </row>
    <row r="26" spans="2:57" ht="15.75">
      <c r="C26" s="381"/>
      <c r="D26" s="2" t="s">
        <v>53</v>
      </c>
      <c r="E26" s="91" t="s">
        <v>54</v>
      </c>
      <c r="F26" s="91" t="s">
        <v>55</v>
      </c>
      <c r="G26" s="91" t="s">
        <v>56</v>
      </c>
      <c r="H26" s="186" t="s">
        <v>57</v>
      </c>
      <c r="J26" s="32"/>
      <c r="K26" s="33"/>
      <c r="L26" s="33"/>
      <c r="M26" s="33"/>
      <c r="N26" s="33"/>
      <c r="O26" s="34"/>
      <c r="P26" s="33"/>
      <c r="Q26" s="33"/>
      <c r="R26" s="33"/>
      <c r="S26" s="33"/>
      <c r="T26" s="33"/>
      <c r="U26" s="47"/>
      <c r="W26" s="118"/>
      <c r="X26" s="384" t="s">
        <v>93</v>
      </c>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118"/>
    </row>
    <row r="27" spans="2:57" ht="18">
      <c r="C27" s="381"/>
      <c r="D27" s="2" t="s">
        <v>58</v>
      </c>
      <c r="E27" s="2"/>
      <c r="F27" s="2"/>
      <c r="G27" s="2"/>
      <c r="H27" s="20">
        <f>C4</f>
        <v>116441.66666666667</v>
      </c>
      <c r="J27" s="32"/>
      <c r="K27" s="385" t="s">
        <v>61</v>
      </c>
      <c r="L27" s="385"/>
      <c r="M27" s="385"/>
      <c r="N27" s="385"/>
      <c r="O27" s="385"/>
      <c r="P27" s="385"/>
      <c r="Q27" s="385"/>
      <c r="R27" s="385"/>
      <c r="S27" s="385"/>
      <c r="T27" s="385"/>
      <c r="U27" s="47"/>
      <c r="W27" s="118"/>
      <c r="X27" s="384" t="s">
        <v>94</v>
      </c>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118"/>
    </row>
    <row r="28" spans="2:57" ht="15.75">
      <c r="B28" s="21">
        <f>DATE(YEAR(E$24),MONTH(E$24)+D28+1,DAY(E$24))</f>
        <v>45976</v>
      </c>
      <c r="C28" s="22" t="str">
        <f t="shared" ref="C28:C51" si="1">TEXT(B28,"mmm-yyyy")</f>
        <v>Nov-2025</v>
      </c>
      <c r="D28" s="2">
        <v>1</v>
      </c>
      <c r="E28" s="92">
        <f t="shared" ref="E28:E51" si="2">C$1</f>
        <v>5332.9738691213597</v>
      </c>
      <c r="F28" s="187">
        <f>E28-G28</f>
        <v>4435.4026885657677</v>
      </c>
      <c r="G28" s="188">
        <f t="shared" ref="G28:G51" si="3">H27*C$12</f>
        <v>897.57118055559249</v>
      </c>
      <c r="H28" s="20">
        <f>H27-F28</f>
        <v>112006.26397810091</v>
      </c>
      <c r="J28" s="32"/>
      <c r="K28" s="100"/>
      <c r="L28" s="100"/>
      <c r="M28" s="100"/>
      <c r="N28" s="100"/>
      <c r="O28" s="99"/>
      <c r="P28" s="100"/>
      <c r="Q28" s="33"/>
      <c r="R28" s="33"/>
      <c r="S28" s="33"/>
      <c r="T28" s="33"/>
      <c r="U28" s="47"/>
      <c r="W28" s="118"/>
      <c r="X28" s="118"/>
      <c r="Y28" s="118"/>
      <c r="Z28" s="118"/>
      <c r="AA28" s="118"/>
      <c r="AB28" s="118"/>
      <c r="AC28" s="118"/>
      <c r="AD28" s="118"/>
      <c r="AE28" s="151"/>
      <c r="AF28" s="151"/>
      <c r="AG28" s="151"/>
      <c r="AH28" s="151"/>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row>
    <row r="29" spans="2:57" ht="15.75">
      <c r="B29" s="21">
        <f t="shared" ref="B29:B51" si="4">DATE(YEAR(E$24),MONTH(E$24)+D29+1,DAY(E$24))</f>
        <v>46006</v>
      </c>
      <c r="C29" s="22" t="str">
        <f t="shared" si="1"/>
        <v>Dec-2025</v>
      </c>
      <c r="D29" s="2">
        <v>2</v>
      </c>
      <c r="E29" s="92">
        <f t="shared" si="2"/>
        <v>5332.9738691213597</v>
      </c>
      <c r="F29" s="187">
        <f t="shared" ref="F29:F51" si="5">E29-G29</f>
        <v>4469.5922509567963</v>
      </c>
      <c r="G29" s="188">
        <f t="shared" si="3"/>
        <v>863.38161816456329</v>
      </c>
      <c r="H29" s="20">
        <f t="shared" ref="H29:H51" si="6">H28-F29</f>
        <v>107536.67172714412</v>
      </c>
      <c r="J29" s="32"/>
      <c r="K29" s="100"/>
      <c r="L29" s="100"/>
      <c r="M29" s="100"/>
      <c r="N29" s="100"/>
      <c r="O29" s="99"/>
      <c r="P29" s="100"/>
      <c r="Q29" s="33"/>
      <c r="R29" s="101" t="s">
        <v>62</v>
      </c>
      <c r="S29" s="372">
        <f>E24</f>
        <v>45915</v>
      </c>
      <c r="T29" s="372"/>
      <c r="U29" s="47"/>
      <c r="W29" s="115"/>
      <c r="X29" s="341" t="s">
        <v>95</v>
      </c>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3"/>
      <c r="BE29" s="118"/>
    </row>
    <row r="30" spans="2:57" ht="15.75">
      <c r="B30" s="21">
        <f t="shared" si="4"/>
        <v>46037</v>
      </c>
      <c r="C30" s="22" t="str">
        <f t="shared" si="1"/>
        <v>Jan-2026</v>
      </c>
      <c r="D30" s="2">
        <v>3</v>
      </c>
      <c r="E30" s="92">
        <f t="shared" si="2"/>
        <v>5332.9738691213597</v>
      </c>
      <c r="F30" s="187">
        <f t="shared" si="5"/>
        <v>4504.0453578912566</v>
      </c>
      <c r="G30" s="188">
        <f t="shared" si="3"/>
        <v>828.92851123010325</v>
      </c>
      <c r="H30" s="20">
        <f t="shared" si="6"/>
        <v>103032.62636925286</v>
      </c>
      <c r="J30" s="32"/>
      <c r="K30" s="100"/>
      <c r="L30" s="100"/>
      <c r="M30" s="100"/>
      <c r="N30" s="100"/>
      <c r="O30" s="99"/>
      <c r="P30" s="100"/>
      <c r="Q30" s="33"/>
      <c r="R30" s="101" t="s">
        <v>63</v>
      </c>
      <c r="S30" s="373" t="str">
        <f>H22</f>
        <v>LV-052</v>
      </c>
      <c r="T30" s="373"/>
      <c r="U30" s="47"/>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374" t="s">
        <v>62</v>
      </c>
      <c r="AV30" s="374"/>
      <c r="AW30" s="112">
        <v>0</v>
      </c>
      <c r="AX30" s="113">
        <v>9</v>
      </c>
      <c r="AY30" s="113">
        <v>1</v>
      </c>
      <c r="AZ30" s="113">
        <v>5</v>
      </c>
      <c r="BA30" s="113">
        <v>2</v>
      </c>
      <c r="BB30" s="113">
        <v>0</v>
      </c>
      <c r="BC30" s="113">
        <v>2</v>
      </c>
      <c r="BD30" s="114">
        <v>5</v>
      </c>
      <c r="BE30" s="118"/>
    </row>
    <row r="31" spans="2:57" ht="15.75">
      <c r="B31" s="21">
        <f t="shared" si="4"/>
        <v>46068</v>
      </c>
      <c r="C31" s="22" t="str">
        <f t="shared" si="1"/>
        <v>Feb-2026</v>
      </c>
      <c r="D31" s="23">
        <v>4</v>
      </c>
      <c r="E31" s="92">
        <f t="shared" si="2"/>
        <v>5332.9738691213597</v>
      </c>
      <c r="F31" s="187">
        <f t="shared" si="5"/>
        <v>4538.7640408583366</v>
      </c>
      <c r="G31" s="188">
        <f t="shared" si="3"/>
        <v>794.20982826302338</v>
      </c>
      <c r="H31" s="20">
        <f t="shared" si="6"/>
        <v>98493.86232839452</v>
      </c>
      <c r="J31" s="32"/>
      <c r="K31" s="100"/>
      <c r="L31" s="100"/>
      <c r="M31" s="100"/>
      <c r="N31" s="100"/>
      <c r="O31" s="99"/>
      <c r="P31" s="100"/>
      <c r="Q31" s="33"/>
      <c r="R31" s="101"/>
      <c r="S31" s="102"/>
      <c r="T31" s="33"/>
      <c r="U31" s="47"/>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43" t="s">
        <v>97</v>
      </c>
      <c r="AX31" s="143" t="s">
        <v>97</v>
      </c>
      <c r="AY31" s="143" t="s">
        <v>98</v>
      </c>
      <c r="AZ31" s="143" t="s">
        <v>98</v>
      </c>
      <c r="BA31" s="143" t="s">
        <v>99</v>
      </c>
      <c r="BB31" s="143" t="s">
        <v>99</v>
      </c>
      <c r="BC31" s="143" t="s">
        <v>99</v>
      </c>
      <c r="BD31" s="143" t="s">
        <v>99</v>
      </c>
      <c r="BE31" s="118"/>
    </row>
    <row r="32" spans="2:57" ht="15.75">
      <c r="B32" s="21">
        <f t="shared" si="4"/>
        <v>46096</v>
      </c>
      <c r="C32" s="22" t="str">
        <f t="shared" si="1"/>
        <v>Mar-2026</v>
      </c>
      <c r="D32" s="2">
        <v>5</v>
      </c>
      <c r="E32" s="92">
        <f t="shared" si="2"/>
        <v>5332.9738691213597</v>
      </c>
      <c r="F32" s="187">
        <f t="shared" si="5"/>
        <v>4573.7503470066204</v>
      </c>
      <c r="G32" s="188">
        <f t="shared" si="3"/>
        <v>759.22352211473901</v>
      </c>
      <c r="H32" s="20">
        <f t="shared" si="6"/>
        <v>93920.111981387905</v>
      </c>
      <c r="J32" s="35"/>
      <c r="K32" s="101" t="s">
        <v>64</v>
      </c>
      <c r="L32" s="101"/>
      <c r="M32" s="101"/>
      <c r="N32" s="369" t="str">
        <f>D22</f>
        <v>MARIA CRISELDA G. MACAPILI</v>
      </c>
      <c r="O32" s="369"/>
      <c r="P32" s="369"/>
      <c r="Q32" s="369"/>
      <c r="R32" s="369"/>
      <c r="S32" s="369"/>
      <c r="T32" s="38"/>
      <c r="U32" s="48"/>
      <c r="W32" s="118"/>
      <c r="X32" s="309" t="s">
        <v>100</v>
      </c>
      <c r="Y32" s="309"/>
      <c r="Z32" s="309"/>
      <c r="AA32" s="309"/>
      <c r="AB32" s="309"/>
      <c r="AC32" s="309"/>
      <c r="AD32" s="309"/>
      <c r="AE32" s="309" t="s">
        <v>101</v>
      </c>
      <c r="AF32" s="309"/>
      <c r="AG32" s="309"/>
      <c r="AH32" s="309"/>
      <c r="AI32" s="309"/>
      <c r="AJ32" s="309"/>
      <c r="AK32" s="309"/>
      <c r="AL32" s="309"/>
      <c r="AM32" s="309" t="s">
        <v>102</v>
      </c>
      <c r="AN32" s="309"/>
      <c r="AO32" s="309"/>
      <c r="AP32" s="309"/>
      <c r="AQ32" s="309"/>
      <c r="AR32" s="309"/>
      <c r="AS32" s="309"/>
      <c r="AT32" s="309" t="s">
        <v>103</v>
      </c>
      <c r="AU32" s="309"/>
      <c r="AV32" s="309"/>
      <c r="AW32" s="309"/>
      <c r="AX32" s="309"/>
      <c r="AY32" s="309"/>
      <c r="AZ32" s="309"/>
      <c r="BA32" s="309"/>
      <c r="BB32" s="309"/>
      <c r="BC32" s="309"/>
      <c r="BD32" s="309"/>
      <c r="BE32" s="115"/>
    </row>
    <row r="33" spans="2:57" ht="15.75">
      <c r="B33" s="21">
        <f t="shared" si="4"/>
        <v>46127</v>
      </c>
      <c r="C33" s="22" t="str">
        <f t="shared" si="1"/>
        <v>Apr-2026</v>
      </c>
      <c r="D33" s="2">
        <v>6</v>
      </c>
      <c r="E33" s="92">
        <f t="shared" si="2"/>
        <v>5332.9738691213597</v>
      </c>
      <c r="F33" s="187">
        <f t="shared" si="5"/>
        <v>4609.006339264798</v>
      </c>
      <c r="G33" s="188">
        <f t="shared" si="3"/>
        <v>723.96752985656155</v>
      </c>
      <c r="H33" s="20">
        <f t="shared" si="6"/>
        <v>89311.105642123104</v>
      </c>
      <c r="J33" s="35"/>
      <c r="K33" s="101" t="s">
        <v>65</v>
      </c>
      <c r="L33" s="101"/>
      <c r="M33" s="101"/>
      <c r="N33" s="370" t="str">
        <f>D23</f>
        <v>734219</v>
      </c>
      <c r="O33" s="371"/>
      <c r="P33" s="371"/>
      <c r="Q33" s="371"/>
      <c r="R33" s="371"/>
      <c r="S33" s="371"/>
      <c r="T33" s="38"/>
      <c r="U33" s="48"/>
      <c r="W33" s="118"/>
      <c r="X33" s="123"/>
      <c r="Y33" s="309" t="s">
        <v>104</v>
      </c>
      <c r="Z33" s="309"/>
      <c r="AA33" s="309"/>
      <c r="AB33" s="309"/>
      <c r="AC33" s="309"/>
      <c r="AD33" s="309"/>
      <c r="AE33" s="123"/>
      <c r="AF33" s="309" t="s">
        <v>105</v>
      </c>
      <c r="AG33" s="309"/>
      <c r="AH33" s="309"/>
      <c r="AI33" s="309"/>
      <c r="AJ33" s="309"/>
      <c r="AK33" s="309"/>
      <c r="AL33" s="309"/>
      <c r="AM33" s="123"/>
      <c r="AN33" s="115" t="s">
        <v>106</v>
      </c>
      <c r="AO33" s="118"/>
      <c r="AP33" s="118"/>
      <c r="AQ33" s="118"/>
      <c r="AR33" s="118"/>
      <c r="AS33" s="118"/>
      <c r="AT33" s="123"/>
      <c r="AU33" s="309" t="s">
        <v>107</v>
      </c>
      <c r="AV33" s="309"/>
      <c r="AW33" s="309"/>
      <c r="AX33" s="309"/>
      <c r="AY33" s="309"/>
      <c r="AZ33" s="309"/>
      <c r="BA33" s="309"/>
      <c r="BB33" s="309"/>
      <c r="BC33" s="309"/>
      <c r="BD33" s="309"/>
      <c r="BE33" s="118"/>
    </row>
    <row r="34" spans="2:57" ht="15.75">
      <c r="B34" s="21">
        <f t="shared" si="4"/>
        <v>46157</v>
      </c>
      <c r="C34" s="22" t="str">
        <f t="shared" si="1"/>
        <v>May-2026</v>
      </c>
      <c r="D34" s="2">
        <v>7</v>
      </c>
      <c r="E34" s="92">
        <f t="shared" si="2"/>
        <v>5332.9738691213597</v>
      </c>
      <c r="F34" s="187">
        <f t="shared" si="5"/>
        <v>4644.5340964632996</v>
      </c>
      <c r="G34" s="188">
        <f t="shared" si="3"/>
        <v>688.43977265806052</v>
      </c>
      <c r="H34" s="20">
        <f t="shared" si="6"/>
        <v>84666.571545659797</v>
      </c>
      <c r="J34" s="35"/>
      <c r="K34" s="101" t="s">
        <v>46</v>
      </c>
      <c r="L34" s="101"/>
      <c r="M34" s="101"/>
      <c r="N34" s="367" t="str">
        <f>F23</f>
        <v>PUROK 3 ,DAET, CAMARINEZ NORTE</v>
      </c>
      <c r="O34" s="367"/>
      <c r="P34" s="367"/>
      <c r="Q34" s="367"/>
      <c r="R34" s="367"/>
      <c r="S34" s="367"/>
      <c r="T34" s="38"/>
      <c r="U34" s="48"/>
      <c r="W34" s="118"/>
      <c r="X34" s="123"/>
      <c r="Y34" s="309" t="s">
        <v>108</v>
      </c>
      <c r="Z34" s="309"/>
      <c r="AA34" s="309"/>
      <c r="AB34" s="309"/>
      <c r="AC34" s="309"/>
      <c r="AD34" s="309"/>
      <c r="AE34" s="123"/>
      <c r="AF34" s="309" t="s">
        <v>109</v>
      </c>
      <c r="AG34" s="309"/>
      <c r="AH34" s="309"/>
      <c r="AI34" s="309"/>
      <c r="AJ34" s="309"/>
      <c r="AK34" s="309"/>
      <c r="AL34" s="309"/>
      <c r="AM34" s="123"/>
      <c r="AN34" s="115" t="s">
        <v>110</v>
      </c>
      <c r="AO34" s="118"/>
      <c r="AP34" s="118"/>
      <c r="AQ34" s="118"/>
      <c r="AR34" s="118"/>
      <c r="AS34" s="118"/>
      <c r="AT34" s="123"/>
      <c r="AU34" s="309" t="s">
        <v>111</v>
      </c>
      <c r="AV34" s="309"/>
      <c r="AW34" s="309"/>
      <c r="AX34" s="309"/>
      <c r="AY34" s="309"/>
      <c r="AZ34" s="309"/>
      <c r="BA34" s="309"/>
      <c r="BB34" s="309"/>
      <c r="BC34" s="309"/>
      <c r="BD34" s="309"/>
      <c r="BE34" s="118"/>
    </row>
    <row r="35" spans="2:57" ht="16.5" thickBot="1">
      <c r="B35" s="21">
        <f t="shared" si="4"/>
        <v>46188</v>
      </c>
      <c r="C35" s="22" t="str">
        <f t="shared" si="1"/>
        <v>Jun-2026</v>
      </c>
      <c r="D35" s="2">
        <v>8</v>
      </c>
      <c r="E35" s="92">
        <f t="shared" si="2"/>
        <v>5332.9738691213597</v>
      </c>
      <c r="F35" s="187">
        <f t="shared" si="5"/>
        <v>4680.3357134568723</v>
      </c>
      <c r="G35" s="188">
        <f t="shared" si="3"/>
        <v>652.63815566448773</v>
      </c>
      <c r="H35" s="20">
        <f t="shared" si="6"/>
        <v>79986.235832202918</v>
      </c>
      <c r="J35" s="32"/>
      <c r="K35" s="100"/>
      <c r="L35" s="100"/>
      <c r="M35" s="100"/>
      <c r="N35" s="36"/>
      <c r="O35" s="38"/>
      <c r="P35" s="38"/>
      <c r="Q35" s="33"/>
      <c r="R35" s="33"/>
      <c r="S35" s="33"/>
      <c r="T35" s="33"/>
      <c r="U35" s="47"/>
      <c r="W35" s="118"/>
      <c r="X35" s="123"/>
      <c r="Y35" s="309" t="s">
        <v>112</v>
      </c>
      <c r="Z35" s="309"/>
      <c r="AA35" s="309"/>
      <c r="AB35" s="309"/>
      <c r="AC35" s="309"/>
      <c r="AD35" s="309"/>
      <c r="AE35" s="123"/>
      <c r="AF35" s="309" t="s">
        <v>113</v>
      </c>
      <c r="AG35" s="309"/>
      <c r="AH35" s="309"/>
      <c r="AI35" s="309"/>
      <c r="AJ35" s="309"/>
      <c r="AK35" s="309"/>
      <c r="AL35" s="309"/>
      <c r="AM35" s="123"/>
      <c r="AN35" s="115" t="s">
        <v>114</v>
      </c>
      <c r="AO35" s="118"/>
      <c r="AP35" s="118"/>
      <c r="AQ35" s="118"/>
      <c r="AR35" s="118"/>
      <c r="AS35" s="118"/>
      <c r="AT35" s="123"/>
      <c r="AU35" s="115" t="s">
        <v>115</v>
      </c>
      <c r="AV35" s="115"/>
      <c r="AW35" s="368"/>
      <c r="AX35" s="368"/>
      <c r="AY35" s="368"/>
      <c r="AZ35" s="368"/>
      <c r="BA35" s="368"/>
      <c r="BB35" s="115"/>
      <c r="BC35" s="115"/>
      <c r="BD35" s="115"/>
      <c r="BE35" s="118"/>
    </row>
    <row r="36" spans="2:57" ht="15.75">
      <c r="B36" s="21">
        <f t="shared" si="4"/>
        <v>46218</v>
      </c>
      <c r="C36" s="22" t="str">
        <f t="shared" si="1"/>
        <v>Jul-2026</v>
      </c>
      <c r="D36" s="2">
        <v>9</v>
      </c>
      <c r="E36" s="92">
        <f t="shared" si="2"/>
        <v>5332.9738691213597</v>
      </c>
      <c r="F36" s="187">
        <f t="shared" si="5"/>
        <v>4716.4133012481034</v>
      </c>
      <c r="G36" s="188">
        <f t="shared" si="3"/>
        <v>616.56056787325622</v>
      </c>
      <c r="H36" s="20">
        <f t="shared" si="6"/>
        <v>75269.822530954814</v>
      </c>
      <c r="J36" s="32"/>
      <c r="K36" s="100"/>
      <c r="L36" s="101" t="s">
        <v>66</v>
      </c>
      <c r="M36" s="100"/>
      <c r="N36" s="100"/>
      <c r="O36" s="99"/>
      <c r="P36" s="100"/>
      <c r="Q36" s="103"/>
      <c r="R36" s="340">
        <f>C4</f>
        <v>116441.66666666667</v>
      </c>
      <c r="S36" s="340"/>
      <c r="T36" s="340"/>
      <c r="U36" s="47"/>
      <c r="W36" s="118"/>
      <c r="X36" s="123"/>
      <c r="Y36" s="309" t="s">
        <v>116</v>
      </c>
      <c r="Z36" s="309"/>
      <c r="AA36" s="309"/>
      <c r="AB36" s="309"/>
      <c r="AC36" s="309"/>
      <c r="AD36" s="309"/>
      <c r="AE36" s="123"/>
      <c r="AF36" s="309" t="s">
        <v>117</v>
      </c>
      <c r="AG36" s="309"/>
      <c r="AH36" s="309"/>
      <c r="AI36" s="309"/>
      <c r="AJ36" s="309"/>
      <c r="AK36" s="309"/>
      <c r="AL36" s="309"/>
      <c r="AM36" s="123"/>
      <c r="AN36" s="115" t="s">
        <v>118</v>
      </c>
      <c r="AO36" s="118"/>
      <c r="AP36" s="118"/>
      <c r="AQ36" s="118"/>
      <c r="AR36" s="118"/>
      <c r="AS36" s="118"/>
      <c r="AT36" s="118"/>
      <c r="AU36" s="118"/>
      <c r="AV36" s="118"/>
      <c r="AW36" s="118"/>
      <c r="AX36" s="118"/>
      <c r="AY36" s="118"/>
      <c r="AZ36" s="118"/>
      <c r="BA36" s="118"/>
      <c r="BB36" s="118"/>
      <c r="BC36" s="118"/>
      <c r="BD36" s="118"/>
      <c r="BE36" s="118"/>
    </row>
    <row r="37" spans="2:57" ht="15.75">
      <c r="B37" s="21">
        <f t="shared" si="4"/>
        <v>46249</v>
      </c>
      <c r="C37" s="22" t="str">
        <f t="shared" si="1"/>
        <v>Aug-2026</v>
      </c>
      <c r="D37" s="2">
        <v>10</v>
      </c>
      <c r="E37" s="92">
        <f t="shared" si="2"/>
        <v>5332.9738691213597</v>
      </c>
      <c r="F37" s="187">
        <f t="shared" si="5"/>
        <v>4752.7689871118928</v>
      </c>
      <c r="G37" s="188">
        <f t="shared" si="3"/>
        <v>580.20488200946716</v>
      </c>
      <c r="H37" s="20">
        <f t="shared" si="6"/>
        <v>70517.053543842921</v>
      </c>
      <c r="J37" s="32"/>
      <c r="K37" s="100"/>
      <c r="L37" s="101"/>
      <c r="M37" s="100"/>
      <c r="N37" s="100"/>
      <c r="O37" s="99"/>
      <c r="P37" s="100"/>
      <c r="Q37" s="103"/>
      <c r="R37" s="366"/>
      <c r="S37" s="366"/>
      <c r="T37" s="366"/>
      <c r="U37" s="47"/>
      <c r="W37" s="118"/>
      <c r="X37" s="123"/>
      <c r="Y37" s="309" t="s">
        <v>119</v>
      </c>
      <c r="Z37" s="309"/>
      <c r="AA37" s="309"/>
      <c r="AB37" s="309"/>
      <c r="AC37" s="309"/>
      <c r="AD37" s="309"/>
      <c r="AE37" s="123"/>
      <c r="AF37" s="309" t="s">
        <v>120</v>
      </c>
      <c r="AG37" s="309"/>
      <c r="AH37" s="309"/>
      <c r="AI37" s="309"/>
      <c r="AJ37" s="309"/>
      <c r="AK37" s="309"/>
      <c r="AL37" s="309"/>
      <c r="AM37" s="123"/>
      <c r="AN37" s="115" t="s">
        <v>121</v>
      </c>
      <c r="AO37" s="118"/>
      <c r="AP37" s="118"/>
      <c r="AQ37" s="118"/>
      <c r="AR37" s="118"/>
      <c r="AS37" s="118"/>
      <c r="AT37" s="118"/>
      <c r="AU37" s="118"/>
      <c r="AV37" s="118"/>
      <c r="AW37" s="118"/>
      <c r="AX37" s="118"/>
      <c r="AY37" s="118"/>
      <c r="AZ37" s="118"/>
      <c r="BA37" s="118"/>
      <c r="BB37" s="118"/>
      <c r="BC37" s="118"/>
      <c r="BD37" s="118"/>
      <c r="BE37" s="118"/>
    </row>
    <row r="38" spans="2:57" ht="16.5" thickBot="1">
      <c r="B38" s="21">
        <f t="shared" si="4"/>
        <v>46280</v>
      </c>
      <c r="C38" s="22" t="str">
        <f t="shared" si="1"/>
        <v>Sep-2026</v>
      </c>
      <c r="D38" s="2">
        <v>11</v>
      </c>
      <c r="E38" s="92">
        <f t="shared" si="2"/>
        <v>5332.9738691213597</v>
      </c>
      <c r="F38" s="187">
        <f t="shared" si="5"/>
        <v>4789.4049147208816</v>
      </c>
      <c r="G38" s="188">
        <f t="shared" si="3"/>
        <v>543.56895440047822</v>
      </c>
      <c r="H38" s="20">
        <f t="shared" si="6"/>
        <v>65727.648629122035</v>
      </c>
      <c r="J38" s="39"/>
      <c r="K38" s="104"/>
      <c r="L38" s="105" t="s">
        <v>67</v>
      </c>
      <c r="M38" s="104" t="s">
        <v>68</v>
      </c>
      <c r="N38" s="104"/>
      <c r="O38" s="106"/>
      <c r="P38" s="104"/>
      <c r="Q38" s="36"/>
      <c r="R38" s="340">
        <f>-C14</f>
        <v>0</v>
      </c>
      <c r="S38" s="340"/>
      <c r="T38" s="340"/>
      <c r="U38" s="37"/>
      <c r="W38" s="118"/>
      <c r="X38" s="306"/>
      <c r="Y38" s="306"/>
      <c r="Z38" s="306"/>
      <c r="AA38" s="306"/>
      <c r="AB38" s="306"/>
      <c r="AC38" s="306"/>
      <c r="AD38" s="306"/>
      <c r="AE38" s="152"/>
      <c r="AF38" s="115" t="s">
        <v>122</v>
      </c>
      <c r="AG38" s="115"/>
      <c r="AH38" s="273"/>
      <c r="AI38" s="273"/>
      <c r="AJ38" s="273"/>
      <c r="AK38" s="273"/>
      <c r="AL38" s="361"/>
      <c r="AM38" s="152"/>
      <c r="AN38" s="115" t="s">
        <v>115</v>
      </c>
      <c r="AO38" s="118"/>
      <c r="AP38" s="362"/>
      <c r="AQ38" s="362"/>
      <c r="AR38" s="362"/>
      <c r="AS38" s="362"/>
      <c r="AT38" s="362"/>
      <c r="AU38" s="118"/>
      <c r="AV38" s="118"/>
      <c r="AW38" s="118"/>
      <c r="AX38" s="118"/>
      <c r="AY38" s="118"/>
      <c r="AZ38" s="118"/>
      <c r="BA38" s="118"/>
      <c r="BB38" s="118"/>
      <c r="BC38" s="118"/>
      <c r="BD38" s="118"/>
      <c r="BE38" s="118"/>
    </row>
    <row r="39" spans="2:57" ht="15.75">
      <c r="B39" s="21">
        <f t="shared" si="4"/>
        <v>46310</v>
      </c>
      <c r="C39" s="22" t="str">
        <f t="shared" si="1"/>
        <v>Oct-2026</v>
      </c>
      <c r="D39" s="2">
        <v>12</v>
      </c>
      <c r="E39" s="92">
        <f t="shared" si="2"/>
        <v>5332.9738691213597</v>
      </c>
      <c r="F39" s="187">
        <f t="shared" si="5"/>
        <v>4826.3232442718563</v>
      </c>
      <c r="G39" s="188">
        <f t="shared" si="3"/>
        <v>506.65062484950317</v>
      </c>
      <c r="H39" s="20">
        <f t="shared" si="6"/>
        <v>60901.325384850177</v>
      </c>
      <c r="J39" s="39"/>
      <c r="K39" s="104"/>
      <c r="L39" s="105" t="s">
        <v>67</v>
      </c>
      <c r="M39" s="104" t="s">
        <v>69</v>
      </c>
      <c r="N39" s="104"/>
      <c r="O39" s="106"/>
      <c r="P39" s="104"/>
      <c r="Q39" s="36"/>
      <c r="R39" s="340">
        <f>-C8</f>
        <v>0</v>
      </c>
      <c r="S39" s="340"/>
      <c r="T39" s="340"/>
      <c r="U39" s="37"/>
      <c r="W39" s="118"/>
      <c r="X39" s="153" t="s">
        <v>123</v>
      </c>
      <c r="Y39" s="147"/>
      <c r="Z39" s="147"/>
      <c r="AA39" s="147"/>
      <c r="AB39" s="363">
        <f>R44</f>
        <v>100000</v>
      </c>
      <c r="AC39" s="363"/>
      <c r="AD39" s="363"/>
      <c r="AE39" s="363"/>
      <c r="AF39" s="363"/>
      <c r="AG39" s="363"/>
      <c r="AH39" s="364"/>
      <c r="AI39" s="364"/>
      <c r="AJ39" s="364"/>
      <c r="AK39" s="364"/>
      <c r="AL39" s="364"/>
      <c r="AM39" s="365"/>
      <c r="AN39" s="153" t="s">
        <v>124</v>
      </c>
      <c r="AO39" s="147"/>
      <c r="AP39" s="146"/>
      <c r="AQ39" s="146"/>
      <c r="AR39" s="146"/>
      <c r="AS39" s="146"/>
      <c r="AT39" s="364">
        <f>R49</f>
        <v>5332.9738691213597</v>
      </c>
      <c r="AU39" s="363"/>
      <c r="AV39" s="363"/>
      <c r="AW39" s="363"/>
      <c r="AX39" s="363"/>
      <c r="AY39" s="363"/>
      <c r="AZ39" s="363"/>
      <c r="BA39" s="363"/>
      <c r="BB39" s="363"/>
      <c r="BC39" s="363"/>
      <c r="BD39" s="365"/>
      <c r="BE39" s="118"/>
    </row>
    <row r="40" spans="2:57" ht="15.75">
      <c r="B40" s="21">
        <f t="shared" si="4"/>
        <v>46341</v>
      </c>
      <c r="C40" s="22" t="str">
        <f t="shared" si="1"/>
        <v>Nov-2026</v>
      </c>
      <c r="D40" s="2">
        <v>13</v>
      </c>
      <c r="E40" s="92">
        <f t="shared" si="2"/>
        <v>5332.9738691213597</v>
      </c>
      <c r="F40" s="187">
        <f t="shared" si="5"/>
        <v>4863.5261526131198</v>
      </c>
      <c r="G40" s="188">
        <f t="shared" si="3"/>
        <v>469.44771650823941</v>
      </c>
      <c r="H40" s="20">
        <f t="shared" si="6"/>
        <v>56037.799232237056</v>
      </c>
      <c r="J40" s="39"/>
      <c r="K40" s="104"/>
      <c r="L40" s="105" t="s">
        <v>67</v>
      </c>
      <c r="M40" s="104" t="s">
        <v>70</v>
      </c>
      <c r="N40" s="104"/>
      <c r="O40" s="106"/>
      <c r="P40" s="104"/>
      <c r="Q40" s="36"/>
      <c r="R40" s="350">
        <f>-C7</f>
        <v>-5000</v>
      </c>
      <c r="S40" s="350"/>
      <c r="T40" s="350"/>
      <c r="U40" s="37"/>
      <c r="W40" s="118"/>
      <c r="X40" s="154"/>
      <c r="Y40" s="155"/>
      <c r="Z40" s="155"/>
      <c r="AA40" s="155"/>
      <c r="AB40" s="278"/>
      <c r="AC40" s="278"/>
      <c r="AD40" s="278"/>
      <c r="AE40" s="278"/>
      <c r="AF40" s="278"/>
      <c r="AG40" s="278"/>
      <c r="AH40" s="278"/>
      <c r="AI40" s="278"/>
      <c r="AJ40" s="278"/>
      <c r="AK40" s="278"/>
      <c r="AL40" s="278"/>
      <c r="AM40" s="279"/>
      <c r="AN40" s="154"/>
      <c r="AO40" s="155"/>
      <c r="AP40" s="155"/>
      <c r="AQ40" s="155"/>
      <c r="AR40" s="155"/>
      <c r="AS40" s="155"/>
      <c r="AT40" s="278"/>
      <c r="AU40" s="278"/>
      <c r="AV40" s="278"/>
      <c r="AW40" s="278"/>
      <c r="AX40" s="278"/>
      <c r="AY40" s="278"/>
      <c r="AZ40" s="278"/>
      <c r="BA40" s="278"/>
      <c r="BB40" s="278"/>
      <c r="BC40" s="278"/>
      <c r="BD40" s="279"/>
      <c r="BE40" s="118"/>
    </row>
    <row r="41" spans="2:57" ht="15.75">
      <c r="B41" s="21">
        <f t="shared" si="4"/>
        <v>46371</v>
      </c>
      <c r="C41" s="22" t="str">
        <f t="shared" si="1"/>
        <v>Dec-2026</v>
      </c>
      <c r="D41" s="2">
        <v>14</v>
      </c>
      <c r="E41" s="92">
        <f t="shared" si="2"/>
        <v>5332.9738691213597</v>
      </c>
      <c r="F41" s="187">
        <f t="shared" si="5"/>
        <v>4901.0158333728477</v>
      </c>
      <c r="G41" s="188">
        <f t="shared" si="3"/>
        <v>431.95803574851175</v>
      </c>
      <c r="H41" s="20">
        <f t="shared" si="6"/>
        <v>51136.783398864209</v>
      </c>
      <c r="J41" s="39"/>
      <c r="K41" s="104"/>
      <c r="L41" s="105" t="s">
        <v>67</v>
      </c>
      <c r="M41" s="104" t="s">
        <v>9</v>
      </c>
      <c r="N41" s="104"/>
      <c r="O41" s="106"/>
      <c r="P41" s="104"/>
      <c r="Q41" s="36"/>
      <c r="R41" s="350">
        <f>-C5</f>
        <v>-7500</v>
      </c>
      <c r="S41" s="350"/>
      <c r="T41" s="350"/>
      <c r="U41" s="37"/>
      <c r="W41" s="118"/>
      <c r="X41" s="338" t="s">
        <v>125</v>
      </c>
      <c r="Y41" s="351"/>
      <c r="Z41" s="352"/>
      <c r="AA41" s="353"/>
      <c r="AB41" s="353"/>
      <c r="AC41" s="353"/>
      <c r="AD41" s="353"/>
      <c r="AE41" s="354"/>
      <c r="AF41" s="157" t="s">
        <v>126</v>
      </c>
      <c r="AG41" s="155"/>
      <c r="AH41" s="155"/>
      <c r="AI41" s="155"/>
      <c r="AJ41" s="325"/>
      <c r="AK41" s="325"/>
      <c r="AL41" s="325"/>
      <c r="AM41" s="325"/>
      <c r="AN41" s="325"/>
      <c r="AO41" s="325"/>
      <c r="AP41" s="325"/>
      <c r="AQ41" s="326"/>
      <c r="AR41" s="158" t="s">
        <v>127</v>
      </c>
      <c r="AS41" s="159"/>
      <c r="AT41" s="159"/>
      <c r="AU41" s="159"/>
      <c r="AV41" s="325"/>
      <c r="AW41" s="325"/>
      <c r="AX41" s="325"/>
      <c r="AY41" s="325"/>
      <c r="AZ41" s="325"/>
      <c r="BA41" s="325"/>
      <c r="BB41" s="325"/>
      <c r="BC41" s="325"/>
      <c r="BD41" s="326"/>
      <c r="BE41" s="118"/>
    </row>
    <row r="42" spans="2:57" ht="15.75">
      <c r="B42" s="21">
        <f t="shared" si="4"/>
        <v>46402</v>
      </c>
      <c r="C42" s="22" t="str">
        <f t="shared" si="1"/>
        <v>Jan-2027</v>
      </c>
      <c r="D42" s="2">
        <v>15</v>
      </c>
      <c r="E42" s="92">
        <f t="shared" si="2"/>
        <v>5332.9738691213597</v>
      </c>
      <c r="F42" s="187">
        <f t="shared" si="5"/>
        <v>4938.7944970884319</v>
      </c>
      <c r="G42" s="188">
        <f t="shared" si="3"/>
        <v>394.1793720329278</v>
      </c>
      <c r="H42" s="20">
        <f t="shared" si="6"/>
        <v>46197.988901775774</v>
      </c>
      <c r="J42" s="39"/>
      <c r="K42" s="104"/>
      <c r="L42" s="105" t="s">
        <v>67</v>
      </c>
      <c r="M42" s="104" t="s">
        <v>71</v>
      </c>
      <c r="N42" s="104"/>
      <c r="O42" s="106"/>
      <c r="P42" s="104"/>
      <c r="Q42" s="36"/>
      <c r="R42" s="350">
        <f>-C6</f>
        <v>-2400</v>
      </c>
      <c r="S42" s="350"/>
      <c r="T42" s="350"/>
      <c r="U42" s="37"/>
      <c r="W42" s="118"/>
      <c r="X42" s="355" t="s">
        <v>128</v>
      </c>
      <c r="Y42" s="356"/>
      <c r="Z42" s="357"/>
      <c r="AA42" s="358"/>
      <c r="AB42" s="358"/>
      <c r="AC42" s="358"/>
      <c r="AD42" s="358"/>
      <c r="AE42" s="359"/>
      <c r="AF42" s="161"/>
      <c r="AG42" s="160" t="s">
        <v>129</v>
      </c>
      <c r="AH42" s="162"/>
      <c r="AI42" s="162"/>
      <c r="AJ42" s="162"/>
      <c r="AK42" s="162"/>
      <c r="AL42" s="162"/>
      <c r="AM42" s="162"/>
      <c r="AN42" s="162"/>
      <c r="AO42" s="162"/>
      <c r="AP42" s="162"/>
      <c r="AQ42" s="163"/>
      <c r="AR42" s="164"/>
      <c r="AS42" s="355" t="s">
        <v>130</v>
      </c>
      <c r="AT42" s="360"/>
      <c r="AU42" s="360"/>
      <c r="AV42" s="162"/>
      <c r="AW42" s="162"/>
      <c r="AX42" s="162"/>
      <c r="AY42" s="162"/>
      <c r="AZ42" s="162"/>
      <c r="BA42" s="162"/>
      <c r="BB42" s="162"/>
      <c r="BC42" s="162"/>
      <c r="BD42" s="163"/>
      <c r="BE42" s="118"/>
    </row>
    <row r="43" spans="2:57" ht="15.75">
      <c r="B43" s="21">
        <f t="shared" si="4"/>
        <v>46433</v>
      </c>
      <c r="C43" s="22" t="str">
        <f t="shared" si="1"/>
        <v>Feb-2027</v>
      </c>
      <c r="D43" s="2">
        <v>16</v>
      </c>
      <c r="E43" s="92">
        <f t="shared" si="2"/>
        <v>5332.9738691213597</v>
      </c>
      <c r="F43" s="187">
        <f t="shared" si="5"/>
        <v>4976.8643713368238</v>
      </c>
      <c r="G43" s="188">
        <f t="shared" si="3"/>
        <v>356.10949778453625</v>
      </c>
      <c r="H43" s="20">
        <f t="shared" si="6"/>
        <v>41221.124530438952</v>
      </c>
      <c r="J43" s="16"/>
      <c r="L43" s="105" t="s">
        <v>67</v>
      </c>
      <c r="M43" s="104" t="s">
        <v>13</v>
      </c>
      <c r="R43" s="350">
        <f>-C9</f>
        <v>-1541.6666666666667</v>
      </c>
      <c r="S43" s="350"/>
      <c r="T43" s="350"/>
      <c r="U43" s="107"/>
      <c r="W43" s="118"/>
      <c r="X43" s="338"/>
      <c r="Y43" s="351"/>
      <c r="Z43" s="352"/>
      <c r="AA43" s="353"/>
      <c r="AB43" s="353"/>
      <c r="AC43" s="353"/>
      <c r="AD43" s="353"/>
      <c r="AE43" s="354"/>
      <c r="AF43" s="123"/>
      <c r="AG43" s="156" t="s">
        <v>131</v>
      </c>
      <c r="AH43" s="165"/>
      <c r="AI43" s="165"/>
      <c r="AJ43" s="165"/>
      <c r="AK43" s="165"/>
      <c r="AL43" s="165"/>
      <c r="AM43" s="165"/>
      <c r="AN43" s="165"/>
      <c r="AO43" s="165"/>
      <c r="AP43" s="165"/>
      <c r="AQ43" s="166"/>
      <c r="AR43" s="123"/>
      <c r="AS43" s="338" t="s">
        <v>132</v>
      </c>
      <c r="AT43" s="339"/>
      <c r="AU43" s="339"/>
      <c r="AV43" s="165"/>
      <c r="AW43" s="165"/>
      <c r="AX43" s="165"/>
      <c r="AY43" s="165"/>
      <c r="AZ43" s="165"/>
      <c r="BA43" s="165"/>
      <c r="BB43" s="165"/>
      <c r="BC43" s="165"/>
      <c r="BD43" s="166"/>
      <c r="BE43" s="118"/>
    </row>
    <row r="44" spans="2:57" ht="15.75">
      <c r="B44" s="21">
        <f t="shared" si="4"/>
        <v>46461</v>
      </c>
      <c r="C44" s="22" t="str">
        <f t="shared" si="1"/>
        <v>Mar-2027</v>
      </c>
      <c r="D44" s="2">
        <v>17</v>
      </c>
      <c r="E44" s="92">
        <f t="shared" si="2"/>
        <v>5332.9738691213597</v>
      </c>
      <c r="F44" s="187">
        <f t="shared" si="5"/>
        <v>5015.2277008658793</v>
      </c>
      <c r="G44" s="188">
        <f t="shared" si="3"/>
        <v>317.74616825547997</v>
      </c>
      <c r="H44" s="20">
        <f t="shared" si="6"/>
        <v>36205.896829573074</v>
      </c>
      <c r="J44" s="32"/>
      <c r="K44" s="100"/>
      <c r="L44" s="101" t="s">
        <v>72</v>
      </c>
      <c r="M44" s="100"/>
      <c r="N44" s="100"/>
      <c r="O44" s="99"/>
      <c r="P44" s="100"/>
      <c r="Q44" s="33"/>
      <c r="R44" s="340">
        <f>SUM(R36:T43)</f>
        <v>100000</v>
      </c>
      <c r="S44" s="340"/>
      <c r="T44" s="340"/>
      <c r="U44" s="47"/>
      <c r="W44" s="118"/>
      <c r="X44" s="341" t="s">
        <v>133</v>
      </c>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3"/>
      <c r="BE44" s="118"/>
    </row>
    <row r="45" spans="2:57" ht="16.5" thickBot="1">
      <c r="B45" s="21">
        <f t="shared" si="4"/>
        <v>46492</v>
      </c>
      <c r="C45" s="22" t="str">
        <f t="shared" si="1"/>
        <v>Apr-2027</v>
      </c>
      <c r="D45" s="2">
        <v>18</v>
      </c>
      <c r="E45" s="92">
        <f t="shared" si="2"/>
        <v>5332.9738691213597</v>
      </c>
      <c r="F45" s="187">
        <f t="shared" si="5"/>
        <v>5053.8867477267222</v>
      </c>
      <c r="G45" s="188">
        <f t="shared" si="3"/>
        <v>279.08712139463722</v>
      </c>
      <c r="H45" s="20">
        <f t="shared" si="6"/>
        <v>31152.010081846351</v>
      </c>
      <c r="J45" s="32"/>
      <c r="K45" s="33"/>
      <c r="L45" s="33"/>
      <c r="M45" s="33"/>
      <c r="N45" s="33"/>
      <c r="O45" s="34"/>
      <c r="P45" s="33"/>
      <c r="Q45" s="33"/>
      <c r="R45" s="33"/>
      <c r="S45" s="33"/>
      <c r="T45" s="33"/>
      <c r="U45" s="47"/>
      <c r="W45" s="118"/>
      <c r="X45" s="167" t="s">
        <v>263</v>
      </c>
      <c r="Y45" s="167"/>
      <c r="Z45" s="167"/>
      <c r="AA45" s="167"/>
      <c r="AB45" s="167"/>
      <c r="AC45" s="167"/>
      <c r="AD45" s="167" t="s">
        <v>264</v>
      </c>
      <c r="AE45" s="167"/>
      <c r="AF45" s="167"/>
      <c r="AG45" s="167"/>
      <c r="AH45" s="167"/>
      <c r="AI45" s="167"/>
      <c r="AJ45" s="167"/>
      <c r="AK45" s="167"/>
      <c r="AL45" s="167"/>
      <c r="AM45" s="167"/>
      <c r="AN45" s="167" t="s">
        <v>265</v>
      </c>
      <c r="AO45" s="167"/>
      <c r="AP45" s="167"/>
      <c r="AQ45" s="167"/>
      <c r="AR45" s="167"/>
      <c r="AS45" s="167"/>
      <c r="AT45" s="167"/>
      <c r="AU45" s="167"/>
      <c r="AV45" s="167"/>
      <c r="AW45" s="167"/>
      <c r="AX45" s="167"/>
      <c r="AY45" s="167"/>
      <c r="AZ45" s="167"/>
      <c r="BA45" s="167"/>
      <c r="BB45" s="146"/>
      <c r="BC45" s="146"/>
      <c r="BD45" s="146"/>
      <c r="BE45" s="118"/>
    </row>
    <row r="46" spans="2:57" ht="15.75">
      <c r="B46" s="21">
        <f t="shared" si="4"/>
        <v>46522</v>
      </c>
      <c r="C46" s="22" t="str">
        <f t="shared" si="1"/>
        <v>May-2027</v>
      </c>
      <c r="D46" s="2">
        <v>19</v>
      </c>
      <c r="E46" s="92">
        <f t="shared" si="2"/>
        <v>5332.9738691213597</v>
      </c>
      <c r="F46" s="187">
        <f t="shared" si="5"/>
        <v>5092.8437914071174</v>
      </c>
      <c r="G46" s="188">
        <f t="shared" si="3"/>
        <v>240.13007771424216</v>
      </c>
      <c r="H46" s="20">
        <f t="shared" si="6"/>
        <v>26059.166290439232</v>
      </c>
      <c r="J46" s="32"/>
      <c r="K46" s="108" t="s">
        <v>73</v>
      </c>
      <c r="L46" s="108"/>
      <c r="M46" s="108"/>
      <c r="N46" s="108"/>
      <c r="O46" s="108"/>
      <c r="P46" s="108"/>
      <c r="Q46" s="108"/>
      <c r="R46" s="108"/>
      <c r="S46" s="108"/>
      <c r="T46" s="108"/>
      <c r="U46" s="47"/>
      <c r="W46" s="118"/>
      <c r="X46" s="115" t="s">
        <v>134</v>
      </c>
      <c r="Y46" s="141"/>
      <c r="Z46" s="141"/>
      <c r="AA46" s="115"/>
      <c r="AB46" s="115"/>
      <c r="AC46" s="115"/>
      <c r="AD46" s="115" t="s">
        <v>135</v>
      </c>
      <c r="AE46" s="115"/>
      <c r="AF46" s="115"/>
      <c r="AG46" s="115"/>
      <c r="AH46" s="115"/>
      <c r="AI46" s="115"/>
      <c r="AJ46" s="115"/>
      <c r="AK46" s="115"/>
      <c r="AL46" s="118"/>
      <c r="AM46" s="115"/>
      <c r="AN46" s="115" t="s">
        <v>136</v>
      </c>
      <c r="AO46" s="115"/>
      <c r="AP46" s="115"/>
      <c r="AQ46" s="115"/>
      <c r="AR46" s="115"/>
      <c r="AS46" s="118"/>
      <c r="AT46" s="115"/>
      <c r="AU46" s="115"/>
      <c r="AV46" s="115"/>
      <c r="AW46" s="115"/>
      <c r="AX46" s="118"/>
      <c r="AY46" s="115"/>
      <c r="AZ46" s="115" t="s">
        <v>137</v>
      </c>
      <c r="BA46" s="115"/>
      <c r="BB46" s="116"/>
      <c r="BC46" s="117"/>
      <c r="BD46" s="117"/>
      <c r="BE46" s="118"/>
    </row>
    <row r="47" spans="2:57" ht="15.75">
      <c r="B47" s="21">
        <f t="shared" si="4"/>
        <v>46553</v>
      </c>
      <c r="C47" s="22" t="str">
        <f t="shared" si="1"/>
        <v>Jun-2027</v>
      </c>
      <c r="D47" s="2">
        <v>20</v>
      </c>
      <c r="E47" s="92">
        <f t="shared" si="2"/>
        <v>5332.9738691213597</v>
      </c>
      <c r="F47" s="187">
        <f t="shared" si="5"/>
        <v>5132.1011289658827</v>
      </c>
      <c r="G47" s="188">
        <f t="shared" si="3"/>
        <v>200.87274015547735</v>
      </c>
      <c r="H47" s="20">
        <f t="shared" si="6"/>
        <v>20927.065161473351</v>
      </c>
      <c r="J47" s="32"/>
      <c r="K47" s="33"/>
      <c r="L47" s="33"/>
      <c r="M47" s="33"/>
      <c r="N47" s="33"/>
      <c r="O47" s="34"/>
      <c r="P47" s="33"/>
      <c r="Q47" s="33"/>
      <c r="R47" s="33"/>
      <c r="S47" s="33"/>
      <c r="T47" s="33"/>
      <c r="U47" s="47"/>
      <c r="W47" s="118"/>
      <c r="X47" s="344" t="s">
        <v>138</v>
      </c>
      <c r="Y47" s="345"/>
      <c r="Z47" s="345"/>
      <c r="AA47" s="345"/>
      <c r="AB47" s="345"/>
      <c r="AC47" s="346"/>
      <c r="AD47" s="344" t="s">
        <v>65</v>
      </c>
      <c r="AE47" s="345"/>
      <c r="AF47" s="345"/>
      <c r="AG47" s="345"/>
      <c r="AH47" s="346"/>
      <c r="AI47" s="344" t="s">
        <v>139</v>
      </c>
      <c r="AJ47" s="345"/>
      <c r="AK47" s="345"/>
      <c r="AL47" s="345"/>
      <c r="AM47" s="345"/>
      <c r="AN47" s="346"/>
      <c r="AO47" s="347" t="s">
        <v>140</v>
      </c>
      <c r="AP47" s="348"/>
      <c r="AQ47" s="348"/>
      <c r="AR47" s="348"/>
      <c r="AS47" s="348"/>
      <c r="AT47" s="348"/>
      <c r="AU47" s="348"/>
      <c r="AV47" s="348"/>
      <c r="AW47" s="347" t="s">
        <v>141</v>
      </c>
      <c r="AX47" s="348"/>
      <c r="AY47" s="348"/>
      <c r="AZ47" s="348"/>
      <c r="BA47" s="348"/>
      <c r="BB47" s="348"/>
      <c r="BC47" s="348"/>
      <c r="BD47" s="349"/>
      <c r="BE47" s="118"/>
    </row>
    <row r="48" spans="2:57" ht="15.75">
      <c r="B48" s="21">
        <f t="shared" si="4"/>
        <v>46583</v>
      </c>
      <c r="C48" s="22" t="str">
        <f t="shared" si="1"/>
        <v>Jul-2027</v>
      </c>
      <c r="D48" s="2">
        <v>21</v>
      </c>
      <c r="E48" s="92">
        <f t="shared" si="2"/>
        <v>5332.9738691213597</v>
      </c>
      <c r="F48" s="187">
        <f t="shared" si="5"/>
        <v>5171.6610751683293</v>
      </c>
      <c r="G48" s="188">
        <f t="shared" si="3"/>
        <v>161.31279395303036</v>
      </c>
      <c r="H48" s="20">
        <f t="shared" si="6"/>
        <v>15755.404086305021</v>
      </c>
      <c r="J48" s="32"/>
      <c r="K48" s="33"/>
      <c r="L48" s="109" t="s">
        <v>89</v>
      </c>
      <c r="M48" s="104"/>
      <c r="N48" s="104"/>
      <c r="O48" s="104"/>
      <c r="P48" s="104"/>
      <c r="Q48" s="104"/>
      <c r="R48" s="331">
        <f>E25</f>
        <v>24</v>
      </c>
      <c r="S48" s="331"/>
      <c r="T48" s="97" t="s">
        <v>84</v>
      </c>
      <c r="U48" s="47"/>
      <c r="W48" s="118"/>
      <c r="X48" s="332" t="s">
        <v>266</v>
      </c>
      <c r="Y48" s="333"/>
      <c r="Z48" s="333"/>
      <c r="AA48" s="333"/>
      <c r="AB48" s="333"/>
      <c r="AC48" s="334"/>
      <c r="AD48" s="335" t="str">
        <f>D23</f>
        <v>734219</v>
      </c>
      <c r="AE48" s="336"/>
      <c r="AF48" s="336"/>
      <c r="AG48" s="336"/>
      <c r="AH48" s="337"/>
      <c r="AI48" s="332" t="s">
        <v>243</v>
      </c>
      <c r="AJ48" s="333"/>
      <c r="AK48" s="333"/>
      <c r="AL48" s="333"/>
      <c r="AM48" s="333"/>
      <c r="AN48" s="334"/>
      <c r="AO48" s="112"/>
      <c r="AP48" s="327" t="s">
        <v>96</v>
      </c>
      <c r="AQ48" s="327"/>
      <c r="AR48" s="327" t="s">
        <v>96</v>
      </c>
      <c r="AS48" s="327"/>
      <c r="AT48" s="113"/>
      <c r="AU48" s="113"/>
      <c r="AV48" s="114"/>
      <c r="AW48" s="112"/>
      <c r="AX48" s="327" t="s">
        <v>96</v>
      </c>
      <c r="AY48" s="327"/>
      <c r="AZ48" s="327" t="s">
        <v>96</v>
      </c>
      <c r="BA48" s="327"/>
      <c r="BB48" s="113"/>
      <c r="BC48" s="113"/>
      <c r="BD48" s="114"/>
      <c r="BE48" s="118"/>
    </row>
    <row r="49" spans="2:57" ht="15.75">
      <c r="B49" s="21">
        <f t="shared" si="4"/>
        <v>46614</v>
      </c>
      <c r="C49" s="22" t="str">
        <f t="shared" si="1"/>
        <v>Aug-2027</v>
      </c>
      <c r="D49" s="2">
        <v>22</v>
      </c>
      <c r="E49" s="92">
        <f t="shared" si="2"/>
        <v>5332.9738691213597</v>
      </c>
      <c r="F49" s="187">
        <f t="shared" si="5"/>
        <v>5211.5259626227535</v>
      </c>
      <c r="G49" s="188">
        <f t="shared" si="3"/>
        <v>121.4479064986062</v>
      </c>
      <c r="H49" s="20">
        <f t="shared" si="6"/>
        <v>10543.878123682269</v>
      </c>
      <c r="J49" s="32"/>
      <c r="K49" s="33"/>
      <c r="L49" s="104" t="s">
        <v>86</v>
      </c>
      <c r="M49" s="104"/>
      <c r="N49" s="104"/>
      <c r="O49" s="104"/>
      <c r="P49" s="104"/>
      <c r="Q49" s="104"/>
      <c r="R49" s="328">
        <f>C1</f>
        <v>5332.9738691213597</v>
      </c>
      <c r="S49" s="328"/>
      <c r="T49" s="328"/>
      <c r="U49" s="47"/>
      <c r="W49" s="118"/>
      <c r="X49" s="118"/>
      <c r="Y49" s="118"/>
      <c r="Z49" s="118"/>
      <c r="AA49" s="118"/>
      <c r="AB49" s="118"/>
      <c r="AC49" s="118"/>
      <c r="AD49" s="118"/>
      <c r="AE49" s="118"/>
      <c r="AF49" s="118"/>
      <c r="AG49" s="118"/>
      <c r="AH49" s="118"/>
      <c r="AI49" s="118"/>
      <c r="AJ49" s="118"/>
      <c r="AK49" s="118"/>
      <c r="AL49" s="118"/>
      <c r="AM49" s="118"/>
      <c r="AN49" s="118"/>
      <c r="AO49" s="168" t="s">
        <v>97</v>
      </c>
      <c r="AP49" s="168" t="s">
        <v>97</v>
      </c>
      <c r="AQ49" s="168" t="s">
        <v>98</v>
      </c>
      <c r="AR49" s="168" t="s">
        <v>98</v>
      </c>
      <c r="AS49" s="168" t="s">
        <v>99</v>
      </c>
      <c r="AT49" s="168" t="s">
        <v>99</v>
      </c>
      <c r="AU49" s="168" t="s">
        <v>99</v>
      </c>
      <c r="AV49" s="168" t="s">
        <v>99</v>
      </c>
      <c r="AW49" s="168" t="s">
        <v>97</v>
      </c>
      <c r="AX49" s="168" t="s">
        <v>97</v>
      </c>
      <c r="AY49" s="168" t="s">
        <v>98</v>
      </c>
      <c r="AZ49" s="168" t="s">
        <v>98</v>
      </c>
      <c r="BA49" s="168" t="s">
        <v>99</v>
      </c>
      <c r="BB49" s="168" t="s">
        <v>99</v>
      </c>
      <c r="BC49" s="168" t="s">
        <v>99</v>
      </c>
      <c r="BD49" s="168" t="s">
        <v>99</v>
      </c>
      <c r="BE49" s="118"/>
    </row>
    <row r="50" spans="2:57" ht="15.75">
      <c r="B50" s="21">
        <f t="shared" si="4"/>
        <v>46645</v>
      </c>
      <c r="C50" s="22" t="str">
        <f t="shared" si="1"/>
        <v>Sep-2027</v>
      </c>
      <c r="D50" s="2">
        <v>23</v>
      </c>
      <c r="E50" s="92">
        <f t="shared" si="2"/>
        <v>5332.9738691213597</v>
      </c>
      <c r="F50" s="187">
        <f t="shared" si="5"/>
        <v>5251.698141917972</v>
      </c>
      <c r="G50" s="188">
        <f t="shared" si="3"/>
        <v>81.27572720338749</v>
      </c>
      <c r="H50" s="20">
        <f t="shared" si="6"/>
        <v>5292.1799817642968</v>
      </c>
      <c r="J50" s="32"/>
      <c r="K50" s="33"/>
      <c r="L50" s="104" t="s">
        <v>74</v>
      </c>
      <c r="M50" s="104"/>
      <c r="N50" s="104"/>
      <c r="O50" s="104"/>
      <c r="P50" s="104"/>
      <c r="Q50" s="104"/>
      <c r="R50" s="329">
        <f>B28</f>
        <v>45976</v>
      </c>
      <c r="S50" s="329"/>
      <c r="T50" s="329"/>
      <c r="U50" s="47"/>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row>
    <row r="51" spans="2:57" ht="16.5" thickBot="1">
      <c r="B51" s="21">
        <f t="shared" si="4"/>
        <v>46675</v>
      </c>
      <c r="C51" s="207" t="str">
        <f t="shared" si="1"/>
        <v>Oct-2027</v>
      </c>
      <c r="D51" s="208">
        <v>24</v>
      </c>
      <c r="E51" s="209">
        <f t="shared" si="2"/>
        <v>5332.9738691213597</v>
      </c>
      <c r="F51" s="210">
        <f t="shared" si="5"/>
        <v>5292.1799817619249</v>
      </c>
      <c r="G51" s="211">
        <f t="shared" si="3"/>
        <v>40.793887359434798</v>
      </c>
      <c r="H51" s="212">
        <f t="shared" si="6"/>
        <v>2.3719621822237968E-9</v>
      </c>
      <c r="J51" s="32"/>
      <c r="K51" s="33"/>
      <c r="L51" s="104" t="s">
        <v>75</v>
      </c>
      <c r="M51" s="104"/>
      <c r="N51" s="104"/>
      <c r="O51" s="104"/>
      <c r="P51" s="104"/>
      <c r="Q51" s="104"/>
      <c r="R51" s="329">
        <f>B51</f>
        <v>46675</v>
      </c>
      <c r="S51" s="329"/>
      <c r="T51" s="329"/>
      <c r="U51" s="47"/>
      <c r="W51" s="118"/>
      <c r="X51" s="115" t="s">
        <v>142</v>
      </c>
      <c r="Y51" s="115"/>
      <c r="Z51" s="115"/>
      <c r="AA51" s="115"/>
      <c r="AB51" s="115"/>
      <c r="AC51" s="115"/>
      <c r="AD51" s="115"/>
      <c r="AE51" s="115" t="s">
        <v>143</v>
      </c>
      <c r="AF51" s="115"/>
      <c r="AG51" s="115"/>
      <c r="AH51" s="115"/>
      <c r="AI51" s="118"/>
      <c r="AJ51" s="169" t="s">
        <v>144</v>
      </c>
      <c r="AK51" s="324">
        <v>58</v>
      </c>
      <c r="AL51" s="326"/>
      <c r="AM51" s="330" t="s">
        <v>145</v>
      </c>
      <c r="AN51" s="330"/>
      <c r="AO51" s="330"/>
      <c r="AP51" s="330"/>
      <c r="AQ51" s="170"/>
      <c r="AR51" s="309" t="s">
        <v>146</v>
      </c>
      <c r="AS51" s="309"/>
      <c r="AT51" s="170"/>
      <c r="AU51" s="309" t="s">
        <v>147</v>
      </c>
      <c r="AV51" s="309"/>
      <c r="AW51" s="309"/>
      <c r="AX51" s="309" t="s">
        <v>148</v>
      </c>
      <c r="AY51" s="309"/>
      <c r="AZ51" s="309"/>
      <c r="BA51" s="309"/>
      <c r="BB51" s="309"/>
      <c r="BC51" s="309"/>
      <c r="BD51" s="309"/>
      <c r="BE51" s="118"/>
    </row>
    <row r="52" spans="2:57" ht="15.75">
      <c r="B52" s="183"/>
      <c r="C52" s="1"/>
      <c r="D52" s="1"/>
      <c r="E52" s="1">
        <f>SUM(E28:E51)</f>
        <v>127991.3728589126</v>
      </c>
      <c r="F52" s="1">
        <f>SUM(F28:F51)</f>
        <v>116441.66666666427</v>
      </c>
      <c r="G52" s="1">
        <f>SUM(G28:G51)</f>
        <v>11549.706192248346</v>
      </c>
      <c r="H52" s="1"/>
      <c r="J52" s="32"/>
      <c r="K52" s="33"/>
      <c r="L52" s="104" t="s">
        <v>76</v>
      </c>
      <c r="M52" s="104"/>
      <c r="N52" s="104"/>
      <c r="O52" s="104"/>
      <c r="P52" s="104"/>
      <c r="Q52" s="104"/>
      <c r="R52" s="319">
        <f>C16</f>
        <v>9.6718129373591699E-2</v>
      </c>
      <c r="S52" s="319"/>
      <c r="T52" s="319"/>
      <c r="U52" s="47"/>
      <c r="W52" s="118"/>
      <c r="X52" s="321"/>
      <c r="Y52" s="322"/>
      <c r="Z52" s="322"/>
      <c r="AA52" s="322"/>
      <c r="AB52" s="322"/>
      <c r="AC52" s="322"/>
      <c r="AD52" s="323"/>
      <c r="AE52" s="324" t="s">
        <v>149</v>
      </c>
      <c r="AF52" s="325"/>
      <c r="AG52" s="325"/>
      <c r="AH52" s="325"/>
      <c r="AI52" s="325"/>
      <c r="AJ52" s="325"/>
      <c r="AK52" s="325"/>
      <c r="AL52" s="326"/>
      <c r="AM52" s="330"/>
      <c r="AN52" s="330"/>
      <c r="AO52" s="330"/>
      <c r="AP52" s="330"/>
      <c r="AQ52" s="170"/>
      <c r="AR52" s="309" t="s">
        <v>150</v>
      </c>
      <c r="AS52" s="309"/>
      <c r="AT52" s="170"/>
      <c r="AU52" s="309" t="s">
        <v>151</v>
      </c>
      <c r="AV52" s="309"/>
      <c r="AW52" s="309"/>
      <c r="AX52" s="313"/>
      <c r="AY52" s="314"/>
      <c r="AZ52" s="314"/>
      <c r="BA52" s="314"/>
      <c r="BB52" s="314"/>
      <c r="BC52" s="314"/>
      <c r="BD52" s="315"/>
      <c r="BE52" s="118"/>
    </row>
    <row r="53" spans="2:57" ht="15.75">
      <c r="B53" s="183"/>
      <c r="C53" s="1"/>
      <c r="D53" s="1"/>
      <c r="E53" s="1"/>
      <c r="F53" s="1"/>
      <c r="G53" s="1"/>
      <c r="H53" s="1"/>
      <c r="J53" s="32"/>
      <c r="K53" s="33"/>
      <c r="L53" s="104" t="s">
        <v>77</v>
      </c>
      <c r="M53" s="104"/>
      <c r="N53" s="104"/>
      <c r="O53" s="104"/>
      <c r="P53" s="104"/>
      <c r="Q53" s="104"/>
      <c r="R53" s="319">
        <f>C15</f>
        <v>7.7083333333333335E-3</v>
      </c>
      <c r="S53" s="319"/>
      <c r="T53" s="319"/>
      <c r="U53" s="47"/>
      <c r="W53" s="118"/>
      <c r="X53" s="320" t="s">
        <v>152</v>
      </c>
      <c r="Y53" s="320"/>
      <c r="Z53" s="320"/>
      <c r="AA53" s="320"/>
      <c r="AB53" s="320"/>
      <c r="AC53" s="320"/>
      <c r="AD53" s="320"/>
      <c r="AE53" s="320" t="s">
        <v>153</v>
      </c>
      <c r="AF53" s="320"/>
      <c r="AG53" s="320"/>
      <c r="AH53" s="320"/>
      <c r="AI53" s="320"/>
      <c r="AJ53" s="320"/>
      <c r="AK53" s="320"/>
      <c r="AL53" s="320"/>
      <c r="AM53" s="320"/>
      <c r="AN53" s="320"/>
      <c r="AO53" s="320"/>
      <c r="AP53" s="320"/>
      <c r="AQ53" s="320"/>
      <c r="AR53" s="320"/>
      <c r="AS53" s="320"/>
      <c r="AT53" s="320"/>
      <c r="AU53" s="118"/>
      <c r="AV53" s="146"/>
      <c r="AW53" s="146"/>
      <c r="AX53" s="146" t="s">
        <v>154</v>
      </c>
      <c r="AY53" s="146"/>
      <c r="AZ53" s="146"/>
      <c r="BA53" s="146"/>
      <c r="BB53" s="146"/>
      <c r="BC53" s="146"/>
      <c r="BD53" s="146"/>
      <c r="BE53" s="118"/>
    </row>
    <row r="54" spans="2:57" ht="16.5" thickBot="1">
      <c r="B54" s="183"/>
      <c r="C54" s="1"/>
      <c r="D54" s="1"/>
      <c r="E54" s="1"/>
      <c r="F54" s="1"/>
      <c r="H54" s="1"/>
      <c r="J54" s="32"/>
      <c r="K54" s="40"/>
      <c r="L54" s="40"/>
      <c r="M54" s="40"/>
      <c r="N54" s="40"/>
      <c r="O54" s="41"/>
      <c r="P54" s="40"/>
      <c r="Q54" s="40"/>
      <c r="R54" s="40"/>
      <c r="S54" s="40"/>
      <c r="T54" s="40"/>
      <c r="U54" s="47"/>
      <c r="W54" s="118"/>
      <c r="X54" s="313"/>
      <c r="Y54" s="314"/>
      <c r="Z54" s="314"/>
      <c r="AA54" s="314"/>
      <c r="AB54" s="314"/>
      <c r="AC54" s="314"/>
      <c r="AD54" s="315"/>
      <c r="AE54" s="310"/>
      <c r="AF54" s="311"/>
      <c r="AG54" s="311"/>
      <c r="AH54" s="311"/>
      <c r="AI54" s="311"/>
      <c r="AJ54" s="311"/>
      <c r="AK54" s="311"/>
      <c r="AL54" s="311"/>
      <c r="AM54" s="311"/>
      <c r="AN54" s="311"/>
      <c r="AO54" s="311"/>
      <c r="AP54" s="311"/>
      <c r="AQ54" s="311"/>
      <c r="AR54" s="311"/>
      <c r="AS54" s="311"/>
      <c r="AT54" s="311"/>
      <c r="AU54" s="311"/>
      <c r="AV54" s="311"/>
      <c r="AW54" s="312"/>
      <c r="AX54" s="310" t="s">
        <v>155</v>
      </c>
      <c r="AY54" s="311"/>
      <c r="AZ54" s="311"/>
      <c r="BA54" s="311"/>
      <c r="BB54" s="311"/>
      <c r="BC54" s="311"/>
      <c r="BD54" s="312"/>
      <c r="BE54" s="118"/>
    </row>
    <row r="55" spans="2:57" ht="16.5" thickTop="1">
      <c r="B55" s="183"/>
      <c r="C55" s="1"/>
      <c r="D55" s="1"/>
      <c r="E55" s="1"/>
      <c r="F55" s="1"/>
      <c r="G55" s="1"/>
      <c r="H55" s="1"/>
      <c r="J55" s="32"/>
      <c r="K55" s="33"/>
      <c r="L55" s="33"/>
      <c r="M55" s="33"/>
      <c r="N55" s="33"/>
      <c r="O55" s="34"/>
      <c r="P55" s="33"/>
      <c r="Q55" s="33"/>
      <c r="R55" s="33"/>
      <c r="S55" s="33"/>
      <c r="T55" s="33"/>
      <c r="U55" s="47"/>
      <c r="W55" s="118"/>
      <c r="X55" s="115" t="s">
        <v>156</v>
      </c>
      <c r="Y55" s="115"/>
      <c r="Z55" s="115"/>
      <c r="AA55" s="115"/>
      <c r="AB55" s="115"/>
      <c r="AC55" s="115"/>
      <c r="AD55" s="115"/>
      <c r="AE55" s="118"/>
      <c r="AF55" s="115"/>
      <c r="AG55" s="146" t="s">
        <v>157</v>
      </c>
      <c r="AH55" s="118"/>
      <c r="AI55" s="118"/>
      <c r="AJ55" s="118"/>
      <c r="AK55" s="146"/>
      <c r="AL55" s="146"/>
      <c r="AM55" s="146"/>
      <c r="AN55" s="146"/>
      <c r="AO55" s="146"/>
      <c r="AP55" s="146"/>
      <c r="AQ55" s="146"/>
      <c r="AR55" s="146"/>
      <c r="AS55" s="146"/>
      <c r="AT55" s="309" t="s">
        <v>158</v>
      </c>
      <c r="AU55" s="309"/>
      <c r="AV55" s="309"/>
      <c r="AW55" s="309"/>
      <c r="AX55" s="309"/>
      <c r="AY55" s="309"/>
      <c r="AZ55" s="309"/>
      <c r="BA55" s="309"/>
      <c r="BB55" s="309"/>
      <c r="BC55" s="309"/>
      <c r="BD55" s="309"/>
      <c r="BE55" s="118"/>
    </row>
    <row r="56" spans="2:57" ht="15.75">
      <c r="B56" s="183"/>
      <c r="C56" s="1"/>
      <c r="D56" s="1"/>
      <c r="E56" s="1"/>
      <c r="F56" s="1"/>
      <c r="G56" s="1"/>
      <c r="H56" s="1"/>
      <c r="J56" s="32"/>
      <c r="K56" s="33" t="s">
        <v>78</v>
      </c>
      <c r="L56" s="33"/>
      <c r="M56" s="33"/>
      <c r="O56" s="33"/>
      <c r="P56" s="33"/>
      <c r="R56" s="33" t="s">
        <v>87</v>
      </c>
      <c r="S56" s="33"/>
      <c r="T56" s="33"/>
      <c r="U56" s="47"/>
      <c r="W56" s="118"/>
      <c r="X56" s="310"/>
      <c r="Y56" s="311"/>
      <c r="Z56" s="311"/>
      <c r="AA56" s="311"/>
      <c r="AB56" s="311"/>
      <c r="AC56" s="311"/>
      <c r="AD56" s="311"/>
      <c r="AE56" s="311"/>
      <c r="AF56" s="312"/>
      <c r="AG56" s="313"/>
      <c r="AH56" s="314"/>
      <c r="AI56" s="314"/>
      <c r="AJ56" s="314"/>
      <c r="AK56" s="314"/>
      <c r="AL56" s="314"/>
      <c r="AM56" s="314"/>
      <c r="AN56" s="314"/>
      <c r="AO56" s="314"/>
      <c r="AP56" s="314"/>
      <c r="AQ56" s="314"/>
      <c r="AR56" s="314"/>
      <c r="AS56" s="315"/>
      <c r="AT56" s="171">
        <v>9</v>
      </c>
      <c r="AU56" s="172">
        <v>4</v>
      </c>
      <c r="AV56" s="172">
        <v>6</v>
      </c>
      <c r="AW56" s="173" t="s">
        <v>159</v>
      </c>
      <c r="AX56" s="205">
        <v>5</v>
      </c>
      <c r="AY56" s="205">
        <v>0</v>
      </c>
      <c r="AZ56" s="205" t="s">
        <v>267</v>
      </c>
      <c r="BA56" s="173" t="s">
        <v>159</v>
      </c>
      <c r="BB56" s="205" t="s">
        <v>268</v>
      </c>
      <c r="BC56" s="205" t="s">
        <v>269</v>
      </c>
      <c r="BD56" s="205" t="s">
        <v>270</v>
      </c>
      <c r="BE56" s="118"/>
    </row>
    <row r="57" spans="2:57" ht="15.6" customHeight="1">
      <c r="B57" s="183"/>
      <c r="C57" s="1"/>
      <c r="D57" s="1"/>
      <c r="E57" s="1"/>
      <c r="F57" s="1"/>
      <c r="G57" s="1"/>
      <c r="H57" s="1"/>
      <c r="J57" s="32"/>
      <c r="K57" s="33"/>
      <c r="L57" s="33"/>
      <c r="M57" s="33"/>
      <c r="N57" s="33"/>
      <c r="O57" s="33"/>
      <c r="P57" s="33"/>
      <c r="Q57" s="33"/>
      <c r="R57" s="33"/>
      <c r="S57" s="33"/>
      <c r="T57" s="33"/>
      <c r="U57" s="47"/>
      <c r="W57" s="118"/>
      <c r="X57" s="174" t="s">
        <v>160</v>
      </c>
      <c r="Y57" s="146"/>
      <c r="Z57" s="146"/>
      <c r="AA57" s="146"/>
      <c r="AB57" s="316" t="str">
        <f>N34</f>
        <v>PUROK 3 ,DAET, CAMARINEZ NORTE</v>
      </c>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317"/>
      <c r="AY57" s="317"/>
      <c r="AZ57" s="317"/>
      <c r="BA57" s="317"/>
      <c r="BB57" s="317"/>
      <c r="BC57" s="317"/>
      <c r="BD57" s="318"/>
      <c r="BE57" s="118"/>
    </row>
    <row r="58" spans="2:57" ht="15.75">
      <c r="B58" s="183"/>
      <c r="C58" s="1"/>
      <c r="D58" s="1"/>
      <c r="E58" s="1"/>
      <c r="F58" s="1"/>
      <c r="G58" s="1"/>
      <c r="H58" s="1"/>
      <c r="J58" s="16"/>
      <c r="U58" s="107"/>
      <c r="W58" s="118"/>
      <c r="X58" s="287" t="s">
        <v>161</v>
      </c>
      <c r="Y58" s="288"/>
      <c r="Z58" s="288"/>
      <c r="AA58" s="288"/>
      <c r="AB58" s="288"/>
      <c r="AC58" s="288"/>
      <c r="AD58" s="288"/>
      <c r="AE58" s="288"/>
      <c r="AF58" s="288"/>
      <c r="AG58" s="288"/>
      <c r="AH58" s="288"/>
      <c r="AI58" s="288"/>
      <c r="AJ58" s="288"/>
      <c r="AK58" s="288"/>
      <c r="AL58" s="288"/>
      <c r="AM58" s="288"/>
      <c r="AN58" s="288"/>
      <c r="AO58" s="288"/>
      <c r="AP58" s="288"/>
      <c r="AQ58" s="288"/>
      <c r="AR58" s="288"/>
      <c r="AS58" s="288"/>
      <c r="AT58" s="288"/>
      <c r="AU58" s="288"/>
      <c r="AV58" s="288"/>
      <c r="AW58" s="288"/>
      <c r="AX58" s="288"/>
      <c r="AY58" s="288"/>
      <c r="AZ58" s="288"/>
      <c r="BA58" s="288"/>
      <c r="BB58" s="288"/>
      <c r="BC58" s="288"/>
      <c r="BD58" s="289"/>
      <c r="BE58" s="118"/>
    </row>
    <row r="59" spans="2:57" ht="15.75">
      <c r="B59" s="183"/>
      <c r="C59" s="1"/>
      <c r="D59" s="1"/>
      <c r="E59" s="1"/>
      <c r="F59" s="1"/>
      <c r="G59" s="1"/>
      <c r="H59" s="1"/>
      <c r="J59" s="16"/>
      <c r="U59" s="107"/>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row>
    <row r="60" spans="2:57" ht="16.5" thickBot="1">
      <c r="B60" s="183"/>
      <c r="C60" s="1"/>
      <c r="D60" s="1"/>
      <c r="E60" s="1"/>
      <c r="F60" s="1"/>
      <c r="G60" s="1"/>
      <c r="H60" s="1"/>
      <c r="J60" s="32"/>
      <c r="K60" s="307" t="s">
        <v>261</v>
      </c>
      <c r="L60" s="307"/>
      <c r="M60" s="307"/>
      <c r="N60" s="100"/>
      <c r="O60" s="100"/>
      <c r="P60" s="100"/>
      <c r="R60" s="308" t="s">
        <v>246</v>
      </c>
      <c r="S60" s="308"/>
      <c r="T60" s="308"/>
      <c r="U60" s="47"/>
      <c r="W60" s="118"/>
      <c r="X60" s="118"/>
      <c r="Y60" s="118" t="s">
        <v>162</v>
      </c>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row>
    <row r="61" spans="2:57" ht="15.75">
      <c r="B61" s="183"/>
      <c r="C61" s="1"/>
      <c r="D61" s="1"/>
      <c r="E61" s="1"/>
      <c r="F61" s="1"/>
      <c r="G61" s="1"/>
      <c r="H61" s="1"/>
      <c r="J61" s="32"/>
      <c r="K61" s="305" t="s">
        <v>80</v>
      </c>
      <c r="L61" s="305"/>
      <c r="M61" s="305"/>
      <c r="N61" s="33"/>
      <c r="O61" s="34"/>
      <c r="P61" s="33"/>
      <c r="R61" s="305" t="s">
        <v>88</v>
      </c>
      <c r="S61" s="305"/>
      <c r="T61" s="305"/>
      <c r="U61" s="47"/>
      <c r="W61" s="118"/>
      <c r="X61" s="118" t="s">
        <v>163</v>
      </c>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row>
    <row r="62" spans="2:57" ht="15.75">
      <c r="B62" s="183"/>
      <c r="C62" s="1"/>
      <c r="D62" s="1"/>
      <c r="E62" s="1"/>
      <c r="F62" s="1"/>
      <c r="G62" s="1"/>
      <c r="H62" s="1"/>
      <c r="J62" s="16"/>
      <c r="U62" s="107"/>
      <c r="W62" s="118"/>
      <c r="X62" s="118" t="s">
        <v>164</v>
      </c>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row>
    <row r="63" spans="2:57" ht="15.75">
      <c r="B63" s="183"/>
      <c r="C63" s="1"/>
      <c r="D63" s="1"/>
      <c r="E63" s="1"/>
      <c r="F63" s="1"/>
      <c r="G63" s="1"/>
      <c r="H63" s="1"/>
      <c r="J63" s="16"/>
      <c r="U63" s="107"/>
      <c r="W63" s="118"/>
      <c r="X63" s="118" t="s">
        <v>165</v>
      </c>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row>
    <row r="64" spans="2:57" ht="16.5" thickBot="1">
      <c r="B64" s="21"/>
      <c r="C64" s="1"/>
      <c r="D64" s="1"/>
      <c r="E64" s="1"/>
      <c r="F64" s="1"/>
      <c r="G64" s="1"/>
      <c r="H64" s="1"/>
      <c r="J64" s="16"/>
      <c r="U64" s="107"/>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270" t="str">
        <f>D22</f>
        <v>MARIA CRISELDA G. MACAPILI</v>
      </c>
      <c r="AV64" s="270"/>
      <c r="AW64" s="270"/>
      <c r="AX64" s="270"/>
      <c r="AY64" s="270"/>
      <c r="AZ64" s="270"/>
      <c r="BA64" s="270"/>
      <c r="BB64" s="270"/>
      <c r="BC64" s="270"/>
      <c r="BD64" s="118"/>
      <c r="BE64" s="118"/>
    </row>
    <row r="65" spans="2:57" ht="15.75">
      <c r="B65" s="21"/>
      <c r="C65" s="1"/>
      <c r="D65" s="1"/>
      <c r="E65" s="1"/>
      <c r="F65" s="1"/>
      <c r="G65" s="1"/>
      <c r="H65" s="1"/>
      <c r="J65" s="32"/>
      <c r="K65" s="33"/>
      <c r="L65" s="33"/>
      <c r="M65" s="33"/>
      <c r="N65" s="33"/>
      <c r="O65" s="34"/>
      <c r="P65" s="33"/>
      <c r="Q65" s="33"/>
      <c r="R65" s="33"/>
      <c r="S65" s="33"/>
      <c r="T65" s="33"/>
      <c r="U65" s="47"/>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231" t="s">
        <v>166</v>
      </c>
      <c r="AV65" s="306"/>
      <c r="AW65" s="306"/>
      <c r="AX65" s="306"/>
      <c r="AY65" s="306"/>
      <c r="AZ65" s="306"/>
      <c r="BA65" s="306"/>
      <c r="BB65" s="306"/>
      <c r="BC65" s="306"/>
      <c r="BD65" s="118"/>
      <c r="BE65" s="118"/>
    </row>
    <row r="66" spans="2:57" ht="15.75">
      <c r="B66" s="21"/>
      <c r="C66" s="1"/>
      <c r="D66" s="1"/>
      <c r="E66" s="1"/>
      <c r="F66" s="1"/>
      <c r="G66" s="1"/>
      <c r="H66" s="1"/>
      <c r="J66" s="32"/>
      <c r="K66" s="33" t="s">
        <v>82</v>
      </c>
      <c r="L66" s="33"/>
      <c r="M66" s="33"/>
      <c r="N66" s="33"/>
      <c r="O66" s="34"/>
      <c r="P66" s="33"/>
      <c r="Q66" s="33"/>
      <c r="R66" s="33" t="s">
        <v>79</v>
      </c>
      <c r="S66" s="33"/>
      <c r="T66" s="33"/>
      <c r="U66" s="47"/>
      <c r="W66" s="118"/>
      <c r="X66" s="287" t="s">
        <v>167</v>
      </c>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c r="BC66" s="288"/>
      <c r="BD66" s="289"/>
      <c r="BE66" s="118"/>
    </row>
    <row r="67" spans="2:57" ht="15.75">
      <c r="B67" s="21"/>
      <c r="C67" s="183"/>
      <c r="E67" s="1"/>
      <c r="F67" s="184"/>
      <c r="G67" s="185"/>
      <c r="H67" s="184"/>
      <c r="J67" s="32"/>
      <c r="K67" s="33"/>
      <c r="L67" s="33"/>
      <c r="M67" s="33"/>
      <c r="N67" s="33"/>
      <c r="O67" s="34"/>
      <c r="P67" s="33"/>
      <c r="Q67" s="33"/>
      <c r="R67" s="33"/>
      <c r="S67" s="33"/>
      <c r="T67" s="33"/>
      <c r="U67" s="47"/>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row>
    <row r="68" spans="2:57" ht="15.75">
      <c r="B68" s="21"/>
      <c r="C68" s="183"/>
      <c r="E68" s="1"/>
      <c r="F68" s="184"/>
      <c r="G68" s="185"/>
      <c r="H68" s="184"/>
      <c r="J68" s="16"/>
      <c r="U68" s="107"/>
      <c r="W68" s="118"/>
      <c r="X68" s="118"/>
      <c r="Y68" s="118" t="s">
        <v>168</v>
      </c>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row>
    <row r="69" spans="2:57" ht="16.5" thickBot="1">
      <c r="B69" s="21"/>
      <c r="C69" s="183"/>
      <c r="E69" s="1"/>
      <c r="F69" s="184"/>
      <c r="G69" s="185"/>
      <c r="H69" s="184"/>
      <c r="J69" s="16"/>
      <c r="K69" s="307" t="str">
        <f>D22</f>
        <v>MARIA CRISELDA G. MACAPILI</v>
      </c>
      <c r="L69" s="307"/>
      <c r="M69" s="307"/>
      <c r="P69" s="308" t="s">
        <v>247</v>
      </c>
      <c r="Q69" s="308"/>
      <c r="R69" s="308"/>
      <c r="S69" s="308"/>
      <c r="T69" s="308"/>
      <c r="U69" s="194"/>
      <c r="W69" s="118"/>
      <c r="X69" s="118" t="s">
        <v>169</v>
      </c>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row>
    <row r="70" spans="2:57" ht="15.75">
      <c r="B70" s="21"/>
      <c r="C70" s="183"/>
      <c r="E70" s="1"/>
      <c r="F70" s="184"/>
      <c r="G70" s="185"/>
      <c r="H70" s="184"/>
      <c r="J70" s="32"/>
      <c r="K70" s="42" t="s">
        <v>83</v>
      </c>
      <c r="L70" s="42"/>
      <c r="M70" s="42"/>
      <c r="N70" s="33"/>
      <c r="O70" s="34"/>
      <c r="P70" s="33"/>
      <c r="Q70" s="33"/>
      <c r="R70" s="100" t="s">
        <v>81</v>
      </c>
      <c r="S70" s="100"/>
      <c r="T70" s="33"/>
      <c r="U70" s="47"/>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row>
    <row r="71" spans="2:57" ht="16.5" thickBot="1">
      <c r="B71" s="21"/>
      <c r="C71" s="183"/>
      <c r="E71" s="1"/>
      <c r="F71" s="184"/>
      <c r="G71" s="185"/>
      <c r="H71" s="184"/>
      <c r="J71" s="43"/>
      <c r="K71" s="44"/>
      <c r="L71" s="44"/>
      <c r="M71" s="44"/>
      <c r="N71" s="44"/>
      <c r="O71" s="45"/>
      <c r="P71" s="44"/>
      <c r="Q71" s="44"/>
      <c r="R71" s="44"/>
      <c r="S71" s="44"/>
      <c r="T71" s="44"/>
      <c r="U71" s="49"/>
      <c r="W71" s="118"/>
      <c r="X71" s="125"/>
      <c r="Y71" s="125"/>
      <c r="Z71" s="125"/>
      <c r="AA71" s="125"/>
      <c r="AB71" s="125"/>
      <c r="AC71" s="125"/>
      <c r="AD71" s="125"/>
      <c r="AE71" s="125"/>
      <c r="AF71" s="118"/>
      <c r="AG71" s="125"/>
      <c r="AH71" s="125"/>
      <c r="AI71" s="125"/>
      <c r="AJ71" s="125"/>
      <c r="AK71" s="125"/>
      <c r="AL71" s="125"/>
      <c r="AM71" s="125"/>
      <c r="AN71" s="118"/>
      <c r="AO71" s="118"/>
      <c r="AP71" s="125"/>
      <c r="AQ71" s="125"/>
      <c r="AR71" s="125"/>
      <c r="AS71" s="125"/>
      <c r="AT71" s="125"/>
      <c r="AU71" s="125"/>
      <c r="AV71" s="125"/>
      <c r="AW71" s="118"/>
      <c r="AX71" s="125"/>
      <c r="AY71" s="125"/>
      <c r="AZ71" s="125"/>
      <c r="BA71" s="125"/>
      <c r="BB71" s="125"/>
      <c r="BC71" s="125"/>
      <c r="BD71" s="125"/>
      <c r="BE71" s="118"/>
    </row>
    <row r="72" spans="2:57" ht="15.75">
      <c r="B72" s="21"/>
      <c r="C72" s="183"/>
      <c r="E72" s="1"/>
      <c r="F72" s="184"/>
      <c r="G72" s="185"/>
      <c r="H72" s="184"/>
      <c r="W72" s="118"/>
      <c r="X72" s="231" t="s">
        <v>170</v>
      </c>
      <c r="Y72" s="231"/>
      <c r="Z72" s="231"/>
      <c r="AA72" s="231"/>
      <c r="AB72" s="231"/>
      <c r="AC72" s="231"/>
      <c r="AD72" s="231"/>
      <c r="AE72" s="231"/>
      <c r="AF72" s="118"/>
      <c r="AG72" s="231" t="s">
        <v>171</v>
      </c>
      <c r="AH72" s="231"/>
      <c r="AI72" s="231"/>
      <c r="AJ72" s="231"/>
      <c r="AK72" s="231"/>
      <c r="AL72" s="231"/>
      <c r="AM72" s="231"/>
      <c r="AN72" s="118"/>
      <c r="AO72" s="118"/>
      <c r="AP72" s="231" t="s">
        <v>172</v>
      </c>
      <c r="AQ72" s="231"/>
      <c r="AR72" s="231"/>
      <c r="AS72" s="231"/>
      <c r="AT72" s="231"/>
      <c r="AU72" s="231"/>
      <c r="AV72" s="231"/>
      <c r="AW72" s="118"/>
      <c r="AX72" s="231" t="s">
        <v>173</v>
      </c>
      <c r="AY72" s="231"/>
      <c r="AZ72" s="231"/>
      <c r="BA72" s="231"/>
      <c r="BB72" s="231"/>
      <c r="BC72" s="231"/>
      <c r="BD72" s="231"/>
      <c r="BE72" s="118"/>
    </row>
    <row r="73" spans="2:57" ht="15.75">
      <c r="B73" s="21"/>
      <c r="C73" s="183"/>
      <c r="E73" s="1"/>
      <c r="F73" s="184"/>
      <c r="G73" s="185"/>
      <c r="H73" s="184"/>
      <c r="W73" s="118"/>
      <c r="X73" s="231" t="s">
        <v>174</v>
      </c>
      <c r="Y73" s="231"/>
      <c r="Z73" s="231"/>
      <c r="AA73" s="231"/>
      <c r="AB73" s="231"/>
      <c r="AC73" s="231"/>
      <c r="AD73" s="231"/>
      <c r="AE73" s="231"/>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row>
    <row r="74" spans="2:57" ht="15.75">
      <c r="B74" s="21"/>
      <c r="C74" s="183"/>
      <c r="E74" s="1"/>
      <c r="F74" s="184"/>
      <c r="G74" s="185"/>
      <c r="H74" s="184"/>
      <c r="W74" s="118"/>
      <c r="X74" s="287" t="s">
        <v>175</v>
      </c>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c r="BD74" s="304"/>
      <c r="BE74" s="118"/>
    </row>
    <row r="75" spans="2:57" ht="15.75">
      <c r="B75" s="21"/>
      <c r="C75" s="183"/>
      <c r="E75" s="1"/>
      <c r="F75" s="184"/>
      <c r="G75" s="185"/>
      <c r="H75" s="184"/>
      <c r="W75" s="118"/>
      <c r="X75" s="293" t="s">
        <v>176</v>
      </c>
      <c r="Y75" s="293"/>
      <c r="Z75" s="293"/>
      <c r="AA75" s="293" t="s">
        <v>177</v>
      </c>
      <c r="AB75" s="293"/>
      <c r="AC75" s="293"/>
      <c r="AD75" s="293"/>
      <c r="AE75" s="293" t="s">
        <v>178</v>
      </c>
      <c r="AF75" s="293"/>
      <c r="AG75" s="293"/>
      <c r="AH75" s="293"/>
      <c r="AI75" s="293"/>
      <c r="AJ75" s="293" t="s">
        <v>179</v>
      </c>
      <c r="AK75" s="293"/>
      <c r="AL75" s="293"/>
      <c r="AM75" s="293" t="s">
        <v>50</v>
      </c>
      <c r="AN75" s="293"/>
      <c r="AO75" s="293"/>
      <c r="AP75" s="293"/>
      <c r="AQ75" s="293"/>
      <c r="AR75" s="293" t="s">
        <v>180</v>
      </c>
      <c r="AS75" s="293"/>
      <c r="AT75" s="293"/>
      <c r="AU75" s="293" t="s">
        <v>181</v>
      </c>
      <c r="AV75" s="293"/>
      <c r="AW75" s="293"/>
      <c r="AX75" s="293"/>
      <c r="AY75" s="293"/>
      <c r="AZ75" s="293" t="s">
        <v>182</v>
      </c>
      <c r="BA75" s="293"/>
      <c r="BB75" s="293"/>
      <c r="BC75" s="293"/>
      <c r="BD75" s="293"/>
      <c r="BE75" s="118"/>
    </row>
    <row r="76" spans="2:57" ht="15.75">
      <c r="B76" s="21"/>
      <c r="C76" s="183"/>
      <c r="E76" s="1"/>
      <c r="F76" s="184"/>
      <c r="G76" s="185"/>
      <c r="H76" s="184"/>
      <c r="W76" s="118"/>
      <c r="X76" s="294"/>
      <c r="Y76" s="295"/>
      <c r="Z76" s="295"/>
      <c r="AA76" s="296"/>
      <c r="AB76" s="295"/>
      <c r="AC76" s="295"/>
      <c r="AD76" s="295"/>
      <c r="AE76" s="297"/>
      <c r="AF76" s="297"/>
      <c r="AG76" s="297"/>
      <c r="AH76" s="297"/>
      <c r="AI76" s="297"/>
      <c r="AJ76" s="298"/>
      <c r="AK76" s="295"/>
      <c r="AL76" s="295"/>
      <c r="AM76" s="299"/>
      <c r="AN76" s="300"/>
      <c r="AO76" s="300"/>
      <c r="AP76" s="300"/>
      <c r="AQ76" s="301"/>
      <c r="AR76" s="302"/>
      <c r="AS76" s="302"/>
      <c r="AT76" s="302"/>
      <c r="AU76" s="295"/>
      <c r="AV76" s="295"/>
      <c r="AW76" s="295"/>
      <c r="AX76" s="295"/>
      <c r="AY76" s="295"/>
      <c r="AZ76" s="297"/>
      <c r="BA76" s="297"/>
      <c r="BB76" s="297"/>
      <c r="BC76" s="297"/>
      <c r="BD76" s="297"/>
      <c r="BE76" s="118"/>
    </row>
    <row r="77" spans="2:57" ht="15.75">
      <c r="B77" s="21"/>
      <c r="C77" s="183"/>
      <c r="E77" s="1"/>
      <c r="F77" s="184"/>
      <c r="G77" s="185"/>
      <c r="H77" s="184"/>
      <c r="W77" s="118"/>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118"/>
    </row>
    <row r="78" spans="2:57" ht="15.75">
      <c r="B78" s="21"/>
      <c r="C78" s="183"/>
      <c r="E78" s="1"/>
      <c r="F78" s="184"/>
      <c r="G78" s="185"/>
      <c r="H78" s="184"/>
      <c r="W78" s="118"/>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118"/>
    </row>
    <row r="79" spans="2:57" ht="15.75">
      <c r="B79" s="21"/>
      <c r="C79" s="183"/>
      <c r="E79" s="1"/>
      <c r="F79" s="184"/>
      <c r="G79" s="185"/>
      <c r="H79" s="184"/>
      <c r="W79" s="118"/>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118"/>
    </row>
    <row r="80" spans="2:57" ht="15.75">
      <c r="B80" s="21"/>
      <c r="C80" s="183"/>
      <c r="E80" s="1"/>
      <c r="F80" s="184"/>
      <c r="G80" s="185"/>
      <c r="H80" s="184"/>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row>
    <row r="81" spans="2:57" ht="15.75">
      <c r="B81" s="21"/>
      <c r="C81" s="183"/>
      <c r="E81" s="1"/>
      <c r="F81" s="184"/>
      <c r="G81" s="185"/>
      <c r="H81" s="184"/>
      <c r="W81" s="118"/>
      <c r="X81" s="287" t="s">
        <v>183</v>
      </c>
      <c r="Y81" s="288"/>
      <c r="Z81" s="288"/>
      <c r="AA81" s="288"/>
      <c r="AB81" s="288"/>
      <c r="AC81" s="288"/>
      <c r="AD81" s="288"/>
      <c r="AE81" s="288"/>
      <c r="AF81" s="288"/>
      <c r="AG81" s="288"/>
      <c r="AH81" s="288"/>
      <c r="AI81" s="288"/>
      <c r="AJ81" s="288"/>
      <c r="AK81" s="288"/>
      <c r="AL81" s="288"/>
      <c r="AM81" s="288"/>
      <c r="AN81" s="288"/>
      <c r="AO81" s="288"/>
      <c r="AP81" s="288"/>
      <c r="AQ81" s="288"/>
      <c r="AR81" s="288"/>
      <c r="AS81" s="288"/>
      <c r="AT81" s="288"/>
      <c r="AU81" s="288"/>
      <c r="AV81" s="288"/>
      <c r="AW81" s="288"/>
      <c r="AX81" s="288"/>
      <c r="AY81" s="288"/>
      <c r="AZ81" s="288"/>
      <c r="BA81" s="288"/>
      <c r="BB81" s="288"/>
      <c r="BC81" s="288"/>
      <c r="BD81" s="289"/>
      <c r="BE81" s="118"/>
    </row>
    <row r="82" spans="2:57" ht="15.75">
      <c r="B82" s="21"/>
      <c r="C82" s="183"/>
      <c r="E82" s="1"/>
      <c r="F82" s="184"/>
      <c r="G82" s="185"/>
      <c r="H82" s="184"/>
      <c r="W82" s="118"/>
      <c r="X82" s="290" t="s">
        <v>184</v>
      </c>
      <c r="Y82" s="291"/>
      <c r="Z82" s="291"/>
      <c r="AA82" s="291"/>
      <c r="AB82" s="292"/>
      <c r="AC82" s="290" t="s">
        <v>185</v>
      </c>
      <c r="AD82" s="291"/>
      <c r="AE82" s="291"/>
      <c r="AF82" s="292"/>
      <c r="AG82" s="290" t="s">
        <v>51</v>
      </c>
      <c r="AH82" s="291"/>
      <c r="AI82" s="291"/>
      <c r="AJ82" s="292"/>
      <c r="AK82" s="290" t="s">
        <v>186</v>
      </c>
      <c r="AL82" s="291"/>
      <c r="AM82" s="291"/>
      <c r="AN82" s="291"/>
      <c r="AO82" s="291"/>
      <c r="AP82" s="291"/>
      <c r="AQ82" s="292"/>
      <c r="AR82" s="290" t="s">
        <v>187</v>
      </c>
      <c r="AS82" s="291"/>
      <c r="AT82" s="291"/>
      <c r="AU82" s="291"/>
      <c r="AV82" s="292"/>
      <c r="AW82" s="290" t="s">
        <v>188</v>
      </c>
      <c r="AX82" s="291"/>
      <c r="AY82" s="291"/>
      <c r="AZ82" s="291"/>
      <c r="BA82" s="291"/>
      <c r="BB82" s="291"/>
      <c r="BC82" s="291"/>
      <c r="BD82" s="292"/>
      <c r="BE82" s="118"/>
    </row>
    <row r="83" spans="2:57" ht="15.75">
      <c r="B83" s="21"/>
      <c r="C83" s="183"/>
      <c r="E83" s="1"/>
      <c r="F83" s="184"/>
      <c r="G83" s="185"/>
      <c r="H83" s="184"/>
      <c r="W83" s="118"/>
      <c r="X83" s="277">
        <f>C4</f>
        <v>116441.66666666667</v>
      </c>
      <c r="Y83" s="278"/>
      <c r="Z83" s="278"/>
      <c r="AA83" s="278"/>
      <c r="AB83" s="279"/>
      <c r="AC83" s="277">
        <f>R49</f>
        <v>5332.9738691213597</v>
      </c>
      <c r="AD83" s="278"/>
      <c r="AE83" s="278"/>
      <c r="AF83" s="279"/>
      <c r="AG83" s="280">
        <f>R48</f>
        <v>24</v>
      </c>
      <c r="AH83" s="281"/>
      <c r="AI83" s="281"/>
      <c r="AJ83" s="282"/>
      <c r="AK83" s="277">
        <v>650</v>
      </c>
      <c r="AL83" s="278"/>
      <c r="AM83" s="278"/>
      <c r="AN83" s="278"/>
      <c r="AO83" s="278"/>
      <c r="AP83" s="278"/>
      <c r="AQ83" s="279"/>
      <c r="AR83" s="283"/>
      <c r="AS83" s="284"/>
      <c r="AT83" s="284"/>
      <c r="AU83" s="284"/>
      <c r="AV83" s="285"/>
      <c r="AW83" s="277">
        <f>C3</f>
        <v>127991.37285891263</v>
      </c>
      <c r="AX83" s="278"/>
      <c r="AY83" s="278"/>
      <c r="AZ83" s="278"/>
      <c r="BA83" s="278"/>
      <c r="BB83" s="278"/>
      <c r="BC83" s="278"/>
      <c r="BD83" s="279"/>
      <c r="BE83" s="118"/>
    </row>
    <row r="84" spans="2:57" ht="15.75">
      <c r="B84" s="21"/>
      <c r="C84" s="183"/>
      <c r="E84" s="1"/>
      <c r="F84" s="184"/>
      <c r="G84" s="185"/>
      <c r="H84" s="184"/>
      <c r="W84" s="118"/>
      <c r="X84" s="272" t="s">
        <v>189</v>
      </c>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118"/>
    </row>
    <row r="85" spans="2:57" ht="15.75">
      <c r="B85" s="21"/>
      <c r="C85" s="183"/>
      <c r="E85" s="1"/>
      <c r="F85" s="184"/>
      <c r="G85" s="185"/>
      <c r="H85" s="184"/>
      <c r="W85" s="118"/>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8"/>
    </row>
    <row r="86" spans="2:57" ht="16.5" thickBot="1">
      <c r="B86" s="21"/>
      <c r="C86" s="183"/>
      <c r="E86" s="1"/>
      <c r="F86" s="184"/>
      <c r="G86" s="185"/>
      <c r="H86" s="184"/>
      <c r="W86" s="118"/>
      <c r="X86" s="115"/>
      <c r="Y86" s="115"/>
      <c r="Z86" s="115"/>
      <c r="AA86" s="115"/>
      <c r="AB86" s="115"/>
      <c r="AC86" s="115"/>
      <c r="AD86" s="115"/>
      <c r="AE86" s="115"/>
      <c r="AF86" s="115"/>
      <c r="AG86" s="115"/>
      <c r="AH86" s="115"/>
      <c r="AI86" s="115"/>
      <c r="AJ86" s="273" t="str">
        <f>K60</f>
        <v>ALEXANDER A. FERIA JR</v>
      </c>
      <c r="AK86" s="273"/>
      <c r="AL86" s="273"/>
      <c r="AM86" s="273"/>
      <c r="AN86" s="273"/>
      <c r="AO86" s="273"/>
      <c r="AP86" s="273"/>
      <c r="AQ86" s="273"/>
      <c r="AR86" s="273"/>
      <c r="AS86" s="273"/>
      <c r="AT86" s="115"/>
      <c r="AU86" s="115"/>
      <c r="AV86" s="115"/>
      <c r="AW86" s="115"/>
      <c r="AX86" s="115"/>
      <c r="AY86" s="115"/>
      <c r="AZ86" s="115"/>
      <c r="BA86" s="115"/>
      <c r="BB86" s="115"/>
      <c r="BC86" s="115"/>
      <c r="BD86" s="115"/>
      <c r="BE86" s="118"/>
    </row>
    <row r="87" spans="2:57" ht="15.75">
      <c r="B87" s="21"/>
      <c r="C87" s="183"/>
      <c r="E87" s="1"/>
      <c r="F87" s="184"/>
      <c r="G87" s="185"/>
      <c r="H87" s="184"/>
      <c r="W87" s="231" t="s">
        <v>190</v>
      </c>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31"/>
      <c r="BA87" s="231"/>
      <c r="BB87" s="231"/>
      <c r="BC87" s="231"/>
      <c r="BD87" s="231"/>
      <c r="BE87" s="231"/>
    </row>
    <row r="88" spans="2:57" ht="15.75">
      <c r="C88" s="25"/>
      <c r="D88" s="26"/>
      <c r="E88" s="26">
        <f t="shared" ref="E88:G88" si="7">SUM(E28:E87)</f>
        <v>255982.74571782519</v>
      </c>
      <c r="F88" s="26">
        <f t="shared" si="7"/>
        <v>232883.33333332854</v>
      </c>
      <c r="G88" s="26">
        <f t="shared" si="7"/>
        <v>23099.412384496693</v>
      </c>
      <c r="H88" s="27"/>
      <c r="I88" s="28"/>
      <c r="J88" s="2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row>
    <row r="89" spans="2:57" ht="15.75">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row>
    <row r="90" spans="2:57" ht="15.75">
      <c r="W90" s="118"/>
      <c r="X90" s="274" t="s">
        <v>191</v>
      </c>
      <c r="Y90" s="272"/>
      <c r="Z90" s="272"/>
      <c r="AA90" s="272"/>
      <c r="AB90" s="272"/>
      <c r="AC90" s="272"/>
      <c r="AD90" s="272"/>
      <c r="AE90" s="272"/>
      <c r="AF90" s="272"/>
      <c r="AG90" s="272"/>
      <c r="AH90" s="272"/>
      <c r="AI90" s="272"/>
      <c r="AJ90" s="272"/>
      <c r="AK90" s="272"/>
      <c r="AL90" s="272"/>
      <c r="AM90" s="272"/>
      <c r="AN90" s="275"/>
      <c r="AO90" s="274" t="s">
        <v>192</v>
      </c>
      <c r="AP90" s="272"/>
      <c r="AQ90" s="272"/>
      <c r="AR90" s="272"/>
      <c r="AS90" s="272"/>
      <c r="AT90" s="272"/>
      <c r="AU90" s="272"/>
      <c r="AV90" s="272"/>
      <c r="AW90" s="272"/>
      <c r="AX90" s="272"/>
      <c r="AY90" s="272"/>
      <c r="AZ90" s="272"/>
      <c r="BA90" s="272"/>
      <c r="BB90" s="272"/>
      <c r="BC90" s="272"/>
      <c r="BD90" s="275"/>
      <c r="BE90" s="118"/>
    </row>
    <row r="91" spans="2:57" ht="15.75">
      <c r="V91" s="33"/>
      <c r="W91" s="118"/>
      <c r="X91" s="175"/>
      <c r="Y91" s="142"/>
      <c r="Z91" s="142"/>
      <c r="AA91" s="142"/>
      <c r="AB91" s="142"/>
      <c r="AC91" s="142"/>
      <c r="AD91" s="142"/>
      <c r="AE91" s="142"/>
      <c r="AF91" s="142"/>
      <c r="AG91" s="142"/>
      <c r="AH91" s="142"/>
      <c r="AI91" s="142"/>
      <c r="AJ91" s="142"/>
      <c r="AK91" s="142"/>
      <c r="AL91" s="142"/>
      <c r="AM91" s="142"/>
      <c r="AN91" s="176"/>
      <c r="AO91" s="175"/>
      <c r="AP91" s="142"/>
      <c r="AQ91" s="142"/>
      <c r="AR91" s="142"/>
      <c r="AS91" s="142"/>
      <c r="AT91" s="142"/>
      <c r="AU91" s="142"/>
      <c r="AV91" s="142"/>
      <c r="AW91" s="142"/>
      <c r="AX91" s="142"/>
      <c r="AY91" s="142"/>
      <c r="AZ91" s="142"/>
      <c r="BA91" s="142"/>
      <c r="BB91" s="142"/>
      <c r="BC91" s="142"/>
      <c r="BD91" s="176"/>
      <c r="BE91" s="118"/>
    </row>
    <row r="92" spans="2:57" ht="15" customHeight="1" thickBot="1">
      <c r="V92" s="33"/>
      <c r="W92" s="118"/>
      <c r="X92" s="177"/>
      <c r="Y92" s="132"/>
      <c r="Z92" s="132"/>
      <c r="AA92" s="178"/>
      <c r="AB92" s="276" t="s">
        <v>235</v>
      </c>
      <c r="AC92" s="276"/>
      <c r="AD92" s="276"/>
      <c r="AE92" s="276"/>
      <c r="AF92" s="276"/>
      <c r="AG92" s="276"/>
      <c r="AH92" s="276"/>
      <c r="AI92" s="276"/>
      <c r="AJ92" s="276"/>
      <c r="AK92" s="178"/>
      <c r="AL92" s="178"/>
      <c r="AM92" s="178"/>
      <c r="AN92" s="179"/>
      <c r="AO92" s="177"/>
      <c r="AP92" s="118"/>
      <c r="AQ92" s="118"/>
      <c r="AR92" s="118"/>
      <c r="AS92" s="273" t="s">
        <v>43</v>
      </c>
      <c r="AT92" s="273"/>
      <c r="AU92" s="273"/>
      <c r="AV92" s="273"/>
      <c r="AW92" s="273"/>
      <c r="AX92" s="273"/>
      <c r="AY92" s="273"/>
      <c r="AZ92" s="273"/>
      <c r="BA92" s="118"/>
      <c r="BB92" s="118"/>
      <c r="BC92" s="118"/>
      <c r="BD92" s="180"/>
      <c r="BE92" s="118"/>
    </row>
    <row r="93" spans="2:57" ht="15.75">
      <c r="V93" s="33"/>
      <c r="W93" s="118"/>
      <c r="X93" s="267" t="s">
        <v>190</v>
      </c>
      <c r="Y93" s="268"/>
      <c r="Z93" s="268"/>
      <c r="AA93" s="268"/>
      <c r="AB93" s="268"/>
      <c r="AC93" s="268"/>
      <c r="AD93" s="268"/>
      <c r="AE93" s="268"/>
      <c r="AF93" s="268"/>
      <c r="AG93" s="268"/>
      <c r="AH93" s="268"/>
      <c r="AI93" s="268"/>
      <c r="AJ93" s="268"/>
      <c r="AK93" s="268"/>
      <c r="AL93" s="268"/>
      <c r="AM93" s="268"/>
      <c r="AN93" s="269"/>
      <c r="AO93" s="267" t="s">
        <v>190</v>
      </c>
      <c r="AP93" s="268"/>
      <c r="AQ93" s="268"/>
      <c r="AR93" s="268"/>
      <c r="AS93" s="268"/>
      <c r="AT93" s="268"/>
      <c r="AU93" s="268"/>
      <c r="AV93" s="268"/>
      <c r="AW93" s="268"/>
      <c r="AX93" s="268"/>
      <c r="AY93" s="268"/>
      <c r="AZ93" s="268"/>
      <c r="BA93" s="268"/>
      <c r="BB93" s="268"/>
      <c r="BC93" s="268"/>
      <c r="BD93" s="269"/>
      <c r="BE93" s="118"/>
    </row>
    <row r="94" spans="2:57" ht="15.75">
      <c r="V94" s="33"/>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row>
    <row r="95" spans="2:57" ht="15.75">
      <c r="V95" s="33"/>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row>
    <row r="96" spans="2:57">
      <c r="V96" s="33"/>
    </row>
    <row r="97" spans="22:57">
      <c r="V97" s="33"/>
    </row>
    <row r="98" spans="22:57">
      <c r="V98" s="33"/>
    </row>
    <row r="99" spans="22:57" ht="18.75">
      <c r="V99" s="33"/>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38"/>
      <c r="AS99" s="118"/>
      <c r="AT99" s="118"/>
      <c r="AU99" s="118"/>
      <c r="AV99" s="118"/>
      <c r="AW99" s="118"/>
      <c r="AX99" s="118"/>
      <c r="AY99" s="118"/>
      <c r="AZ99" s="118"/>
      <c r="BA99" s="118"/>
      <c r="BB99" s="118"/>
      <c r="BC99" s="118"/>
      <c r="BD99" s="118"/>
      <c r="BE99" s="118"/>
    </row>
    <row r="100" spans="22:57" ht="19.5" thickBot="1">
      <c r="V100" s="33"/>
      <c r="W100" s="118"/>
      <c r="X100" s="232" t="s">
        <v>193</v>
      </c>
      <c r="Y100" s="233"/>
      <c r="Z100" s="233"/>
      <c r="AA100" s="233"/>
      <c r="AB100" s="233"/>
      <c r="AC100" s="233"/>
      <c r="AD100" s="233"/>
      <c r="AE100" s="233"/>
      <c r="AF100" s="233"/>
      <c r="AG100" s="233"/>
      <c r="AH100" s="233"/>
      <c r="AI100" s="233"/>
      <c r="AJ100" s="233"/>
      <c r="AK100" s="233"/>
      <c r="AL100" s="270" t="str">
        <f>S30</f>
        <v>LV-052</v>
      </c>
      <c r="AM100" s="270"/>
      <c r="AN100" s="270"/>
      <c r="AO100" s="118"/>
      <c r="AP100" s="118"/>
      <c r="AQ100" s="118"/>
      <c r="AR100" s="118"/>
      <c r="AS100" s="118"/>
      <c r="AT100" s="118"/>
      <c r="AU100" s="118"/>
      <c r="AV100" s="118"/>
      <c r="AW100" s="118"/>
      <c r="AX100" s="118"/>
      <c r="AY100" s="118"/>
    </row>
    <row r="101" spans="22:57" ht="18" customHeight="1">
      <c r="V101" s="33"/>
      <c r="W101" s="118"/>
      <c r="X101" s="118"/>
      <c r="Y101" s="265" t="s">
        <v>230</v>
      </c>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71">
        <f>AW83</f>
        <v>127991.37285891263</v>
      </c>
      <c r="AZ101" s="265"/>
      <c r="BA101" s="265"/>
      <c r="BB101" s="265"/>
      <c r="BC101" s="265"/>
      <c r="BD101" s="265"/>
      <c r="BE101" s="138"/>
    </row>
    <row r="102" spans="22:57" ht="18" customHeight="1">
      <c r="V102" s="33"/>
      <c r="W102" s="118"/>
      <c r="X102" s="263"/>
      <c r="Y102" s="264"/>
      <c r="Z102" s="264"/>
      <c r="AA102" s="139" t="s">
        <v>231</v>
      </c>
      <c r="AB102" s="181">
        <f>AG83</f>
        <v>24</v>
      </c>
      <c r="AC102" s="265" t="s">
        <v>232</v>
      </c>
      <c r="AD102" s="265"/>
      <c r="AE102" s="265"/>
      <c r="AF102" s="265"/>
      <c r="AG102" s="265"/>
      <c r="AH102" s="265"/>
      <c r="AI102" s="265"/>
      <c r="AJ102" s="265"/>
      <c r="AK102" s="265"/>
      <c r="AL102" s="265"/>
      <c r="AM102" s="265"/>
      <c r="AN102" s="264">
        <f>AC83</f>
        <v>5332.9738691213597</v>
      </c>
      <c r="AO102" s="264"/>
      <c r="AP102" s="264"/>
      <c r="AQ102" s="264"/>
      <c r="AR102" s="265" t="s">
        <v>233</v>
      </c>
      <c r="AS102" s="265"/>
      <c r="AT102" s="265"/>
      <c r="AU102" s="265"/>
      <c r="AV102" s="265"/>
      <c r="AW102" s="265"/>
      <c r="AX102" s="265"/>
      <c r="AY102" s="265"/>
      <c r="AZ102" s="265"/>
      <c r="BA102" s="265"/>
      <c r="BB102" s="265"/>
      <c r="BC102" s="265"/>
      <c r="BD102" s="265"/>
      <c r="BE102" s="138"/>
    </row>
    <row r="103" spans="22:57" ht="18" customHeight="1">
      <c r="V103" s="38"/>
      <c r="W103" s="118"/>
      <c r="X103" s="266">
        <f>R50</f>
        <v>45976</v>
      </c>
      <c r="Y103" s="266"/>
      <c r="Z103" s="266"/>
      <c r="AA103" s="266"/>
      <c r="AB103" s="242" t="s">
        <v>237</v>
      </c>
      <c r="AC103" s="242"/>
      <c r="AD103" s="242"/>
      <c r="AE103" s="242"/>
      <c r="AF103" s="242"/>
      <c r="AG103" s="242"/>
      <c r="AH103" s="242"/>
      <c r="AI103" s="242"/>
      <c r="AJ103" s="242"/>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138"/>
    </row>
    <row r="104" spans="22:57" ht="18" customHeight="1">
      <c r="V104" s="38"/>
      <c r="W104" s="118"/>
      <c r="X104" s="242" t="s">
        <v>236</v>
      </c>
      <c r="Y104" s="242"/>
      <c r="Z104" s="242"/>
      <c r="AA104" s="242"/>
      <c r="AB104" s="242"/>
      <c r="AC104" s="242"/>
      <c r="AD104" s="242"/>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2"/>
      <c r="BA104" s="242"/>
      <c r="BB104" s="242"/>
      <c r="BC104" s="242"/>
      <c r="BD104" s="242"/>
      <c r="BE104" s="138"/>
    </row>
    <row r="105" spans="22:57" ht="18" customHeight="1">
      <c r="V105" s="38"/>
      <c r="W105" s="118"/>
      <c r="X105" s="242" t="s">
        <v>194</v>
      </c>
      <c r="Y105" s="242"/>
      <c r="Z105" s="242"/>
      <c r="AA105" s="242"/>
      <c r="AB105" s="242"/>
      <c r="AC105" s="242"/>
      <c r="AD105" s="242"/>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138"/>
    </row>
    <row r="106" spans="22:57" ht="18.75">
      <c r="V106" s="33"/>
      <c r="W106" s="118"/>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138"/>
    </row>
    <row r="107" spans="22:57" ht="18.75">
      <c r="V107" s="33"/>
      <c r="W107" s="118"/>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138"/>
    </row>
    <row r="108" spans="22:57" ht="18" customHeight="1">
      <c r="V108" s="33"/>
      <c r="W108" s="118"/>
      <c r="X108" s="242" t="s">
        <v>195</v>
      </c>
      <c r="Y108" s="242"/>
      <c r="Z108" s="242"/>
      <c r="AA108" s="242"/>
      <c r="AB108" s="242"/>
      <c r="AC108" s="242"/>
      <c r="AD108" s="242"/>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138"/>
    </row>
    <row r="109" spans="22:57" ht="18.75">
      <c r="V109" s="36"/>
      <c r="W109" s="118"/>
      <c r="X109" s="242"/>
      <c r="Y109" s="242"/>
      <c r="Z109" s="242"/>
      <c r="AA109" s="242"/>
      <c r="AB109" s="242"/>
      <c r="AC109" s="242"/>
      <c r="AD109" s="242"/>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138"/>
    </row>
    <row r="110" spans="22:57" ht="18.75">
      <c r="V110" s="36"/>
      <c r="W110" s="118"/>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138"/>
    </row>
    <row r="111" spans="22:57" ht="18" customHeight="1">
      <c r="V111" s="36"/>
      <c r="W111" s="118"/>
      <c r="X111" s="242" t="s">
        <v>196</v>
      </c>
      <c r="Y111" s="242"/>
      <c r="Z111" s="242"/>
      <c r="AA111" s="242"/>
      <c r="AB111" s="242"/>
      <c r="AC111" s="242"/>
      <c r="AD111" s="242"/>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138"/>
    </row>
    <row r="112" spans="22:57" ht="18.75">
      <c r="V112" s="36"/>
      <c r="W112" s="118"/>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138"/>
    </row>
    <row r="113" spans="22:57" ht="18.75">
      <c r="V113" s="36"/>
      <c r="W113" s="118"/>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138"/>
    </row>
    <row r="114" spans="22:57" ht="18.75">
      <c r="V114" s="33"/>
      <c r="W114" s="118"/>
      <c r="X114" s="242"/>
      <c r="Y114" s="242"/>
      <c r="Z114" s="242"/>
      <c r="AA114" s="242"/>
      <c r="AB114" s="242"/>
      <c r="AC114" s="242"/>
      <c r="AD114" s="242"/>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138"/>
    </row>
    <row r="115" spans="22:57" ht="18.75">
      <c r="V115" s="33"/>
      <c r="W115" s="118"/>
      <c r="X115" s="242"/>
      <c r="Y115" s="242"/>
      <c r="Z115" s="242"/>
      <c r="AA115" s="242"/>
      <c r="AB115" s="242"/>
      <c r="AC115" s="242"/>
      <c r="AD115" s="242"/>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138"/>
    </row>
    <row r="116" spans="22:57" ht="18" customHeight="1">
      <c r="V116" s="33"/>
      <c r="W116" s="118"/>
      <c r="X116" s="242" t="s">
        <v>197</v>
      </c>
      <c r="Y116" s="242"/>
      <c r="Z116" s="242"/>
      <c r="AA116" s="242"/>
      <c r="AB116" s="242"/>
      <c r="AC116" s="242"/>
      <c r="AD116" s="242"/>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138"/>
    </row>
    <row r="117" spans="22:57" ht="18.75">
      <c r="V117" s="33"/>
      <c r="W117" s="118"/>
      <c r="X117" s="242"/>
      <c r="Y117" s="242"/>
      <c r="Z117" s="242"/>
      <c r="AA117" s="242"/>
      <c r="AB117" s="242"/>
      <c r="AC117" s="242"/>
      <c r="AD117" s="242"/>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138"/>
    </row>
    <row r="118" spans="22:57" ht="18.75">
      <c r="V118" s="33"/>
      <c r="W118" s="118"/>
      <c r="X118" s="242"/>
      <c r="Y118" s="242"/>
      <c r="Z118" s="242"/>
      <c r="AA118" s="242"/>
      <c r="AB118" s="242"/>
      <c r="AC118" s="242"/>
      <c r="AD118" s="242"/>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138"/>
    </row>
    <row r="119" spans="22:57" ht="19.5" thickBot="1">
      <c r="V119" s="33"/>
      <c r="W119" s="118"/>
      <c r="X119" s="242"/>
      <c r="Y119" s="242"/>
      <c r="Z119" s="242"/>
      <c r="AA119" s="242"/>
      <c r="AB119" s="242"/>
      <c r="AC119" s="242"/>
      <c r="AD119" s="242"/>
      <c r="AE119" s="242"/>
      <c r="AF119" s="242"/>
      <c r="AG119" s="242"/>
      <c r="AH119" s="242"/>
      <c r="AI119" s="242"/>
      <c r="AJ119" s="242"/>
      <c r="AK119" s="242"/>
      <c r="AL119" s="242"/>
      <c r="AM119" s="242"/>
      <c r="AN119" s="242"/>
      <c r="AO119" s="242"/>
      <c r="AP119" s="242"/>
      <c r="AQ119" s="242"/>
      <c r="AR119" s="242"/>
      <c r="AS119" s="242"/>
      <c r="AT119" s="242"/>
      <c r="AU119" s="242"/>
      <c r="AV119" s="242"/>
      <c r="AW119" s="242"/>
      <c r="AX119" s="242"/>
      <c r="AY119" s="242"/>
      <c r="AZ119" s="242"/>
      <c r="BA119" s="242"/>
      <c r="BB119" s="242"/>
      <c r="BC119" s="242"/>
      <c r="BD119" s="242"/>
      <c r="BE119" s="138"/>
    </row>
    <row r="120" spans="22:57" ht="15.75">
      <c r="V120" s="33"/>
      <c r="W120" s="118"/>
      <c r="X120" s="122"/>
      <c r="Y120" s="122"/>
      <c r="Z120" s="122"/>
      <c r="AA120" s="122"/>
      <c r="AB120" s="122"/>
      <c r="AC120" s="122"/>
      <c r="AD120" s="122"/>
      <c r="AE120" s="122"/>
      <c r="AF120" s="122"/>
      <c r="AG120" s="122"/>
      <c r="AH120" s="122"/>
      <c r="AI120" s="122"/>
      <c r="AJ120" s="122"/>
      <c r="AK120" s="122"/>
      <c r="AL120" s="123"/>
      <c r="AM120" s="118" t="s">
        <v>198</v>
      </c>
      <c r="AN120" s="118"/>
      <c r="AO120" s="124"/>
      <c r="AP120" s="118"/>
      <c r="AQ120" s="118"/>
      <c r="AR120" s="122"/>
      <c r="AS120" s="122"/>
      <c r="AT120" s="243"/>
      <c r="AU120" s="244"/>
      <c r="AV120" s="244"/>
      <c r="AW120" s="244"/>
      <c r="AX120" s="245"/>
      <c r="AY120" s="144"/>
      <c r="AZ120" s="252"/>
      <c r="BA120" s="253"/>
      <c r="BB120" s="253"/>
      <c r="BC120" s="253"/>
      <c r="BD120" s="254"/>
      <c r="BE120" s="122"/>
    </row>
    <row r="121" spans="22:57" ht="15.75">
      <c r="V121" s="33"/>
      <c r="W121" s="118"/>
      <c r="X121" s="118"/>
      <c r="Y121" s="118"/>
      <c r="Z121" s="118"/>
      <c r="AA121" s="118"/>
      <c r="AB121" s="118"/>
      <c r="AC121" s="118"/>
      <c r="AD121" s="118"/>
      <c r="AE121" s="118"/>
      <c r="AF121" s="118"/>
      <c r="AG121" s="118"/>
      <c r="AH121" s="118"/>
      <c r="AI121" s="118"/>
      <c r="AJ121" s="118"/>
      <c r="AK121" s="118"/>
      <c r="AL121" s="123"/>
      <c r="AM121" s="118" t="s">
        <v>199</v>
      </c>
      <c r="AN121" s="118"/>
      <c r="AO121" s="118"/>
      <c r="AP121" s="118"/>
      <c r="AQ121" s="118"/>
      <c r="AR121" s="118"/>
      <c r="AS121" s="118"/>
      <c r="AT121" s="246"/>
      <c r="AU121" s="247"/>
      <c r="AV121" s="247"/>
      <c r="AW121" s="247"/>
      <c r="AX121" s="248"/>
      <c r="AY121" s="122"/>
      <c r="AZ121" s="255"/>
      <c r="BA121" s="256"/>
      <c r="BB121" s="256"/>
      <c r="BC121" s="256"/>
      <c r="BD121" s="257"/>
      <c r="BE121" s="122"/>
    </row>
    <row r="122" spans="22:57" ht="15.75">
      <c r="V122" s="33"/>
      <c r="W122" s="118"/>
      <c r="X122" s="118"/>
      <c r="Y122" s="118"/>
      <c r="Z122" s="118"/>
      <c r="AA122" s="118"/>
      <c r="AB122" s="118"/>
      <c r="AC122" s="118"/>
      <c r="AD122" s="118"/>
      <c r="AE122" s="118"/>
      <c r="AF122" s="118"/>
      <c r="AG122" s="118"/>
      <c r="AH122" s="118"/>
      <c r="AI122" s="118"/>
      <c r="AJ122" s="118"/>
      <c r="AK122" s="118"/>
      <c r="AL122" s="123"/>
      <c r="AM122" s="118" t="s">
        <v>200</v>
      </c>
      <c r="AN122" s="118"/>
      <c r="AO122" s="118"/>
      <c r="AP122" s="118"/>
      <c r="AQ122" s="118"/>
      <c r="AR122" s="118"/>
      <c r="AS122" s="118"/>
      <c r="AT122" s="246"/>
      <c r="AU122" s="247"/>
      <c r="AV122" s="247"/>
      <c r="AW122" s="247"/>
      <c r="AX122" s="248"/>
      <c r="AY122" s="122"/>
      <c r="AZ122" s="255"/>
      <c r="BA122" s="256"/>
      <c r="BB122" s="256"/>
      <c r="BC122" s="256"/>
      <c r="BD122" s="257"/>
      <c r="BE122" s="122"/>
    </row>
    <row r="123" spans="22:57" ht="16.5" thickBot="1">
      <c r="V123" s="33"/>
      <c r="W123" s="118"/>
      <c r="X123" s="118"/>
      <c r="Y123" s="118"/>
      <c r="Z123" s="261" t="str">
        <f>N32</f>
        <v>MARIA CRISELDA G. MACAPILI</v>
      </c>
      <c r="AA123" s="261"/>
      <c r="AB123" s="261"/>
      <c r="AC123" s="261"/>
      <c r="AD123" s="261"/>
      <c r="AE123" s="261"/>
      <c r="AF123" s="261"/>
      <c r="AG123" s="261"/>
      <c r="AH123" s="261"/>
      <c r="AI123" s="118"/>
      <c r="AJ123" s="118"/>
      <c r="AK123" s="118"/>
      <c r="AL123" s="123"/>
      <c r="AM123" s="118" t="s">
        <v>115</v>
      </c>
      <c r="AN123" s="118"/>
      <c r="AO123" s="125"/>
      <c r="AP123" s="125"/>
      <c r="AQ123" s="125"/>
      <c r="AR123" s="118"/>
      <c r="AS123" s="118"/>
      <c r="AT123" s="246"/>
      <c r="AU123" s="247"/>
      <c r="AV123" s="247"/>
      <c r="AW123" s="247"/>
      <c r="AX123" s="248"/>
      <c r="AY123" s="122"/>
      <c r="AZ123" s="255"/>
      <c r="BA123" s="256"/>
      <c r="BB123" s="256"/>
      <c r="BC123" s="256"/>
      <c r="BD123" s="257"/>
      <c r="BE123" s="122"/>
    </row>
    <row r="124" spans="22:57" ht="15.75">
      <c r="V124" s="33"/>
      <c r="W124" s="118"/>
      <c r="X124" s="262" t="s">
        <v>201</v>
      </c>
      <c r="Y124" s="262"/>
      <c r="Z124" s="262"/>
      <c r="AA124" s="262"/>
      <c r="AB124" s="262"/>
      <c r="AC124" s="262"/>
      <c r="AD124" s="262"/>
      <c r="AE124" s="262"/>
      <c r="AF124" s="262"/>
      <c r="AG124" s="262"/>
      <c r="AH124" s="262"/>
      <c r="AI124" s="262"/>
      <c r="AJ124" s="262"/>
      <c r="AK124" s="118"/>
      <c r="AL124" s="118"/>
      <c r="AM124" s="118"/>
      <c r="AN124" s="118"/>
      <c r="AO124" s="118"/>
      <c r="AP124" s="118"/>
      <c r="AQ124" s="118"/>
      <c r="AR124" s="118"/>
      <c r="AS124" s="118"/>
      <c r="AT124" s="246"/>
      <c r="AU124" s="247"/>
      <c r="AV124" s="247"/>
      <c r="AW124" s="247"/>
      <c r="AX124" s="248"/>
      <c r="AY124" s="122"/>
      <c r="AZ124" s="255"/>
      <c r="BA124" s="256"/>
      <c r="BB124" s="256"/>
      <c r="BC124" s="256"/>
      <c r="BD124" s="257"/>
      <c r="BE124" s="122"/>
    </row>
    <row r="125" spans="22:57" ht="15.75">
      <c r="V125" s="33"/>
      <c r="W125" s="118"/>
      <c r="X125" s="115"/>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246"/>
      <c r="AU125" s="247"/>
      <c r="AV125" s="247"/>
      <c r="AW125" s="247"/>
      <c r="AX125" s="248"/>
      <c r="AY125" s="122"/>
      <c r="AZ125" s="255"/>
      <c r="BA125" s="256"/>
      <c r="BB125" s="256"/>
      <c r="BC125" s="256"/>
      <c r="BD125" s="257"/>
      <c r="BE125" s="122"/>
    </row>
    <row r="126" spans="22:57" ht="16.5" thickBot="1">
      <c r="V126" s="33"/>
      <c r="W126" s="118"/>
      <c r="X126" s="118" t="s">
        <v>202</v>
      </c>
      <c r="Y126" s="118"/>
      <c r="Z126" s="125"/>
      <c r="AA126" s="125"/>
      <c r="AB126" s="125"/>
      <c r="AC126" s="125"/>
      <c r="AD126" s="125"/>
      <c r="AE126" s="125"/>
      <c r="AF126" s="125"/>
      <c r="AG126" s="125"/>
      <c r="AH126" s="125"/>
      <c r="AI126" s="125"/>
      <c r="AJ126" s="118"/>
      <c r="AK126" s="118"/>
      <c r="AL126" s="118"/>
      <c r="AM126" s="118"/>
      <c r="AN126" s="118"/>
      <c r="AO126" s="118"/>
      <c r="AP126" s="118"/>
      <c r="AQ126" s="118"/>
      <c r="AR126" s="118"/>
      <c r="AS126" s="118"/>
      <c r="AT126" s="249"/>
      <c r="AU126" s="250"/>
      <c r="AV126" s="250"/>
      <c r="AW126" s="250"/>
      <c r="AX126" s="251"/>
      <c r="AY126" s="145"/>
      <c r="AZ126" s="258"/>
      <c r="BA126" s="259"/>
      <c r="BB126" s="259"/>
      <c r="BC126" s="259"/>
      <c r="BD126" s="260"/>
      <c r="BE126" s="122"/>
    </row>
    <row r="127" spans="22:57" ht="16.5" thickBot="1">
      <c r="V127" s="33"/>
      <c r="W127" s="118"/>
      <c r="X127" s="118" t="s">
        <v>203</v>
      </c>
      <c r="Y127" s="118"/>
      <c r="Z127" s="118"/>
      <c r="AA127" s="118"/>
      <c r="AB127" s="126"/>
      <c r="AC127" s="126"/>
      <c r="AD127" s="126"/>
      <c r="AE127" s="126"/>
      <c r="AF127" s="126"/>
      <c r="AG127" s="126"/>
      <c r="AH127" s="126"/>
      <c r="AI127" s="126"/>
      <c r="AJ127" s="118"/>
      <c r="AK127" s="118"/>
      <c r="AL127" s="118"/>
      <c r="AM127" s="118"/>
      <c r="AN127" s="118"/>
      <c r="AO127" s="118"/>
      <c r="AP127" s="118"/>
      <c r="AQ127" s="118"/>
      <c r="AR127" s="118"/>
      <c r="AS127" s="118"/>
      <c r="AT127" s="238" t="s">
        <v>204</v>
      </c>
      <c r="AU127" s="238"/>
      <c r="AV127" s="238"/>
      <c r="AW127" s="238"/>
      <c r="AX127" s="238"/>
      <c r="AY127" s="147"/>
      <c r="AZ127" s="238" t="s">
        <v>205</v>
      </c>
      <c r="BA127" s="238"/>
      <c r="BB127" s="238"/>
      <c r="BC127" s="238"/>
      <c r="BD127" s="238"/>
      <c r="BE127" s="146"/>
    </row>
    <row r="128" spans="22:57" ht="15.75">
      <c r="V128" s="33"/>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row>
    <row r="129" spans="10:57" ht="15.75">
      <c r="V129" s="33"/>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row>
    <row r="130" spans="10:57" ht="18.75">
      <c r="V130" s="33"/>
      <c r="W130" s="118"/>
      <c r="X130" s="232" t="s">
        <v>206</v>
      </c>
      <c r="Y130" s="233"/>
      <c r="Z130" s="233"/>
      <c r="AA130" s="233"/>
      <c r="AB130" s="233"/>
      <c r="AC130" s="233"/>
      <c r="AD130" s="233"/>
      <c r="AE130" s="233"/>
      <c r="AF130" s="233"/>
      <c r="AG130" s="233"/>
      <c r="AH130" s="233"/>
      <c r="AI130" s="233"/>
      <c r="AJ130" s="233"/>
      <c r="AK130" s="233"/>
      <c r="AL130" s="233"/>
      <c r="AM130" s="233"/>
      <c r="AN130" s="233"/>
      <c r="AO130" s="233"/>
      <c r="AP130" s="233"/>
      <c r="AQ130" s="233"/>
      <c r="AR130" s="233"/>
      <c r="AS130" s="233"/>
      <c r="AT130" s="233"/>
      <c r="AU130" s="233"/>
      <c r="AV130" s="233"/>
      <c r="AW130" s="233"/>
      <c r="AX130" s="233"/>
      <c r="AY130" s="233"/>
      <c r="AZ130" s="233"/>
      <c r="BA130" s="233"/>
      <c r="BB130" s="233"/>
      <c r="BC130" s="233"/>
      <c r="BD130" s="233"/>
      <c r="BE130" s="233"/>
    </row>
    <row r="131" spans="10:57" ht="15.75">
      <c r="V131" s="33"/>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row>
    <row r="132" spans="10:57" ht="17.25">
      <c r="V132" s="33"/>
      <c r="W132" s="118"/>
      <c r="X132" s="127" t="s">
        <v>207</v>
      </c>
      <c r="Y132" s="119"/>
      <c r="Z132" s="119"/>
      <c r="AA132" s="119"/>
      <c r="AB132" s="119"/>
      <c r="AC132" s="119"/>
      <c r="AD132" s="119"/>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row>
    <row r="133" spans="10:57" ht="17.25">
      <c r="V133" s="33"/>
      <c r="W133" s="118"/>
      <c r="X133" s="121" t="s">
        <v>208</v>
      </c>
      <c r="Y133" s="119"/>
      <c r="Z133" s="119"/>
      <c r="AA133" s="119"/>
      <c r="AB133" s="119"/>
      <c r="AC133" s="119"/>
      <c r="AD133" s="119"/>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row>
    <row r="134" spans="10:57" ht="17.25">
      <c r="V134" s="33"/>
      <c r="W134" s="118"/>
      <c r="X134" s="119"/>
      <c r="Y134" s="119"/>
      <c r="Z134" s="119"/>
      <c r="AA134" s="119"/>
      <c r="AB134" s="119"/>
      <c r="AC134" s="119"/>
      <c r="AD134" s="119"/>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row>
    <row r="135" spans="10:57" ht="17.45" customHeight="1">
      <c r="J135" s="33"/>
      <c r="K135" s="33"/>
      <c r="L135" s="33"/>
      <c r="M135" s="33"/>
      <c r="N135" s="33"/>
      <c r="O135" s="34"/>
      <c r="P135" s="33"/>
      <c r="Q135" s="33"/>
      <c r="R135" s="33"/>
      <c r="S135" s="33"/>
      <c r="T135" s="33"/>
      <c r="U135" s="33"/>
      <c r="V135" s="33"/>
      <c r="W135" s="118"/>
      <c r="X135" s="239" t="s">
        <v>209</v>
      </c>
      <c r="Y135" s="239"/>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150"/>
    </row>
    <row r="136" spans="10:57" ht="17.25">
      <c r="W136" s="118"/>
      <c r="X136" s="240" t="s">
        <v>210</v>
      </c>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0"/>
      <c r="AY136" s="240"/>
      <c r="AZ136" s="240"/>
      <c r="BA136" s="240"/>
      <c r="BB136" s="240"/>
      <c r="BC136" s="240"/>
      <c r="BD136" s="240"/>
      <c r="BE136" s="150"/>
    </row>
    <row r="137" spans="10:57" ht="17.25">
      <c r="W137" s="118"/>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0"/>
      <c r="AY137" s="240"/>
      <c r="AZ137" s="240"/>
      <c r="BA137" s="240"/>
      <c r="BB137" s="240"/>
      <c r="BC137" s="240"/>
      <c r="BD137" s="240"/>
      <c r="BE137" s="150"/>
    </row>
    <row r="138" spans="10:57" ht="17.25">
      <c r="W138" s="118"/>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0"/>
      <c r="AY138" s="240"/>
      <c r="AZ138" s="240"/>
      <c r="BA138" s="240"/>
      <c r="BB138" s="240"/>
      <c r="BC138" s="240"/>
      <c r="BD138" s="240"/>
      <c r="BE138" s="150"/>
    </row>
    <row r="139" spans="10:57" ht="17.25">
      <c r="W139" s="118"/>
      <c r="X139" s="240"/>
      <c r="Y139" s="240"/>
      <c r="Z139" s="240"/>
      <c r="AA139" s="240"/>
      <c r="AB139" s="240"/>
      <c r="AC139" s="240"/>
      <c r="AD139" s="240"/>
      <c r="AE139" s="240"/>
      <c r="AF139" s="240"/>
      <c r="AG139" s="240"/>
      <c r="AH139" s="240"/>
      <c r="AI139" s="240"/>
      <c r="AJ139" s="240"/>
      <c r="AK139" s="240"/>
      <c r="AL139" s="240"/>
      <c r="AM139" s="240"/>
      <c r="AN139" s="240"/>
      <c r="AO139" s="240"/>
      <c r="AP139" s="240"/>
      <c r="AQ139" s="240"/>
      <c r="AR139" s="240"/>
      <c r="AS139" s="240"/>
      <c r="AT139" s="240"/>
      <c r="AU139" s="240"/>
      <c r="AV139" s="240"/>
      <c r="AW139" s="240"/>
      <c r="AX139" s="240"/>
      <c r="AY139" s="240"/>
      <c r="AZ139" s="240"/>
      <c r="BA139" s="240"/>
      <c r="BB139" s="240"/>
      <c r="BC139" s="240"/>
      <c r="BD139" s="240"/>
      <c r="BE139" s="129"/>
    </row>
    <row r="140" spans="10:57" ht="17.25">
      <c r="W140" s="118"/>
      <c r="X140" s="119"/>
      <c r="Y140" s="120" t="s">
        <v>211</v>
      </c>
      <c r="Z140" s="119"/>
      <c r="AA140" s="119"/>
      <c r="AB140" s="119"/>
      <c r="AC140" s="119"/>
      <c r="AD140" s="119"/>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row>
    <row r="141" spans="10:57" ht="17.25">
      <c r="W141" s="118"/>
      <c r="X141" s="119"/>
      <c r="Y141" s="119"/>
      <c r="Z141" s="119"/>
      <c r="AA141" s="119"/>
      <c r="AB141" s="119"/>
      <c r="AC141" s="119"/>
      <c r="AD141" s="119"/>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row>
    <row r="142" spans="10:57" ht="18" thickBot="1">
      <c r="W142" s="118"/>
      <c r="X142" s="130" t="s">
        <v>212</v>
      </c>
      <c r="Y142" s="119"/>
      <c r="Z142" s="119"/>
      <c r="AA142" s="241"/>
      <c r="AB142" s="241"/>
      <c r="AC142" s="241"/>
      <c r="AD142" s="119"/>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row>
    <row r="143" spans="10:57" ht="18" thickBot="1">
      <c r="W143" s="118"/>
      <c r="X143" s="130" t="s">
        <v>213</v>
      </c>
      <c r="Y143" s="119"/>
      <c r="Z143" s="119"/>
      <c r="AA143" s="234"/>
      <c r="AB143" s="234"/>
      <c r="AC143" s="234"/>
      <c r="AD143" s="119"/>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row>
    <row r="144" spans="10:57" ht="18" thickBot="1">
      <c r="W144" s="118"/>
      <c r="X144" s="130" t="s">
        <v>214</v>
      </c>
      <c r="Y144" s="119"/>
      <c r="Z144" s="119"/>
      <c r="AA144" s="234"/>
      <c r="AB144" s="234"/>
      <c r="AC144" s="234"/>
      <c r="AD144" s="119"/>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row>
    <row r="145" spans="23:57" ht="18" thickBot="1">
      <c r="W145" s="118"/>
      <c r="X145" s="130" t="s">
        <v>215</v>
      </c>
      <c r="Y145" s="119"/>
      <c r="Z145" s="119"/>
      <c r="AA145" s="234"/>
      <c r="AB145" s="234"/>
      <c r="AC145" s="234"/>
      <c r="AD145" s="119"/>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row>
    <row r="146" spans="23:57" ht="15.75">
      <c r="W146" s="118"/>
      <c r="X146" s="131"/>
      <c r="Y146" s="118"/>
      <c r="Z146" s="118"/>
      <c r="AA146" s="132"/>
      <c r="AB146" s="132"/>
      <c r="AC146" s="132"/>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row>
    <row r="147" spans="23:57" ht="18.75">
      <c r="W147" s="118"/>
      <c r="X147" s="232" t="s">
        <v>216</v>
      </c>
      <c r="Y147" s="233"/>
      <c r="Z147" s="233"/>
      <c r="AA147" s="233"/>
      <c r="AB147" s="233"/>
      <c r="AC147" s="233"/>
      <c r="AD147" s="233"/>
      <c r="AE147" s="233"/>
      <c r="AF147" s="233"/>
      <c r="AG147" s="233"/>
      <c r="AH147" s="233"/>
      <c r="AI147" s="233"/>
      <c r="AJ147" s="233"/>
      <c r="AK147" s="233"/>
      <c r="AL147" s="233"/>
      <c r="AM147" s="233"/>
      <c r="AN147" s="233"/>
      <c r="AO147" s="233"/>
      <c r="AP147" s="233"/>
      <c r="AQ147" s="233"/>
      <c r="AR147" s="233"/>
      <c r="AS147" s="233"/>
      <c r="AT147" s="233"/>
      <c r="AU147" s="233"/>
      <c r="AV147" s="233"/>
      <c r="AW147" s="233"/>
      <c r="AX147" s="233"/>
      <c r="AY147" s="233"/>
      <c r="AZ147" s="233"/>
      <c r="BA147" s="233"/>
      <c r="BB147" s="233"/>
      <c r="BC147" s="233"/>
      <c r="BD147" s="233"/>
      <c r="BE147" s="148"/>
    </row>
    <row r="148" spans="23:57" ht="15.75">
      <c r="W148" s="118"/>
      <c r="X148" s="133"/>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row>
    <row r="149" spans="23:57" ht="17.25">
      <c r="W149" s="118"/>
      <c r="X149" s="119"/>
      <c r="Y149" s="119" t="s">
        <v>217</v>
      </c>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row>
    <row r="150" spans="23:57" ht="17.25">
      <c r="W150" s="118"/>
      <c r="X150" s="135" t="s">
        <v>218</v>
      </c>
      <c r="Y150" s="119"/>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row>
    <row r="151" spans="23:57" ht="19.5" thickBot="1">
      <c r="W151" s="118"/>
      <c r="X151" s="135" t="s">
        <v>219</v>
      </c>
      <c r="Y151" s="119"/>
      <c r="Z151" s="118"/>
      <c r="AA151" s="118"/>
      <c r="AB151" s="118"/>
      <c r="AC151" s="125"/>
      <c r="AD151" s="235">
        <f>AN102</f>
        <v>5332.9738691213597</v>
      </c>
      <c r="AE151" s="235"/>
      <c r="AF151" s="235"/>
      <c r="AG151" s="235"/>
      <c r="AH151" s="236" t="s">
        <v>220</v>
      </c>
      <c r="AI151" s="236"/>
      <c r="AJ151" s="236"/>
      <c r="AK151" s="236"/>
      <c r="AL151" s="182">
        <f>AB102</f>
        <v>24</v>
      </c>
      <c r="AM151" s="128" t="s">
        <v>221</v>
      </c>
      <c r="AQ151" s="118"/>
      <c r="AR151" s="118"/>
      <c r="AS151" s="118"/>
      <c r="AT151" s="118"/>
      <c r="AU151" s="237">
        <f>AW83</f>
        <v>127991.37285891263</v>
      </c>
      <c r="AV151" s="237"/>
      <c r="AW151" s="237"/>
      <c r="AX151" s="237"/>
      <c r="AY151" s="237"/>
      <c r="AZ151" s="128" t="s">
        <v>222</v>
      </c>
      <c r="BA151" s="149"/>
      <c r="BB151" s="149"/>
      <c r="BC151" s="149"/>
      <c r="BE151" s="118"/>
    </row>
    <row r="152" spans="23:57" ht="17.25">
      <c r="W152" s="118"/>
      <c r="X152" s="119"/>
      <c r="Y152" s="120" t="s">
        <v>223</v>
      </c>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row>
    <row r="153" spans="23:57" ht="17.25">
      <c r="W153" s="118"/>
      <c r="X153" s="120" t="s">
        <v>224</v>
      </c>
      <c r="Y153" s="119"/>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row>
    <row r="154" spans="23:57" ht="15.75">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row>
    <row r="155" spans="23:57" ht="19.5" thickBot="1">
      <c r="W155" s="118"/>
      <c r="X155" s="118"/>
      <c r="Y155" s="118"/>
      <c r="Z155" s="118"/>
      <c r="AA155" s="118"/>
      <c r="AB155" s="118"/>
      <c r="AC155" s="118"/>
      <c r="AD155" s="118"/>
      <c r="AE155" s="118"/>
      <c r="AF155" s="118"/>
      <c r="AG155" s="118"/>
      <c r="AH155" s="118"/>
      <c r="AI155" s="118"/>
      <c r="AJ155" s="125"/>
      <c r="AK155" s="125"/>
      <c r="AL155" s="125"/>
      <c r="AM155" s="140" t="str">
        <f>Z123</f>
        <v>MARIA CRISELDA G. MACAPILI</v>
      </c>
      <c r="AN155" s="125"/>
      <c r="AO155" s="125"/>
      <c r="AP155" s="125"/>
      <c r="AQ155" s="125"/>
      <c r="AR155" s="125"/>
      <c r="AS155" s="125"/>
      <c r="AT155" s="125"/>
      <c r="AU155" s="125"/>
      <c r="AV155" s="118"/>
      <c r="AW155" s="118"/>
      <c r="AX155" s="118"/>
      <c r="AY155" s="118"/>
      <c r="AZ155" s="118"/>
      <c r="BA155" s="118"/>
      <c r="BB155" s="118"/>
      <c r="BC155" s="118"/>
      <c r="BD155" s="118"/>
      <c r="BE155" s="118"/>
    </row>
    <row r="156" spans="23:57" ht="15.75">
      <c r="W156" s="118"/>
      <c r="X156" s="231" t="s">
        <v>225</v>
      </c>
      <c r="Y156" s="231"/>
      <c r="Z156" s="231"/>
      <c r="AA156" s="231"/>
      <c r="AB156" s="231"/>
      <c r="AC156" s="231"/>
      <c r="AD156" s="231"/>
      <c r="AE156" s="231"/>
      <c r="AF156" s="231"/>
      <c r="AG156" s="231"/>
      <c r="AH156" s="231"/>
      <c r="AI156" s="231"/>
      <c r="AJ156" s="231"/>
      <c r="AK156" s="231"/>
      <c r="AL156" s="231"/>
      <c r="AM156" s="231"/>
      <c r="AN156" s="231"/>
      <c r="AO156" s="231"/>
      <c r="AP156" s="231"/>
      <c r="AQ156" s="231"/>
      <c r="AR156" s="231"/>
      <c r="AS156" s="231"/>
      <c r="AT156" s="231"/>
      <c r="AU156" s="231"/>
      <c r="AV156" s="231"/>
      <c r="AW156" s="231"/>
      <c r="AX156" s="231"/>
      <c r="AY156" s="231"/>
      <c r="AZ156" s="231"/>
      <c r="BA156" s="231"/>
      <c r="BB156" s="231"/>
      <c r="BC156" s="231"/>
      <c r="BD156" s="231"/>
      <c r="BE156" s="115"/>
    </row>
    <row r="157" spans="23:57" ht="15.75">
      <c r="W157" s="118"/>
      <c r="X157" s="137"/>
      <c r="Y157" s="137"/>
      <c r="Z157" s="137"/>
      <c r="AA157" s="137"/>
      <c r="AB157" s="137"/>
      <c r="AC157" s="137"/>
      <c r="AD157" s="137"/>
      <c r="AE157" s="137"/>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42"/>
    </row>
    <row r="158" spans="23:57" ht="18.75">
      <c r="W158" s="118"/>
      <c r="X158" s="232" t="s">
        <v>167</v>
      </c>
      <c r="Y158" s="233"/>
      <c r="Z158" s="233"/>
      <c r="AA158" s="233"/>
      <c r="AB158" s="233"/>
      <c r="AC158" s="233"/>
      <c r="AD158" s="233"/>
      <c r="AE158" s="233"/>
      <c r="AF158" s="233"/>
      <c r="AG158" s="233"/>
      <c r="AH158" s="233"/>
      <c r="AI158" s="233"/>
      <c r="AJ158" s="233"/>
      <c r="AK158" s="233"/>
      <c r="AL158" s="233"/>
      <c r="AM158" s="233"/>
      <c r="AN158" s="233"/>
      <c r="AO158" s="233"/>
      <c r="AP158" s="233"/>
      <c r="AQ158" s="233"/>
      <c r="AR158" s="233"/>
      <c r="AS158" s="233"/>
      <c r="AT158" s="233"/>
      <c r="AU158" s="233"/>
      <c r="AV158" s="233"/>
      <c r="AW158" s="233"/>
      <c r="AX158" s="233"/>
      <c r="AY158" s="233"/>
      <c r="AZ158" s="233"/>
      <c r="BA158" s="233"/>
      <c r="BB158" s="233"/>
      <c r="BC158" s="233"/>
      <c r="BD158" s="233"/>
      <c r="BE158" s="148"/>
    </row>
    <row r="159" spans="23:57" ht="15.75">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row>
    <row r="160" spans="23:57" ht="17.25">
      <c r="W160" s="118"/>
      <c r="X160" s="119"/>
      <c r="Y160" s="120" t="s">
        <v>226</v>
      </c>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row>
    <row r="161" spans="23:57" ht="17.25">
      <c r="W161" s="118"/>
      <c r="X161" s="120" t="s">
        <v>227</v>
      </c>
      <c r="Y161" s="119"/>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row>
    <row r="162" spans="23:57" ht="17.25">
      <c r="W162" s="118"/>
      <c r="X162" s="120" t="s">
        <v>228</v>
      </c>
      <c r="Y162" s="119"/>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row>
    <row r="163" spans="23:57" ht="16.5" thickBot="1">
      <c r="W163" s="118"/>
      <c r="X163" s="118"/>
      <c r="Y163" s="118"/>
      <c r="Z163" s="118"/>
      <c r="AA163" s="118"/>
      <c r="AB163" s="118"/>
      <c r="AC163" s="118"/>
      <c r="AD163" s="118"/>
      <c r="AE163" s="118"/>
      <c r="AF163" s="125"/>
      <c r="AG163" s="125"/>
      <c r="AH163" s="125"/>
      <c r="AI163" s="125"/>
      <c r="AJ163" s="125"/>
      <c r="AK163" s="125"/>
      <c r="AL163" s="125"/>
      <c r="AM163" s="125"/>
      <c r="AN163" s="125"/>
      <c r="AO163" s="125"/>
      <c r="AP163" s="125"/>
      <c r="AQ163" s="125"/>
      <c r="AR163" s="125"/>
      <c r="AS163" s="125"/>
      <c r="AT163" s="125"/>
      <c r="AU163" s="125"/>
      <c r="AV163" s="125"/>
      <c r="AW163" s="125"/>
      <c r="AX163" s="125"/>
      <c r="AY163" s="125"/>
      <c r="AZ163" s="118"/>
      <c r="BA163" s="118"/>
      <c r="BB163" s="118"/>
      <c r="BC163" s="118"/>
      <c r="BD163" s="118"/>
      <c r="BE163" s="118"/>
    </row>
    <row r="164" spans="23:57" ht="15.75">
      <c r="W164" s="118"/>
      <c r="Z164" s="115"/>
      <c r="AA164" s="115"/>
      <c r="AB164" s="115"/>
      <c r="AC164" s="115"/>
      <c r="AD164" s="115"/>
      <c r="AE164" s="115"/>
      <c r="AF164" s="115"/>
      <c r="AG164" s="115"/>
      <c r="AH164" s="115"/>
      <c r="AI164" s="115"/>
      <c r="AJ164" s="115" t="s">
        <v>229</v>
      </c>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row>
    <row r="165" spans="23:57" ht="15.75">
      <c r="W165" s="118"/>
      <c r="X165" s="118"/>
      <c r="Y165" s="118"/>
      <c r="Z165" s="118"/>
      <c r="AA165" s="118"/>
      <c r="AB165" s="115"/>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row>
  </sheetData>
  <protectedRanges>
    <protectedRange sqref="E25" name="Range20_1"/>
    <protectedRange sqref="G24" name="Range19_1"/>
    <protectedRange sqref="E24" name="Range18_1"/>
    <protectedRange sqref="D23" name="Range17_1"/>
    <protectedRange sqref="F23" name="Range16_1"/>
    <protectedRange sqref="G24" name="Range15_1"/>
    <protectedRange sqref="H22" name="Range14_1"/>
    <protectedRange sqref="D22" name="Range13_1"/>
    <protectedRange sqref="C1" name="Range12_1"/>
    <protectedRange sqref="C3:C9" name="Range11_1"/>
    <protectedRange sqref="D4:AA4 C10" name="Range21_1"/>
    <protectedRange sqref="C12" name="Range22_1"/>
    <protectedRange sqref="B67:C87 B52:B66 B28:C51" name="Range23_1"/>
  </protectedRanges>
  <mergeCells count="204">
    <mergeCell ref="S29:T29"/>
    <mergeCell ref="X29:BD29"/>
    <mergeCell ref="S30:T30"/>
    <mergeCell ref="AU30:AV30"/>
    <mergeCell ref="C20:H21"/>
    <mergeCell ref="C24:C27"/>
    <mergeCell ref="K24:T24"/>
    <mergeCell ref="K25:T25"/>
    <mergeCell ref="X25:BD25"/>
    <mergeCell ref="X26:BD26"/>
    <mergeCell ref="K27:T27"/>
    <mergeCell ref="X27:BD27"/>
    <mergeCell ref="N34:S34"/>
    <mergeCell ref="Y34:AD34"/>
    <mergeCell ref="AF34:AL34"/>
    <mergeCell ref="AU34:BD34"/>
    <mergeCell ref="Y35:AD35"/>
    <mergeCell ref="AF35:AL35"/>
    <mergeCell ref="AW35:BA35"/>
    <mergeCell ref="N32:S32"/>
    <mergeCell ref="X32:AD32"/>
    <mergeCell ref="AE32:AL32"/>
    <mergeCell ref="AM32:AS32"/>
    <mergeCell ref="AT32:BD32"/>
    <mergeCell ref="N33:S33"/>
    <mergeCell ref="Y33:AD33"/>
    <mergeCell ref="AF33:AL33"/>
    <mergeCell ref="AU33:BD33"/>
    <mergeCell ref="R38:T38"/>
    <mergeCell ref="X38:AD38"/>
    <mergeCell ref="AH38:AL38"/>
    <mergeCell ref="AP38:AT38"/>
    <mergeCell ref="R39:T39"/>
    <mergeCell ref="AB39:AM40"/>
    <mergeCell ref="AT39:BD40"/>
    <mergeCell ref="R40:T40"/>
    <mergeCell ref="R36:T36"/>
    <mergeCell ref="Y36:AD36"/>
    <mergeCell ref="AF36:AL36"/>
    <mergeCell ref="R37:T37"/>
    <mergeCell ref="Y37:AD37"/>
    <mergeCell ref="AF37:AL37"/>
    <mergeCell ref="AS43:AU43"/>
    <mergeCell ref="R44:T44"/>
    <mergeCell ref="X44:BD44"/>
    <mergeCell ref="X47:AC47"/>
    <mergeCell ref="AD47:AH47"/>
    <mergeCell ref="AI47:AN47"/>
    <mergeCell ref="AO47:AV47"/>
    <mergeCell ref="AW47:BD47"/>
    <mergeCell ref="R41:T41"/>
    <mergeCell ref="X41:Y41"/>
    <mergeCell ref="Z41:AE41"/>
    <mergeCell ref="AJ41:AQ41"/>
    <mergeCell ref="AV41:BD41"/>
    <mergeCell ref="R42:T42"/>
    <mergeCell ref="X42:Y43"/>
    <mergeCell ref="Z42:AE43"/>
    <mergeCell ref="AS42:AU42"/>
    <mergeCell ref="R43:T43"/>
    <mergeCell ref="R52:T52"/>
    <mergeCell ref="X52:AD52"/>
    <mergeCell ref="AE52:AL52"/>
    <mergeCell ref="AR52:AS52"/>
    <mergeCell ref="AU52:AW52"/>
    <mergeCell ref="AX52:BD52"/>
    <mergeCell ref="AX48:AY48"/>
    <mergeCell ref="AZ48:BA48"/>
    <mergeCell ref="R49:T49"/>
    <mergeCell ref="R50:T50"/>
    <mergeCell ref="R51:T51"/>
    <mergeCell ref="AK51:AL51"/>
    <mergeCell ref="AM51:AP52"/>
    <mergeCell ref="AR51:AS51"/>
    <mergeCell ref="AU51:AW51"/>
    <mergeCell ref="AX51:BD51"/>
    <mergeCell ref="R48:S48"/>
    <mergeCell ref="X48:AC48"/>
    <mergeCell ref="AD48:AH48"/>
    <mergeCell ref="AI48:AN48"/>
    <mergeCell ref="AP48:AQ48"/>
    <mergeCell ref="AR48:AS48"/>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2:AE72"/>
    <mergeCell ref="AG72:AM72"/>
    <mergeCell ref="AP72:AV72"/>
    <mergeCell ref="AX72:BD72"/>
    <mergeCell ref="X73:AE73"/>
    <mergeCell ref="X74:BD74"/>
    <mergeCell ref="K61:M61"/>
    <mergeCell ref="R61:T61"/>
    <mergeCell ref="AU64:BC64"/>
    <mergeCell ref="AU65:BC65"/>
    <mergeCell ref="X66:BD66"/>
    <mergeCell ref="K69:M69"/>
    <mergeCell ref="P69:T69"/>
    <mergeCell ref="AU75:AY75"/>
    <mergeCell ref="AZ75:BD75"/>
    <mergeCell ref="X76:Z76"/>
    <mergeCell ref="AA76:AD76"/>
    <mergeCell ref="AE76:AI76"/>
    <mergeCell ref="AJ76:AL76"/>
    <mergeCell ref="AM76:AQ76"/>
    <mergeCell ref="AR76:AT76"/>
    <mergeCell ref="AU76:AY76"/>
    <mergeCell ref="AZ76:BD76"/>
    <mergeCell ref="X75:Z75"/>
    <mergeCell ref="AA75:AD75"/>
    <mergeCell ref="AE75:AI75"/>
    <mergeCell ref="AJ75:AL75"/>
    <mergeCell ref="AM75:AQ75"/>
    <mergeCell ref="AR75:AT75"/>
    <mergeCell ref="AU77:AY77"/>
    <mergeCell ref="AZ77:BD77"/>
    <mergeCell ref="X78:Z78"/>
    <mergeCell ref="AA78:AD78"/>
    <mergeCell ref="AE78:AI78"/>
    <mergeCell ref="AJ78:AL78"/>
    <mergeCell ref="AM78:AQ78"/>
    <mergeCell ref="AR78:AT78"/>
    <mergeCell ref="AU78:AY78"/>
    <mergeCell ref="AZ78:BD78"/>
    <mergeCell ref="X77:Z77"/>
    <mergeCell ref="AA77:AD77"/>
    <mergeCell ref="AE77:AI77"/>
    <mergeCell ref="AJ77:AL77"/>
    <mergeCell ref="AM77:AQ77"/>
    <mergeCell ref="AR77:AT77"/>
    <mergeCell ref="AU79:AY79"/>
    <mergeCell ref="AZ79:BD79"/>
    <mergeCell ref="X81:BD81"/>
    <mergeCell ref="X82:AB82"/>
    <mergeCell ref="AC82:AF82"/>
    <mergeCell ref="AG82:AJ82"/>
    <mergeCell ref="AK82:AQ82"/>
    <mergeCell ref="AR82:AV82"/>
    <mergeCell ref="AW82:BD82"/>
    <mergeCell ref="X79:Z79"/>
    <mergeCell ref="AA79:AD79"/>
    <mergeCell ref="AE79:AI79"/>
    <mergeCell ref="AJ79:AL79"/>
    <mergeCell ref="AM79:AQ79"/>
    <mergeCell ref="AR79:AT79"/>
    <mergeCell ref="X84:BD84"/>
    <mergeCell ref="AJ86:AS86"/>
    <mergeCell ref="W87:BE87"/>
    <mergeCell ref="X90:AN90"/>
    <mergeCell ref="AO90:BD90"/>
    <mergeCell ref="AB92:AJ92"/>
    <mergeCell ref="AS92:AZ92"/>
    <mergeCell ref="X83:AB83"/>
    <mergeCell ref="AC83:AF83"/>
    <mergeCell ref="AG83:AJ83"/>
    <mergeCell ref="AK83:AQ83"/>
    <mergeCell ref="AR83:AV83"/>
    <mergeCell ref="AW83:BD83"/>
    <mergeCell ref="X102:Z102"/>
    <mergeCell ref="AC102:AM102"/>
    <mergeCell ref="AN102:AQ102"/>
    <mergeCell ref="AR102:BD102"/>
    <mergeCell ref="X103:AA103"/>
    <mergeCell ref="AB103:BD103"/>
    <mergeCell ref="X93:AN93"/>
    <mergeCell ref="AO93:BD93"/>
    <mergeCell ref="X100:AK100"/>
    <mergeCell ref="AL100:AN100"/>
    <mergeCell ref="Y101:AX101"/>
    <mergeCell ref="AY101:BD101"/>
    <mergeCell ref="AT127:AX127"/>
    <mergeCell ref="AZ127:BD127"/>
    <mergeCell ref="X130:BE130"/>
    <mergeCell ref="X135:BD135"/>
    <mergeCell ref="X136:BD139"/>
    <mergeCell ref="AA142:AC142"/>
    <mergeCell ref="X104:BD104"/>
    <mergeCell ref="X105:BD107"/>
    <mergeCell ref="X108:BD110"/>
    <mergeCell ref="X111:BD115"/>
    <mergeCell ref="X116:BD119"/>
    <mergeCell ref="AT120:AX126"/>
    <mergeCell ref="AZ120:BD126"/>
    <mergeCell ref="Z123:AH123"/>
    <mergeCell ref="X124:AJ124"/>
    <mergeCell ref="X156:BD156"/>
    <mergeCell ref="X158:BD158"/>
    <mergeCell ref="AA143:AC143"/>
    <mergeCell ref="AA144:AC144"/>
    <mergeCell ref="AA145:AC145"/>
    <mergeCell ref="X147:BD147"/>
    <mergeCell ref="AD151:AG151"/>
    <mergeCell ref="AH151:AK151"/>
    <mergeCell ref="AU151:AY151"/>
  </mergeCells>
  <printOptions horizontalCentered="1"/>
  <pageMargins left="0.25" right="0.25" top="0.75" bottom="0.75" header="0.3" footer="0.3"/>
  <pageSetup paperSize="9" scale="58"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FEFA-97EF-4599-A213-F09A6C306EEC}">
  <sheetPr>
    <pageSetUpPr fitToPage="1"/>
  </sheetPr>
  <dimension ref="A1:BE165"/>
  <sheetViews>
    <sheetView zoomScale="70" zoomScaleNormal="70" workbookViewId="0">
      <selection activeCell="E13" sqref="E13"/>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64" width="4.85546875" customWidth="1"/>
  </cols>
  <sheetData>
    <row r="1" spans="1:39">
      <c r="A1" s="111" t="s">
        <v>91</v>
      </c>
      <c r="B1" t="s">
        <v>37</v>
      </c>
      <c r="C1" s="1">
        <f>'DATA ENTRY'!E16</f>
        <v>16696.18363774924</v>
      </c>
    </row>
    <row r="2" spans="1:39">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row>
    <row r="3" spans="1:39">
      <c r="B3" s="2" t="s">
        <v>6</v>
      </c>
      <c r="C3" s="4">
        <f>'DATA ENTRY'!E4</f>
        <v>601062.6109589726</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39">
      <c r="B4" s="2" t="s">
        <v>14</v>
      </c>
      <c r="C4" s="4">
        <f>'DATA ENTRY'!E13</f>
        <v>517435.36049333337</v>
      </c>
      <c r="D4" s="4">
        <v>-13536.719643794591</v>
      </c>
      <c r="E4" s="4">
        <v>-13536.719643794591</v>
      </c>
      <c r="F4" s="4">
        <v>-13536.719643794591</v>
      </c>
      <c r="G4" s="4">
        <v>-13536.719643794591</v>
      </c>
      <c r="H4" s="4">
        <v>-13536.719643794591</v>
      </c>
      <c r="I4" s="4">
        <v>-13536.719643794591</v>
      </c>
      <c r="J4" s="4">
        <v>-13536.719643794591</v>
      </c>
      <c r="K4" s="4">
        <v>-13536.719643794591</v>
      </c>
      <c r="L4" s="4">
        <v>-13536.719643794591</v>
      </c>
      <c r="M4" s="4">
        <v>-13536.719643794591</v>
      </c>
      <c r="N4" s="4">
        <v>-13536.719643794591</v>
      </c>
      <c r="O4" s="4">
        <v>-13536.719643794591</v>
      </c>
      <c r="P4" s="4">
        <v>-13536.719643794591</v>
      </c>
      <c r="Q4" s="4">
        <v>-13536.719643794591</v>
      </c>
      <c r="R4" s="4">
        <v>-13536.719643794591</v>
      </c>
      <c r="S4" s="4">
        <v>-13536.719643794591</v>
      </c>
      <c r="T4" s="4">
        <v>-13536.719643794591</v>
      </c>
      <c r="U4" s="4">
        <v>-13536.719643794591</v>
      </c>
      <c r="V4" s="4">
        <v>-13536.719643794591</v>
      </c>
      <c r="W4" s="4">
        <v>-13536.719643794591</v>
      </c>
      <c r="X4" s="4">
        <v>-13536.719643794591</v>
      </c>
      <c r="Y4" s="4">
        <v>-13536.719643794591</v>
      </c>
      <c r="Z4" s="4">
        <v>-13536.719643794591</v>
      </c>
      <c r="AA4" s="4">
        <v>-13536.719643794591</v>
      </c>
      <c r="AB4" s="4">
        <v>-13536.719643794591</v>
      </c>
      <c r="AC4" s="4">
        <v>-13536.719643794591</v>
      </c>
      <c r="AD4" s="4">
        <v>-13536.719643794591</v>
      </c>
      <c r="AE4" s="4">
        <v>-13536.719643794591</v>
      </c>
      <c r="AF4" s="4">
        <v>-13536.719643794591</v>
      </c>
      <c r="AG4" s="4">
        <v>-13536.719643794591</v>
      </c>
      <c r="AH4" s="4">
        <v>-13536.719643794591</v>
      </c>
      <c r="AI4" s="4">
        <v>-13536.719643794591</v>
      </c>
      <c r="AJ4" s="4">
        <v>-13536.719643794591</v>
      </c>
      <c r="AK4" s="4">
        <v>-13536.719643794591</v>
      </c>
      <c r="AL4" s="4">
        <v>-13536.719643794591</v>
      </c>
      <c r="AM4" s="4">
        <v>-13536.719643794591</v>
      </c>
    </row>
    <row r="5" spans="1:39">
      <c r="B5" s="2" t="s">
        <v>9</v>
      </c>
      <c r="C5" s="4">
        <f>'DATA ENTRY'!E8</f>
        <v>39943.566899999998</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spans="1:39">
      <c r="B6" s="2" t="s">
        <v>10</v>
      </c>
      <c r="C6" s="4">
        <f>'DATA ENTRY'!E9</f>
        <v>15977.426760000002</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spans="1:39">
      <c r="B7" s="2" t="s">
        <v>11</v>
      </c>
      <c r="C7" s="4">
        <f>'DATA ENTRY'!E10</f>
        <v>10000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pans="1:39">
      <c r="B8" s="2" t="s">
        <v>12</v>
      </c>
      <c r="C8" s="4">
        <f>'DATA ENTRY'!E11</f>
        <v>300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pans="1:39">
      <c r="B9" s="2" t="s">
        <v>13</v>
      </c>
      <c r="C9" s="4">
        <f>'DATA ENTRY'!E12</f>
        <v>7396.9568333333336</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pans="1:39">
      <c r="B10" s="5" t="s">
        <v>39</v>
      </c>
      <c r="C10" s="6">
        <f>C4-C5-C6-C7-C8-C9</f>
        <v>443817.41000000003</v>
      </c>
      <c r="D10" s="6">
        <f t="shared" ref="D10:AM10" si="0">-$C1</f>
        <v>-16696.18363774924</v>
      </c>
      <c r="E10" s="6">
        <f t="shared" si="0"/>
        <v>-16696.18363774924</v>
      </c>
      <c r="F10" s="6">
        <f t="shared" si="0"/>
        <v>-16696.18363774924</v>
      </c>
      <c r="G10" s="6">
        <f t="shared" si="0"/>
        <v>-16696.18363774924</v>
      </c>
      <c r="H10" s="6">
        <f t="shared" si="0"/>
        <v>-16696.18363774924</v>
      </c>
      <c r="I10" s="6">
        <f t="shared" si="0"/>
        <v>-16696.18363774924</v>
      </c>
      <c r="J10" s="6">
        <f t="shared" si="0"/>
        <v>-16696.18363774924</v>
      </c>
      <c r="K10" s="6">
        <f t="shared" si="0"/>
        <v>-16696.18363774924</v>
      </c>
      <c r="L10" s="6">
        <f t="shared" si="0"/>
        <v>-16696.18363774924</v>
      </c>
      <c r="M10" s="6">
        <f t="shared" si="0"/>
        <v>-16696.18363774924</v>
      </c>
      <c r="N10" s="6">
        <f t="shared" si="0"/>
        <v>-16696.18363774924</v>
      </c>
      <c r="O10" s="6">
        <f t="shared" si="0"/>
        <v>-16696.18363774924</v>
      </c>
      <c r="P10" s="6">
        <f t="shared" si="0"/>
        <v>-16696.18363774924</v>
      </c>
      <c r="Q10" s="6">
        <f t="shared" si="0"/>
        <v>-16696.18363774924</v>
      </c>
      <c r="R10" s="6">
        <f t="shared" si="0"/>
        <v>-16696.18363774924</v>
      </c>
      <c r="S10" s="6">
        <f t="shared" si="0"/>
        <v>-16696.18363774924</v>
      </c>
      <c r="T10" s="6">
        <f t="shared" si="0"/>
        <v>-16696.18363774924</v>
      </c>
      <c r="U10" s="6">
        <f t="shared" si="0"/>
        <v>-16696.18363774924</v>
      </c>
      <c r="V10" s="6">
        <f t="shared" si="0"/>
        <v>-16696.18363774924</v>
      </c>
      <c r="W10" s="6">
        <f t="shared" si="0"/>
        <v>-16696.18363774924</v>
      </c>
      <c r="X10" s="6">
        <f t="shared" si="0"/>
        <v>-16696.18363774924</v>
      </c>
      <c r="Y10" s="6">
        <f t="shared" si="0"/>
        <v>-16696.18363774924</v>
      </c>
      <c r="Z10" s="6">
        <f t="shared" si="0"/>
        <v>-16696.18363774924</v>
      </c>
      <c r="AA10" s="6">
        <f t="shared" si="0"/>
        <v>-16696.18363774924</v>
      </c>
      <c r="AB10" s="6">
        <f t="shared" si="0"/>
        <v>-16696.18363774924</v>
      </c>
      <c r="AC10" s="6">
        <f t="shared" si="0"/>
        <v>-16696.18363774924</v>
      </c>
      <c r="AD10" s="6">
        <f t="shared" si="0"/>
        <v>-16696.18363774924</v>
      </c>
      <c r="AE10" s="6">
        <f t="shared" si="0"/>
        <v>-16696.18363774924</v>
      </c>
      <c r="AF10" s="6">
        <f t="shared" si="0"/>
        <v>-16696.18363774924</v>
      </c>
      <c r="AG10" s="6">
        <f t="shared" si="0"/>
        <v>-16696.18363774924</v>
      </c>
      <c r="AH10" s="6">
        <f t="shared" si="0"/>
        <v>-16696.18363774924</v>
      </c>
      <c r="AI10" s="6">
        <f t="shared" si="0"/>
        <v>-16696.18363774924</v>
      </c>
      <c r="AJ10" s="6">
        <f t="shared" si="0"/>
        <v>-16696.18363774924</v>
      </c>
      <c r="AK10" s="6">
        <f t="shared" si="0"/>
        <v>-16696.18363774924</v>
      </c>
      <c r="AL10" s="6">
        <f t="shared" si="0"/>
        <v>-16696.18363774924</v>
      </c>
      <c r="AM10" s="6">
        <f t="shared" si="0"/>
        <v>-16696.18363774924</v>
      </c>
    </row>
    <row r="12" spans="1:39">
      <c r="B12" t="s">
        <v>40</v>
      </c>
      <c r="C12" s="7">
        <f>IRR(C4:AM4)</f>
        <v>-3.2058464688308197E-3</v>
      </c>
      <c r="D12">
        <f>C12/5</f>
        <v>-6.4116929376616398E-4</v>
      </c>
      <c r="G12" s="196" t="s">
        <v>252</v>
      </c>
    </row>
    <row r="13" spans="1:39">
      <c r="C13" s="8"/>
      <c r="E13" s="195">
        <f>C10+C14</f>
        <v>534965.69000000006</v>
      </c>
      <c r="G13" s="4">
        <v>72462.47</v>
      </c>
    </row>
    <row r="14" spans="1:39">
      <c r="B14" t="s">
        <v>85</v>
      </c>
      <c r="C14" s="9">
        <f>G15</f>
        <v>91148.28</v>
      </c>
      <c r="G14" s="4">
        <v>18685.810000000001</v>
      </c>
    </row>
    <row r="15" spans="1:39">
      <c r="B15" t="s">
        <v>32</v>
      </c>
      <c r="C15" s="10">
        <f>'DATA ENTRY'!E14/12</f>
        <v>8.3333333333333332E-3</v>
      </c>
      <c r="G15" s="195">
        <f>G13+G14</f>
        <v>91148.28</v>
      </c>
    </row>
    <row r="16" spans="1:39">
      <c r="B16" t="s">
        <v>16</v>
      </c>
      <c r="C16" s="98">
        <f>'DATA ENTRY'!E15</f>
        <v>0.10501771639529567</v>
      </c>
      <c r="K16" s="51" t="s">
        <v>238</v>
      </c>
    </row>
    <row r="19" spans="2:57" ht="15.75" thickBot="1">
      <c r="H19" s="11"/>
    </row>
    <row r="20" spans="2:57" ht="15.75">
      <c r="B20" s="1"/>
      <c r="C20" s="375" t="s">
        <v>41</v>
      </c>
      <c r="D20" s="376"/>
      <c r="E20" s="376"/>
      <c r="F20" s="376"/>
      <c r="G20" s="376"/>
      <c r="H20" s="377"/>
      <c r="I20" s="24"/>
      <c r="J20" s="29"/>
      <c r="K20" s="30"/>
      <c r="L20" s="30"/>
      <c r="M20" s="30"/>
      <c r="N20" s="30"/>
      <c r="O20" s="31"/>
      <c r="P20" s="30"/>
      <c r="Q20" s="30"/>
      <c r="R20" s="30"/>
      <c r="S20" s="30"/>
      <c r="T20" s="30"/>
      <c r="U20" s="46"/>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row>
    <row r="21" spans="2:57" ht="15.75">
      <c r="C21" s="378"/>
      <c r="D21" s="379"/>
      <c r="E21" s="379"/>
      <c r="F21" s="379"/>
      <c r="G21" s="379"/>
      <c r="H21" s="380"/>
      <c r="J21" s="32"/>
      <c r="K21" s="33"/>
      <c r="L21" s="33"/>
      <c r="M21" s="33"/>
      <c r="N21" s="33"/>
      <c r="O21" s="99"/>
      <c r="P21" s="33"/>
      <c r="Q21" s="33"/>
      <c r="R21" s="33"/>
      <c r="S21" s="33"/>
      <c r="T21" s="33"/>
      <c r="U21" s="47"/>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row>
    <row r="22" spans="2:57" ht="15.75">
      <c r="C22" s="12" t="s">
        <v>42</v>
      </c>
      <c r="D22" s="190" t="s">
        <v>244</v>
      </c>
      <c r="E22" s="13"/>
      <c r="F22" s="14"/>
      <c r="G22" s="2" t="s">
        <v>44</v>
      </c>
      <c r="H22" s="191" t="s">
        <v>240</v>
      </c>
      <c r="J22" s="32"/>
      <c r="K22" s="33"/>
      <c r="L22" s="33"/>
      <c r="M22" s="33"/>
      <c r="N22" s="33"/>
      <c r="O22" s="34"/>
      <c r="P22" s="33"/>
      <c r="Q22" s="33"/>
      <c r="R22" s="33"/>
      <c r="S22" s="33"/>
      <c r="T22" s="33"/>
      <c r="U22" s="47"/>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row>
    <row r="23" spans="2:57" ht="15.75">
      <c r="C23" s="16" t="s">
        <v>45</v>
      </c>
      <c r="D23" s="192" t="s">
        <v>241</v>
      </c>
      <c r="E23" s="17" t="s">
        <v>46</v>
      </c>
      <c r="F23" s="193" t="s">
        <v>251</v>
      </c>
      <c r="G23" s="2" t="s">
        <v>47</v>
      </c>
      <c r="H23" s="18">
        <f>C10-C14</f>
        <v>352669.13</v>
      </c>
      <c r="J23" s="32"/>
      <c r="K23" s="33"/>
      <c r="L23" s="33"/>
      <c r="M23" s="33"/>
      <c r="N23" s="33"/>
      <c r="O23" s="34"/>
      <c r="P23" s="33"/>
      <c r="Q23" s="33"/>
      <c r="R23" s="33"/>
      <c r="S23" s="33"/>
      <c r="T23" s="33"/>
      <c r="U23" s="47"/>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row>
    <row r="24" spans="2:57" ht="21">
      <c r="C24" s="381" t="s">
        <v>48</v>
      </c>
      <c r="D24" s="12" t="s">
        <v>49</v>
      </c>
      <c r="E24" s="50">
        <v>45868</v>
      </c>
      <c r="F24" s="2" t="s">
        <v>50</v>
      </c>
      <c r="G24" s="19">
        <f>B63</f>
        <v>47026</v>
      </c>
      <c r="H24" s="15"/>
      <c r="J24" s="32"/>
      <c r="K24" s="382" t="s">
        <v>59</v>
      </c>
      <c r="L24" s="382"/>
      <c r="M24" s="382"/>
      <c r="N24" s="382"/>
      <c r="O24" s="382"/>
      <c r="P24" s="382"/>
      <c r="Q24" s="382"/>
      <c r="R24" s="382"/>
      <c r="S24" s="382"/>
      <c r="T24" s="382"/>
      <c r="U24" s="47"/>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row>
    <row r="25" spans="2:57" ht="15.75">
      <c r="C25" s="381"/>
      <c r="D25" s="2" t="s">
        <v>51</v>
      </c>
      <c r="E25" s="2">
        <v>36</v>
      </c>
      <c r="F25" s="2" t="s">
        <v>52</v>
      </c>
      <c r="G25" s="2"/>
      <c r="H25" s="15"/>
      <c r="J25" s="32"/>
      <c r="K25" s="383" t="s">
        <v>60</v>
      </c>
      <c r="L25" s="383"/>
      <c r="M25" s="383"/>
      <c r="N25" s="383"/>
      <c r="O25" s="383"/>
      <c r="P25" s="383"/>
      <c r="Q25" s="383"/>
      <c r="R25" s="383"/>
      <c r="S25" s="383"/>
      <c r="T25" s="383"/>
      <c r="U25" s="47"/>
      <c r="W25" s="118"/>
      <c r="X25" s="384" t="s">
        <v>92</v>
      </c>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84"/>
      <c r="BD25" s="384"/>
      <c r="BE25" s="118"/>
    </row>
    <row r="26" spans="2:57" ht="15.75">
      <c r="C26" s="381"/>
      <c r="D26" s="2" t="s">
        <v>53</v>
      </c>
      <c r="E26" s="91" t="s">
        <v>54</v>
      </c>
      <c r="F26" s="91" t="s">
        <v>55</v>
      </c>
      <c r="G26" s="91" t="s">
        <v>56</v>
      </c>
      <c r="H26" s="186" t="s">
        <v>57</v>
      </c>
      <c r="J26" s="32"/>
      <c r="K26" s="33"/>
      <c r="L26" s="33"/>
      <c r="M26" s="33"/>
      <c r="N26" s="33"/>
      <c r="O26" s="34"/>
      <c r="P26" s="33"/>
      <c r="Q26" s="33"/>
      <c r="R26" s="33"/>
      <c r="S26" s="33"/>
      <c r="T26" s="33"/>
      <c r="U26" s="47"/>
      <c r="W26" s="118"/>
      <c r="X26" s="384" t="s">
        <v>93</v>
      </c>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118"/>
    </row>
    <row r="27" spans="2:57" ht="18">
      <c r="C27" s="381"/>
      <c r="D27" s="2" t="s">
        <v>58</v>
      </c>
      <c r="E27" s="2"/>
      <c r="F27" s="2"/>
      <c r="G27" s="2"/>
      <c r="H27" s="20">
        <f>C4</f>
        <v>517435.36049333337</v>
      </c>
      <c r="J27" s="32"/>
      <c r="K27" s="385" t="s">
        <v>61</v>
      </c>
      <c r="L27" s="385"/>
      <c r="M27" s="385"/>
      <c r="N27" s="385"/>
      <c r="O27" s="385"/>
      <c r="P27" s="385"/>
      <c r="Q27" s="385"/>
      <c r="R27" s="385"/>
      <c r="S27" s="385"/>
      <c r="T27" s="385"/>
      <c r="U27" s="47"/>
      <c r="W27" s="118"/>
      <c r="X27" s="384" t="s">
        <v>94</v>
      </c>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118"/>
    </row>
    <row r="28" spans="2:57" ht="15.75">
      <c r="B28" s="21">
        <f>DATE(YEAR(E$24),MONTH(E$24)+D28+2,DAY(E$24))</f>
        <v>45960</v>
      </c>
      <c r="C28" s="22" t="str">
        <f t="shared" ref="C28:C63" si="1">TEXT(B28,"mmm-yyyy")</f>
        <v>Oct-2025</v>
      </c>
      <c r="D28" s="2">
        <v>1</v>
      </c>
      <c r="E28" s="92">
        <f t="shared" ref="E28:E63" si="2">C$1</f>
        <v>16696.18363774924</v>
      </c>
      <c r="F28" s="187">
        <f>E28-G28</f>
        <v>18355.001961034995</v>
      </c>
      <c r="G28" s="188">
        <f t="shared" ref="G28:G63" si="3">H27*C$12</f>
        <v>-1658.818323285755</v>
      </c>
      <c r="H28" s="20">
        <f>H27-F28</f>
        <v>499080.35853229836</v>
      </c>
      <c r="J28" s="32"/>
      <c r="K28" s="100"/>
      <c r="L28" s="100"/>
      <c r="M28" s="100"/>
      <c r="N28" s="100"/>
      <c r="O28" s="99"/>
      <c r="P28" s="100"/>
      <c r="Q28" s="33"/>
      <c r="R28" s="33"/>
      <c r="S28" s="33"/>
      <c r="T28" s="33"/>
      <c r="U28" s="47"/>
      <c r="W28" s="118"/>
      <c r="X28" s="118"/>
      <c r="Y28" s="118"/>
      <c r="Z28" s="118"/>
      <c r="AA28" s="118"/>
      <c r="AB28" s="118"/>
      <c r="AC28" s="118"/>
      <c r="AD28" s="118"/>
      <c r="AE28" s="151"/>
      <c r="AF28" s="151"/>
      <c r="AG28" s="151"/>
      <c r="AH28" s="151"/>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row>
    <row r="29" spans="2:57" ht="15.75">
      <c r="B29" s="21">
        <f t="shared" ref="B29:B63" si="4">DATE(YEAR(E$24),MONTH(E$24)+D29+2,DAY(E$24))</f>
        <v>45991</v>
      </c>
      <c r="C29" s="22" t="str">
        <f t="shared" si="1"/>
        <v>Nov-2025</v>
      </c>
      <c r="D29" s="2">
        <v>2</v>
      </c>
      <c r="E29" s="92">
        <f t="shared" si="2"/>
        <v>16696.18363774924</v>
      </c>
      <c r="F29" s="187">
        <f t="shared" ref="F29:F63" si="5">E29-G29</f>
        <v>18296.158642812828</v>
      </c>
      <c r="G29" s="188">
        <f t="shared" si="3"/>
        <v>-1599.9750050635882</v>
      </c>
      <c r="H29" s="20">
        <f t="shared" ref="H29:H63" si="6">H28-F29</f>
        <v>480784.19988948555</v>
      </c>
      <c r="J29" s="32"/>
      <c r="K29" s="100"/>
      <c r="L29" s="100"/>
      <c r="M29" s="100"/>
      <c r="N29" s="100"/>
      <c r="O29" s="99"/>
      <c r="P29" s="100"/>
      <c r="Q29" s="33"/>
      <c r="R29" s="101" t="s">
        <v>62</v>
      </c>
      <c r="S29" s="372">
        <f>E24</f>
        <v>45868</v>
      </c>
      <c r="T29" s="372"/>
      <c r="U29" s="47"/>
      <c r="W29" s="115"/>
      <c r="X29" s="341" t="s">
        <v>95</v>
      </c>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3"/>
      <c r="BE29" s="118"/>
    </row>
    <row r="30" spans="2:57" ht="15.75">
      <c r="B30" s="21">
        <f t="shared" si="4"/>
        <v>46021</v>
      </c>
      <c r="C30" s="22" t="str">
        <f t="shared" si="1"/>
        <v>Dec-2025</v>
      </c>
      <c r="D30" s="2">
        <v>3</v>
      </c>
      <c r="E30" s="92">
        <f t="shared" si="2"/>
        <v>16696.18363774924</v>
      </c>
      <c r="F30" s="187">
        <f t="shared" si="5"/>
        <v>18237.503967234599</v>
      </c>
      <c r="G30" s="188">
        <f t="shared" si="3"/>
        <v>-1541.3203294853581</v>
      </c>
      <c r="H30" s="20">
        <f t="shared" si="6"/>
        <v>462546.69592225098</v>
      </c>
      <c r="J30" s="32"/>
      <c r="K30" s="100"/>
      <c r="L30" s="100"/>
      <c r="M30" s="100"/>
      <c r="N30" s="100"/>
      <c r="O30" s="99"/>
      <c r="P30" s="100"/>
      <c r="Q30" s="33"/>
      <c r="R30" s="101" t="s">
        <v>63</v>
      </c>
      <c r="S30" s="373" t="str">
        <f>H22</f>
        <v>LV- 004-BO</v>
      </c>
      <c r="T30" s="373"/>
      <c r="U30" s="47"/>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374" t="s">
        <v>62</v>
      </c>
      <c r="AV30" s="374"/>
      <c r="AW30" s="112"/>
      <c r="AX30" s="327" t="s">
        <v>96</v>
      </c>
      <c r="AY30" s="327"/>
      <c r="AZ30" s="327" t="s">
        <v>96</v>
      </c>
      <c r="BA30" s="327"/>
      <c r="BB30" s="113"/>
      <c r="BC30" s="113"/>
      <c r="BD30" s="114"/>
      <c r="BE30" s="118"/>
    </row>
    <row r="31" spans="2:57" ht="15.75">
      <c r="B31" s="21">
        <f t="shared" si="4"/>
        <v>46052</v>
      </c>
      <c r="C31" s="22" t="str">
        <f t="shared" si="1"/>
        <v>Jan-2026</v>
      </c>
      <c r="D31" s="23">
        <v>4</v>
      </c>
      <c r="E31" s="92">
        <f t="shared" si="2"/>
        <v>16696.18363774924</v>
      </c>
      <c r="F31" s="187">
        <f t="shared" si="5"/>
        <v>18179.037329540952</v>
      </c>
      <c r="G31" s="188">
        <f t="shared" si="3"/>
        <v>-1482.8536917917113</v>
      </c>
      <c r="H31" s="20">
        <f t="shared" si="6"/>
        <v>444367.65859271004</v>
      </c>
      <c r="J31" s="32"/>
      <c r="K31" s="100"/>
      <c r="L31" s="100"/>
      <c r="M31" s="100"/>
      <c r="N31" s="100"/>
      <c r="O31" s="99"/>
      <c r="P31" s="100"/>
      <c r="Q31" s="33"/>
      <c r="R31" s="101"/>
      <c r="S31" s="102"/>
      <c r="T31" s="33"/>
      <c r="U31" s="47"/>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43" t="s">
        <v>97</v>
      </c>
      <c r="AX31" s="143" t="s">
        <v>97</v>
      </c>
      <c r="AY31" s="143" t="s">
        <v>98</v>
      </c>
      <c r="AZ31" s="143" t="s">
        <v>98</v>
      </c>
      <c r="BA31" s="143" t="s">
        <v>99</v>
      </c>
      <c r="BB31" s="143" t="s">
        <v>99</v>
      </c>
      <c r="BC31" s="143" t="s">
        <v>99</v>
      </c>
      <c r="BD31" s="143" t="s">
        <v>99</v>
      </c>
      <c r="BE31" s="118"/>
    </row>
    <row r="32" spans="2:57" ht="15.75">
      <c r="B32" s="21">
        <f t="shared" si="4"/>
        <v>46083</v>
      </c>
      <c r="C32" s="22" t="str">
        <f t="shared" si="1"/>
        <v>Mar-2026</v>
      </c>
      <c r="D32" s="2">
        <v>5</v>
      </c>
      <c r="E32" s="92">
        <f t="shared" si="2"/>
        <v>16696.18363774924</v>
      </c>
      <c r="F32" s="187">
        <f t="shared" si="5"/>
        <v>18120.7581269113</v>
      </c>
      <c r="G32" s="188">
        <f t="shared" si="3"/>
        <v>-1424.5744891620586</v>
      </c>
      <c r="H32" s="20">
        <f t="shared" si="6"/>
        <v>426246.90046579874</v>
      </c>
      <c r="J32" s="35"/>
      <c r="K32" s="101" t="s">
        <v>64</v>
      </c>
      <c r="L32" s="101"/>
      <c r="M32" s="101"/>
      <c r="N32" s="369" t="str">
        <f>D22</f>
        <v>SEVERO B. SINENSE</v>
      </c>
      <c r="O32" s="369"/>
      <c r="P32" s="369"/>
      <c r="Q32" s="369"/>
      <c r="R32" s="369"/>
      <c r="S32" s="369"/>
      <c r="T32" s="38"/>
      <c r="U32" s="48"/>
      <c r="W32" s="118"/>
      <c r="X32" s="309" t="s">
        <v>100</v>
      </c>
      <c r="Y32" s="309"/>
      <c r="Z32" s="309"/>
      <c r="AA32" s="309"/>
      <c r="AB32" s="309"/>
      <c r="AC32" s="309"/>
      <c r="AD32" s="309"/>
      <c r="AE32" s="309" t="s">
        <v>101</v>
      </c>
      <c r="AF32" s="309"/>
      <c r="AG32" s="309"/>
      <c r="AH32" s="309"/>
      <c r="AI32" s="309"/>
      <c r="AJ32" s="309"/>
      <c r="AK32" s="309"/>
      <c r="AL32" s="309"/>
      <c r="AM32" s="309" t="s">
        <v>102</v>
      </c>
      <c r="AN32" s="309"/>
      <c r="AO32" s="309"/>
      <c r="AP32" s="309"/>
      <c r="AQ32" s="309"/>
      <c r="AR32" s="309"/>
      <c r="AS32" s="309"/>
      <c r="AT32" s="309" t="s">
        <v>103</v>
      </c>
      <c r="AU32" s="309"/>
      <c r="AV32" s="309"/>
      <c r="AW32" s="309"/>
      <c r="AX32" s="309"/>
      <c r="AY32" s="309"/>
      <c r="AZ32" s="309"/>
      <c r="BA32" s="309"/>
      <c r="BB32" s="309"/>
      <c r="BC32" s="309"/>
      <c r="BD32" s="309"/>
      <c r="BE32" s="115"/>
    </row>
    <row r="33" spans="2:57" ht="15.75">
      <c r="B33" s="21">
        <f t="shared" si="4"/>
        <v>46111</v>
      </c>
      <c r="C33" s="22" t="str">
        <f t="shared" si="1"/>
        <v>Mar-2026</v>
      </c>
      <c r="D33" s="2">
        <v>6</v>
      </c>
      <c r="E33" s="92">
        <f t="shared" si="2"/>
        <v>16696.18363774924</v>
      </c>
      <c r="F33" s="187">
        <f t="shared" si="5"/>
        <v>18062.665758457602</v>
      </c>
      <c r="G33" s="188">
        <f t="shared" si="3"/>
        <v>-1366.4821207083628</v>
      </c>
      <c r="H33" s="20">
        <f t="shared" si="6"/>
        <v>408184.23470734112</v>
      </c>
      <c r="J33" s="35"/>
      <c r="K33" s="101" t="s">
        <v>65</v>
      </c>
      <c r="L33" s="101"/>
      <c r="M33" s="101"/>
      <c r="N33" s="370" t="str">
        <f>D23</f>
        <v>O-121408</v>
      </c>
      <c r="O33" s="371"/>
      <c r="P33" s="371"/>
      <c r="Q33" s="371"/>
      <c r="R33" s="371"/>
      <c r="S33" s="371"/>
      <c r="T33" s="38"/>
      <c r="U33" s="48"/>
      <c r="W33" s="118"/>
      <c r="X33" s="123"/>
      <c r="Y33" s="309" t="s">
        <v>104</v>
      </c>
      <c r="Z33" s="309"/>
      <c r="AA33" s="309"/>
      <c r="AB33" s="309"/>
      <c r="AC33" s="309"/>
      <c r="AD33" s="309"/>
      <c r="AE33" s="123"/>
      <c r="AF33" s="309" t="s">
        <v>105</v>
      </c>
      <c r="AG33" s="309"/>
      <c r="AH33" s="309"/>
      <c r="AI33" s="309"/>
      <c r="AJ33" s="309"/>
      <c r="AK33" s="309"/>
      <c r="AL33" s="309"/>
      <c r="AM33" s="123"/>
      <c r="AN33" s="115" t="s">
        <v>106</v>
      </c>
      <c r="AO33" s="118"/>
      <c r="AP33" s="118"/>
      <c r="AQ33" s="118"/>
      <c r="AR33" s="118"/>
      <c r="AS33" s="118"/>
      <c r="AT33" s="123"/>
      <c r="AU33" s="309" t="s">
        <v>107</v>
      </c>
      <c r="AV33" s="309"/>
      <c r="AW33" s="309"/>
      <c r="AX33" s="309"/>
      <c r="AY33" s="309"/>
      <c r="AZ33" s="309"/>
      <c r="BA33" s="309"/>
      <c r="BB33" s="309"/>
      <c r="BC33" s="309"/>
      <c r="BD33" s="309"/>
      <c r="BE33" s="118"/>
    </row>
    <row r="34" spans="2:57" ht="15.75">
      <c r="B34" s="21">
        <f t="shared" si="4"/>
        <v>46142</v>
      </c>
      <c r="C34" s="22" t="str">
        <f t="shared" si="1"/>
        <v>Apr-2026</v>
      </c>
      <c r="D34" s="2">
        <v>7</v>
      </c>
      <c r="E34" s="92">
        <f t="shared" si="2"/>
        <v>16696.18363774924</v>
      </c>
      <c r="F34" s="187">
        <f t="shared" si="5"/>
        <v>18004.759625218179</v>
      </c>
      <c r="G34" s="188">
        <f t="shared" si="3"/>
        <v>-1308.57598746894</v>
      </c>
      <c r="H34" s="20">
        <f t="shared" si="6"/>
        <v>390179.47508212295</v>
      </c>
      <c r="J34" s="35"/>
      <c r="K34" s="101" t="s">
        <v>46</v>
      </c>
      <c r="L34" s="101"/>
      <c r="M34" s="101"/>
      <c r="N34" s="367" t="str">
        <f>F23</f>
        <v>P7 CABUGAO, ECHAGUE ISABELA</v>
      </c>
      <c r="O34" s="367"/>
      <c r="P34" s="367"/>
      <c r="Q34" s="367"/>
      <c r="R34" s="367"/>
      <c r="S34" s="367"/>
      <c r="T34" s="38"/>
      <c r="U34" s="48"/>
      <c r="W34" s="118"/>
      <c r="X34" s="123"/>
      <c r="Y34" s="309" t="s">
        <v>108</v>
      </c>
      <c r="Z34" s="309"/>
      <c r="AA34" s="309"/>
      <c r="AB34" s="309"/>
      <c r="AC34" s="309"/>
      <c r="AD34" s="309"/>
      <c r="AE34" s="123"/>
      <c r="AF34" s="309" t="s">
        <v>109</v>
      </c>
      <c r="AG34" s="309"/>
      <c r="AH34" s="309"/>
      <c r="AI34" s="309"/>
      <c r="AJ34" s="309"/>
      <c r="AK34" s="309"/>
      <c r="AL34" s="309"/>
      <c r="AM34" s="123"/>
      <c r="AN34" s="115" t="s">
        <v>110</v>
      </c>
      <c r="AO34" s="118"/>
      <c r="AP34" s="118"/>
      <c r="AQ34" s="118"/>
      <c r="AR34" s="118"/>
      <c r="AS34" s="118"/>
      <c r="AT34" s="123"/>
      <c r="AU34" s="309" t="s">
        <v>111</v>
      </c>
      <c r="AV34" s="309"/>
      <c r="AW34" s="309"/>
      <c r="AX34" s="309"/>
      <c r="AY34" s="309"/>
      <c r="AZ34" s="309"/>
      <c r="BA34" s="309"/>
      <c r="BB34" s="309"/>
      <c r="BC34" s="309"/>
      <c r="BD34" s="309"/>
      <c r="BE34" s="118"/>
    </row>
    <row r="35" spans="2:57" ht="16.5" thickBot="1">
      <c r="B35" s="21">
        <f t="shared" si="4"/>
        <v>46172</v>
      </c>
      <c r="C35" s="22" t="str">
        <f t="shared" si="1"/>
        <v>May-2026</v>
      </c>
      <c r="D35" s="2">
        <v>8</v>
      </c>
      <c r="E35" s="92">
        <f t="shared" si="2"/>
        <v>16696.18363774924</v>
      </c>
      <c r="F35" s="187">
        <f t="shared" si="5"/>
        <v>17947.039130151526</v>
      </c>
      <c r="G35" s="188">
        <f t="shared" si="3"/>
        <v>-1250.8554924022867</v>
      </c>
      <c r="H35" s="20">
        <f t="shared" si="6"/>
        <v>372232.43595197145</v>
      </c>
      <c r="J35" s="32"/>
      <c r="K35" s="100"/>
      <c r="L35" s="100"/>
      <c r="M35" s="100"/>
      <c r="N35" s="36"/>
      <c r="O35" s="38"/>
      <c r="P35" s="38"/>
      <c r="Q35" s="33"/>
      <c r="R35" s="33"/>
      <c r="S35" s="33"/>
      <c r="T35" s="33"/>
      <c r="U35" s="47"/>
      <c r="W35" s="118"/>
      <c r="X35" s="123"/>
      <c r="Y35" s="309" t="s">
        <v>112</v>
      </c>
      <c r="Z35" s="309"/>
      <c r="AA35" s="309"/>
      <c r="AB35" s="309"/>
      <c r="AC35" s="309"/>
      <c r="AD35" s="309"/>
      <c r="AE35" s="123"/>
      <c r="AF35" s="309" t="s">
        <v>113</v>
      </c>
      <c r="AG35" s="309"/>
      <c r="AH35" s="309"/>
      <c r="AI35" s="309"/>
      <c r="AJ35" s="309"/>
      <c r="AK35" s="309"/>
      <c r="AL35" s="309"/>
      <c r="AM35" s="123"/>
      <c r="AN35" s="115" t="s">
        <v>114</v>
      </c>
      <c r="AO35" s="118"/>
      <c r="AP35" s="118"/>
      <c r="AQ35" s="118"/>
      <c r="AR35" s="118"/>
      <c r="AS35" s="118"/>
      <c r="AT35" s="123"/>
      <c r="AU35" s="115" t="s">
        <v>115</v>
      </c>
      <c r="AV35" s="115"/>
      <c r="AW35" s="368"/>
      <c r="AX35" s="368"/>
      <c r="AY35" s="368"/>
      <c r="AZ35" s="368"/>
      <c r="BA35" s="368"/>
      <c r="BB35" s="115"/>
      <c r="BC35" s="115"/>
      <c r="BD35" s="115"/>
      <c r="BE35" s="118"/>
    </row>
    <row r="36" spans="2:57" ht="15.75">
      <c r="B36" s="21">
        <f t="shared" si="4"/>
        <v>46203</v>
      </c>
      <c r="C36" s="22" t="str">
        <f t="shared" si="1"/>
        <v>Jun-2026</v>
      </c>
      <c r="D36" s="2">
        <v>9</v>
      </c>
      <c r="E36" s="92">
        <f t="shared" si="2"/>
        <v>16696.18363774924</v>
      </c>
      <c r="F36" s="187">
        <f t="shared" si="5"/>
        <v>17889.503678130161</v>
      </c>
      <c r="G36" s="188">
        <f t="shared" si="3"/>
        <v>-1193.3200403809219</v>
      </c>
      <c r="H36" s="20">
        <f t="shared" si="6"/>
        <v>354342.93227384129</v>
      </c>
      <c r="J36" s="32"/>
      <c r="K36" s="100"/>
      <c r="L36" s="101" t="s">
        <v>66</v>
      </c>
      <c r="M36" s="100"/>
      <c r="N36" s="100"/>
      <c r="O36" s="99"/>
      <c r="P36" s="100"/>
      <c r="Q36" s="103"/>
      <c r="R36" s="340">
        <f>C4</f>
        <v>517435.36049333337</v>
      </c>
      <c r="S36" s="340"/>
      <c r="T36" s="340"/>
      <c r="U36" s="47"/>
      <c r="W36" s="118"/>
      <c r="X36" s="123"/>
      <c r="Y36" s="309" t="s">
        <v>116</v>
      </c>
      <c r="Z36" s="309"/>
      <c r="AA36" s="309"/>
      <c r="AB36" s="309"/>
      <c r="AC36" s="309"/>
      <c r="AD36" s="309"/>
      <c r="AE36" s="123"/>
      <c r="AF36" s="309" t="s">
        <v>117</v>
      </c>
      <c r="AG36" s="309"/>
      <c r="AH36" s="309"/>
      <c r="AI36" s="309"/>
      <c r="AJ36" s="309"/>
      <c r="AK36" s="309"/>
      <c r="AL36" s="309"/>
      <c r="AM36" s="123"/>
      <c r="AN36" s="115" t="s">
        <v>118</v>
      </c>
      <c r="AO36" s="118"/>
      <c r="AP36" s="118"/>
      <c r="AQ36" s="118"/>
      <c r="AR36" s="118"/>
      <c r="AS36" s="118"/>
      <c r="AT36" s="118"/>
      <c r="AU36" s="118"/>
      <c r="AV36" s="118"/>
      <c r="AW36" s="118"/>
      <c r="AX36" s="118"/>
      <c r="AY36" s="118"/>
      <c r="AZ36" s="118"/>
      <c r="BA36" s="118"/>
      <c r="BB36" s="118"/>
      <c r="BC36" s="118"/>
      <c r="BD36" s="118"/>
      <c r="BE36" s="118"/>
    </row>
    <row r="37" spans="2:57" ht="15.75">
      <c r="B37" s="21">
        <f t="shared" si="4"/>
        <v>46233</v>
      </c>
      <c r="C37" s="22" t="str">
        <f t="shared" si="1"/>
        <v>Jul-2026</v>
      </c>
      <c r="D37" s="2">
        <v>10</v>
      </c>
      <c r="E37" s="92">
        <f t="shared" si="2"/>
        <v>16696.18363774924</v>
      </c>
      <c r="F37" s="187">
        <f t="shared" si="5"/>
        <v>17832.152675934492</v>
      </c>
      <c r="G37" s="188">
        <f t="shared" si="3"/>
        <v>-1135.9690381852524</v>
      </c>
      <c r="H37" s="20">
        <f t="shared" si="6"/>
        <v>336510.7795979068</v>
      </c>
      <c r="J37" s="32"/>
      <c r="K37" s="100"/>
      <c r="L37" s="101"/>
      <c r="M37" s="100"/>
      <c r="N37" s="100"/>
      <c r="O37" s="99"/>
      <c r="P37" s="100"/>
      <c r="Q37" s="103"/>
      <c r="R37" s="366"/>
      <c r="S37" s="366"/>
      <c r="T37" s="366"/>
      <c r="U37" s="47"/>
      <c r="W37" s="118"/>
      <c r="X37" s="123"/>
      <c r="Y37" s="309" t="s">
        <v>119</v>
      </c>
      <c r="Z37" s="309"/>
      <c r="AA37" s="309"/>
      <c r="AB37" s="309"/>
      <c r="AC37" s="309"/>
      <c r="AD37" s="309"/>
      <c r="AE37" s="123"/>
      <c r="AF37" s="309" t="s">
        <v>120</v>
      </c>
      <c r="AG37" s="309"/>
      <c r="AH37" s="309"/>
      <c r="AI37" s="309"/>
      <c r="AJ37" s="309"/>
      <c r="AK37" s="309"/>
      <c r="AL37" s="309"/>
      <c r="AM37" s="123"/>
      <c r="AN37" s="115" t="s">
        <v>121</v>
      </c>
      <c r="AO37" s="118"/>
      <c r="AP37" s="118"/>
      <c r="AQ37" s="118"/>
      <c r="AR37" s="118"/>
      <c r="AS37" s="118"/>
      <c r="AT37" s="118"/>
      <c r="AU37" s="118"/>
      <c r="AV37" s="118"/>
      <c r="AW37" s="118"/>
      <c r="AX37" s="118"/>
      <c r="AY37" s="118"/>
      <c r="AZ37" s="118"/>
      <c r="BA37" s="118"/>
      <c r="BB37" s="118"/>
      <c r="BC37" s="118"/>
      <c r="BD37" s="118"/>
      <c r="BE37" s="118"/>
    </row>
    <row r="38" spans="2:57" ht="16.5" thickBot="1">
      <c r="B38" s="21">
        <f t="shared" si="4"/>
        <v>46264</v>
      </c>
      <c r="C38" s="22" t="str">
        <f t="shared" si="1"/>
        <v>Aug-2026</v>
      </c>
      <c r="D38" s="2">
        <v>11</v>
      </c>
      <c r="E38" s="92">
        <f t="shared" si="2"/>
        <v>16696.18363774924</v>
      </c>
      <c r="F38" s="187">
        <f t="shared" si="5"/>
        <v>17774.985532246697</v>
      </c>
      <c r="G38" s="188">
        <f t="shared" si="3"/>
        <v>-1078.8018944974558</v>
      </c>
      <c r="H38" s="20">
        <f t="shared" si="6"/>
        <v>318735.7940656601</v>
      </c>
      <c r="J38" s="39"/>
      <c r="K38" s="104"/>
      <c r="L38" s="105" t="s">
        <v>67</v>
      </c>
      <c r="M38" s="104" t="s">
        <v>68</v>
      </c>
      <c r="N38" s="104"/>
      <c r="O38" s="106"/>
      <c r="P38" s="104"/>
      <c r="Q38" s="36"/>
      <c r="R38" s="340">
        <f>-C14</f>
        <v>-91148.28</v>
      </c>
      <c r="S38" s="340"/>
      <c r="T38" s="340"/>
      <c r="U38" s="37"/>
      <c r="W38" s="118"/>
      <c r="X38" s="306"/>
      <c r="Y38" s="306"/>
      <c r="Z38" s="306"/>
      <c r="AA38" s="306"/>
      <c r="AB38" s="306"/>
      <c r="AC38" s="306"/>
      <c r="AD38" s="306"/>
      <c r="AE38" s="152"/>
      <c r="AF38" s="115" t="s">
        <v>122</v>
      </c>
      <c r="AG38" s="115"/>
      <c r="AH38" s="273"/>
      <c r="AI38" s="273"/>
      <c r="AJ38" s="273"/>
      <c r="AK38" s="273"/>
      <c r="AL38" s="361"/>
      <c r="AM38" s="152"/>
      <c r="AN38" s="115" t="s">
        <v>115</v>
      </c>
      <c r="AO38" s="118"/>
      <c r="AP38" s="362"/>
      <c r="AQ38" s="362"/>
      <c r="AR38" s="362"/>
      <c r="AS38" s="362"/>
      <c r="AT38" s="362"/>
      <c r="AU38" s="118"/>
      <c r="AV38" s="118"/>
      <c r="AW38" s="118"/>
      <c r="AX38" s="118"/>
      <c r="AY38" s="118"/>
      <c r="AZ38" s="118"/>
      <c r="BA38" s="118"/>
      <c r="BB38" s="118"/>
      <c r="BC38" s="118"/>
      <c r="BD38" s="118"/>
      <c r="BE38" s="118"/>
    </row>
    <row r="39" spans="2:57" ht="15.75">
      <c r="B39" s="21">
        <f t="shared" si="4"/>
        <v>46295</v>
      </c>
      <c r="C39" s="22" t="str">
        <f t="shared" si="1"/>
        <v>Sep-2026</v>
      </c>
      <c r="D39" s="2">
        <v>12</v>
      </c>
      <c r="E39" s="92">
        <f t="shared" si="2"/>
        <v>16696.18363774924</v>
      </c>
      <c r="F39" s="187">
        <f t="shared" si="5"/>
        <v>17718.001657644625</v>
      </c>
      <c r="G39" s="188">
        <f t="shared" si="3"/>
        <v>-1021.8180198953837</v>
      </c>
      <c r="H39" s="20">
        <f t="shared" si="6"/>
        <v>301017.79240801546</v>
      </c>
      <c r="J39" s="39"/>
      <c r="K39" s="104"/>
      <c r="L39" s="105" t="s">
        <v>67</v>
      </c>
      <c r="M39" s="104" t="s">
        <v>69</v>
      </c>
      <c r="N39" s="104"/>
      <c r="O39" s="106"/>
      <c r="P39" s="104"/>
      <c r="Q39" s="36"/>
      <c r="R39" s="340">
        <f>-C8</f>
        <v>-300</v>
      </c>
      <c r="S39" s="340"/>
      <c r="T39" s="340"/>
      <c r="U39" s="37"/>
      <c r="W39" s="118"/>
      <c r="X39" s="153" t="s">
        <v>123</v>
      </c>
      <c r="Y39" s="147"/>
      <c r="Z39" s="147"/>
      <c r="AA39" s="147"/>
      <c r="AB39" s="363">
        <f>R44</f>
        <v>352669.13000000006</v>
      </c>
      <c r="AC39" s="363"/>
      <c r="AD39" s="363"/>
      <c r="AE39" s="363"/>
      <c r="AF39" s="363"/>
      <c r="AG39" s="363"/>
      <c r="AH39" s="364"/>
      <c r="AI39" s="364"/>
      <c r="AJ39" s="364"/>
      <c r="AK39" s="364"/>
      <c r="AL39" s="364"/>
      <c r="AM39" s="365"/>
      <c r="AN39" s="153" t="s">
        <v>124</v>
      </c>
      <c r="AO39" s="147"/>
      <c r="AP39" s="146"/>
      <c r="AQ39" s="146"/>
      <c r="AR39" s="146"/>
      <c r="AS39" s="146"/>
      <c r="AT39" s="364">
        <f>R49</f>
        <v>16696.18363774924</v>
      </c>
      <c r="AU39" s="363"/>
      <c r="AV39" s="363"/>
      <c r="AW39" s="363"/>
      <c r="AX39" s="363"/>
      <c r="AY39" s="363"/>
      <c r="AZ39" s="363"/>
      <c r="BA39" s="363"/>
      <c r="BB39" s="363"/>
      <c r="BC39" s="363"/>
      <c r="BD39" s="365"/>
      <c r="BE39" s="118"/>
    </row>
    <row r="40" spans="2:57" ht="15.75">
      <c r="B40" s="21">
        <f t="shared" si="4"/>
        <v>46325</v>
      </c>
      <c r="C40" s="22" t="str">
        <f t="shared" si="1"/>
        <v>Oct-2026</v>
      </c>
      <c r="D40" s="2">
        <v>13</v>
      </c>
      <c r="E40" s="92">
        <f t="shared" si="2"/>
        <v>16696.18363774924</v>
      </c>
      <c r="F40" s="187">
        <f t="shared" si="5"/>
        <v>17661.200464595724</v>
      </c>
      <c r="G40" s="188">
        <f t="shared" si="3"/>
        <v>-965.01682684648506</v>
      </c>
      <c r="H40" s="20">
        <f t="shared" si="6"/>
        <v>283356.59194341971</v>
      </c>
      <c r="J40" s="39"/>
      <c r="K40" s="104"/>
      <c r="L40" s="105" t="s">
        <v>67</v>
      </c>
      <c r="M40" s="104" t="s">
        <v>70</v>
      </c>
      <c r="N40" s="104"/>
      <c r="O40" s="106"/>
      <c r="P40" s="104"/>
      <c r="Q40" s="36"/>
      <c r="R40" s="350">
        <f>-C7</f>
        <v>-10000</v>
      </c>
      <c r="S40" s="350"/>
      <c r="T40" s="350"/>
      <c r="U40" s="37"/>
      <c r="W40" s="118"/>
      <c r="X40" s="154"/>
      <c r="Y40" s="155"/>
      <c r="Z40" s="155"/>
      <c r="AA40" s="155"/>
      <c r="AB40" s="278"/>
      <c r="AC40" s="278"/>
      <c r="AD40" s="278"/>
      <c r="AE40" s="278"/>
      <c r="AF40" s="278"/>
      <c r="AG40" s="278"/>
      <c r="AH40" s="278"/>
      <c r="AI40" s="278"/>
      <c r="AJ40" s="278"/>
      <c r="AK40" s="278"/>
      <c r="AL40" s="278"/>
      <c r="AM40" s="279"/>
      <c r="AN40" s="154"/>
      <c r="AO40" s="155"/>
      <c r="AP40" s="155"/>
      <c r="AQ40" s="155"/>
      <c r="AR40" s="155"/>
      <c r="AS40" s="155"/>
      <c r="AT40" s="278"/>
      <c r="AU40" s="278"/>
      <c r="AV40" s="278"/>
      <c r="AW40" s="278"/>
      <c r="AX40" s="278"/>
      <c r="AY40" s="278"/>
      <c r="AZ40" s="278"/>
      <c r="BA40" s="278"/>
      <c r="BB40" s="278"/>
      <c r="BC40" s="278"/>
      <c r="BD40" s="279"/>
      <c r="BE40" s="118"/>
    </row>
    <row r="41" spans="2:57" ht="15.75">
      <c r="B41" s="21">
        <f t="shared" si="4"/>
        <v>46356</v>
      </c>
      <c r="C41" s="22" t="str">
        <f t="shared" si="1"/>
        <v>Nov-2026</v>
      </c>
      <c r="D41" s="2">
        <v>14</v>
      </c>
      <c r="E41" s="92">
        <f t="shared" si="2"/>
        <v>16696.18363774924</v>
      </c>
      <c r="F41" s="187">
        <f t="shared" si="5"/>
        <v>17604.581367450988</v>
      </c>
      <c r="G41" s="188">
        <f t="shared" si="3"/>
        <v>-908.39772970174761</v>
      </c>
      <c r="H41" s="20">
        <f t="shared" si="6"/>
        <v>265752.01057596871</v>
      </c>
      <c r="J41" s="39"/>
      <c r="K41" s="104"/>
      <c r="L41" s="105" t="s">
        <v>67</v>
      </c>
      <c r="M41" s="104" t="s">
        <v>9</v>
      </c>
      <c r="N41" s="104"/>
      <c r="O41" s="106"/>
      <c r="P41" s="104"/>
      <c r="Q41" s="36"/>
      <c r="R41" s="350">
        <f>-C5</f>
        <v>-39943.566899999998</v>
      </c>
      <c r="S41" s="350"/>
      <c r="T41" s="350"/>
      <c r="U41" s="37"/>
      <c r="W41" s="118"/>
      <c r="X41" s="338" t="s">
        <v>125</v>
      </c>
      <c r="Y41" s="351"/>
      <c r="Z41" s="352"/>
      <c r="AA41" s="353"/>
      <c r="AB41" s="353"/>
      <c r="AC41" s="353"/>
      <c r="AD41" s="353"/>
      <c r="AE41" s="354"/>
      <c r="AF41" s="157" t="s">
        <v>126</v>
      </c>
      <c r="AG41" s="155"/>
      <c r="AH41" s="155"/>
      <c r="AI41" s="155"/>
      <c r="AJ41" s="325"/>
      <c r="AK41" s="325"/>
      <c r="AL41" s="325"/>
      <c r="AM41" s="325"/>
      <c r="AN41" s="325"/>
      <c r="AO41" s="325"/>
      <c r="AP41" s="325"/>
      <c r="AQ41" s="326"/>
      <c r="AR41" s="158" t="s">
        <v>127</v>
      </c>
      <c r="AS41" s="159"/>
      <c r="AT41" s="159"/>
      <c r="AU41" s="159"/>
      <c r="AV41" s="325"/>
      <c r="AW41" s="325"/>
      <c r="AX41" s="325"/>
      <c r="AY41" s="325"/>
      <c r="AZ41" s="325"/>
      <c r="BA41" s="325"/>
      <c r="BB41" s="325"/>
      <c r="BC41" s="325"/>
      <c r="BD41" s="326"/>
      <c r="BE41" s="118"/>
    </row>
    <row r="42" spans="2:57" ht="15.75">
      <c r="B42" s="21">
        <f t="shared" si="4"/>
        <v>46386</v>
      </c>
      <c r="C42" s="22" t="str">
        <f t="shared" si="1"/>
        <v>Dec-2026</v>
      </c>
      <c r="D42" s="2">
        <v>15</v>
      </c>
      <c r="E42" s="92">
        <f t="shared" si="2"/>
        <v>16696.18363774924</v>
      </c>
      <c r="F42" s="187">
        <f t="shared" si="5"/>
        <v>17548.1437824389</v>
      </c>
      <c r="G42" s="188">
        <f t="shared" si="3"/>
        <v>-851.96014468965996</v>
      </c>
      <c r="H42" s="20">
        <f t="shared" si="6"/>
        <v>248203.86679352983</v>
      </c>
      <c r="J42" s="39"/>
      <c r="K42" s="104"/>
      <c r="L42" s="105" t="s">
        <v>67</v>
      </c>
      <c r="M42" s="104" t="s">
        <v>71</v>
      </c>
      <c r="N42" s="104"/>
      <c r="O42" s="106"/>
      <c r="P42" s="104"/>
      <c r="Q42" s="36"/>
      <c r="R42" s="350">
        <f>-C6</f>
        <v>-15977.426760000002</v>
      </c>
      <c r="S42" s="350"/>
      <c r="T42" s="350"/>
      <c r="U42" s="37"/>
      <c r="W42" s="118"/>
      <c r="X42" s="355" t="s">
        <v>128</v>
      </c>
      <c r="Y42" s="356"/>
      <c r="Z42" s="357"/>
      <c r="AA42" s="358"/>
      <c r="AB42" s="358"/>
      <c r="AC42" s="358"/>
      <c r="AD42" s="358"/>
      <c r="AE42" s="359"/>
      <c r="AF42" s="161"/>
      <c r="AG42" s="160" t="s">
        <v>129</v>
      </c>
      <c r="AH42" s="162"/>
      <c r="AI42" s="162"/>
      <c r="AJ42" s="162"/>
      <c r="AK42" s="162"/>
      <c r="AL42" s="162"/>
      <c r="AM42" s="162"/>
      <c r="AN42" s="162"/>
      <c r="AO42" s="162"/>
      <c r="AP42" s="162"/>
      <c r="AQ42" s="163"/>
      <c r="AR42" s="164"/>
      <c r="AS42" s="355" t="s">
        <v>130</v>
      </c>
      <c r="AT42" s="360"/>
      <c r="AU42" s="360"/>
      <c r="AV42" s="162"/>
      <c r="AW42" s="162"/>
      <c r="AX42" s="162"/>
      <c r="AY42" s="162"/>
      <c r="AZ42" s="162"/>
      <c r="BA42" s="162"/>
      <c r="BB42" s="162"/>
      <c r="BC42" s="162"/>
      <c r="BD42" s="163"/>
      <c r="BE42" s="118"/>
    </row>
    <row r="43" spans="2:57" ht="15.75">
      <c r="B43" s="21">
        <f t="shared" si="4"/>
        <v>46417</v>
      </c>
      <c r="C43" s="22" t="str">
        <f t="shared" si="1"/>
        <v>Jan-2027</v>
      </c>
      <c r="D43" s="2">
        <v>16</v>
      </c>
      <c r="E43" s="92">
        <f t="shared" si="2"/>
        <v>16696.18363774924</v>
      </c>
      <c r="F43" s="187">
        <f t="shared" si="5"/>
        <v>17491.887127659433</v>
      </c>
      <c r="G43" s="188">
        <f t="shared" si="3"/>
        <v>-795.70348991019273</v>
      </c>
      <c r="H43" s="20">
        <f t="shared" si="6"/>
        <v>230711.9796658704</v>
      </c>
      <c r="J43" s="16"/>
      <c r="L43" s="105" t="s">
        <v>67</v>
      </c>
      <c r="M43" s="104" t="s">
        <v>13</v>
      </c>
      <c r="R43" s="350">
        <f>-C9</f>
        <v>-7396.9568333333336</v>
      </c>
      <c r="S43" s="350"/>
      <c r="T43" s="350"/>
      <c r="U43" s="107"/>
      <c r="W43" s="118"/>
      <c r="X43" s="338"/>
      <c r="Y43" s="351"/>
      <c r="Z43" s="352"/>
      <c r="AA43" s="353"/>
      <c r="AB43" s="353"/>
      <c r="AC43" s="353"/>
      <c r="AD43" s="353"/>
      <c r="AE43" s="354"/>
      <c r="AF43" s="123"/>
      <c r="AG43" s="156" t="s">
        <v>131</v>
      </c>
      <c r="AH43" s="165"/>
      <c r="AI43" s="165"/>
      <c r="AJ43" s="165"/>
      <c r="AK43" s="165"/>
      <c r="AL43" s="165"/>
      <c r="AM43" s="165"/>
      <c r="AN43" s="165"/>
      <c r="AO43" s="165"/>
      <c r="AP43" s="165"/>
      <c r="AQ43" s="166"/>
      <c r="AR43" s="123"/>
      <c r="AS43" s="338" t="s">
        <v>132</v>
      </c>
      <c r="AT43" s="339"/>
      <c r="AU43" s="339"/>
      <c r="AV43" s="165"/>
      <c r="AW43" s="165"/>
      <c r="AX43" s="165"/>
      <c r="AY43" s="165"/>
      <c r="AZ43" s="165"/>
      <c r="BA43" s="165"/>
      <c r="BB43" s="165"/>
      <c r="BC43" s="165"/>
      <c r="BD43" s="166"/>
      <c r="BE43" s="118"/>
    </row>
    <row r="44" spans="2:57" ht="15.75">
      <c r="B44" s="21">
        <f t="shared" si="4"/>
        <v>46448</v>
      </c>
      <c r="C44" s="22" t="str">
        <f t="shared" si="1"/>
        <v>Mar-2027</v>
      </c>
      <c r="D44" s="2">
        <v>17</v>
      </c>
      <c r="E44" s="92">
        <f t="shared" si="2"/>
        <v>16696.18363774924</v>
      </c>
      <c r="F44" s="187">
        <f t="shared" si="5"/>
        <v>17435.810823078038</v>
      </c>
      <c r="G44" s="188">
        <f t="shared" si="3"/>
        <v>-739.62718532879853</v>
      </c>
      <c r="H44" s="20">
        <f t="shared" si="6"/>
        <v>213276.16884279237</v>
      </c>
      <c r="J44" s="32"/>
      <c r="K44" s="100"/>
      <c r="L44" s="101" t="s">
        <v>72</v>
      </c>
      <c r="M44" s="100"/>
      <c r="N44" s="100"/>
      <c r="O44" s="99"/>
      <c r="P44" s="100"/>
      <c r="Q44" s="33"/>
      <c r="R44" s="340">
        <f>SUM(R36:T43)</f>
        <v>352669.13000000006</v>
      </c>
      <c r="S44" s="340"/>
      <c r="T44" s="340"/>
      <c r="U44" s="47"/>
      <c r="W44" s="118"/>
      <c r="X44" s="341" t="s">
        <v>133</v>
      </c>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3"/>
      <c r="BE44" s="118"/>
    </row>
    <row r="45" spans="2:57" ht="16.5" thickBot="1">
      <c r="B45" s="21">
        <f t="shared" si="4"/>
        <v>46476</v>
      </c>
      <c r="C45" s="22" t="str">
        <f t="shared" si="1"/>
        <v>Mar-2027</v>
      </c>
      <c r="D45" s="2">
        <v>18</v>
      </c>
      <c r="E45" s="92">
        <f t="shared" si="2"/>
        <v>16696.18363774924</v>
      </c>
      <c r="F45" s="187">
        <f t="shared" si="5"/>
        <v>17379.914290519671</v>
      </c>
      <c r="G45" s="188">
        <f t="shared" si="3"/>
        <v>-683.73065277043156</v>
      </c>
      <c r="H45" s="20">
        <f t="shared" si="6"/>
        <v>195896.2545522727</v>
      </c>
      <c r="J45" s="32"/>
      <c r="K45" s="33"/>
      <c r="L45" s="33"/>
      <c r="M45" s="33"/>
      <c r="N45" s="33"/>
      <c r="O45" s="34"/>
      <c r="P45" s="33"/>
      <c r="Q45" s="33"/>
      <c r="R45" s="33"/>
      <c r="S45" s="33"/>
      <c r="T45" s="33"/>
      <c r="U45" s="47"/>
      <c r="W45" s="118"/>
      <c r="X45" s="167" t="s">
        <v>248</v>
      </c>
      <c r="Y45" s="167"/>
      <c r="Z45" s="167"/>
      <c r="AA45" s="167"/>
      <c r="AB45" s="167"/>
      <c r="AC45" s="167"/>
      <c r="AD45" s="167" t="s">
        <v>249</v>
      </c>
      <c r="AE45" s="167"/>
      <c r="AF45" s="167"/>
      <c r="AG45" s="167"/>
      <c r="AH45" s="167"/>
      <c r="AI45" s="167"/>
      <c r="AJ45" s="167"/>
      <c r="AK45" s="167"/>
      <c r="AL45" s="167"/>
      <c r="AM45" s="167"/>
      <c r="AN45" s="167" t="s">
        <v>250</v>
      </c>
      <c r="AO45" s="167"/>
      <c r="AP45" s="167"/>
      <c r="AQ45" s="167"/>
      <c r="AR45" s="167"/>
      <c r="AS45" s="167"/>
      <c r="AT45" s="167"/>
      <c r="AU45" s="167"/>
      <c r="AV45" s="167"/>
      <c r="AW45" s="167"/>
      <c r="AX45" s="167"/>
      <c r="AY45" s="167"/>
      <c r="AZ45" s="167"/>
      <c r="BA45" s="167"/>
      <c r="BB45" s="146"/>
      <c r="BC45" s="146"/>
      <c r="BD45" s="146"/>
      <c r="BE45" s="118"/>
    </row>
    <row r="46" spans="2:57" ht="15.75">
      <c r="B46" s="21">
        <f t="shared" si="4"/>
        <v>46507</v>
      </c>
      <c r="C46" s="22" t="str">
        <f t="shared" si="1"/>
        <v>Apr-2027</v>
      </c>
      <c r="D46" s="2">
        <v>19</v>
      </c>
      <c r="E46" s="92">
        <f t="shared" si="2"/>
        <v>16696.18363774924</v>
      </c>
      <c r="F46" s="187">
        <f t="shared" si="5"/>
        <v>17324.196953662828</v>
      </c>
      <c r="G46" s="188">
        <f t="shared" si="3"/>
        <v>-628.01331591358678</v>
      </c>
      <c r="H46" s="20">
        <f t="shared" si="6"/>
        <v>178572.05759860988</v>
      </c>
      <c r="J46" s="32"/>
      <c r="K46" s="108" t="s">
        <v>73</v>
      </c>
      <c r="L46" s="108"/>
      <c r="M46" s="108"/>
      <c r="N46" s="108"/>
      <c r="O46" s="108"/>
      <c r="P46" s="108"/>
      <c r="Q46" s="108"/>
      <c r="R46" s="108"/>
      <c r="S46" s="108"/>
      <c r="T46" s="108"/>
      <c r="U46" s="47"/>
      <c r="W46" s="118"/>
      <c r="X46" s="115" t="s">
        <v>134</v>
      </c>
      <c r="Y46" s="141"/>
      <c r="Z46" s="141"/>
      <c r="AA46" s="115"/>
      <c r="AB46" s="115"/>
      <c r="AC46" s="115"/>
      <c r="AD46" s="115" t="s">
        <v>135</v>
      </c>
      <c r="AE46" s="115"/>
      <c r="AF46" s="115"/>
      <c r="AG46" s="115"/>
      <c r="AH46" s="115"/>
      <c r="AI46" s="115"/>
      <c r="AJ46" s="115"/>
      <c r="AK46" s="115"/>
      <c r="AL46" s="118"/>
      <c r="AM46" s="115"/>
      <c r="AN46" s="115" t="s">
        <v>136</v>
      </c>
      <c r="AO46" s="115"/>
      <c r="AP46" s="115"/>
      <c r="AQ46" s="115"/>
      <c r="AR46" s="115"/>
      <c r="AS46" s="118"/>
      <c r="AT46" s="115"/>
      <c r="AU46" s="115"/>
      <c r="AV46" s="115"/>
      <c r="AW46" s="115"/>
      <c r="AX46" s="118"/>
      <c r="AY46" s="115"/>
      <c r="AZ46" s="115" t="s">
        <v>137</v>
      </c>
      <c r="BA46" s="115"/>
      <c r="BB46" s="116"/>
      <c r="BC46" s="117"/>
      <c r="BD46" s="117"/>
      <c r="BE46" s="118"/>
    </row>
    <row r="47" spans="2:57" ht="15.75">
      <c r="B47" s="21">
        <f t="shared" si="4"/>
        <v>46537</v>
      </c>
      <c r="C47" s="22" t="str">
        <f t="shared" si="1"/>
        <v>May-2027</v>
      </c>
      <c r="D47" s="2">
        <v>20</v>
      </c>
      <c r="E47" s="92">
        <f t="shared" si="2"/>
        <v>16696.18363774924</v>
      </c>
      <c r="F47" s="187">
        <f t="shared" si="5"/>
        <v>17268.658238033597</v>
      </c>
      <c r="G47" s="188">
        <f t="shared" si="3"/>
        <v>-572.47460028435728</v>
      </c>
      <c r="H47" s="20">
        <f t="shared" si="6"/>
        <v>161303.3993605763</v>
      </c>
      <c r="J47" s="32"/>
      <c r="K47" s="33"/>
      <c r="L47" s="33"/>
      <c r="M47" s="33"/>
      <c r="N47" s="33"/>
      <c r="O47" s="34"/>
      <c r="P47" s="33"/>
      <c r="Q47" s="33"/>
      <c r="R47" s="33"/>
      <c r="S47" s="33"/>
      <c r="T47" s="33"/>
      <c r="U47" s="47"/>
      <c r="W47" s="118"/>
      <c r="X47" s="344" t="s">
        <v>138</v>
      </c>
      <c r="Y47" s="345"/>
      <c r="Z47" s="345"/>
      <c r="AA47" s="345"/>
      <c r="AB47" s="345"/>
      <c r="AC47" s="346"/>
      <c r="AD47" s="344" t="s">
        <v>65</v>
      </c>
      <c r="AE47" s="345"/>
      <c r="AF47" s="345"/>
      <c r="AG47" s="345"/>
      <c r="AH47" s="346"/>
      <c r="AI47" s="344" t="s">
        <v>139</v>
      </c>
      <c r="AJ47" s="345"/>
      <c r="AK47" s="345"/>
      <c r="AL47" s="345"/>
      <c r="AM47" s="345"/>
      <c r="AN47" s="346"/>
      <c r="AO47" s="347" t="s">
        <v>140</v>
      </c>
      <c r="AP47" s="348"/>
      <c r="AQ47" s="348"/>
      <c r="AR47" s="348"/>
      <c r="AS47" s="348"/>
      <c r="AT47" s="348"/>
      <c r="AU47" s="348"/>
      <c r="AV47" s="348"/>
      <c r="AW47" s="347" t="s">
        <v>141</v>
      </c>
      <c r="AX47" s="348"/>
      <c r="AY47" s="348"/>
      <c r="AZ47" s="348"/>
      <c r="BA47" s="348"/>
      <c r="BB47" s="348"/>
      <c r="BC47" s="348"/>
      <c r="BD47" s="349"/>
      <c r="BE47" s="118"/>
    </row>
    <row r="48" spans="2:57" ht="15.75">
      <c r="B48" s="21">
        <f t="shared" si="4"/>
        <v>46568</v>
      </c>
      <c r="C48" s="22" t="str">
        <f t="shared" si="1"/>
        <v>Jun-2027</v>
      </c>
      <c r="D48" s="2">
        <v>21</v>
      </c>
      <c r="E48" s="92">
        <f t="shared" si="2"/>
        <v>16696.18363774924</v>
      </c>
      <c r="F48" s="187">
        <f t="shared" si="5"/>
        <v>17213.297570999752</v>
      </c>
      <c r="G48" s="188">
        <f t="shared" si="3"/>
        <v>-517.11393325051097</v>
      </c>
      <c r="H48" s="20">
        <f t="shared" si="6"/>
        <v>144090.10178957655</v>
      </c>
      <c r="J48" s="32"/>
      <c r="K48" s="33"/>
      <c r="L48" s="109" t="s">
        <v>89</v>
      </c>
      <c r="M48" s="104"/>
      <c r="N48" s="104"/>
      <c r="O48" s="104"/>
      <c r="P48" s="104"/>
      <c r="Q48" s="104"/>
      <c r="R48" s="331">
        <f>E25</f>
        <v>36</v>
      </c>
      <c r="S48" s="331"/>
      <c r="T48" s="97" t="s">
        <v>84</v>
      </c>
      <c r="U48" s="47"/>
      <c r="W48" s="118"/>
      <c r="X48" s="332" t="s">
        <v>242</v>
      </c>
      <c r="Y48" s="333"/>
      <c r="Z48" s="333"/>
      <c r="AA48" s="333"/>
      <c r="AB48" s="333"/>
      <c r="AC48" s="334"/>
      <c r="AD48" s="335" t="str">
        <f>D23</f>
        <v>O-121408</v>
      </c>
      <c r="AE48" s="336"/>
      <c r="AF48" s="336"/>
      <c r="AG48" s="336"/>
      <c r="AH48" s="337"/>
      <c r="AI48" s="332" t="s">
        <v>243</v>
      </c>
      <c r="AJ48" s="333"/>
      <c r="AK48" s="333"/>
      <c r="AL48" s="333"/>
      <c r="AM48" s="333"/>
      <c r="AN48" s="334"/>
      <c r="AO48" s="112"/>
      <c r="AP48" s="327" t="s">
        <v>96</v>
      </c>
      <c r="AQ48" s="327"/>
      <c r="AR48" s="327" t="s">
        <v>96</v>
      </c>
      <c r="AS48" s="327"/>
      <c r="AT48" s="113"/>
      <c r="AU48" s="113"/>
      <c r="AV48" s="114"/>
      <c r="AW48" s="112"/>
      <c r="AX48" s="327" t="s">
        <v>96</v>
      </c>
      <c r="AY48" s="327"/>
      <c r="AZ48" s="327" t="s">
        <v>96</v>
      </c>
      <c r="BA48" s="327"/>
      <c r="BB48" s="113"/>
      <c r="BC48" s="113"/>
      <c r="BD48" s="114"/>
      <c r="BE48" s="118"/>
    </row>
    <row r="49" spans="2:57" ht="15.75">
      <c r="B49" s="21">
        <f t="shared" si="4"/>
        <v>46598</v>
      </c>
      <c r="C49" s="22" t="str">
        <f t="shared" si="1"/>
        <v>Jul-2027</v>
      </c>
      <c r="D49" s="2">
        <v>22</v>
      </c>
      <c r="E49" s="92">
        <f t="shared" si="2"/>
        <v>16696.18363774924</v>
      </c>
      <c r="F49" s="187">
        <f t="shared" si="5"/>
        <v>17158.114381764826</v>
      </c>
      <c r="G49" s="188">
        <f t="shared" si="3"/>
        <v>-461.93074401558738</v>
      </c>
      <c r="H49" s="20">
        <f t="shared" si="6"/>
        <v>126931.98740781173</v>
      </c>
      <c r="J49" s="32"/>
      <c r="K49" s="33"/>
      <c r="L49" s="104" t="s">
        <v>86</v>
      </c>
      <c r="M49" s="104"/>
      <c r="N49" s="104"/>
      <c r="O49" s="104"/>
      <c r="P49" s="104"/>
      <c r="Q49" s="104"/>
      <c r="R49" s="328">
        <f>C1</f>
        <v>16696.18363774924</v>
      </c>
      <c r="S49" s="328"/>
      <c r="T49" s="328"/>
      <c r="U49" s="47"/>
      <c r="W49" s="118"/>
      <c r="X49" s="118"/>
      <c r="Y49" s="118"/>
      <c r="Z49" s="118"/>
      <c r="AA49" s="118"/>
      <c r="AB49" s="118"/>
      <c r="AC49" s="118"/>
      <c r="AD49" s="118"/>
      <c r="AE49" s="118"/>
      <c r="AF49" s="118"/>
      <c r="AG49" s="118"/>
      <c r="AH49" s="118"/>
      <c r="AI49" s="118"/>
      <c r="AJ49" s="118"/>
      <c r="AK49" s="118"/>
      <c r="AL49" s="118"/>
      <c r="AM49" s="118"/>
      <c r="AN49" s="118"/>
      <c r="AO49" s="168" t="s">
        <v>97</v>
      </c>
      <c r="AP49" s="168" t="s">
        <v>97</v>
      </c>
      <c r="AQ49" s="168" t="s">
        <v>98</v>
      </c>
      <c r="AR49" s="168" t="s">
        <v>98</v>
      </c>
      <c r="AS49" s="168" t="s">
        <v>99</v>
      </c>
      <c r="AT49" s="168" t="s">
        <v>99</v>
      </c>
      <c r="AU49" s="168" t="s">
        <v>99</v>
      </c>
      <c r="AV49" s="168" t="s">
        <v>99</v>
      </c>
      <c r="AW49" s="168" t="s">
        <v>97</v>
      </c>
      <c r="AX49" s="168" t="s">
        <v>97</v>
      </c>
      <c r="AY49" s="168" t="s">
        <v>98</v>
      </c>
      <c r="AZ49" s="168" t="s">
        <v>98</v>
      </c>
      <c r="BA49" s="168" t="s">
        <v>99</v>
      </c>
      <c r="BB49" s="168" t="s">
        <v>99</v>
      </c>
      <c r="BC49" s="168" t="s">
        <v>99</v>
      </c>
      <c r="BD49" s="168" t="s">
        <v>99</v>
      </c>
      <c r="BE49" s="118"/>
    </row>
    <row r="50" spans="2:57" ht="15.75">
      <c r="B50" s="21">
        <f t="shared" si="4"/>
        <v>46629</v>
      </c>
      <c r="C50" s="22" t="str">
        <f t="shared" si="1"/>
        <v>Aug-2027</v>
      </c>
      <c r="D50" s="2">
        <v>23</v>
      </c>
      <c r="E50" s="92">
        <f t="shared" si="2"/>
        <v>16696.18363774924</v>
      </c>
      <c r="F50" s="187">
        <f t="shared" si="5"/>
        <v>17103.10810136225</v>
      </c>
      <c r="G50" s="188">
        <f t="shared" si="3"/>
        <v>-406.92446361301131</v>
      </c>
      <c r="H50" s="20">
        <f t="shared" si="6"/>
        <v>109828.87930644948</v>
      </c>
      <c r="J50" s="32"/>
      <c r="K50" s="33"/>
      <c r="L50" s="104" t="s">
        <v>74</v>
      </c>
      <c r="M50" s="104"/>
      <c r="N50" s="104"/>
      <c r="O50" s="104"/>
      <c r="P50" s="104"/>
      <c r="Q50" s="104"/>
      <c r="R50" s="329">
        <f>B28</f>
        <v>45960</v>
      </c>
      <c r="S50" s="329"/>
      <c r="T50" s="329"/>
      <c r="U50" s="47"/>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row>
    <row r="51" spans="2:57" ht="15.75">
      <c r="B51" s="21">
        <f t="shared" si="4"/>
        <v>46660</v>
      </c>
      <c r="C51" s="22" t="str">
        <f t="shared" si="1"/>
        <v>Sep-2027</v>
      </c>
      <c r="D51" s="2">
        <v>24</v>
      </c>
      <c r="E51" s="92">
        <f t="shared" si="2"/>
        <v>16696.18363774924</v>
      </c>
      <c r="F51" s="187">
        <f t="shared" si="5"/>
        <v>17048.278162649469</v>
      </c>
      <c r="G51" s="188">
        <f t="shared" si="3"/>
        <v>-352.09452490022738</v>
      </c>
      <c r="H51" s="20">
        <f t="shared" si="6"/>
        <v>92780.601143800013</v>
      </c>
      <c r="J51" s="32"/>
      <c r="K51" s="33"/>
      <c r="L51" s="104" t="s">
        <v>75</v>
      </c>
      <c r="M51" s="104"/>
      <c r="N51" s="104"/>
      <c r="O51" s="104"/>
      <c r="P51" s="104"/>
      <c r="Q51" s="104"/>
      <c r="R51" s="329">
        <f>B63</f>
        <v>47026</v>
      </c>
      <c r="S51" s="329"/>
      <c r="T51" s="329"/>
      <c r="U51" s="47"/>
      <c r="W51" s="118"/>
      <c r="X51" s="115" t="s">
        <v>142</v>
      </c>
      <c r="Y51" s="115"/>
      <c r="Z51" s="115"/>
      <c r="AA51" s="115"/>
      <c r="AB51" s="115"/>
      <c r="AC51" s="115"/>
      <c r="AD51" s="115"/>
      <c r="AE51" s="115" t="s">
        <v>143</v>
      </c>
      <c r="AF51" s="115"/>
      <c r="AG51" s="115"/>
      <c r="AH51" s="115"/>
      <c r="AI51" s="118"/>
      <c r="AJ51" s="169" t="s">
        <v>144</v>
      </c>
      <c r="AK51" s="324"/>
      <c r="AL51" s="326"/>
      <c r="AM51" s="330" t="s">
        <v>145</v>
      </c>
      <c r="AN51" s="330"/>
      <c r="AO51" s="330"/>
      <c r="AP51" s="330"/>
      <c r="AQ51" s="170"/>
      <c r="AR51" s="309" t="s">
        <v>146</v>
      </c>
      <c r="AS51" s="309"/>
      <c r="AT51" s="170"/>
      <c r="AU51" s="309" t="s">
        <v>147</v>
      </c>
      <c r="AV51" s="309"/>
      <c r="AW51" s="309"/>
      <c r="AX51" s="309" t="s">
        <v>148</v>
      </c>
      <c r="AY51" s="309"/>
      <c r="AZ51" s="309"/>
      <c r="BA51" s="309"/>
      <c r="BB51" s="309"/>
      <c r="BC51" s="309"/>
      <c r="BD51" s="309"/>
      <c r="BE51" s="118"/>
    </row>
    <row r="52" spans="2:57" ht="15.75">
      <c r="B52" s="21">
        <f t="shared" si="4"/>
        <v>46690</v>
      </c>
      <c r="C52" s="22" t="str">
        <f t="shared" si="1"/>
        <v>Oct-2027</v>
      </c>
      <c r="D52" s="2">
        <v>25</v>
      </c>
      <c r="E52" s="92">
        <f t="shared" si="2"/>
        <v>16696.18363774924</v>
      </c>
      <c r="F52" s="187">
        <f t="shared" si="5"/>
        <v>16993.62400030209</v>
      </c>
      <c r="G52" s="188">
        <f t="shared" si="3"/>
        <v>-297.44036255285198</v>
      </c>
      <c r="H52" s="20">
        <f t="shared" si="6"/>
        <v>75786.977143497919</v>
      </c>
      <c r="J52" s="32"/>
      <c r="K52" s="33"/>
      <c r="L52" s="104" t="s">
        <v>76</v>
      </c>
      <c r="M52" s="104"/>
      <c r="N52" s="104"/>
      <c r="O52" s="104"/>
      <c r="P52" s="104"/>
      <c r="Q52" s="104"/>
      <c r="R52" s="319">
        <f>C16</f>
        <v>0.10501771639529567</v>
      </c>
      <c r="S52" s="319"/>
      <c r="T52" s="319"/>
      <c r="U52" s="47"/>
      <c r="W52" s="118"/>
      <c r="X52" s="321"/>
      <c r="Y52" s="322"/>
      <c r="Z52" s="322"/>
      <c r="AA52" s="322"/>
      <c r="AB52" s="322"/>
      <c r="AC52" s="322"/>
      <c r="AD52" s="323"/>
      <c r="AE52" s="324"/>
      <c r="AF52" s="325"/>
      <c r="AG52" s="325"/>
      <c r="AH52" s="325"/>
      <c r="AI52" s="325"/>
      <c r="AJ52" s="325"/>
      <c r="AK52" s="325"/>
      <c r="AL52" s="326"/>
      <c r="AM52" s="330"/>
      <c r="AN52" s="330"/>
      <c r="AO52" s="330"/>
      <c r="AP52" s="330"/>
      <c r="AQ52" s="170"/>
      <c r="AR52" s="309" t="s">
        <v>150</v>
      </c>
      <c r="AS52" s="309"/>
      <c r="AT52" s="170"/>
      <c r="AU52" s="309" t="s">
        <v>151</v>
      </c>
      <c r="AV52" s="309"/>
      <c r="AW52" s="309"/>
      <c r="AX52" s="313"/>
      <c r="AY52" s="314"/>
      <c r="AZ52" s="314"/>
      <c r="BA52" s="314"/>
      <c r="BB52" s="314"/>
      <c r="BC52" s="314"/>
      <c r="BD52" s="315"/>
      <c r="BE52" s="118"/>
    </row>
    <row r="53" spans="2:57" ht="15.75">
      <c r="B53" s="21">
        <f t="shared" si="4"/>
        <v>46721</v>
      </c>
      <c r="C53" s="22" t="str">
        <f t="shared" si="1"/>
        <v>Nov-2027</v>
      </c>
      <c r="D53" s="2">
        <v>26</v>
      </c>
      <c r="E53" s="92">
        <f t="shared" si="2"/>
        <v>16696.18363774924</v>
      </c>
      <c r="F53" s="187">
        <f t="shared" si="5"/>
        <v>16939.145050808085</v>
      </c>
      <c r="G53" s="188">
        <f t="shared" si="3"/>
        <v>-242.96141305884484</v>
      </c>
      <c r="H53" s="20">
        <f t="shared" si="6"/>
        <v>58847.83209268983</v>
      </c>
      <c r="J53" s="32"/>
      <c r="K53" s="33"/>
      <c r="L53" s="104" t="s">
        <v>77</v>
      </c>
      <c r="M53" s="104"/>
      <c r="N53" s="104"/>
      <c r="O53" s="104"/>
      <c r="P53" s="104"/>
      <c r="Q53" s="104"/>
      <c r="R53" s="319">
        <f>C15</f>
        <v>8.3333333333333332E-3</v>
      </c>
      <c r="S53" s="319"/>
      <c r="T53" s="319"/>
      <c r="U53" s="47"/>
      <c r="W53" s="118"/>
      <c r="X53" s="320" t="s">
        <v>152</v>
      </c>
      <c r="Y53" s="320"/>
      <c r="Z53" s="320"/>
      <c r="AA53" s="320"/>
      <c r="AB53" s="320"/>
      <c r="AC53" s="320"/>
      <c r="AD53" s="320"/>
      <c r="AE53" s="320" t="s">
        <v>153</v>
      </c>
      <c r="AF53" s="320"/>
      <c r="AG53" s="320"/>
      <c r="AH53" s="320"/>
      <c r="AI53" s="320"/>
      <c r="AJ53" s="320"/>
      <c r="AK53" s="320"/>
      <c r="AL53" s="320"/>
      <c r="AM53" s="320"/>
      <c r="AN53" s="320"/>
      <c r="AO53" s="320"/>
      <c r="AP53" s="320"/>
      <c r="AQ53" s="320"/>
      <c r="AR53" s="320"/>
      <c r="AS53" s="320"/>
      <c r="AT53" s="320"/>
      <c r="AU53" s="118"/>
      <c r="AV53" s="146"/>
      <c r="AW53" s="146"/>
      <c r="AX53" s="146" t="s">
        <v>154</v>
      </c>
      <c r="AY53" s="146"/>
      <c r="AZ53" s="146"/>
      <c r="BA53" s="146"/>
      <c r="BB53" s="146"/>
      <c r="BC53" s="146"/>
      <c r="BD53" s="146"/>
      <c r="BE53" s="118"/>
    </row>
    <row r="54" spans="2:57" ht="16.5" thickBot="1">
      <c r="B54" s="21">
        <f t="shared" si="4"/>
        <v>46751</v>
      </c>
      <c r="C54" s="22" t="str">
        <f t="shared" si="1"/>
        <v>Dec-2027</v>
      </c>
      <c r="D54" s="2">
        <v>27</v>
      </c>
      <c r="E54" s="92">
        <f t="shared" si="2"/>
        <v>16696.18363774924</v>
      </c>
      <c r="F54" s="187">
        <f t="shared" si="5"/>
        <v>16884.84075246194</v>
      </c>
      <c r="G54" s="188">
        <f t="shared" si="3"/>
        <v>-188.65711471269867</v>
      </c>
      <c r="H54" s="20">
        <f t="shared" si="6"/>
        <v>41962.991340227891</v>
      </c>
      <c r="J54" s="32"/>
      <c r="K54" s="40"/>
      <c r="L54" s="40"/>
      <c r="M54" s="40"/>
      <c r="N54" s="40"/>
      <c r="O54" s="41"/>
      <c r="P54" s="40"/>
      <c r="Q54" s="40"/>
      <c r="R54" s="40"/>
      <c r="S54" s="40"/>
      <c r="T54" s="40"/>
      <c r="U54" s="47"/>
      <c r="W54" s="118"/>
      <c r="X54" s="313"/>
      <c r="Y54" s="314"/>
      <c r="Z54" s="314"/>
      <c r="AA54" s="314"/>
      <c r="AB54" s="314"/>
      <c r="AC54" s="314"/>
      <c r="AD54" s="315"/>
      <c r="AE54" s="310"/>
      <c r="AF54" s="311"/>
      <c r="AG54" s="311"/>
      <c r="AH54" s="311"/>
      <c r="AI54" s="311"/>
      <c r="AJ54" s="311"/>
      <c r="AK54" s="311"/>
      <c r="AL54" s="311"/>
      <c r="AM54" s="311"/>
      <c r="AN54" s="311"/>
      <c r="AO54" s="311"/>
      <c r="AP54" s="311"/>
      <c r="AQ54" s="311"/>
      <c r="AR54" s="311"/>
      <c r="AS54" s="311"/>
      <c r="AT54" s="311"/>
      <c r="AU54" s="311"/>
      <c r="AV54" s="311"/>
      <c r="AW54" s="312"/>
      <c r="AX54" s="310" t="s">
        <v>155</v>
      </c>
      <c r="AY54" s="311"/>
      <c r="AZ54" s="311"/>
      <c r="BA54" s="311"/>
      <c r="BB54" s="311"/>
      <c r="BC54" s="311"/>
      <c r="BD54" s="312"/>
      <c r="BE54" s="118"/>
    </row>
    <row r="55" spans="2:57" ht="16.5" thickTop="1">
      <c r="B55" s="21">
        <f t="shared" si="4"/>
        <v>46782</v>
      </c>
      <c r="C55" s="22" t="str">
        <f t="shared" si="1"/>
        <v>Jan-2028</v>
      </c>
      <c r="D55" s="2">
        <v>28</v>
      </c>
      <c r="E55" s="92">
        <f t="shared" si="2"/>
        <v>16696.18363774924</v>
      </c>
      <c r="F55" s="187">
        <f t="shared" si="5"/>
        <v>16830.710545358888</v>
      </c>
      <c r="G55" s="188">
        <f t="shared" si="3"/>
        <v>-134.52690760964785</v>
      </c>
      <c r="H55" s="20">
        <f t="shared" si="6"/>
        <v>25132.280794869002</v>
      </c>
      <c r="J55" s="32"/>
      <c r="K55" s="33"/>
      <c r="L55" s="33"/>
      <c r="M55" s="33"/>
      <c r="N55" s="33"/>
      <c r="O55" s="34"/>
      <c r="P55" s="33"/>
      <c r="Q55" s="33"/>
      <c r="R55" s="33"/>
      <c r="S55" s="33"/>
      <c r="T55" s="33"/>
      <c r="U55" s="47"/>
      <c r="W55" s="118"/>
      <c r="X55" s="115" t="s">
        <v>156</v>
      </c>
      <c r="Y55" s="115"/>
      <c r="Z55" s="115"/>
      <c r="AA55" s="115"/>
      <c r="AB55" s="115"/>
      <c r="AC55" s="115"/>
      <c r="AD55" s="115"/>
      <c r="AE55" s="118"/>
      <c r="AF55" s="115"/>
      <c r="AG55" s="146" t="s">
        <v>157</v>
      </c>
      <c r="AH55" s="118"/>
      <c r="AI55" s="118"/>
      <c r="AJ55" s="118"/>
      <c r="AK55" s="146"/>
      <c r="AL55" s="146"/>
      <c r="AM55" s="146"/>
      <c r="AN55" s="146"/>
      <c r="AO55" s="146"/>
      <c r="AP55" s="146"/>
      <c r="AQ55" s="146"/>
      <c r="AR55" s="146"/>
      <c r="AS55" s="146"/>
      <c r="AT55" s="309" t="s">
        <v>158</v>
      </c>
      <c r="AU55" s="309"/>
      <c r="AV55" s="309"/>
      <c r="AW55" s="309"/>
      <c r="AX55" s="309"/>
      <c r="AY55" s="309"/>
      <c r="AZ55" s="309"/>
      <c r="BA55" s="309"/>
      <c r="BB55" s="309"/>
      <c r="BC55" s="309"/>
      <c r="BD55" s="309"/>
      <c r="BE55" s="118"/>
    </row>
    <row r="56" spans="2:57" ht="15.75">
      <c r="B56" s="21">
        <f t="shared" si="4"/>
        <v>46813</v>
      </c>
      <c r="C56" s="22" t="str">
        <f t="shared" si="1"/>
        <v>Mar-2028</v>
      </c>
      <c r="D56" s="2">
        <v>29</v>
      </c>
      <c r="E56" s="92">
        <f t="shared" si="2"/>
        <v>16696.18363774924</v>
      </c>
      <c r="F56" s="187">
        <f t="shared" si="5"/>
        <v>16776.753871389137</v>
      </c>
      <c r="G56" s="188">
        <f t="shared" si="3"/>
        <v>-80.57023363989542</v>
      </c>
      <c r="H56" s="20">
        <f t="shared" si="6"/>
        <v>8355.5269234798652</v>
      </c>
      <c r="J56" s="32"/>
      <c r="K56" s="33" t="s">
        <v>78</v>
      </c>
      <c r="L56" s="33"/>
      <c r="M56" s="33"/>
      <c r="O56" s="33"/>
      <c r="P56" s="33"/>
      <c r="R56" s="33" t="s">
        <v>87</v>
      </c>
      <c r="S56" s="33"/>
      <c r="T56" s="33"/>
      <c r="U56" s="47"/>
      <c r="W56" s="118"/>
      <c r="X56" s="310"/>
      <c r="Y56" s="311"/>
      <c r="Z56" s="311"/>
      <c r="AA56" s="311"/>
      <c r="AB56" s="311"/>
      <c r="AC56" s="311"/>
      <c r="AD56" s="311"/>
      <c r="AE56" s="311"/>
      <c r="AF56" s="312"/>
      <c r="AG56" s="313"/>
      <c r="AH56" s="314"/>
      <c r="AI56" s="314"/>
      <c r="AJ56" s="314"/>
      <c r="AK56" s="314"/>
      <c r="AL56" s="314"/>
      <c r="AM56" s="314"/>
      <c r="AN56" s="314"/>
      <c r="AO56" s="314"/>
      <c r="AP56" s="314"/>
      <c r="AQ56" s="314"/>
      <c r="AR56" s="314"/>
      <c r="AS56" s="315"/>
      <c r="AT56" s="171">
        <v>1</v>
      </c>
      <c r="AU56" s="172">
        <v>3</v>
      </c>
      <c r="AV56" s="172">
        <v>7</v>
      </c>
      <c r="AW56" s="173" t="s">
        <v>159</v>
      </c>
      <c r="AX56" s="172">
        <v>6</v>
      </c>
      <c r="AY56" s="172">
        <v>2</v>
      </c>
      <c r="AZ56" s="172">
        <v>4</v>
      </c>
      <c r="BA56" s="173" t="s">
        <v>159</v>
      </c>
      <c r="BB56" s="172">
        <v>8</v>
      </c>
      <c r="BC56" s="172">
        <v>2</v>
      </c>
      <c r="BD56" s="172">
        <v>9</v>
      </c>
      <c r="BE56" s="118"/>
    </row>
    <row r="57" spans="2:57" ht="15.6" customHeight="1">
      <c r="B57" s="21">
        <f t="shared" si="4"/>
        <v>46842</v>
      </c>
      <c r="C57" s="22" t="str">
        <f t="shared" si="1"/>
        <v>Mar-2028</v>
      </c>
      <c r="D57" s="2">
        <v>30</v>
      </c>
      <c r="E57" s="92">
        <f t="shared" si="2"/>
        <v>16696.18363774924</v>
      </c>
      <c r="F57" s="187">
        <f t="shared" si="5"/>
        <v>16722.970174232098</v>
      </c>
      <c r="G57" s="188">
        <f t="shared" si="3"/>
        <v>-26.786536482858768</v>
      </c>
      <c r="H57" s="20">
        <f t="shared" si="6"/>
        <v>-8367.4432507522324</v>
      </c>
      <c r="J57" s="32"/>
      <c r="K57" s="33"/>
      <c r="L57" s="33"/>
      <c r="M57" s="33"/>
      <c r="N57" s="33"/>
      <c r="O57" s="33"/>
      <c r="P57" s="33"/>
      <c r="Q57" s="33"/>
      <c r="R57" s="33"/>
      <c r="S57" s="33"/>
      <c r="T57" s="33"/>
      <c r="U57" s="47"/>
      <c r="W57" s="118"/>
      <c r="X57" s="174" t="s">
        <v>160</v>
      </c>
      <c r="Y57" s="146"/>
      <c r="Z57" s="146"/>
      <c r="AA57" s="146"/>
      <c r="AB57" s="316" t="str">
        <f>N34</f>
        <v>P7 CABUGAO, ECHAGUE ISABELA</v>
      </c>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317"/>
      <c r="AY57" s="317"/>
      <c r="AZ57" s="317"/>
      <c r="BA57" s="317"/>
      <c r="BB57" s="317"/>
      <c r="BC57" s="317"/>
      <c r="BD57" s="318"/>
      <c r="BE57" s="118"/>
    </row>
    <row r="58" spans="2:57" ht="15.75">
      <c r="B58" s="21">
        <f t="shared" si="4"/>
        <v>46873</v>
      </c>
      <c r="C58" s="22" t="str">
        <f t="shared" si="1"/>
        <v>Apr-2028</v>
      </c>
      <c r="D58" s="2">
        <v>31</v>
      </c>
      <c r="E58" s="92">
        <f t="shared" si="2"/>
        <v>16696.18363774924</v>
      </c>
      <c r="F58" s="187">
        <f t="shared" si="5"/>
        <v>16669.358899350675</v>
      </c>
      <c r="G58" s="188">
        <f t="shared" si="3"/>
        <v>26.824738398566318</v>
      </c>
      <c r="H58" s="20">
        <f t="shared" si="6"/>
        <v>-25036.802150102907</v>
      </c>
      <c r="J58" s="16"/>
      <c r="U58" s="107"/>
      <c r="W58" s="118"/>
      <c r="X58" s="287" t="s">
        <v>161</v>
      </c>
      <c r="Y58" s="288"/>
      <c r="Z58" s="288"/>
      <c r="AA58" s="288"/>
      <c r="AB58" s="288"/>
      <c r="AC58" s="288"/>
      <c r="AD58" s="288"/>
      <c r="AE58" s="288"/>
      <c r="AF58" s="288"/>
      <c r="AG58" s="288"/>
      <c r="AH58" s="288"/>
      <c r="AI58" s="288"/>
      <c r="AJ58" s="288"/>
      <c r="AK58" s="288"/>
      <c r="AL58" s="288"/>
      <c r="AM58" s="288"/>
      <c r="AN58" s="288"/>
      <c r="AO58" s="288"/>
      <c r="AP58" s="288"/>
      <c r="AQ58" s="288"/>
      <c r="AR58" s="288"/>
      <c r="AS58" s="288"/>
      <c r="AT58" s="288"/>
      <c r="AU58" s="288"/>
      <c r="AV58" s="288"/>
      <c r="AW58" s="288"/>
      <c r="AX58" s="288"/>
      <c r="AY58" s="288"/>
      <c r="AZ58" s="288"/>
      <c r="BA58" s="288"/>
      <c r="BB58" s="288"/>
      <c r="BC58" s="288"/>
      <c r="BD58" s="289"/>
      <c r="BE58" s="118"/>
    </row>
    <row r="59" spans="2:57" ht="15.75">
      <c r="B59" s="21">
        <f t="shared" si="4"/>
        <v>46903</v>
      </c>
      <c r="C59" s="22" t="str">
        <f t="shared" si="1"/>
        <v>May-2028</v>
      </c>
      <c r="D59" s="2">
        <v>32</v>
      </c>
      <c r="E59" s="92">
        <f t="shared" si="2"/>
        <v>16696.18363774924</v>
      </c>
      <c r="F59" s="187">
        <f t="shared" si="5"/>
        <v>16615.919493985515</v>
      </c>
      <c r="G59" s="188">
        <f t="shared" si="3"/>
        <v>80.264143763723283</v>
      </c>
      <c r="H59" s="20">
        <f t="shared" si="6"/>
        <v>-41652.721644088422</v>
      </c>
      <c r="J59" s="16"/>
      <c r="U59" s="107"/>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row>
    <row r="60" spans="2:57" ht="16.5" thickBot="1">
      <c r="B60" s="21">
        <f t="shared" si="4"/>
        <v>46934</v>
      </c>
      <c r="C60" s="22" t="str">
        <f t="shared" si="1"/>
        <v>Jun-2028</v>
      </c>
      <c r="D60" s="2">
        <v>33</v>
      </c>
      <c r="E60" s="92">
        <f t="shared" si="2"/>
        <v>16696.18363774924</v>
      </c>
      <c r="F60" s="187">
        <f t="shared" si="5"/>
        <v>16562.651407149348</v>
      </c>
      <c r="G60" s="188">
        <f t="shared" si="3"/>
        <v>133.53223059989392</v>
      </c>
      <c r="H60" s="20">
        <f t="shared" si="6"/>
        <v>-58215.373051237766</v>
      </c>
      <c r="J60" s="32"/>
      <c r="K60" s="307" t="s">
        <v>245</v>
      </c>
      <c r="L60" s="307"/>
      <c r="M60" s="307"/>
      <c r="N60" s="100"/>
      <c r="O60" s="100"/>
      <c r="P60" s="100"/>
      <c r="R60" s="308" t="s">
        <v>246</v>
      </c>
      <c r="S60" s="308"/>
      <c r="T60" s="308"/>
      <c r="U60" s="47"/>
      <c r="W60" s="118"/>
      <c r="X60" s="118"/>
      <c r="Y60" s="118" t="s">
        <v>162</v>
      </c>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row>
    <row r="61" spans="2:57" ht="15.75">
      <c r="B61" s="21">
        <f t="shared" si="4"/>
        <v>46964</v>
      </c>
      <c r="C61" s="22" t="str">
        <f t="shared" si="1"/>
        <v>Jul-2028</v>
      </c>
      <c r="D61" s="2">
        <v>34</v>
      </c>
      <c r="E61" s="92">
        <f t="shared" si="2"/>
        <v>16696.18363774924</v>
      </c>
      <c r="F61" s="187">
        <f t="shared" si="5"/>
        <v>16509.554089621259</v>
      </c>
      <c r="G61" s="188">
        <f t="shared" si="3"/>
        <v>186.62954812797946</v>
      </c>
      <c r="H61" s="20">
        <f t="shared" si="6"/>
        <v>-74724.927140859028</v>
      </c>
      <c r="J61" s="32"/>
      <c r="K61" s="305" t="s">
        <v>80</v>
      </c>
      <c r="L61" s="305"/>
      <c r="M61" s="305"/>
      <c r="N61" s="33"/>
      <c r="O61" s="34"/>
      <c r="P61" s="33"/>
      <c r="R61" s="305" t="s">
        <v>88</v>
      </c>
      <c r="S61" s="305"/>
      <c r="T61" s="305"/>
      <c r="U61" s="47"/>
      <c r="W61" s="118"/>
      <c r="X61" s="118" t="s">
        <v>163</v>
      </c>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row>
    <row r="62" spans="2:57" ht="15.75">
      <c r="B62" s="21">
        <f t="shared" si="4"/>
        <v>46995</v>
      </c>
      <c r="C62" s="189" t="str">
        <f t="shared" si="1"/>
        <v>Aug-2028</v>
      </c>
      <c r="D62" s="2">
        <v>35</v>
      </c>
      <c r="E62" s="92">
        <f t="shared" si="2"/>
        <v>16696.18363774924</v>
      </c>
      <c r="F62" s="187">
        <f t="shared" si="5"/>
        <v>16456.626993941078</v>
      </c>
      <c r="G62" s="188">
        <f t="shared" si="3"/>
        <v>239.55664380816319</v>
      </c>
      <c r="H62" s="187">
        <f t="shared" si="6"/>
        <v>-91181.554134800099</v>
      </c>
      <c r="J62" s="16"/>
      <c r="U62" s="107"/>
      <c r="W62" s="118"/>
      <c r="X62" s="118" t="s">
        <v>164</v>
      </c>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row>
    <row r="63" spans="2:57" ht="15.75">
      <c r="B63" s="21">
        <f t="shared" si="4"/>
        <v>47026</v>
      </c>
      <c r="C63" s="189" t="str">
        <f t="shared" si="1"/>
        <v>Sep-2028</v>
      </c>
      <c r="D63" s="2">
        <v>36</v>
      </c>
      <c r="E63" s="92">
        <f t="shared" si="2"/>
        <v>16696.18363774924</v>
      </c>
      <c r="F63" s="187">
        <f t="shared" si="5"/>
        <v>16403.869574403685</v>
      </c>
      <c r="G63" s="188">
        <f t="shared" si="3"/>
        <v>292.3140633455551</v>
      </c>
      <c r="H63" s="187">
        <f t="shared" si="6"/>
        <v>-107585.42370920378</v>
      </c>
      <c r="J63" s="16"/>
      <c r="U63" s="107"/>
      <c r="W63" s="118"/>
      <c r="X63" s="118" t="s">
        <v>165</v>
      </c>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row>
    <row r="64" spans="2:57" ht="16.5" thickBot="1">
      <c r="B64" s="21"/>
      <c r="C64" s="183"/>
      <c r="E64" s="1">
        <f>SUM(E28:E63)</f>
        <v>601062.6109589726</v>
      </c>
      <c r="F64" s="1">
        <f t="shared" ref="F64:G64" si="7">SUM(F28:F63)</f>
        <v>625020.78420253738</v>
      </c>
      <c r="G64" s="1">
        <f t="shared" si="7"/>
        <v>-23958.173243564586</v>
      </c>
      <c r="H64" s="1"/>
      <c r="J64" s="16"/>
      <c r="U64" s="107"/>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270" t="str">
        <f>D22</f>
        <v>SEVERO B. SINENSE</v>
      </c>
      <c r="AV64" s="270"/>
      <c r="AW64" s="270"/>
      <c r="AX64" s="270"/>
      <c r="AY64" s="270"/>
      <c r="AZ64" s="270"/>
      <c r="BA64" s="270"/>
      <c r="BB64" s="270"/>
      <c r="BC64" s="270"/>
      <c r="BD64" s="118"/>
      <c r="BE64" s="118"/>
    </row>
    <row r="65" spans="2:57" ht="15.75">
      <c r="B65" s="21"/>
      <c r="C65" s="183"/>
      <c r="E65" s="1"/>
      <c r="F65" s="184"/>
      <c r="G65" s="185"/>
      <c r="H65" s="184"/>
      <c r="J65" s="32"/>
      <c r="K65" s="33"/>
      <c r="L65" s="33"/>
      <c r="M65" s="33"/>
      <c r="N65" s="33"/>
      <c r="O65" s="34"/>
      <c r="P65" s="33"/>
      <c r="Q65" s="33"/>
      <c r="R65" s="33"/>
      <c r="S65" s="33"/>
      <c r="T65" s="33"/>
      <c r="U65" s="47"/>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231" t="s">
        <v>166</v>
      </c>
      <c r="AV65" s="306"/>
      <c r="AW65" s="306"/>
      <c r="AX65" s="306"/>
      <c r="AY65" s="306"/>
      <c r="AZ65" s="306"/>
      <c r="BA65" s="306"/>
      <c r="BB65" s="306"/>
      <c r="BC65" s="306"/>
      <c r="BD65" s="118"/>
      <c r="BE65" s="118"/>
    </row>
    <row r="66" spans="2:57" ht="15.75">
      <c r="B66" s="21"/>
      <c r="C66" s="183"/>
      <c r="E66" s="1"/>
      <c r="F66" s="184"/>
      <c r="G66" s="185"/>
      <c r="H66" s="184"/>
      <c r="J66" s="32"/>
      <c r="K66" s="33" t="s">
        <v>82</v>
      </c>
      <c r="L66" s="33"/>
      <c r="M66" s="33"/>
      <c r="N66" s="33"/>
      <c r="O66" s="34"/>
      <c r="P66" s="33"/>
      <c r="Q66" s="33"/>
      <c r="R66" s="33" t="s">
        <v>79</v>
      </c>
      <c r="S66" s="33"/>
      <c r="T66" s="33"/>
      <c r="U66" s="47"/>
      <c r="W66" s="118"/>
      <c r="X66" s="287" t="s">
        <v>167</v>
      </c>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c r="BC66" s="288"/>
      <c r="BD66" s="289"/>
      <c r="BE66" s="118"/>
    </row>
    <row r="67" spans="2:57" ht="15.75">
      <c r="B67" s="21"/>
      <c r="C67" s="183"/>
      <c r="E67" s="1"/>
      <c r="F67" s="184"/>
      <c r="G67" s="185"/>
      <c r="H67" s="184"/>
      <c r="J67" s="32"/>
      <c r="K67" s="33"/>
      <c r="L67" s="33"/>
      <c r="M67" s="33"/>
      <c r="N67" s="33"/>
      <c r="O67" s="34"/>
      <c r="P67" s="33"/>
      <c r="Q67" s="33"/>
      <c r="R67" s="33"/>
      <c r="S67" s="33"/>
      <c r="T67" s="33"/>
      <c r="U67" s="47"/>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row>
    <row r="68" spans="2:57" ht="15.75">
      <c r="B68" s="21"/>
      <c r="C68" s="183"/>
      <c r="E68" s="1"/>
      <c r="F68" s="184"/>
      <c r="G68" s="185"/>
      <c r="H68" s="184"/>
      <c r="J68" s="16"/>
      <c r="U68" s="107"/>
      <c r="W68" s="118"/>
      <c r="X68" s="118"/>
      <c r="Y68" s="118" t="s">
        <v>168</v>
      </c>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row>
    <row r="69" spans="2:57" ht="16.5" thickBot="1">
      <c r="B69" s="21"/>
      <c r="C69" s="183"/>
      <c r="E69" s="1"/>
      <c r="F69" s="184"/>
      <c r="G69" s="185"/>
      <c r="H69" s="184"/>
      <c r="J69" s="16"/>
      <c r="K69" s="307" t="str">
        <f>D22</f>
        <v>SEVERO B. SINENSE</v>
      </c>
      <c r="L69" s="307"/>
      <c r="M69" s="307"/>
      <c r="P69" s="308" t="s">
        <v>247</v>
      </c>
      <c r="Q69" s="308"/>
      <c r="R69" s="308"/>
      <c r="S69" s="308"/>
      <c r="T69" s="308"/>
      <c r="U69" s="194"/>
      <c r="W69" s="118"/>
      <c r="X69" s="118" t="s">
        <v>169</v>
      </c>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row>
    <row r="70" spans="2:57" ht="15.75">
      <c r="B70" s="21"/>
      <c r="C70" s="183"/>
      <c r="E70" s="1"/>
      <c r="F70" s="184"/>
      <c r="G70" s="185"/>
      <c r="H70" s="184"/>
      <c r="J70" s="32"/>
      <c r="K70" s="42" t="s">
        <v>83</v>
      </c>
      <c r="L70" s="42"/>
      <c r="M70" s="42"/>
      <c r="N70" s="33"/>
      <c r="O70" s="34"/>
      <c r="P70" s="33"/>
      <c r="Q70" s="33"/>
      <c r="R70" s="100" t="s">
        <v>81</v>
      </c>
      <c r="S70" s="100"/>
      <c r="T70" s="33"/>
      <c r="U70" s="47"/>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row>
    <row r="71" spans="2:57" ht="16.5" thickBot="1">
      <c r="B71" s="21"/>
      <c r="C71" s="183"/>
      <c r="E71" s="1"/>
      <c r="F71" s="184"/>
      <c r="G71" s="185"/>
      <c r="H71" s="184"/>
      <c r="J71" s="43"/>
      <c r="K71" s="44"/>
      <c r="L71" s="44"/>
      <c r="M71" s="44"/>
      <c r="N71" s="44"/>
      <c r="O71" s="45"/>
      <c r="P71" s="44"/>
      <c r="Q71" s="44"/>
      <c r="R71" s="44"/>
      <c r="S71" s="44"/>
      <c r="T71" s="44"/>
      <c r="U71" s="49"/>
      <c r="W71" s="118"/>
      <c r="X71" s="125"/>
      <c r="Y71" s="125"/>
      <c r="Z71" s="125"/>
      <c r="AA71" s="125"/>
      <c r="AB71" s="125"/>
      <c r="AC71" s="125"/>
      <c r="AD71" s="125"/>
      <c r="AE71" s="125"/>
      <c r="AF71" s="118"/>
      <c r="AG71" s="125"/>
      <c r="AH71" s="125"/>
      <c r="AI71" s="125"/>
      <c r="AJ71" s="125"/>
      <c r="AK71" s="125"/>
      <c r="AL71" s="125"/>
      <c r="AM71" s="125"/>
      <c r="AN71" s="118"/>
      <c r="AO71" s="118"/>
      <c r="AP71" s="125"/>
      <c r="AQ71" s="125"/>
      <c r="AR71" s="125"/>
      <c r="AS71" s="125"/>
      <c r="AT71" s="125"/>
      <c r="AU71" s="125"/>
      <c r="AV71" s="125"/>
      <c r="AW71" s="118"/>
      <c r="AX71" s="125"/>
      <c r="AY71" s="125"/>
      <c r="AZ71" s="125"/>
      <c r="BA71" s="125"/>
      <c r="BB71" s="125"/>
      <c r="BC71" s="125"/>
      <c r="BD71" s="125"/>
      <c r="BE71" s="118"/>
    </row>
    <row r="72" spans="2:57" ht="15.75">
      <c r="B72" s="21"/>
      <c r="C72" s="183"/>
      <c r="E72" s="1"/>
      <c r="F72" s="184"/>
      <c r="G72" s="185"/>
      <c r="H72" s="184"/>
      <c r="W72" s="118"/>
      <c r="X72" s="231" t="s">
        <v>170</v>
      </c>
      <c r="Y72" s="231"/>
      <c r="Z72" s="231"/>
      <c r="AA72" s="231"/>
      <c r="AB72" s="231"/>
      <c r="AC72" s="231"/>
      <c r="AD72" s="231"/>
      <c r="AE72" s="231"/>
      <c r="AF72" s="118"/>
      <c r="AG72" s="231" t="s">
        <v>171</v>
      </c>
      <c r="AH72" s="231"/>
      <c r="AI72" s="231"/>
      <c r="AJ72" s="231"/>
      <c r="AK72" s="231"/>
      <c r="AL72" s="231"/>
      <c r="AM72" s="231"/>
      <c r="AN72" s="118"/>
      <c r="AO72" s="118"/>
      <c r="AP72" s="231" t="s">
        <v>172</v>
      </c>
      <c r="AQ72" s="231"/>
      <c r="AR72" s="231"/>
      <c r="AS72" s="231"/>
      <c r="AT72" s="231"/>
      <c r="AU72" s="231"/>
      <c r="AV72" s="231"/>
      <c r="AW72" s="118"/>
      <c r="AX72" s="231" t="s">
        <v>173</v>
      </c>
      <c r="AY72" s="231"/>
      <c r="AZ72" s="231"/>
      <c r="BA72" s="231"/>
      <c r="BB72" s="231"/>
      <c r="BC72" s="231"/>
      <c r="BD72" s="231"/>
      <c r="BE72" s="118"/>
    </row>
    <row r="73" spans="2:57" ht="15.75">
      <c r="B73" s="21"/>
      <c r="C73" s="183"/>
      <c r="E73" s="1"/>
      <c r="F73" s="184"/>
      <c r="G73" s="185"/>
      <c r="H73" s="184"/>
      <c r="W73" s="118"/>
      <c r="X73" s="231" t="s">
        <v>174</v>
      </c>
      <c r="Y73" s="231"/>
      <c r="Z73" s="231"/>
      <c r="AA73" s="231"/>
      <c r="AB73" s="231"/>
      <c r="AC73" s="231"/>
      <c r="AD73" s="231"/>
      <c r="AE73" s="231"/>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row>
    <row r="74" spans="2:57" ht="15.75">
      <c r="B74" s="21"/>
      <c r="C74" s="183"/>
      <c r="E74" s="1"/>
      <c r="F74" s="184"/>
      <c r="G74" s="185"/>
      <c r="H74" s="184"/>
      <c r="W74" s="118"/>
      <c r="X74" s="287" t="s">
        <v>175</v>
      </c>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c r="BD74" s="304"/>
      <c r="BE74" s="118"/>
    </row>
    <row r="75" spans="2:57" ht="15.75">
      <c r="B75" s="21"/>
      <c r="C75" s="183"/>
      <c r="E75" s="1"/>
      <c r="F75" s="184"/>
      <c r="G75" s="185"/>
      <c r="H75" s="184"/>
      <c r="W75" s="118"/>
      <c r="X75" s="293" t="s">
        <v>176</v>
      </c>
      <c r="Y75" s="293"/>
      <c r="Z75" s="293"/>
      <c r="AA75" s="293" t="s">
        <v>177</v>
      </c>
      <c r="AB75" s="293"/>
      <c r="AC75" s="293"/>
      <c r="AD75" s="293"/>
      <c r="AE75" s="293" t="s">
        <v>178</v>
      </c>
      <c r="AF75" s="293"/>
      <c r="AG75" s="293"/>
      <c r="AH75" s="293"/>
      <c r="AI75" s="293"/>
      <c r="AJ75" s="293" t="s">
        <v>179</v>
      </c>
      <c r="AK75" s="293"/>
      <c r="AL75" s="293"/>
      <c r="AM75" s="293" t="s">
        <v>50</v>
      </c>
      <c r="AN75" s="293"/>
      <c r="AO75" s="293"/>
      <c r="AP75" s="293"/>
      <c r="AQ75" s="293"/>
      <c r="AR75" s="293" t="s">
        <v>180</v>
      </c>
      <c r="AS75" s="293"/>
      <c r="AT75" s="293"/>
      <c r="AU75" s="293" t="s">
        <v>181</v>
      </c>
      <c r="AV75" s="293"/>
      <c r="AW75" s="293"/>
      <c r="AX75" s="293"/>
      <c r="AY75" s="293"/>
      <c r="AZ75" s="293" t="s">
        <v>182</v>
      </c>
      <c r="BA75" s="293"/>
      <c r="BB75" s="293"/>
      <c r="BC75" s="293"/>
      <c r="BD75" s="293"/>
      <c r="BE75" s="118"/>
    </row>
    <row r="76" spans="2:57" ht="15.75">
      <c r="B76" s="21"/>
      <c r="C76" s="183"/>
      <c r="E76" s="1"/>
      <c r="F76" s="184"/>
      <c r="G76" s="185"/>
      <c r="H76" s="184"/>
      <c r="W76" s="118"/>
      <c r="X76" s="294"/>
      <c r="Y76" s="295"/>
      <c r="Z76" s="295"/>
      <c r="AA76" s="296"/>
      <c r="AB76" s="295"/>
      <c r="AC76" s="295"/>
      <c r="AD76" s="295"/>
      <c r="AE76" s="297"/>
      <c r="AF76" s="297"/>
      <c r="AG76" s="297"/>
      <c r="AH76" s="297"/>
      <c r="AI76" s="297"/>
      <c r="AJ76" s="298"/>
      <c r="AK76" s="295"/>
      <c r="AL76" s="295"/>
      <c r="AM76" s="299"/>
      <c r="AN76" s="300"/>
      <c r="AO76" s="300"/>
      <c r="AP76" s="300"/>
      <c r="AQ76" s="301"/>
      <c r="AR76" s="302"/>
      <c r="AS76" s="302"/>
      <c r="AT76" s="302"/>
      <c r="AU76" s="295"/>
      <c r="AV76" s="295"/>
      <c r="AW76" s="295"/>
      <c r="AX76" s="295"/>
      <c r="AY76" s="295"/>
      <c r="AZ76" s="297">
        <f>H23</f>
        <v>352669.13</v>
      </c>
      <c r="BA76" s="297"/>
      <c r="BB76" s="297"/>
      <c r="BC76" s="297"/>
      <c r="BD76" s="297"/>
      <c r="BE76" s="118"/>
    </row>
    <row r="77" spans="2:57" ht="15.75">
      <c r="B77" s="21"/>
      <c r="C77" s="183"/>
      <c r="E77" s="1"/>
      <c r="F77" s="184"/>
      <c r="G77" s="185"/>
      <c r="H77" s="184"/>
      <c r="W77" s="118"/>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118"/>
    </row>
    <row r="78" spans="2:57" ht="15.75">
      <c r="B78" s="21"/>
      <c r="C78" s="183"/>
      <c r="E78" s="1"/>
      <c r="F78" s="184"/>
      <c r="G78" s="185"/>
      <c r="H78" s="184"/>
      <c r="W78" s="118"/>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118"/>
    </row>
    <row r="79" spans="2:57" ht="15.75">
      <c r="B79" s="21"/>
      <c r="C79" s="183"/>
      <c r="E79" s="1"/>
      <c r="F79" s="184"/>
      <c r="G79" s="185"/>
      <c r="H79" s="184"/>
      <c r="W79" s="118"/>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118"/>
    </row>
    <row r="80" spans="2:57" ht="15.75">
      <c r="B80" s="21"/>
      <c r="C80" s="183"/>
      <c r="E80" s="1"/>
      <c r="F80" s="184"/>
      <c r="G80" s="185"/>
      <c r="H80" s="184"/>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row>
    <row r="81" spans="2:57" ht="15.75">
      <c r="B81" s="21"/>
      <c r="C81" s="183"/>
      <c r="E81" s="1"/>
      <c r="F81" s="184"/>
      <c r="G81" s="185"/>
      <c r="H81" s="184"/>
      <c r="W81" s="118"/>
      <c r="X81" s="287" t="s">
        <v>183</v>
      </c>
      <c r="Y81" s="288"/>
      <c r="Z81" s="288"/>
      <c r="AA81" s="288"/>
      <c r="AB81" s="288"/>
      <c r="AC81" s="288"/>
      <c r="AD81" s="288"/>
      <c r="AE81" s="288"/>
      <c r="AF81" s="288"/>
      <c r="AG81" s="288"/>
      <c r="AH81" s="288"/>
      <c r="AI81" s="288"/>
      <c r="AJ81" s="288"/>
      <c r="AK81" s="288"/>
      <c r="AL81" s="288"/>
      <c r="AM81" s="288"/>
      <c r="AN81" s="288"/>
      <c r="AO81" s="288"/>
      <c r="AP81" s="288"/>
      <c r="AQ81" s="288"/>
      <c r="AR81" s="288"/>
      <c r="AS81" s="288"/>
      <c r="AT81" s="288"/>
      <c r="AU81" s="288"/>
      <c r="AV81" s="288"/>
      <c r="AW81" s="288"/>
      <c r="AX81" s="288"/>
      <c r="AY81" s="288"/>
      <c r="AZ81" s="288"/>
      <c r="BA81" s="288"/>
      <c r="BB81" s="288"/>
      <c r="BC81" s="288"/>
      <c r="BD81" s="289"/>
      <c r="BE81" s="118"/>
    </row>
    <row r="82" spans="2:57" ht="15.75">
      <c r="B82" s="21"/>
      <c r="C82" s="183"/>
      <c r="E82" s="1"/>
      <c r="F82" s="184"/>
      <c r="G82" s="185"/>
      <c r="H82" s="184"/>
      <c r="W82" s="118"/>
      <c r="X82" s="290" t="s">
        <v>184</v>
      </c>
      <c r="Y82" s="291"/>
      <c r="Z82" s="291"/>
      <c r="AA82" s="291"/>
      <c r="AB82" s="292"/>
      <c r="AC82" s="290" t="s">
        <v>185</v>
      </c>
      <c r="AD82" s="291"/>
      <c r="AE82" s="291"/>
      <c r="AF82" s="292"/>
      <c r="AG82" s="290" t="s">
        <v>51</v>
      </c>
      <c r="AH82" s="291"/>
      <c r="AI82" s="291"/>
      <c r="AJ82" s="292"/>
      <c r="AK82" s="290" t="s">
        <v>186</v>
      </c>
      <c r="AL82" s="291"/>
      <c r="AM82" s="291"/>
      <c r="AN82" s="291"/>
      <c r="AO82" s="291"/>
      <c r="AP82" s="291"/>
      <c r="AQ82" s="292"/>
      <c r="AR82" s="290" t="s">
        <v>187</v>
      </c>
      <c r="AS82" s="291"/>
      <c r="AT82" s="291"/>
      <c r="AU82" s="291"/>
      <c r="AV82" s="292"/>
      <c r="AW82" s="290" t="s">
        <v>188</v>
      </c>
      <c r="AX82" s="291"/>
      <c r="AY82" s="291"/>
      <c r="AZ82" s="291"/>
      <c r="BA82" s="291"/>
      <c r="BB82" s="291"/>
      <c r="BC82" s="291"/>
      <c r="BD82" s="292"/>
      <c r="BE82" s="118"/>
    </row>
    <row r="83" spans="2:57" ht="15.75">
      <c r="B83" s="21"/>
      <c r="C83" s="183"/>
      <c r="E83" s="1"/>
      <c r="F83" s="184"/>
      <c r="G83" s="185"/>
      <c r="H83" s="184"/>
      <c r="W83" s="118"/>
      <c r="X83" s="277">
        <f>AZ76</f>
        <v>352669.13</v>
      </c>
      <c r="Y83" s="278"/>
      <c r="Z83" s="278"/>
      <c r="AA83" s="278"/>
      <c r="AB83" s="279"/>
      <c r="AC83" s="277">
        <f>R49</f>
        <v>16696.18363774924</v>
      </c>
      <c r="AD83" s="278"/>
      <c r="AE83" s="278"/>
      <c r="AF83" s="279"/>
      <c r="AG83" s="280">
        <f>R48</f>
        <v>36</v>
      </c>
      <c r="AH83" s="281"/>
      <c r="AI83" s="281"/>
      <c r="AJ83" s="282"/>
      <c r="AK83" s="277">
        <v>650</v>
      </c>
      <c r="AL83" s="278"/>
      <c r="AM83" s="278"/>
      <c r="AN83" s="278"/>
      <c r="AO83" s="278"/>
      <c r="AP83" s="278"/>
      <c r="AQ83" s="279"/>
      <c r="AR83" s="283"/>
      <c r="AS83" s="284"/>
      <c r="AT83" s="284"/>
      <c r="AU83" s="284"/>
      <c r="AV83" s="285"/>
      <c r="AW83" s="277">
        <f>C3</f>
        <v>601062.6109589726</v>
      </c>
      <c r="AX83" s="278"/>
      <c r="AY83" s="278"/>
      <c r="AZ83" s="278"/>
      <c r="BA83" s="278"/>
      <c r="BB83" s="278"/>
      <c r="BC83" s="278"/>
      <c r="BD83" s="279"/>
      <c r="BE83" s="118"/>
    </row>
    <row r="84" spans="2:57" ht="15.75">
      <c r="B84" s="21"/>
      <c r="C84" s="183"/>
      <c r="E84" s="1"/>
      <c r="F84" s="184"/>
      <c r="G84" s="185"/>
      <c r="H84" s="184"/>
      <c r="W84" s="118"/>
      <c r="X84" s="272" t="s">
        <v>189</v>
      </c>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118"/>
    </row>
    <row r="85" spans="2:57" ht="15.75">
      <c r="B85" s="21"/>
      <c r="C85" s="183"/>
      <c r="E85" s="1"/>
      <c r="F85" s="184"/>
      <c r="G85" s="185"/>
      <c r="H85" s="184"/>
      <c r="W85" s="118"/>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8"/>
    </row>
    <row r="86" spans="2:57" ht="16.5" thickBot="1">
      <c r="B86" s="21"/>
      <c r="C86" s="183"/>
      <c r="E86" s="1"/>
      <c r="F86" s="184"/>
      <c r="G86" s="185"/>
      <c r="H86" s="184"/>
      <c r="W86" s="118"/>
      <c r="X86" s="115"/>
      <c r="Y86" s="115"/>
      <c r="Z86" s="115"/>
      <c r="AA86" s="115"/>
      <c r="AB86" s="115"/>
      <c r="AC86" s="115"/>
      <c r="AD86" s="115"/>
      <c r="AE86" s="115"/>
      <c r="AF86" s="115"/>
      <c r="AG86" s="115"/>
      <c r="AH86" s="115"/>
      <c r="AI86" s="115"/>
      <c r="AJ86" s="273" t="s">
        <v>234</v>
      </c>
      <c r="AK86" s="273"/>
      <c r="AL86" s="273"/>
      <c r="AM86" s="273"/>
      <c r="AN86" s="273"/>
      <c r="AO86" s="273"/>
      <c r="AP86" s="273"/>
      <c r="AQ86" s="273"/>
      <c r="AR86" s="273"/>
      <c r="AS86" s="273"/>
      <c r="AT86" s="115"/>
      <c r="AU86" s="115"/>
      <c r="AV86" s="115"/>
      <c r="AW86" s="115"/>
      <c r="AX86" s="115"/>
      <c r="AY86" s="115"/>
      <c r="AZ86" s="115"/>
      <c r="BA86" s="115"/>
      <c r="BB86" s="115"/>
      <c r="BC86" s="115"/>
      <c r="BD86" s="115"/>
      <c r="BE86" s="118"/>
    </row>
    <row r="87" spans="2:57" ht="15.75">
      <c r="B87" s="21"/>
      <c r="C87" s="183"/>
      <c r="E87" s="1"/>
      <c r="F87" s="184"/>
      <c r="G87" s="185"/>
      <c r="H87" s="184"/>
      <c r="W87" s="231" t="s">
        <v>190</v>
      </c>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31"/>
      <c r="BA87" s="231"/>
      <c r="BB87" s="231"/>
      <c r="BC87" s="231"/>
      <c r="BD87" s="231"/>
      <c r="BE87" s="231"/>
    </row>
    <row r="88" spans="2:57" ht="15.75">
      <c r="C88" s="25"/>
      <c r="D88" s="26"/>
      <c r="E88" s="26">
        <f t="shared" ref="E88:G88" si="8">SUM(E28:E87)</f>
        <v>1202125.2219179452</v>
      </c>
      <c r="F88" s="26">
        <f t="shared" si="8"/>
        <v>1250041.5684050748</v>
      </c>
      <c r="G88" s="26">
        <f t="shared" si="8"/>
        <v>-47916.346487129173</v>
      </c>
      <c r="H88" s="27"/>
      <c r="I88" s="28"/>
      <c r="J88" s="2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row>
    <row r="89" spans="2:57" ht="15.75">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row>
    <row r="90" spans="2:57" ht="15.75">
      <c r="W90" s="118"/>
      <c r="X90" s="274" t="s">
        <v>191</v>
      </c>
      <c r="Y90" s="272"/>
      <c r="Z90" s="272"/>
      <c r="AA90" s="272"/>
      <c r="AB90" s="272"/>
      <c r="AC90" s="272"/>
      <c r="AD90" s="272"/>
      <c r="AE90" s="272"/>
      <c r="AF90" s="272"/>
      <c r="AG90" s="272"/>
      <c r="AH90" s="272"/>
      <c r="AI90" s="272"/>
      <c r="AJ90" s="272"/>
      <c r="AK90" s="272"/>
      <c r="AL90" s="272"/>
      <c r="AM90" s="272"/>
      <c r="AN90" s="275"/>
      <c r="AO90" s="274" t="s">
        <v>192</v>
      </c>
      <c r="AP90" s="272"/>
      <c r="AQ90" s="272"/>
      <c r="AR90" s="272"/>
      <c r="AS90" s="272"/>
      <c r="AT90" s="272"/>
      <c r="AU90" s="272"/>
      <c r="AV90" s="272"/>
      <c r="AW90" s="272"/>
      <c r="AX90" s="272"/>
      <c r="AY90" s="272"/>
      <c r="AZ90" s="272"/>
      <c r="BA90" s="272"/>
      <c r="BB90" s="272"/>
      <c r="BC90" s="272"/>
      <c r="BD90" s="275"/>
      <c r="BE90" s="118"/>
    </row>
    <row r="91" spans="2:57" ht="15.75">
      <c r="V91" s="33"/>
      <c r="W91" s="118"/>
      <c r="X91" s="175"/>
      <c r="Y91" s="142"/>
      <c r="Z91" s="142"/>
      <c r="AA91" s="142"/>
      <c r="AB91" s="142"/>
      <c r="AC91" s="142"/>
      <c r="AD91" s="142"/>
      <c r="AE91" s="142"/>
      <c r="AF91" s="142"/>
      <c r="AG91" s="142"/>
      <c r="AH91" s="142"/>
      <c r="AI91" s="142"/>
      <c r="AJ91" s="142"/>
      <c r="AK91" s="142"/>
      <c r="AL91" s="142"/>
      <c r="AM91" s="142"/>
      <c r="AN91" s="176"/>
      <c r="AO91" s="175"/>
      <c r="AP91" s="142"/>
      <c r="AQ91" s="142"/>
      <c r="AR91" s="142"/>
      <c r="AS91" s="142"/>
      <c r="AT91" s="142"/>
      <c r="AU91" s="142"/>
      <c r="AV91" s="142"/>
      <c r="AW91" s="142"/>
      <c r="AX91" s="142"/>
      <c r="AY91" s="142"/>
      <c r="AZ91" s="142"/>
      <c r="BA91" s="142"/>
      <c r="BB91" s="142"/>
      <c r="BC91" s="142"/>
      <c r="BD91" s="176"/>
      <c r="BE91" s="118"/>
    </row>
    <row r="92" spans="2:57" ht="15" customHeight="1" thickBot="1">
      <c r="V92" s="33"/>
      <c r="W92" s="118"/>
      <c r="X92" s="177"/>
      <c r="Y92" s="132"/>
      <c r="Z92" s="132"/>
      <c r="AA92" s="178"/>
      <c r="AB92" s="276" t="s">
        <v>235</v>
      </c>
      <c r="AC92" s="276"/>
      <c r="AD92" s="276"/>
      <c r="AE92" s="276"/>
      <c r="AF92" s="276"/>
      <c r="AG92" s="276"/>
      <c r="AH92" s="276"/>
      <c r="AI92" s="276"/>
      <c r="AJ92" s="276"/>
      <c r="AK92" s="178"/>
      <c r="AL92" s="178"/>
      <c r="AM92" s="178"/>
      <c r="AN92" s="179"/>
      <c r="AO92" s="177"/>
      <c r="AP92" s="118"/>
      <c r="AQ92" s="118"/>
      <c r="AR92" s="118"/>
      <c r="AS92" s="273" t="s">
        <v>43</v>
      </c>
      <c r="AT92" s="273"/>
      <c r="AU92" s="273"/>
      <c r="AV92" s="273"/>
      <c r="AW92" s="273"/>
      <c r="AX92" s="273"/>
      <c r="AY92" s="273"/>
      <c r="AZ92" s="273"/>
      <c r="BA92" s="118"/>
      <c r="BB92" s="118"/>
      <c r="BC92" s="118"/>
      <c r="BD92" s="180"/>
      <c r="BE92" s="118"/>
    </row>
    <row r="93" spans="2:57" ht="15.75">
      <c r="V93" s="33"/>
      <c r="W93" s="118"/>
      <c r="X93" s="267" t="s">
        <v>190</v>
      </c>
      <c r="Y93" s="268"/>
      <c r="Z93" s="268"/>
      <c r="AA93" s="268"/>
      <c r="AB93" s="268"/>
      <c r="AC93" s="268"/>
      <c r="AD93" s="268"/>
      <c r="AE93" s="268"/>
      <c r="AF93" s="268"/>
      <c r="AG93" s="268"/>
      <c r="AH93" s="268"/>
      <c r="AI93" s="268"/>
      <c r="AJ93" s="268"/>
      <c r="AK93" s="268"/>
      <c r="AL93" s="268"/>
      <c r="AM93" s="268"/>
      <c r="AN93" s="269"/>
      <c r="AO93" s="267" t="s">
        <v>190</v>
      </c>
      <c r="AP93" s="268"/>
      <c r="AQ93" s="268"/>
      <c r="AR93" s="268"/>
      <c r="AS93" s="268"/>
      <c r="AT93" s="268"/>
      <c r="AU93" s="268"/>
      <c r="AV93" s="268"/>
      <c r="AW93" s="268"/>
      <c r="AX93" s="268"/>
      <c r="AY93" s="268"/>
      <c r="AZ93" s="268"/>
      <c r="BA93" s="268"/>
      <c r="BB93" s="268"/>
      <c r="BC93" s="268"/>
      <c r="BD93" s="269"/>
      <c r="BE93" s="118"/>
    </row>
    <row r="94" spans="2:57" ht="15.75">
      <c r="V94" s="33"/>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row>
    <row r="95" spans="2:57" ht="15.75">
      <c r="V95" s="33"/>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row>
    <row r="96" spans="2:57">
      <c r="V96" s="33"/>
    </row>
    <row r="97" spans="22:57">
      <c r="V97" s="33"/>
    </row>
    <row r="98" spans="22:57">
      <c r="V98" s="33"/>
    </row>
    <row r="99" spans="22:57" ht="18.75">
      <c r="V99" s="33"/>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38"/>
      <c r="AS99" s="118"/>
      <c r="AT99" s="118"/>
      <c r="AU99" s="118"/>
      <c r="AV99" s="118"/>
      <c r="AW99" s="118"/>
      <c r="AX99" s="118"/>
      <c r="AY99" s="118"/>
      <c r="AZ99" s="118"/>
      <c r="BA99" s="118"/>
      <c r="BB99" s="118"/>
      <c r="BC99" s="118"/>
      <c r="BD99" s="118"/>
      <c r="BE99" s="118"/>
    </row>
    <row r="100" spans="22:57" ht="19.5" thickBot="1">
      <c r="V100" s="33"/>
      <c r="W100" s="118"/>
      <c r="X100" s="232" t="s">
        <v>193</v>
      </c>
      <c r="Y100" s="233"/>
      <c r="Z100" s="233"/>
      <c r="AA100" s="233"/>
      <c r="AB100" s="233"/>
      <c r="AC100" s="233"/>
      <c r="AD100" s="233"/>
      <c r="AE100" s="233"/>
      <c r="AF100" s="233"/>
      <c r="AG100" s="233"/>
      <c r="AH100" s="233"/>
      <c r="AI100" s="233"/>
      <c r="AJ100" s="233"/>
      <c r="AK100" s="233"/>
      <c r="AL100" s="270" t="str">
        <f>S30</f>
        <v>LV- 004-BO</v>
      </c>
      <c r="AM100" s="270"/>
      <c r="AN100" s="270"/>
      <c r="AO100" s="118"/>
      <c r="AP100" s="118"/>
      <c r="AQ100" s="118"/>
      <c r="AR100" s="118"/>
      <c r="AS100" s="118"/>
      <c r="AT100" s="118"/>
      <c r="AU100" s="118"/>
      <c r="AV100" s="118"/>
      <c r="AW100" s="118"/>
      <c r="AX100" s="118"/>
      <c r="AY100" s="118"/>
    </row>
    <row r="101" spans="22:57" ht="18" customHeight="1">
      <c r="V101" s="33"/>
      <c r="W101" s="118"/>
      <c r="X101" s="118"/>
      <c r="Y101" s="265" t="s">
        <v>230</v>
      </c>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71">
        <f>AW83</f>
        <v>601062.6109589726</v>
      </c>
      <c r="AZ101" s="265"/>
      <c r="BA101" s="265"/>
      <c r="BB101" s="265"/>
      <c r="BC101" s="265"/>
      <c r="BD101" s="265"/>
      <c r="BE101" s="138"/>
    </row>
    <row r="102" spans="22:57" ht="18" customHeight="1">
      <c r="V102" s="33"/>
      <c r="W102" s="118"/>
      <c r="X102" s="263"/>
      <c r="Y102" s="264"/>
      <c r="Z102" s="264"/>
      <c r="AA102" s="139" t="s">
        <v>231</v>
      </c>
      <c r="AB102" s="181">
        <f>AG83</f>
        <v>36</v>
      </c>
      <c r="AC102" s="265" t="s">
        <v>232</v>
      </c>
      <c r="AD102" s="265"/>
      <c r="AE102" s="265"/>
      <c r="AF102" s="265"/>
      <c r="AG102" s="265"/>
      <c r="AH102" s="265"/>
      <c r="AI102" s="265"/>
      <c r="AJ102" s="265"/>
      <c r="AK102" s="265"/>
      <c r="AL102" s="265"/>
      <c r="AM102" s="265"/>
      <c r="AN102" s="264">
        <f>AC83</f>
        <v>16696.18363774924</v>
      </c>
      <c r="AO102" s="264"/>
      <c r="AP102" s="264"/>
      <c r="AQ102" s="264"/>
      <c r="AR102" s="265" t="s">
        <v>233</v>
      </c>
      <c r="AS102" s="265"/>
      <c r="AT102" s="265"/>
      <c r="AU102" s="265"/>
      <c r="AV102" s="265"/>
      <c r="AW102" s="265"/>
      <c r="AX102" s="265"/>
      <c r="AY102" s="265"/>
      <c r="AZ102" s="265"/>
      <c r="BA102" s="265"/>
      <c r="BB102" s="265"/>
      <c r="BC102" s="265"/>
      <c r="BD102" s="265"/>
      <c r="BE102" s="138"/>
    </row>
    <row r="103" spans="22:57" ht="18" customHeight="1">
      <c r="V103" s="38"/>
      <c r="W103" s="118"/>
      <c r="X103" s="266">
        <f>R50</f>
        <v>45960</v>
      </c>
      <c r="Y103" s="266"/>
      <c r="Z103" s="266"/>
      <c r="AA103" s="266"/>
      <c r="AB103" s="242" t="s">
        <v>237</v>
      </c>
      <c r="AC103" s="242"/>
      <c r="AD103" s="242"/>
      <c r="AE103" s="242"/>
      <c r="AF103" s="242"/>
      <c r="AG103" s="242"/>
      <c r="AH103" s="242"/>
      <c r="AI103" s="242"/>
      <c r="AJ103" s="242"/>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138"/>
    </row>
    <row r="104" spans="22:57" ht="18" customHeight="1">
      <c r="V104" s="38"/>
      <c r="W104" s="118"/>
      <c r="X104" s="242" t="s">
        <v>236</v>
      </c>
      <c r="Y104" s="242"/>
      <c r="Z104" s="242"/>
      <c r="AA104" s="242"/>
      <c r="AB104" s="242"/>
      <c r="AC104" s="242"/>
      <c r="AD104" s="242"/>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2"/>
      <c r="BA104" s="242"/>
      <c r="BB104" s="242"/>
      <c r="BC104" s="242"/>
      <c r="BD104" s="242"/>
      <c r="BE104" s="138"/>
    </row>
    <row r="105" spans="22:57" ht="18" customHeight="1">
      <c r="V105" s="38"/>
      <c r="W105" s="118"/>
      <c r="X105" s="242" t="s">
        <v>194</v>
      </c>
      <c r="Y105" s="242"/>
      <c r="Z105" s="242"/>
      <c r="AA105" s="242"/>
      <c r="AB105" s="242"/>
      <c r="AC105" s="242"/>
      <c r="AD105" s="242"/>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138"/>
    </row>
    <row r="106" spans="22:57" ht="18.75">
      <c r="V106" s="33"/>
      <c r="W106" s="118"/>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138"/>
    </row>
    <row r="107" spans="22:57" ht="18.75">
      <c r="V107" s="33"/>
      <c r="W107" s="118"/>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138"/>
    </row>
    <row r="108" spans="22:57" ht="18" customHeight="1">
      <c r="V108" s="33"/>
      <c r="W108" s="118"/>
      <c r="X108" s="242" t="s">
        <v>195</v>
      </c>
      <c r="Y108" s="242"/>
      <c r="Z108" s="242"/>
      <c r="AA108" s="242"/>
      <c r="AB108" s="242"/>
      <c r="AC108" s="242"/>
      <c r="AD108" s="242"/>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138"/>
    </row>
    <row r="109" spans="22:57" ht="18.75">
      <c r="V109" s="36"/>
      <c r="W109" s="118"/>
      <c r="X109" s="242"/>
      <c r="Y109" s="242"/>
      <c r="Z109" s="242"/>
      <c r="AA109" s="242"/>
      <c r="AB109" s="242"/>
      <c r="AC109" s="242"/>
      <c r="AD109" s="242"/>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138"/>
    </row>
    <row r="110" spans="22:57" ht="18.75">
      <c r="V110" s="36"/>
      <c r="W110" s="118"/>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138"/>
    </row>
    <row r="111" spans="22:57" ht="18" customHeight="1">
      <c r="V111" s="36"/>
      <c r="W111" s="118"/>
      <c r="X111" s="242" t="s">
        <v>196</v>
      </c>
      <c r="Y111" s="242"/>
      <c r="Z111" s="242"/>
      <c r="AA111" s="242"/>
      <c r="AB111" s="242"/>
      <c r="AC111" s="242"/>
      <c r="AD111" s="242"/>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138"/>
    </row>
    <row r="112" spans="22:57" ht="18.75">
      <c r="V112" s="36"/>
      <c r="W112" s="118"/>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138"/>
    </row>
    <row r="113" spans="22:57" ht="18.75">
      <c r="V113" s="36"/>
      <c r="W113" s="118"/>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138"/>
    </row>
    <row r="114" spans="22:57" ht="18.75">
      <c r="V114" s="33"/>
      <c r="W114" s="118"/>
      <c r="X114" s="242"/>
      <c r="Y114" s="242"/>
      <c r="Z114" s="242"/>
      <c r="AA114" s="242"/>
      <c r="AB114" s="242"/>
      <c r="AC114" s="242"/>
      <c r="AD114" s="242"/>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138"/>
    </row>
    <row r="115" spans="22:57" ht="18.75">
      <c r="V115" s="33"/>
      <c r="W115" s="118"/>
      <c r="X115" s="242"/>
      <c r="Y115" s="242"/>
      <c r="Z115" s="242"/>
      <c r="AA115" s="242"/>
      <c r="AB115" s="242"/>
      <c r="AC115" s="242"/>
      <c r="AD115" s="242"/>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138"/>
    </row>
    <row r="116" spans="22:57" ht="18" customHeight="1">
      <c r="V116" s="33"/>
      <c r="W116" s="118"/>
      <c r="X116" s="242" t="s">
        <v>197</v>
      </c>
      <c r="Y116" s="242"/>
      <c r="Z116" s="242"/>
      <c r="AA116" s="242"/>
      <c r="AB116" s="242"/>
      <c r="AC116" s="242"/>
      <c r="AD116" s="242"/>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138"/>
    </row>
    <row r="117" spans="22:57" ht="18.75">
      <c r="V117" s="33"/>
      <c r="W117" s="118"/>
      <c r="X117" s="242"/>
      <c r="Y117" s="242"/>
      <c r="Z117" s="242"/>
      <c r="AA117" s="242"/>
      <c r="AB117" s="242"/>
      <c r="AC117" s="242"/>
      <c r="AD117" s="242"/>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138"/>
    </row>
    <row r="118" spans="22:57" ht="18.75">
      <c r="V118" s="33"/>
      <c r="W118" s="118"/>
      <c r="X118" s="242"/>
      <c r="Y118" s="242"/>
      <c r="Z118" s="242"/>
      <c r="AA118" s="242"/>
      <c r="AB118" s="242"/>
      <c r="AC118" s="242"/>
      <c r="AD118" s="242"/>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138"/>
    </row>
    <row r="119" spans="22:57" ht="19.5" thickBot="1">
      <c r="V119" s="33"/>
      <c r="W119" s="118"/>
      <c r="X119" s="242"/>
      <c r="Y119" s="242"/>
      <c r="Z119" s="242"/>
      <c r="AA119" s="242"/>
      <c r="AB119" s="242"/>
      <c r="AC119" s="242"/>
      <c r="AD119" s="242"/>
      <c r="AE119" s="242"/>
      <c r="AF119" s="242"/>
      <c r="AG119" s="242"/>
      <c r="AH119" s="242"/>
      <c r="AI119" s="242"/>
      <c r="AJ119" s="242"/>
      <c r="AK119" s="242"/>
      <c r="AL119" s="242"/>
      <c r="AM119" s="242"/>
      <c r="AN119" s="242"/>
      <c r="AO119" s="242"/>
      <c r="AP119" s="242"/>
      <c r="AQ119" s="242"/>
      <c r="AR119" s="242"/>
      <c r="AS119" s="242"/>
      <c r="AT119" s="242"/>
      <c r="AU119" s="242"/>
      <c r="AV119" s="242"/>
      <c r="AW119" s="242"/>
      <c r="AX119" s="242"/>
      <c r="AY119" s="242"/>
      <c r="AZ119" s="242"/>
      <c r="BA119" s="242"/>
      <c r="BB119" s="242"/>
      <c r="BC119" s="242"/>
      <c r="BD119" s="242"/>
      <c r="BE119" s="138"/>
    </row>
    <row r="120" spans="22:57" ht="15.75">
      <c r="V120" s="33"/>
      <c r="W120" s="118"/>
      <c r="X120" s="122"/>
      <c r="Y120" s="122"/>
      <c r="Z120" s="122"/>
      <c r="AA120" s="122"/>
      <c r="AB120" s="122"/>
      <c r="AC120" s="122"/>
      <c r="AD120" s="122"/>
      <c r="AE120" s="122"/>
      <c r="AF120" s="122"/>
      <c r="AG120" s="122"/>
      <c r="AH120" s="122"/>
      <c r="AI120" s="122"/>
      <c r="AJ120" s="122"/>
      <c r="AK120" s="122"/>
      <c r="AL120" s="123"/>
      <c r="AM120" s="118" t="s">
        <v>198</v>
      </c>
      <c r="AN120" s="118"/>
      <c r="AO120" s="124"/>
      <c r="AP120" s="118"/>
      <c r="AQ120" s="118"/>
      <c r="AR120" s="122"/>
      <c r="AS120" s="122"/>
      <c r="AT120" s="243"/>
      <c r="AU120" s="244"/>
      <c r="AV120" s="244"/>
      <c r="AW120" s="244"/>
      <c r="AX120" s="245"/>
      <c r="AY120" s="144"/>
      <c r="AZ120" s="252"/>
      <c r="BA120" s="253"/>
      <c r="BB120" s="253"/>
      <c r="BC120" s="253"/>
      <c r="BD120" s="254"/>
      <c r="BE120" s="122"/>
    </row>
    <row r="121" spans="22:57" ht="15.75">
      <c r="V121" s="33"/>
      <c r="W121" s="118"/>
      <c r="X121" s="118"/>
      <c r="Y121" s="118"/>
      <c r="Z121" s="118"/>
      <c r="AA121" s="118"/>
      <c r="AB121" s="118"/>
      <c r="AC121" s="118"/>
      <c r="AD121" s="118"/>
      <c r="AE121" s="118"/>
      <c r="AF121" s="118"/>
      <c r="AG121" s="118"/>
      <c r="AH121" s="118"/>
      <c r="AI121" s="118"/>
      <c r="AJ121" s="118"/>
      <c r="AK121" s="118"/>
      <c r="AL121" s="123"/>
      <c r="AM121" s="118" t="s">
        <v>199</v>
      </c>
      <c r="AN121" s="118"/>
      <c r="AO121" s="118"/>
      <c r="AP121" s="118"/>
      <c r="AQ121" s="118"/>
      <c r="AR121" s="118"/>
      <c r="AS121" s="118"/>
      <c r="AT121" s="246"/>
      <c r="AU121" s="247"/>
      <c r="AV121" s="247"/>
      <c r="AW121" s="247"/>
      <c r="AX121" s="248"/>
      <c r="AY121" s="122"/>
      <c r="AZ121" s="255"/>
      <c r="BA121" s="256"/>
      <c r="BB121" s="256"/>
      <c r="BC121" s="256"/>
      <c r="BD121" s="257"/>
      <c r="BE121" s="122"/>
    </row>
    <row r="122" spans="22:57" ht="15.75">
      <c r="V122" s="33"/>
      <c r="W122" s="118"/>
      <c r="X122" s="118"/>
      <c r="Y122" s="118"/>
      <c r="Z122" s="118"/>
      <c r="AA122" s="118"/>
      <c r="AB122" s="118"/>
      <c r="AC122" s="118"/>
      <c r="AD122" s="118"/>
      <c r="AE122" s="118"/>
      <c r="AF122" s="118"/>
      <c r="AG122" s="118"/>
      <c r="AH122" s="118"/>
      <c r="AI122" s="118"/>
      <c r="AJ122" s="118"/>
      <c r="AK122" s="118"/>
      <c r="AL122" s="123"/>
      <c r="AM122" s="118" t="s">
        <v>200</v>
      </c>
      <c r="AN122" s="118"/>
      <c r="AO122" s="118"/>
      <c r="AP122" s="118"/>
      <c r="AQ122" s="118"/>
      <c r="AR122" s="118"/>
      <c r="AS122" s="118"/>
      <c r="AT122" s="246"/>
      <c r="AU122" s="247"/>
      <c r="AV122" s="247"/>
      <c r="AW122" s="247"/>
      <c r="AX122" s="248"/>
      <c r="AY122" s="122"/>
      <c r="AZ122" s="255"/>
      <c r="BA122" s="256"/>
      <c r="BB122" s="256"/>
      <c r="BC122" s="256"/>
      <c r="BD122" s="257"/>
      <c r="BE122" s="122"/>
    </row>
    <row r="123" spans="22:57" ht="16.5" thickBot="1">
      <c r="V123" s="33"/>
      <c r="W123" s="118"/>
      <c r="X123" s="118"/>
      <c r="Y123" s="118"/>
      <c r="Z123" s="261" t="str">
        <f>N32</f>
        <v>SEVERO B. SINENSE</v>
      </c>
      <c r="AA123" s="261"/>
      <c r="AB123" s="261"/>
      <c r="AC123" s="261"/>
      <c r="AD123" s="261"/>
      <c r="AE123" s="261"/>
      <c r="AF123" s="261"/>
      <c r="AG123" s="261"/>
      <c r="AH123" s="261"/>
      <c r="AI123" s="118"/>
      <c r="AJ123" s="118"/>
      <c r="AK123" s="118"/>
      <c r="AL123" s="123"/>
      <c r="AM123" s="118" t="s">
        <v>115</v>
      </c>
      <c r="AN123" s="118"/>
      <c r="AO123" s="125"/>
      <c r="AP123" s="125"/>
      <c r="AQ123" s="125"/>
      <c r="AR123" s="118"/>
      <c r="AS123" s="118"/>
      <c r="AT123" s="246"/>
      <c r="AU123" s="247"/>
      <c r="AV123" s="247"/>
      <c r="AW123" s="247"/>
      <c r="AX123" s="248"/>
      <c r="AY123" s="122"/>
      <c r="AZ123" s="255"/>
      <c r="BA123" s="256"/>
      <c r="BB123" s="256"/>
      <c r="BC123" s="256"/>
      <c r="BD123" s="257"/>
      <c r="BE123" s="122"/>
    </row>
    <row r="124" spans="22:57" ht="15.75">
      <c r="V124" s="33"/>
      <c r="W124" s="118"/>
      <c r="X124" s="262" t="s">
        <v>201</v>
      </c>
      <c r="Y124" s="262"/>
      <c r="Z124" s="262"/>
      <c r="AA124" s="262"/>
      <c r="AB124" s="262"/>
      <c r="AC124" s="262"/>
      <c r="AD124" s="262"/>
      <c r="AE124" s="262"/>
      <c r="AF124" s="262"/>
      <c r="AG124" s="262"/>
      <c r="AH124" s="262"/>
      <c r="AI124" s="262"/>
      <c r="AJ124" s="262"/>
      <c r="AK124" s="118"/>
      <c r="AL124" s="118"/>
      <c r="AM124" s="118"/>
      <c r="AN124" s="118"/>
      <c r="AO124" s="118"/>
      <c r="AP124" s="118"/>
      <c r="AQ124" s="118"/>
      <c r="AR124" s="118"/>
      <c r="AS124" s="118"/>
      <c r="AT124" s="246"/>
      <c r="AU124" s="247"/>
      <c r="AV124" s="247"/>
      <c r="AW124" s="247"/>
      <c r="AX124" s="248"/>
      <c r="AY124" s="122"/>
      <c r="AZ124" s="255"/>
      <c r="BA124" s="256"/>
      <c r="BB124" s="256"/>
      <c r="BC124" s="256"/>
      <c r="BD124" s="257"/>
      <c r="BE124" s="122"/>
    </row>
    <row r="125" spans="22:57" ht="15.75">
      <c r="V125" s="33"/>
      <c r="W125" s="118"/>
      <c r="X125" s="115"/>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246"/>
      <c r="AU125" s="247"/>
      <c r="AV125" s="247"/>
      <c r="AW125" s="247"/>
      <c r="AX125" s="248"/>
      <c r="AY125" s="122"/>
      <c r="AZ125" s="255"/>
      <c r="BA125" s="256"/>
      <c r="BB125" s="256"/>
      <c r="BC125" s="256"/>
      <c r="BD125" s="257"/>
      <c r="BE125" s="122"/>
    </row>
    <row r="126" spans="22:57" ht="16.5" thickBot="1">
      <c r="V126" s="33"/>
      <c r="W126" s="118"/>
      <c r="X126" s="118" t="s">
        <v>202</v>
      </c>
      <c r="Y126" s="118"/>
      <c r="Z126" s="125"/>
      <c r="AA126" s="125"/>
      <c r="AB126" s="125"/>
      <c r="AC126" s="125"/>
      <c r="AD126" s="125"/>
      <c r="AE126" s="125"/>
      <c r="AF126" s="125"/>
      <c r="AG126" s="125"/>
      <c r="AH126" s="125"/>
      <c r="AI126" s="125"/>
      <c r="AJ126" s="118"/>
      <c r="AK126" s="118"/>
      <c r="AL126" s="118"/>
      <c r="AM126" s="118"/>
      <c r="AN126" s="118"/>
      <c r="AO126" s="118"/>
      <c r="AP126" s="118"/>
      <c r="AQ126" s="118"/>
      <c r="AR126" s="118"/>
      <c r="AS126" s="118"/>
      <c r="AT126" s="249"/>
      <c r="AU126" s="250"/>
      <c r="AV126" s="250"/>
      <c r="AW126" s="250"/>
      <c r="AX126" s="251"/>
      <c r="AY126" s="145"/>
      <c r="AZ126" s="258"/>
      <c r="BA126" s="259"/>
      <c r="BB126" s="259"/>
      <c r="BC126" s="259"/>
      <c r="BD126" s="260"/>
      <c r="BE126" s="122"/>
    </row>
    <row r="127" spans="22:57" ht="16.5" thickBot="1">
      <c r="V127" s="33"/>
      <c r="W127" s="118"/>
      <c r="X127" s="118" t="s">
        <v>203</v>
      </c>
      <c r="Y127" s="118"/>
      <c r="Z127" s="118"/>
      <c r="AA127" s="118"/>
      <c r="AB127" s="126"/>
      <c r="AC127" s="126"/>
      <c r="AD127" s="126"/>
      <c r="AE127" s="126"/>
      <c r="AF127" s="126"/>
      <c r="AG127" s="126"/>
      <c r="AH127" s="126"/>
      <c r="AI127" s="126"/>
      <c r="AJ127" s="118"/>
      <c r="AK127" s="118"/>
      <c r="AL127" s="118"/>
      <c r="AM127" s="118"/>
      <c r="AN127" s="118"/>
      <c r="AO127" s="118"/>
      <c r="AP127" s="118"/>
      <c r="AQ127" s="118"/>
      <c r="AR127" s="118"/>
      <c r="AS127" s="118"/>
      <c r="AT127" s="238" t="s">
        <v>204</v>
      </c>
      <c r="AU127" s="238"/>
      <c r="AV127" s="238"/>
      <c r="AW127" s="238"/>
      <c r="AX127" s="238"/>
      <c r="AY127" s="147"/>
      <c r="AZ127" s="238" t="s">
        <v>205</v>
      </c>
      <c r="BA127" s="238"/>
      <c r="BB127" s="238"/>
      <c r="BC127" s="238"/>
      <c r="BD127" s="238"/>
      <c r="BE127" s="146"/>
    </row>
    <row r="128" spans="22:57" ht="15.75">
      <c r="V128" s="33"/>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row>
    <row r="129" spans="10:57" ht="15.75">
      <c r="V129" s="33"/>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row>
    <row r="130" spans="10:57" ht="18.75">
      <c r="V130" s="33"/>
      <c r="W130" s="118"/>
      <c r="X130" s="232" t="s">
        <v>206</v>
      </c>
      <c r="Y130" s="233"/>
      <c r="Z130" s="233"/>
      <c r="AA130" s="233"/>
      <c r="AB130" s="233"/>
      <c r="AC130" s="233"/>
      <c r="AD130" s="233"/>
      <c r="AE130" s="233"/>
      <c r="AF130" s="233"/>
      <c r="AG130" s="233"/>
      <c r="AH130" s="233"/>
      <c r="AI130" s="233"/>
      <c r="AJ130" s="233"/>
      <c r="AK130" s="233"/>
      <c r="AL130" s="233"/>
      <c r="AM130" s="233"/>
      <c r="AN130" s="233"/>
      <c r="AO130" s="233"/>
      <c r="AP130" s="233"/>
      <c r="AQ130" s="233"/>
      <c r="AR130" s="233"/>
      <c r="AS130" s="233"/>
      <c r="AT130" s="233"/>
      <c r="AU130" s="233"/>
      <c r="AV130" s="233"/>
      <c r="AW130" s="233"/>
      <c r="AX130" s="233"/>
      <c r="AY130" s="233"/>
      <c r="AZ130" s="233"/>
      <c r="BA130" s="233"/>
      <c r="BB130" s="233"/>
      <c r="BC130" s="233"/>
      <c r="BD130" s="233"/>
      <c r="BE130" s="233"/>
    </row>
    <row r="131" spans="10:57" ht="15.75">
      <c r="V131" s="33"/>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row>
    <row r="132" spans="10:57" ht="17.25">
      <c r="V132" s="33"/>
      <c r="W132" s="118"/>
      <c r="X132" s="127" t="s">
        <v>207</v>
      </c>
      <c r="Y132" s="119"/>
      <c r="Z132" s="119"/>
      <c r="AA132" s="119"/>
      <c r="AB132" s="119"/>
      <c r="AC132" s="119"/>
      <c r="AD132" s="119"/>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row>
    <row r="133" spans="10:57" ht="17.25">
      <c r="V133" s="33"/>
      <c r="W133" s="118"/>
      <c r="X133" s="121" t="s">
        <v>208</v>
      </c>
      <c r="Y133" s="119"/>
      <c r="Z133" s="119"/>
      <c r="AA133" s="119"/>
      <c r="AB133" s="119"/>
      <c r="AC133" s="119"/>
      <c r="AD133" s="119"/>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row>
    <row r="134" spans="10:57" ht="17.25">
      <c r="V134" s="33"/>
      <c r="W134" s="118"/>
      <c r="X134" s="119"/>
      <c r="Y134" s="119"/>
      <c r="Z134" s="119"/>
      <c r="AA134" s="119"/>
      <c r="AB134" s="119"/>
      <c r="AC134" s="119"/>
      <c r="AD134" s="119"/>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row>
    <row r="135" spans="10:57" ht="17.45" customHeight="1">
      <c r="J135" s="33"/>
      <c r="K135" s="33"/>
      <c r="L135" s="33"/>
      <c r="M135" s="33"/>
      <c r="N135" s="33"/>
      <c r="O135" s="34"/>
      <c r="P135" s="33"/>
      <c r="Q135" s="33"/>
      <c r="R135" s="33"/>
      <c r="S135" s="33"/>
      <c r="T135" s="33"/>
      <c r="U135" s="33"/>
      <c r="V135" s="33"/>
      <c r="W135" s="118"/>
      <c r="X135" s="239" t="s">
        <v>209</v>
      </c>
      <c r="Y135" s="239"/>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150"/>
    </row>
    <row r="136" spans="10:57" ht="17.25">
      <c r="W136" s="118"/>
      <c r="X136" s="240" t="s">
        <v>210</v>
      </c>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0"/>
      <c r="AY136" s="240"/>
      <c r="AZ136" s="240"/>
      <c r="BA136" s="240"/>
      <c r="BB136" s="240"/>
      <c r="BC136" s="240"/>
      <c r="BD136" s="240"/>
      <c r="BE136" s="150"/>
    </row>
    <row r="137" spans="10:57" ht="17.25">
      <c r="W137" s="118"/>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0"/>
      <c r="AY137" s="240"/>
      <c r="AZ137" s="240"/>
      <c r="BA137" s="240"/>
      <c r="BB137" s="240"/>
      <c r="BC137" s="240"/>
      <c r="BD137" s="240"/>
      <c r="BE137" s="150"/>
    </row>
    <row r="138" spans="10:57" ht="17.25">
      <c r="W138" s="118"/>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0"/>
      <c r="AY138" s="240"/>
      <c r="AZ138" s="240"/>
      <c r="BA138" s="240"/>
      <c r="BB138" s="240"/>
      <c r="BC138" s="240"/>
      <c r="BD138" s="240"/>
      <c r="BE138" s="150"/>
    </row>
    <row r="139" spans="10:57" ht="17.25">
      <c r="W139" s="118"/>
      <c r="X139" s="240"/>
      <c r="Y139" s="240"/>
      <c r="Z139" s="240"/>
      <c r="AA139" s="240"/>
      <c r="AB139" s="240"/>
      <c r="AC139" s="240"/>
      <c r="AD139" s="240"/>
      <c r="AE139" s="240"/>
      <c r="AF139" s="240"/>
      <c r="AG139" s="240"/>
      <c r="AH139" s="240"/>
      <c r="AI139" s="240"/>
      <c r="AJ139" s="240"/>
      <c r="AK139" s="240"/>
      <c r="AL139" s="240"/>
      <c r="AM139" s="240"/>
      <c r="AN139" s="240"/>
      <c r="AO139" s="240"/>
      <c r="AP139" s="240"/>
      <c r="AQ139" s="240"/>
      <c r="AR139" s="240"/>
      <c r="AS139" s="240"/>
      <c r="AT139" s="240"/>
      <c r="AU139" s="240"/>
      <c r="AV139" s="240"/>
      <c r="AW139" s="240"/>
      <c r="AX139" s="240"/>
      <c r="AY139" s="240"/>
      <c r="AZ139" s="240"/>
      <c r="BA139" s="240"/>
      <c r="BB139" s="240"/>
      <c r="BC139" s="240"/>
      <c r="BD139" s="240"/>
      <c r="BE139" s="129"/>
    </row>
    <row r="140" spans="10:57" ht="17.25">
      <c r="W140" s="118"/>
      <c r="X140" s="119"/>
      <c r="Y140" s="120" t="s">
        <v>211</v>
      </c>
      <c r="Z140" s="119"/>
      <c r="AA140" s="119"/>
      <c r="AB140" s="119"/>
      <c r="AC140" s="119"/>
      <c r="AD140" s="119"/>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row>
    <row r="141" spans="10:57" ht="17.25">
      <c r="W141" s="118"/>
      <c r="X141" s="119"/>
      <c r="Y141" s="119"/>
      <c r="Z141" s="119"/>
      <c r="AA141" s="119"/>
      <c r="AB141" s="119"/>
      <c r="AC141" s="119"/>
      <c r="AD141" s="119"/>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row>
    <row r="142" spans="10:57" ht="18" thickBot="1">
      <c r="W142" s="118"/>
      <c r="X142" s="130" t="s">
        <v>212</v>
      </c>
      <c r="Y142" s="119"/>
      <c r="Z142" s="119"/>
      <c r="AA142" s="241"/>
      <c r="AB142" s="241"/>
      <c r="AC142" s="241"/>
      <c r="AD142" s="119"/>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row>
    <row r="143" spans="10:57" ht="18" thickBot="1">
      <c r="W143" s="118"/>
      <c r="X143" s="130" t="s">
        <v>213</v>
      </c>
      <c r="Y143" s="119"/>
      <c r="Z143" s="119"/>
      <c r="AA143" s="234"/>
      <c r="AB143" s="234"/>
      <c r="AC143" s="234"/>
      <c r="AD143" s="119"/>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row>
    <row r="144" spans="10:57" ht="18" thickBot="1">
      <c r="W144" s="118"/>
      <c r="X144" s="130" t="s">
        <v>214</v>
      </c>
      <c r="Y144" s="119"/>
      <c r="Z144" s="119"/>
      <c r="AA144" s="234"/>
      <c r="AB144" s="234"/>
      <c r="AC144" s="234"/>
      <c r="AD144" s="119"/>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row>
    <row r="145" spans="23:57" ht="18" thickBot="1">
      <c r="W145" s="118"/>
      <c r="X145" s="130" t="s">
        <v>215</v>
      </c>
      <c r="Y145" s="119"/>
      <c r="Z145" s="119"/>
      <c r="AA145" s="234"/>
      <c r="AB145" s="234"/>
      <c r="AC145" s="234"/>
      <c r="AD145" s="119"/>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row>
    <row r="146" spans="23:57" ht="15.75">
      <c r="W146" s="118"/>
      <c r="X146" s="131"/>
      <c r="Y146" s="118"/>
      <c r="Z146" s="118"/>
      <c r="AA146" s="132"/>
      <c r="AB146" s="132"/>
      <c r="AC146" s="132"/>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row>
    <row r="147" spans="23:57" ht="18.75">
      <c r="W147" s="118"/>
      <c r="X147" s="232" t="s">
        <v>216</v>
      </c>
      <c r="Y147" s="233"/>
      <c r="Z147" s="233"/>
      <c r="AA147" s="233"/>
      <c r="AB147" s="233"/>
      <c r="AC147" s="233"/>
      <c r="AD147" s="233"/>
      <c r="AE147" s="233"/>
      <c r="AF147" s="233"/>
      <c r="AG147" s="233"/>
      <c r="AH147" s="233"/>
      <c r="AI147" s="233"/>
      <c r="AJ147" s="233"/>
      <c r="AK147" s="233"/>
      <c r="AL147" s="233"/>
      <c r="AM147" s="233"/>
      <c r="AN147" s="233"/>
      <c r="AO147" s="233"/>
      <c r="AP147" s="233"/>
      <c r="AQ147" s="233"/>
      <c r="AR147" s="233"/>
      <c r="AS147" s="233"/>
      <c r="AT147" s="233"/>
      <c r="AU147" s="233"/>
      <c r="AV147" s="233"/>
      <c r="AW147" s="233"/>
      <c r="AX147" s="233"/>
      <c r="AY147" s="233"/>
      <c r="AZ147" s="233"/>
      <c r="BA147" s="233"/>
      <c r="BB147" s="233"/>
      <c r="BC147" s="233"/>
      <c r="BD147" s="233"/>
      <c r="BE147" s="148"/>
    </row>
    <row r="148" spans="23:57" ht="15.75">
      <c r="W148" s="118"/>
      <c r="X148" s="133"/>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row>
    <row r="149" spans="23:57" ht="17.25">
      <c r="W149" s="118"/>
      <c r="X149" s="119"/>
      <c r="Y149" s="119" t="s">
        <v>217</v>
      </c>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row>
    <row r="150" spans="23:57" ht="17.25">
      <c r="W150" s="118"/>
      <c r="X150" s="135" t="s">
        <v>218</v>
      </c>
      <c r="Y150" s="119"/>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row>
    <row r="151" spans="23:57" ht="19.5" thickBot="1">
      <c r="W151" s="118"/>
      <c r="X151" s="135" t="s">
        <v>219</v>
      </c>
      <c r="Y151" s="119"/>
      <c r="Z151" s="118"/>
      <c r="AA151" s="118"/>
      <c r="AB151" s="118"/>
      <c r="AC151" s="125"/>
      <c r="AD151" s="235">
        <f>AN102</f>
        <v>16696.18363774924</v>
      </c>
      <c r="AE151" s="235"/>
      <c r="AF151" s="235"/>
      <c r="AG151" s="235"/>
      <c r="AH151" s="236" t="s">
        <v>220</v>
      </c>
      <c r="AI151" s="236"/>
      <c r="AJ151" s="236"/>
      <c r="AK151" s="236"/>
      <c r="AL151" s="182">
        <f>AB102</f>
        <v>36</v>
      </c>
      <c r="AM151" s="128" t="s">
        <v>221</v>
      </c>
      <c r="AQ151" s="118"/>
      <c r="AR151" s="118"/>
      <c r="AS151" s="118"/>
      <c r="AT151" s="118"/>
      <c r="AU151" s="237">
        <f>AW83</f>
        <v>601062.6109589726</v>
      </c>
      <c r="AV151" s="237"/>
      <c r="AW151" s="237"/>
      <c r="AX151" s="237"/>
      <c r="AY151" s="237"/>
      <c r="AZ151" s="128" t="s">
        <v>222</v>
      </c>
      <c r="BA151" s="149"/>
      <c r="BB151" s="149"/>
      <c r="BC151" s="149"/>
      <c r="BE151" s="118"/>
    </row>
    <row r="152" spans="23:57" ht="17.25">
      <c r="W152" s="118"/>
      <c r="X152" s="119"/>
      <c r="Y152" s="120" t="s">
        <v>223</v>
      </c>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row>
    <row r="153" spans="23:57" ht="17.25">
      <c r="W153" s="118"/>
      <c r="X153" s="120" t="s">
        <v>224</v>
      </c>
      <c r="Y153" s="119"/>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row>
    <row r="154" spans="23:57" ht="15.75">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row>
    <row r="155" spans="23:57" ht="19.5" thickBot="1">
      <c r="W155" s="118"/>
      <c r="X155" s="118"/>
      <c r="Y155" s="118"/>
      <c r="Z155" s="118"/>
      <c r="AA155" s="118"/>
      <c r="AB155" s="118"/>
      <c r="AC155" s="118"/>
      <c r="AD155" s="118"/>
      <c r="AE155" s="118"/>
      <c r="AF155" s="118"/>
      <c r="AG155" s="118"/>
      <c r="AH155" s="118"/>
      <c r="AI155" s="118"/>
      <c r="AJ155" s="125"/>
      <c r="AK155" s="125"/>
      <c r="AL155" s="125"/>
      <c r="AM155" s="140" t="str">
        <f>Z123</f>
        <v>SEVERO B. SINENSE</v>
      </c>
      <c r="AN155" s="125"/>
      <c r="AO155" s="125"/>
      <c r="AP155" s="125"/>
      <c r="AQ155" s="125"/>
      <c r="AR155" s="125"/>
      <c r="AS155" s="125"/>
      <c r="AT155" s="125"/>
      <c r="AU155" s="125"/>
      <c r="AV155" s="118"/>
      <c r="AW155" s="118"/>
      <c r="AX155" s="118"/>
      <c r="AY155" s="118"/>
      <c r="AZ155" s="118"/>
      <c r="BA155" s="118"/>
      <c r="BB155" s="118"/>
      <c r="BC155" s="118"/>
      <c r="BD155" s="118"/>
      <c r="BE155" s="118"/>
    </row>
    <row r="156" spans="23:57" ht="15.75">
      <c r="W156" s="118"/>
      <c r="X156" s="231" t="s">
        <v>225</v>
      </c>
      <c r="Y156" s="231"/>
      <c r="Z156" s="231"/>
      <c r="AA156" s="231"/>
      <c r="AB156" s="231"/>
      <c r="AC156" s="231"/>
      <c r="AD156" s="231"/>
      <c r="AE156" s="231"/>
      <c r="AF156" s="231"/>
      <c r="AG156" s="231"/>
      <c r="AH156" s="231"/>
      <c r="AI156" s="231"/>
      <c r="AJ156" s="231"/>
      <c r="AK156" s="231"/>
      <c r="AL156" s="231"/>
      <c r="AM156" s="231"/>
      <c r="AN156" s="231"/>
      <c r="AO156" s="231"/>
      <c r="AP156" s="231"/>
      <c r="AQ156" s="231"/>
      <c r="AR156" s="231"/>
      <c r="AS156" s="231"/>
      <c r="AT156" s="231"/>
      <c r="AU156" s="231"/>
      <c r="AV156" s="231"/>
      <c r="AW156" s="231"/>
      <c r="AX156" s="231"/>
      <c r="AY156" s="231"/>
      <c r="AZ156" s="231"/>
      <c r="BA156" s="231"/>
      <c r="BB156" s="231"/>
      <c r="BC156" s="231"/>
      <c r="BD156" s="231"/>
      <c r="BE156" s="115"/>
    </row>
    <row r="157" spans="23:57" ht="15.75">
      <c r="W157" s="118"/>
      <c r="X157" s="137"/>
      <c r="Y157" s="137"/>
      <c r="Z157" s="137"/>
      <c r="AA157" s="137"/>
      <c r="AB157" s="137"/>
      <c r="AC157" s="137"/>
      <c r="AD157" s="137"/>
      <c r="AE157" s="137"/>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42"/>
    </row>
    <row r="158" spans="23:57" ht="18.75">
      <c r="W158" s="118"/>
      <c r="X158" s="232" t="s">
        <v>167</v>
      </c>
      <c r="Y158" s="233"/>
      <c r="Z158" s="233"/>
      <c r="AA158" s="233"/>
      <c r="AB158" s="233"/>
      <c r="AC158" s="233"/>
      <c r="AD158" s="233"/>
      <c r="AE158" s="233"/>
      <c r="AF158" s="233"/>
      <c r="AG158" s="233"/>
      <c r="AH158" s="233"/>
      <c r="AI158" s="233"/>
      <c r="AJ158" s="233"/>
      <c r="AK158" s="233"/>
      <c r="AL158" s="233"/>
      <c r="AM158" s="233"/>
      <c r="AN158" s="233"/>
      <c r="AO158" s="233"/>
      <c r="AP158" s="233"/>
      <c r="AQ158" s="233"/>
      <c r="AR158" s="233"/>
      <c r="AS158" s="233"/>
      <c r="AT158" s="233"/>
      <c r="AU158" s="233"/>
      <c r="AV158" s="233"/>
      <c r="AW158" s="233"/>
      <c r="AX158" s="233"/>
      <c r="AY158" s="233"/>
      <c r="AZ158" s="233"/>
      <c r="BA158" s="233"/>
      <c r="BB158" s="233"/>
      <c r="BC158" s="233"/>
      <c r="BD158" s="233"/>
      <c r="BE158" s="148"/>
    </row>
    <row r="159" spans="23:57" ht="15.75">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row>
    <row r="160" spans="23:57" ht="17.25">
      <c r="W160" s="118"/>
      <c r="X160" s="119"/>
      <c r="Y160" s="120" t="s">
        <v>226</v>
      </c>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row>
    <row r="161" spans="23:57" ht="17.25">
      <c r="W161" s="118"/>
      <c r="X161" s="120" t="s">
        <v>227</v>
      </c>
      <c r="Y161" s="119"/>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row>
    <row r="162" spans="23:57" ht="17.25">
      <c r="W162" s="118"/>
      <c r="X162" s="120" t="s">
        <v>228</v>
      </c>
      <c r="Y162" s="119"/>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row>
    <row r="163" spans="23:57" ht="16.5" thickBot="1">
      <c r="W163" s="118"/>
      <c r="X163" s="118"/>
      <c r="Y163" s="118"/>
      <c r="Z163" s="118"/>
      <c r="AA163" s="118"/>
      <c r="AB163" s="118"/>
      <c r="AC163" s="118"/>
      <c r="AD163" s="118"/>
      <c r="AE163" s="118"/>
      <c r="AF163" s="125"/>
      <c r="AG163" s="125"/>
      <c r="AH163" s="125"/>
      <c r="AI163" s="125"/>
      <c r="AJ163" s="125"/>
      <c r="AK163" s="125"/>
      <c r="AL163" s="125"/>
      <c r="AM163" s="125"/>
      <c r="AN163" s="125"/>
      <c r="AO163" s="125"/>
      <c r="AP163" s="125"/>
      <c r="AQ163" s="125"/>
      <c r="AR163" s="125"/>
      <c r="AS163" s="125"/>
      <c r="AT163" s="125"/>
      <c r="AU163" s="125"/>
      <c r="AV163" s="125"/>
      <c r="AW163" s="125"/>
      <c r="AX163" s="125"/>
      <c r="AY163" s="125"/>
      <c r="AZ163" s="118"/>
      <c r="BA163" s="118"/>
      <c r="BB163" s="118"/>
      <c r="BC163" s="118"/>
      <c r="BD163" s="118"/>
      <c r="BE163" s="118"/>
    </row>
    <row r="164" spans="23:57" ht="15.75">
      <c r="W164" s="118"/>
      <c r="Z164" s="115"/>
      <c r="AA164" s="115"/>
      <c r="AB164" s="115"/>
      <c r="AC164" s="115"/>
      <c r="AD164" s="115"/>
      <c r="AE164" s="115"/>
      <c r="AF164" s="115"/>
      <c r="AG164" s="115"/>
      <c r="AH164" s="115"/>
      <c r="AI164" s="115"/>
      <c r="AJ164" s="115" t="s">
        <v>229</v>
      </c>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row>
    <row r="165" spans="23:57" ht="15.75">
      <c r="W165" s="118"/>
      <c r="X165" s="118"/>
      <c r="Y165" s="118"/>
      <c r="Z165" s="118"/>
      <c r="AA165" s="118"/>
      <c r="AB165" s="115"/>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row>
  </sheetData>
  <protectedRanges>
    <protectedRange sqref="E25" name="Range20_1"/>
    <protectedRange sqref="G24" name="Range19_1"/>
    <protectedRange sqref="E24" name="Range18_1"/>
    <protectedRange sqref="D23" name="Range17_1"/>
    <protectedRange sqref="F23" name="Range16_1"/>
    <protectedRange sqref="G24" name="Range15_1"/>
    <protectedRange sqref="H22" name="Range14_1"/>
    <protectedRange sqref="D22" name="Range13_1"/>
    <protectedRange sqref="C1" name="Range12_1"/>
    <protectedRange sqref="C3:C9" name="Range11_1"/>
    <protectedRange sqref="C10:AM10" name="Range21_1"/>
    <protectedRange sqref="C12" name="Range22_1"/>
    <protectedRange sqref="B28:C87" name="Range23_1"/>
  </protectedRanges>
  <mergeCells count="206">
    <mergeCell ref="AH151:AK151"/>
    <mergeCell ref="AU151:AY151"/>
    <mergeCell ref="X156:BD156"/>
    <mergeCell ref="X158:BD158"/>
    <mergeCell ref="AA142:AC142"/>
    <mergeCell ref="AA143:AC143"/>
    <mergeCell ref="AA144:AC144"/>
    <mergeCell ref="AA145:AC145"/>
    <mergeCell ref="X147:BD147"/>
    <mergeCell ref="AD151:AG151"/>
    <mergeCell ref="AT127:AX127"/>
    <mergeCell ref="AZ127:BD127"/>
    <mergeCell ref="X130:BE130"/>
    <mergeCell ref="X135:BD135"/>
    <mergeCell ref="X136:BD139"/>
    <mergeCell ref="X111:BD115"/>
    <mergeCell ref="X116:BD119"/>
    <mergeCell ref="AT120:AX126"/>
    <mergeCell ref="AZ120:BD126"/>
    <mergeCell ref="X124:AJ124"/>
    <mergeCell ref="Z123:AH123"/>
    <mergeCell ref="X103:AA103"/>
    <mergeCell ref="AB103:BD103"/>
    <mergeCell ref="X104:BD104"/>
    <mergeCell ref="X105:BD107"/>
    <mergeCell ref="X108:BD110"/>
    <mergeCell ref="Y101:AX101"/>
    <mergeCell ref="AY101:BD101"/>
    <mergeCell ref="X102:Z102"/>
    <mergeCell ref="AC102:AM102"/>
    <mergeCell ref="AN102:AQ102"/>
    <mergeCell ref="AR102:BD102"/>
    <mergeCell ref="AB92:AJ92"/>
    <mergeCell ref="AS92:AZ92"/>
    <mergeCell ref="X93:AN93"/>
    <mergeCell ref="AO93:BD93"/>
    <mergeCell ref="X100:AK100"/>
    <mergeCell ref="AW83:BD83"/>
    <mergeCell ref="X84:BD84"/>
    <mergeCell ref="AJ86:AS86"/>
    <mergeCell ref="W87:BE87"/>
    <mergeCell ref="X90:AN90"/>
    <mergeCell ref="AO90:BD90"/>
    <mergeCell ref="X83:AB83"/>
    <mergeCell ref="AC83:AF83"/>
    <mergeCell ref="AG83:AJ83"/>
    <mergeCell ref="AK83:AQ83"/>
    <mergeCell ref="AR83:AV83"/>
    <mergeCell ref="AL100:AN100"/>
    <mergeCell ref="X81:BD81"/>
    <mergeCell ref="X82:AB82"/>
    <mergeCell ref="AC82:AF82"/>
    <mergeCell ref="AG82:AJ82"/>
    <mergeCell ref="AK82:AQ82"/>
    <mergeCell ref="AR82:AV82"/>
    <mergeCell ref="AW82:BD82"/>
    <mergeCell ref="AR78:AT78"/>
    <mergeCell ref="AU78:AY78"/>
    <mergeCell ref="AZ78:BD78"/>
    <mergeCell ref="X79:Z79"/>
    <mergeCell ref="AA79:AD79"/>
    <mergeCell ref="AE79:AI79"/>
    <mergeCell ref="AJ79:AL79"/>
    <mergeCell ref="AM79:AQ79"/>
    <mergeCell ref="AR79:AT79"/>
    <mergeCell ref="AU79:AY79"/>
    <mergeCell ref="AZ79:BD79"/>
    <mergeCell ref="X78:Z78"/>
    <mergeCell ref="AA78:AD78"/>
    <mergeCell ref="AE78:AI78"/>
    <mergeCell ref="AJ78:AL78"/>
    <mergeCell ref="AM78:AQ78"/>
    <mergeCell ref="AR76:AT76"/>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X73:AE73"/>
    <mergeCell ref="X74:BD74"/>
    <mergeCell ref="X75:Z75"/>
    <mergeCell ref="AA75:AD75"/>
    <mergeCell ref="AE75:AI75"/>
    <mergeCell ref="AJ75:AL75"/>
    <mergeCell ref="AM75:AQ75"/>
    <mergeCell ref="AR75:AT75"/>
    <mergeCell ref="AU75:AY75"/>
    <mergeCell ref="AZ75:BD75"/>
    <mergeCell ref="AU64:BC64"/>
    <mergeCell ref="AU65:BC65"/>
    <mergeCell ref="X66:BD66"/>
    <mergeCell ref="X72:AE72"/>
    <mergeCell ref="AG72:AM72"/>
    <mergeCell ref="AP72:AV72"/>
    <mergeCell ref="AX72:BD72"/>
    <mergeCell ref="AT55:BD55"/>
    <mergeCell ref="X56:AF56"/>
    <mergeCell ref="AG56:AS56"/>
    <mergeCell ref="AB57:BD57"/>
    <mergeCell ref="X58:BD58"/>
    <mergeCell ref="X53:AD53"/>
    <mergeCell ref="AE53:AT53"/>
    <mergeCell ref="X54:AD54"/>
    <mergeCell ref="AE54:AW54"/>
    <mergeCell ref="AX54:BD54"/>
    <mergeCell ref="X52:AD52"/>
    <mergeCell ref="AE52:AL52"/>
    <mergeCell ref="AR52:AS52"/>
    <mergeCell ref="AU52:AW52"/>
    <mergeCell ref="AX52:BD52"/>
    <mergeCell ref="AX48:AY48"/>
    <mergeCell ref="AZ48:BA48"/>
    <mergeCell ref="AK51:AL51"/>
    <mergeCell ref="AM51:AP52"/>
    <mergeCell ref="AR51:AS51"/>
    <mergeCell ref="AU51:AW51"/>
    <mergeCell ref="AX51:BD51"/>
    <mergeCell ref="X48:AC48"/>
    <mergeCell ref="AD48:AH48"/>
    <mergeCell ref="AI48:AN48"/>
    <mergeCell ref="AP48:AQ48"/>
    <mergeCell ref="AR48:AS48"/>
    <mergeCell ref="X47:AC47"/>
    <mergeCell ref="AD47:AH47"/>
    <mergeCell ref="AI47:AN47"/>
    <mergeCell ref="AO47:AV47"/>
    <mergeCell ref="AW47:BD47"/>
    <mergeCell ref="X42:Y43"/>
    <mergeCell ref="Z42:AE43"/>
    <mergeCell ref="AS42:AU42"/>
    <mergeCell ref="AS43:AU43"/>
    <mergeCell ref="X44:BD44"/>
    <mergeCell ref="AF33:AL33"/>
    <mergeCell ref="AU33:BD33"/>
    <mergeCell ref="Y34:AD34"/>
    <mergeCell ref="AF34:AL34"/>
    <mergeCell ref="AU34:BD34"/>
    <mergeCell ref="Y33:AD33"/>
    <mergeCell ref="AT39:BD40"/>
    <mergeCell ref="X41:Y41"/>
    <mergeCell ref="Z41:AE41"/>
    <mergeCell ref="AJ41:AQ41"/>
    <mergeCell ref="AV41:BD41"/>
    <mergeCell ref="Y37:AD37"/>
    <mergeCell ref="AF37:AL37"/>
    <mergeCell ref="X38:AD38"/>
    <mergeCell ref="AH38:AL38"/>
    <mergeCell ref="AP38:AT38"/>
    <mergeCell ref="R49:T49"/>
    <mergeCell ref="R50:T50"/>
    <mergeCell ref="R51:T51"/>
    <mergeCell ref="R52:T52"/>
    <mergeCell ref="R53:T53"/>
    <mergeCell ref="R43:T43"/>
    <mergeCell ref="R60:T60"/>
    <mergeCell ref="X25:BD25"/>
    <mergeCell ref="X26:BD26"/>
    <mergeCell ref="X27:BD27"/>
    <mergeCell ref="X29:BD29"/>
    <mergeCell ref="AU30:AV30"/>
    <mergeCell ref="AX30:AY30"/>
    <mergeCell ref="AZ30:BA30"/>
    <mergeCell ref="X32:AD32"/>
    <mergeCell ref="AE32:AL32"/>
    <mergeCell ref="AM32:AS32"/>
    <mergeCell ref="AT32:BD32"/>
    <mergeCell ref="Y35:AD35"/>
    <mergeCell ref="AB39:AM40"/>
    <mergeCell ref="AF35:AL35"/>
    <mergeCell ref="AW35:BA35"/>
    <mergeCell ref="Y36:AD36"/>
    <mergeCell ref="AF36:AL36"/>
    <mergeCell ref="R61:T61"/>
    <mergeCell ref="P69:T69"/>
    <mergeCell ref="K69:M69"/>
    <mergeCell ref="R40:T40"/>
    <mergeCell ref="R41:T41"/>
    <mergeCell ref="R42:T42"/>
    <mergeCell ref="S29:T29"/>
    <mergeCell ref="C20:H21"/>
    <mergeCell ref="C24:C27"/>
    <mergeCell ref="K24:T24"/>
    <mergeCell ref="K25:T25"/>
    <mergeCell ref="K27:T27"/>
    <mergeCell ref="K60:M60"/>
    <mergeCell ref="S30:T30"/>
    <mergeCell ref="N32:S32"/>
    <mergeCell ref="N33:S33"/>
    <mergeCell ref="N34:S34"/>
    <mergeCell ref="R36:T36"/>
    <mergeCell ref="R37:T37"/>
    <mergeCell ref="R38:T38"/>
    <mergeCell ref="R39:T39"/>
    <mergeCell ref="K61:M61"/>
    <mergeCell ref="R44:T44"/>
    <mergeCell ref="R48:S48"/>
  </mergeCells>
  <pageMargins left="0.25" right="0.25" top="0.75" bottom="0.75" header="0.3" footer="0.3"/>
  <pageSetup paperSize="9" scale="85"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AF6D-EE36-4E8C-9EE6-7D4778827DC9}">
  <sheetPr>
    <pageSetUpPr fitToPage="1"/>
  </sheetPr>
  <dimension ref="A1:BK169"/>
  <sheetViews>
    <sheetView tabSelected="1" workbookViewId="0">
      <selection sqref="A1:XFD1048576"/>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64" width="4.85546875" customWidth="1"/>
  </cols>
  <sheetData>
    <row r="1" spans="1:63">
      <c r="A1" s="111" t="s">
        <v>91</v>
      </c>
      <c r="B1" t="s">
        <v>37</v>
      </c>
      <c r="C1" s="1">
        <f>'DATA ENTRY'!F16</f>
        <v>13536.71612134365</v>
      </c>
    </row>
    <row r="2" spans="1: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1:63">
      <c r="B3" s="2" t="s">
        <v>6</v>
      </c>
      <c r="C3" s="4">
        <f>'DATA ENTRY'!F4</f>
        <v>649762.37382449524</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3">
      <c r="B4" s="2" t="s">
        <v>14</v>
      </c>
      <c r="C4" s="4">
        <f>'DATA ENTRY'!F13</f>
        <v>523754.78433333337</v>
      </c>
      <c r="D4" s="4">
        <f t="shared" ref="D4:BK4" si="0">D10</f>
        <v>-13536.71612134365</v>
      </c>
      <c r="E4" s="4">
        <f t="shared" si="0"/>
        <v>-13536.71612134365</v>
      </c>
      <c r="F4" s="4">
        <f t="shared" si="0"/>
        <v>-13536.71612134365</v>
      </c>
      <c r="G4" s="4">
        <f t="shared" si="0"/>
        <v>-13536.71612134365</v>
      </c>
      <c r="H4" s="4">
        <f t="shared" si="0"/>
        <v>-13536.71612134365</v>
      </c>
      <c r="I4" s="4">
        <f t="shared" si="0"/>
        <v>-13536.71612134365</v>
      </c>
      <c r="J4" s="4">
        <f t="shared" si="0"/>
        <v>-13536.71612134365</v>
      </c>
      <c r="K4" s="4">
        <f t="shared" si="0"/>
        <v>-13536.71612134365</v>
      </c>
      <c r="L4" s="4">
        <f t="shared" si="0"/>
        <v>-13536.71612134365</v>
      </c>
      <c r="M4" s="4">
        <f t="shared" si="0"/>
        <v>-13536.71612134365</v>
      </c>
      <c r="N4" s="4">
        <f t="shared" si="0"/>
        <v>-13536.71612134365</v>
      </c>
      <c r="O4" s="4">
        <f t="shared" si="0"/>
        <v>-13536.71612134365</v>
      </c>
      <c r="P4" s="4">
        <f t="shared" si="0"/>
        <v>-13536.71612134365</v>
      </c>
      <c r="Q4" s="4">
        <f t="shared" si="0"/>
        <v>-13536.71612134365</v>
      </c>
      <c r="R4" s="4">
        <f t="shared" si="0"/>
        <v>-13536.71612134365</v>
      </c>
      <c r="S4" s="4">
        <f t="shared" si="0"/>
        <v>-13536.71612134365</v>
      </c>
      <c r="T4" s="4">
        <f t="shared" si="0"/>
        <v>-13536.71612134365</v>
      </c>
      <c r="U4" s="4">
        <f t="shared" si="0"/>
        <v>-13536.71612134365</v>
      </c>
      <c r="V4" s="4">
        <f t="shared" si="0"/>
        <v>-13536.71612134365</v>
      </c>
      <c r="W4" s="4">
        <f t="shared" si="0"/>
        <v>-13536.71612134365</v>
      </c>
      <c r="X4" s="4">
        <f t="shared" si="0"/>
        <v>-13536.71612134365</v>
      </c>
      <c r="Y4" s="4">
        <f t="shared" si="0"/>
        <v>-13536.71612134365</v>
      </c>
      <c r="Z4" s="4">
        <f t="shared" si="0"/>
        <v>-13536.71612134365</v>
      </c>
      <c r="AA4" s="4">
        <f t="shared" si="0"/>
        <v>-13536.71612134365</v>
      </c>
      <c r="AB4" s="4">
        <f t="shared" si="0"/>
        <v>-13536.71612134365</v>
      </c>
      <c r="AC4" s="4">
        <f t="shared" si="0"/>
        <v>-13536.71612134365</v>
      </c>
      <c r="AD4" s="4">
        <f t="shared" si="0"/>
        <v>-13536.71612134365</v>
      </c>
      <c r="AE4" s="4">
        <f t="shared" si="0"/>
        <v>-13536.71612134365</v>
      </c>
      <c r="AF4" s="4">
        <f t="shared" si="0"/>
        <v>-13536.71612134365</v>
      </c>
      <c r="AG4" s="4">
        <f t="shared" si="0"/>
        <v>-13536.71612134365</v>
      </c>
      <c r="AH4" s="4">
        <f t="shared" si="0"/>
        <v>-13536.71612134365</v>
      </c>
      <c r="AI4" s="4">
        <f t="shared" si="0"/>
        <v>-13536.71612134365</v>
      </c>
      <c r="AJ4" s="4">
        <f t="shared" si="0"/>
        <v>-13536.71612134365</v>
      </c>
      <c r="AK4" s="4">
        <f t="shared" si="0"/>
        <v>-13536.71612134365</v>
      </c>
      <c r="AL4" s="4">
        <f t="shared" si="0"/>
        <v>-13536.71612134365</v>
      </c>
      <c r="AM4" s="4">
        <f t="shared" si="0"/>
        <v>-13536.71612134365</v>
      </c>
      <c r="AN4" s="4">
        <f t="shared" si="0"/>
        <v>-13536.71612134365</v>
      </c>
      <c r="AO4" s="4">
        <f t="shared" si="0"/>
        <v>-13536.71612134365</v>
      </c>
      <c r="AP4" s="4">
        <f t="shared" si="0"/>
        <v>-13536.71612134365</v>
      </c>
      <c r="AQ4" s="4">
        <f t="shared" si="0"/>
        <v>-13536.71612134365</v>
      </c>
      <c r="AR4" s="4">
        <f t="shared" si="0"/>
        <v>-13536.71612134365</v>
      </c>
      <c r="AS4" s="4">
        <f t="shared" si="0"/>
        <v>-13536.71612134365</v>
      </c>
      <c r="AT4" s="4">
        <f t="shared" si="0"/>
        <v>-13536.71612134365</v>
      </c>
      <c r="AU4" s="4">
        <f t="shared" si="0"/>
        <v>-13536.71612134365</v>
      </c>
      <c r="AV4" s="4">
        <f t="shared" si="0"/>
        <v>-13536.71612134365</v>
      </c>
      <c r="AW4" s="4">
        <f t="shared" si="0"/>
        <v>-13536.71612134365</v>
      </c>
      <c r="AX4" s="4">
        <f t="shared" si="0"/>
        <v>-13536.71612134365</v>
      </c>
      <c r="AY4" s="4">
        <f t="shared" si="0"/>
        <v>-13536.71612134365</v>
      </c>
      <c r="AZ4" s="4">
        <f t="shared" si="0"/>
        <v>-13536.71612134365</v>
      </c>
      <c r="BA4" s="4">
        <f t="shared" si="0"/>
        <v>-13536.71612134365</v>
      </c>
      <c r="BB4" s="4">
        <f t="shared" si="0"/>
        <v>-13536.71612134365</v>
      </c>
      <c r="BC4" s="4">
        <f t="shared" si="0"/>
        <v>-13536.71612134365</v>
      </c>
      <c r="BD4" s="4">
        <f t="shared" si="0"/>
        <v>-13536.71612134365</v>
      </c>
      <c r="BE4" s="4">
        <f t="shared" si="0"/>
        <v>-13536.71612134365</v>
      </c>
      <c r="BF4" s="4">
        <f t="shared" si="0"/>
        <v>-13536.71612134365</v>
      </c>
      <c r="BG4" s="4">
        <f t="shared" si="0"/>
        <v>-13536.71612134365</v>
      </c>
      <c r="BH4" s="4">
        <f t="shared" si="0"/>
        <v>-13536.71612134365</v>
      </c>
      <c r="BI4" s="4">
        <f t="shared" si="0"/>
        <v>-13536.71612134365</v>
      </c>
      <c r="BJ4" s="4">
        <f t="shared" si="0"/>
        <v>-13536.71612134365</v>
      </c>
      <c r="BK4" s="4">
        <f t="shared" si="0"/>
        <v>-13536.71612134365</v>
      </c>
    </row>
    <row r="5" spans="1:63">
      <c r="B5" s="2" t="s">
        <v>9</v>
      </c>
      <c r="C5" s="4">
        <f>'DATA ENTRY'!F8</f>
        <v>39963.33</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3">
      <c r="B6" s="2" t="s">
        <v>10</v>
      </c>
      <c r="C6" s="4">
        <f>'DATA ENTRY'!F9</f>
        <v>21313.775999999998</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3">
      <c r="B7" s="2" t="s">
        <v>11</v>
      </c>
      <c r="C7" s="4">
        <f>'DATA ENTRY'!F10</f>
        <v>10000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1:63">
      <c r="B8" s="2" t="s">
        <v>12</v>
      </c>
      <c r="C8" s="4">
        <f>'DATA ENTRY'!G11</f>
        <v>300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c r="B9" s="2" t="s">
        <v>13</v>
      </c>
      <c r="C9" s="4">
        <f>'DATA ENTRY'!F12</f>
        <v>8140.6783333333333</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1:63">
      <c r="B10" s="5" t="s">
        <v>39</v>
      </c>
      <c r="C10" s="6">
        <f>C4-C5-C6-C7-C8-C9</f>
        <v>444037</v>
      </c>
      <c r="D10" s="6">
        <f t="shared" ref="D10:BK10" si="1">-$C1</f>
        <v>-13536.71612134365</v>
      </c>
      <c r="E10" s="6">
        <f t="shared" si="1"/>
        <v>-13536.71612134365</v>
      </c>
      <c r="F10" s="6">
        <f t="shared" si="1"/>
        <v>-13536.71612134365</v>
      </c>
      <c r="G10" s="6">
        <f t="shared" si="1"/>
        <v>-13536.71612134365</v>
      </c>
      <c r="H10" s="6">
        <f t="shared" si="1"/>
        <v>-13536.71612134365</v>
      </c>
      <c r="I10" s="6">
        <f t="shared" si="1"/>
        <v>-13536.71612134365</v>
      </c>
      <c r="J10" s="6">
        <f t="shared" si="1"/>
        <v>-13536.71612134365</v>
      </c>
      <c r="K10" s="6">
        <f t="shared" si="1"/>
        <v>-13536.71612134365</v>
      </c>
      <c r="L10" s="6">
        <f t="shared" si="1"/>
        <v>-13536.71612134365</v>
      </c>
      <c r="M10" s="6">
        <f t="shared" si="1"/>
        <v>-13536.71612134365</v>
      </c>
      <c r="N10" s="6">
        <f t="shared" si="1"/>
        <v>-13536.71612134365</v>
      </c>
      <c r="O10" s="6">
        <f t="shared" si="1"/>
        <v>-13536.71612134365</v>
      </c>
      <c r="P10" s="6">
        <f t="shared" si="1"/>
        <v>-13536.71612134365</v>
      </c>
      <c r="Q10" s="6">
        <f t="shared" si="1"/>
        <v>-13536.71612134365</v>
      </c>
      <c r="R10" s="6">
        <f t="shared" si="1"/>
        <v>-13536.71612134365</v>
      </c>
      <c r="S10" s="6">
        <f t="shared" si="1"/>
        <v>-13536.71612134365</v>
      </c>
      <c r="T10" s="6">
        <f t="shared" si="1"/>
        <v>-13536.71612134365</v>
      </c>
      <c r="U10" s="6">
        <f t="shared" si="1"/>
        <v>-13536.71612134365</v>
      </c>
      <c r="V10" s="6">
        <f t="shared" si="1"/>
        <v>-13536.71612134365</v>
      </c>
      <c r="W10" s="6">
        <f t="shared" si="1"/>
        <v>-13536.71612134365</v>
      </c>
      <c r="X10" s="6">
        <f t="shared" si="1"/>
        <v>-13536.71612134365</v>
      </c>
      <c r="Y10" s="6">
        <f t="shared" si="1"/>
        <v>-13536.71612134365</v>
      </c>
      <c r="Z10" s="6">
        <f t="shared" si="1"/>
        <v>-13536.71612134365</v>
      </c>
      <c r="AA10" s="6">
        <f t="shared" si="1"/>
        <v>-13536.71612134365</v>
      </c>
      <c r="AB10" s="6">
        <f t="shared" si="1"/>
        <v>-13536.71612134365</v>
      </c>
      <c r="AC10" s="6">
        <f t="shared" si="1"/>
        <v>-13536.71612134365</v>
      </c>
      <c r="AD10" s="6">
        <f t="shared" si="1"/>
        <v>-13536.71612134365</v>
      </c>
      <c r="AE10" s="6">
        <f t="shared" si="1"/>
        <v>-13536.71612134365</v>
      </c>
      <c r="AF10" s="6">
        <f t="shared" si="1"/>
        <v>-13536.71612134365</v>
      </c>
      <c r="AG10" s="6">
        <f t="shared" si="1"/>
        <v>-13536.71612134365</v>
      </c>
      <c r="AH10" s="6">
        <f t="shared" si="1"/>
        <v>-13536.71612134365</v>
      </c>
      <c r="AI10" s="6">
        <f t="shared" si="1"/>
        <v>-13536.71612134365</v>
      </c>
      <c r="AJ10" s="6">
        <f t="shared" si="1"/>
        <v>-13536.71612134365</v>
      </c>
      <c r="AK10" s="6">
        <f t="shared" si="1"/>
        <v>-13536.71612134365</v>
      </c>
      <c r="AL10" s="6">
        <f t="shared" si="1"/>
        <v>-13536.71612134365</v>
      </c>
      <c r="AM10" s="6">
        <f t="shared" si="1"/>
        <v>-13536.71612134365</v>
      </c>
      <c r="AN10" s="6">
        <f t="shared" si="1"/>
        <v>-13536.71612134365</v>
      </c>
      <c r="AO10" s="6">
        <f t="shared" si="1"/>
        <v>-13536.71612134365</v>
      </c>
      <c r="AP10" s="6">
        <f t="shared" si="1"/>
        <v>-13536.71612134365</v>
      </c>
      <c r="AQ10" s="6">
        <f t="shared" si="1"/>
        <v>-13536.71612134365</v>
      </c>
      <c r="AR10" s="6">
        <f t="shared" si="1"/>
        <v>-13536.71612134365</v>
      </c>
      <c r="AS10" s="6">
        <f t="shared" si="1"/>
        <v>-13536.71612134365</v>
      </c>
      <c r="AT10" s="6">
        <f t="shared" si="1"/>
        <v>-13536.71612134365</v>
      </c>
      <c r="AU10" s="6">
        <f t="shared" si="1"/>
        <v>-13536.71612134365</v>
      </c>
      <c r="AV10" s="6">
        <f t="shared" si="1"/>
        <v>-13536.71612134365</v>
      </c>
      <c r="AW10" s="6">
        <f t="shared" si="1"/>
        <v>-13536.71612134365</v>
      </c>
      <c r="AX10" s="6">
        <f t="shared" si="1"/>
        <v>-13536.71612134365</v>
      </c>
      <c r="AY10" s="6">
        <f t="shared" si="1"/>
        <v>-13536.71612134365</v>
      </c>
      <c r="AZ10" s="6">
        <f t="shared" si="1"/>
        <v>-13536.71612134365</v>
      </c>
      <c r="BA10" s="6">
        <f t="shared" si="1"/>
        <v>-13536.71612134365</v>
      </c>
      <c r="BB10" s="6">
        <f t="shared" si="1"/>
        <v>-13536.71612134365</v>
      </c>
      <c r="BC10" s="6">
        <f t="shared" si="1"/>
        <v>-13536.71612134365</v>
      </c>
      <c r="BD10" s="6">
        <f t="shared" si="1"/>
        <v>-13536.71612134365</v>
      </c>
      <c r="BE10" s="6">
        <f t="shared" si="1"/>
        <v>-13536.71612134365</v>
      </c>
      <c r="BF10" s="6">
        <f t="shared" si="1"/>
        <v>-13536.71612134365</v>
      </c>
      <c r="BG10" s="6">
        <f t="shared" si="1"/>
        <v>-13536.71612134365</v>
      </c>
      <c r="BH10" s="6">
        <f t="shared" si="1"/>
        <v>-13536.71612134365</v>
      </c>
      <c r="BI10" s="6">
        <f t="shared" si="1"/>
        <v>-13536.71612134365</v>
      </c>
      <c r="BJ10" s="6">
        <f t="shared" si="1"/>
        <v>-13536.71612134365</v>
      </c>
      <c r="BK10" s="6">
        <f t="shared" si="1"/>
        <v>-13536.71612134365</v>
      </c>
    </row>
    <row r="12" spans="1:63">
      <c r="B12" t="s">
        <v>40</v>
      </c>
      <c r="C12" s="7">
        <f>IRR(C4:AY4)</f>
        <v>9.1666666666663232E-3</v>
      </c>
      <c r="D12">
        <f>C12/5</f>
        <v>1.8333333333332646E-3</v>
      </c>
    </row>
    <row r="13" spans="1:63">
      <c r="C13" s="8"/>
    </row>
    <row r="14" spans="1:63">
      <c r="B14" t="s">
        <v>85</v>
      </c>
      <c r="C14" s="9">
        <v>91367.87</v>
      </c>
    </row>
    <row r="15" spans="1:63">
      <c r="B15" t="s">
        <v>32</v>
      </c>
      <c r="C15" s="10">
        <f>'DATA ENTRY'!G14/12</f>
        <v>0.01</v>
      </c>
    </row>
    <row r="16" spans="1:63">
      <c r="B16" t="s">
        <v>16</v>
      </c>
      <c r="C16" s="98">
        <f>'DATA ENTRY'!G15</f>
        <v>0.12736174018256685</v>
      </c>
      <c r="K16" s="51" t="s">
        <v>238</v>
      </c>
    </row>
    <row r="19" spans="2:57" ht="15.75" thickBot="1">
      <c r="H19" s="11"/>
    </row>
    <row r="20" spans="2:57" ht="15.75">
      <c r="B20" s="1"/>
      <c r="C20" s="375" t="s">
        <v>41</v>
      </c>
      <c r="D20" s="376"/>
      <c r="E20" s="376"/>
      <c r="F20" s="376"/>
      <c r="G20" s="376"/>
      <c r="H20" s="377"/>
      <c r="I20" s="24"/>
      <c r="J20" s="29"/>
      <c r="K20" s="30"/>
      <c r="L20" s="30"/>
      <c r="M20" s="30"/>
      <c r="N20" s="30"/>
      <c r="O20" s="31"/>
      <c r="P20" s="30"/>
      <c r="Q20" s="30"/>
      <c r="R20" s="30"/>
      <c r="S20" s="30"/>
      <c r="T20" s="30"/>
      <c r="U20" s="46"/>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row>
    <row r="21" spans="2:57" ht="15.75">
      <c r="C21" s="378"/>
      <c r="D21" s="379"/>
      <c r="E21" s="379"/>
      <c r="F21" s="379"/>
      <c r="G21" s="379"/>
      <c r="H21" s="380"/>
      <c r="J21" s="32"/>
      <c r="K21" s="33"/>
      <c r="L21" s="33"/>
      <c r="M21" s="33"/>
      <c r="N21" s="33"/>
      <c r="O21" s="99"/>
      <c r="P21" s="33"/>
      <c r="Q21" s="33"/>
      <c r="R21" s="33"/>
      <c r="S21" s="33"/>
      <c r="T21" s="33"/>
      <c r="U21" s="47"/>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row>
    <row r="22" spans="2:57" ht="15.75">
      <c r="C22" s="12" t="s">
        <v>42</v>
      </c>
      <c r="D22" s="197" t="s">
        <v>244</v>
      </c>
      <c r="E22" s="13"/>
      <c r="F22" s="14"/>
      <c r="G22" s="2" t="s">
        <v>44</v>
      </c>
      <c r="H22" s="200" t="s">
        <v>240</v>
      </c>
      <c r="J22" s="32"/>
      <c r="K22" s="33"/>
      <c r="L22" s="33"/>
      <c r="M22" s="33"/>
      <c r="N22" s="33"/>
      <c r="O22" s="34"/>
      <c r="P22" s="33"/>
      <c r="Q22" s="33"/>
      <c r="R22" s="33"/>
      <c r="S22" s="33"/>
      <c r="T22" s="33"/>
      <c r="U22" s="47"/>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row>
    <row r="23" spans="2:57" ht="15.75">
      <c r="C23" s="16" t="s">
        <v>45</v>
      </c>
      <c r="D23" s="198" t="s">
        <v>241</v>
      </c>
      <c r="E23" s="17" t="s">
        <v>46</v>
      </c>
      <c r="F23" s="199" t="s">
        <v>253</v>
      </c>
      <c r="G23" s="2" t="s">
        <v>47</v>
      </c>
      <c r="H23" s="18">
        <f>C10</f>
        <v>444037</v>
      </c>
      <c r="J23" s="32"/>
      <c r="K23" s="33"/>
      <c r="L23" s="33"/>
      <c r="M23" s="33"/>
      <c r="N23" s="33"/>
      <c r="O23" s="34"/>
      <c r="P23" s="33"/>
      <c r="Q23" s="33"/>
      <c r="R23" s="33"/>
      <c r="S23" s="33"/>
      <c r="T23" s="33"/>
      <c r="U23" s="47"/>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row>
    <row r="24" spans="2:57" ht="21">
      <c r="C24" s="381" t="s">
        <v>48</v>
      </c>
      <c r="D24" s="12" t="s">
        <v>49</v>
      </c>
      <c r="E24" s="50">
        <v>45874</v>
      </c>
      <c r="F24" s="2" t="s">
        <v>50</v>
      </c>
      <c r="G24" s="19">
        <f>B75</f>
        <v>47366</v>
      </c>
      <c r="H24" s="15"/>
      <c r="J24" s="32"/>
      <c r="K24" s="382" t="s">
        <v>59</v>
      </c>
      <c r="L24" s="382"/>
      <c r="M24" s="382"/>
      <c r="N24" s="382"/>
      <c r="O24" s="382"/>
      <c r="P24" s="382"/>
      <c r="Q24" s="382"/>
      <c r="R24" s="382"/>
      <c r="S24" s="382"/>
      <c r="T24" s="382"/>
      <c r="U24" s="47"/>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row>
    <row r="25" spans="2:57" ht="15.75">
      <c r="C25" s="381"/>
      <c r="D25" s="2" t="s">
        <v>51</v>
      </c>
      <c r="E25" s="2">
        <v>48</v>
      </c>
      <c r="F25" s="2" t="s">
        <v>52</v>
      </c>
      <c r="G25" s="2"/>
      <c r="H25" s="15"/>
      <c r="J25" s="32"/>
      <c r="K25" s="383" t="s">
        <v>60</v>
      </c>
      <c r="L25" s="383"/>
      <c r="M25" s="383"/>
      <c r="N25" s="383"/>
      <c r="O25" s="383"/>
      <c r="P25" s="383"/>
      <c r="Q25" s="383"/>
      <c r="R25" s="383"/>
      <c r="S25" s="383"/>
      <c r="T25" s="383"/>
      <c r="U25" s="47"/>
      <c r="W25" s="118"/>
      <c r="X25" s="384" t="s">
        <v>92</v>
      </c>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84"/>
      <c r="BD25" s="384"/>
      <c r="BE25" s="118"/>
    </row>
    <row r="26" spans="2:57" ht="15.75">
      <c r="C26" s="381"/>
      <c r="D26" s="2" t="s">
        <v>53</v>
      </c>
      <c r="E26" s="91" t="s">
        <v>54</v>
      </c>
      <c r="F26" s="91" t="s">
        <v>55</v>
      </c>
      <c r="G26" s="91" t="s">
        <v>56</v>
      </c>
      <c r="H26" s="186" t="s">
        <v>57</v>
      </c>
      <c r="J26" s="32"/>
      <c r="K26" s="33"/>
      <c r="L26" s="33"/>
      <c r="M26" s="33"/>
      <c r="N26" s="33"/>
      <c r="O26" s="34"/>
      <c r="P26" s="33"/>
      <c r="Q26" s="33"/>
      <c r="R26" s="33"/>
      <c r="S26" s="33"/>
      <c r="T26" s="33"/>
      <c r="U26" s="47"/>
      <c r="W26" s="118"/>
      <c r="X26" s="384" t="s">
        <v>93</v>
      </c>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118"/>
    </row>
    <row r="27" spans="2:57" ht="18">
      <c r="C27" s="381"/>
      <c r="D27" s="2" t="s">
        <v>58</v>
      </c>
      <c r="E27" s="2"/>
      <c r="F27" s="2"/>
      <c r="G27" s="2"/>
      <c r="H27" s="20">
        <f>C4</f>
        <v>523754.78433333337</v>
      </c>
      <c r="J27" s="32"/>
      <c r="K27" s="385" t="s">
        <v>61</v>
      </c>
      <c r="L27" s="385"/>
      <c r="M27" s="385"/>
      <c r="N27" s="385"/>
      <c r="O27" s="385"/>
      <c r="P27" s="385"/>
      <c r="Q27" s="385"/>
      <c r="R27" s="385"/>
      <c r="S27" s="385"/>
      <c r="T27" s="385"/>
      <c r="U27" s="47"/>
      <c r="W27" s="118"/>
      <c r="X27" s="384" t="s">
        <v>94</v>
      </c>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118"/>
    </row>
    <row r="28" spans="2:57" ht="15.75">
      <c r="B28" s="21">
        <f>DATE(YEAR(E$24),MONTH(E$24)+D28+1,DAY(E$24))</f>
        <v>45935</v>
      </c>
      <c r="C28" s="22" t="str">
        <f t="shared" ref="C28:C75" si="2">TEXT(B28,"mmm-yyyy")</f>
        <v>Oct-2025</v>
      </c>
      <c r="D28" s="2">
        <v>1</v>
      </c>
      <c r="E28" s="92">
        <f t="shared" ref="E28:E75" si="3">C$1</f>
        <v>13536.71612134365</v>
      </c>
      <c r="F28" s="187">
        <f>E28-G28</f>
        <v>8735.6305982882732</v>
      </c>
      <c r="G28" s="188">
        <f t="shared" ref="G28:G75" si="4">H27*C$12</f>
        <v>4801.0855230553761</v>
      </c>
      <c r="H28" s="20">
        <f>H27-F28</f>
        <v>515019.15373504511</v>
      </c>
      <c r="J28" s="32"/>
      <c r="K28" s="100"/>
      <c r="L28" s="100"/>
      <c r="M28" s="100"/>
      <c r="N28" s="100"/>
      <c r="O28" s="99"/>
      <c r="P28" s="100"/>
      <c r="Q28" s="33"/>
      <c r="R28" s="33"/>
      <c r="S28" s="33"/>
      <c r="T28" s="33"/>
      <c r="U28" s="47"/>
      <c r="W28" s="118"/>
      <c r="X28" s="118"/>
      <c r="Y28" s="118"/>
      <c r="Z28" s="118"/>
      <c r="AA28" s="118"/>
      <c r="AB28" s="118"/>
      <c r="AC28" s="118"/>
      <c r="AD28" s="118"/>
      <c r="AE28" s="151"/>
      <c r="AF28" s="151"/>
      <c r="AG28" s="151"/>
      <c r="AH28" s="151"/>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row>
    <row r="29" spans="2:57" ht="15.75">
      <c r="B29" s="21">
        <f t="shared" ref="B29:B75" si="5">DATE(YEAR(E$24),MONTH(E$24)+D29+1,DAY(E$24))</f>
        <v>45966</v>
      </c>
      <c r="C29" s="22" t="str">
        <f t="shared" si="2"/>
        <v>Nov-2025</v>
      </c>
      <c r="D29" s="2">
        <v>2</v>
      </c>
      <c r="E29" s="92">
        <f t="shared" si="3"/>
        <v>13536.71612134365</v>
      </c>
      <c r="F29" s="187">
        <f t="shared" ref="F29:F75" si="6">E29-G29</f>
        <v>8815.7072121059136</v>
      </c>
      <c r="G29" s="188">
        <f t="shared" si="4"/>
        <v>4721.0089092377366</v>
      </c>
      <c r="H29" s="20">
        <f t="shared" ref="H29:H75" si="7">H28-F29</f>
        <v>506203.44652293919</v>
      </c>
      <c r="J29" s="32"/>
      <c r="K29" s="100"/>
      <c r="L29" s="100"/>
      <c r="M29" s="100"/>
      <c r="N29" s="100"/>
      <c r="O29" s="99"/>
      <c r="P29" s="100"/>
      <c r="Q29" s="33"/>
      <c r="R29" s="101" t="s">
        <v>62</v>
      </c>
      <c r="S29" s="372">
        <f>E24</f>
        <v>45874</v>
      </c>
      <c r="T29" s="372"/>
      <c r="U29" s="47"/>
      <c r="W29" s="115"/>
      <c r="X29" s="341" t="s">
        <v>95</v>
      </c>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3"/>
      <c r="BE29" s="118"/>
    </row>
    <row r="30" spans="2:57" ht="15.75">
      <c r="B30" s="21">
        <f t="shared" si="5"/>
        <v>45996</v>
      </c>
      <c r="C30" s="22" t="str">
        <f t="shared" si="2"/>
        <v>Dec-2025</v>
      </c>
      <c r="D30" s="2">
        <v>3</v>
      </c>
      <c r="E30" s="92">
        <f t="shared" si="3"/>
        <v>13536.71612134365</v>
      </c>
      <c r="F30" s="187">
        <f t="shared" si="6"/>
        <v>8896.5178615502155</v>
      </c>
      <c r="G30" s="188">
        <f t="shared" si="4"/>
        <v>4640.1982597934357</v>
      </c>
      <c r="H30" s="20">
        <f t="shared" si="7"/>
        <v>497306.92866138899</v>
      </c>
      <c r="J30" s="32"/>
      <c r="K30" s="100"/>
      <c r="L30" s="100"/>
      <c r="M30" s="100"/>
      <c r="N30" s="100"/>
      <c r="O30" s="99"/>
      <c r="P30" s="100"/>
      <c r="Q30" s="33"/>
      <c r="R30" s="101" t="s">
        <v>63</v>
      </c>
      <c r="S30" s="373" t="str">
        <f>H22</f>
        <v>LV- 004-BO</v>
      </c>
      <c r="T30" s="373"/>
      <c r="U30" s="47"/>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374" t="s">
        <v>62</v>
      </c>
      <c r="AV30" s="374"/>
      <c r="AW30" s="112"/>
      <c r="AX30" s="327" t="s">
        <v>96</v>
      </c>
      <c r="AY30" s="327"/>
      <c r="AZ30" s="327" t="s">
        <v>96</v>
      </c>
      <c r="BA30" s="327"/>
      <c r="BB30" s="113"/>
      <c r="BC30" s="113"/>
      <c r="BD30" s="114"/>
      <c r="BE30" s="118"/>
    </row>
    <row r="31" spans="2:57" ht="15.75">
      <c r="B31" s="21">
        <f t="shared" si="5"/>
        <v>46027</v>
      </c>
      <c r="C31" s="22" t="str">
        <f t="shared" si="2"/>
        <v>Jan-2026</v>
      </c>
      <c r="D31" s="23">
        <v>4</v>
      </c>
      <c r="E31" s="92">
        <f t="shared" si="3"/>
        <v>13536.71612134365</v>
      </c>
      <c r="F31" s="187">
        <f t="shared" si="6"/>
        <v>8978.0692752810883</v>
      </c>
      <c r="G31" s="188">
        <f t="shared" si="4"/>
        <v>4558.646846062562</v>
      </c>
      <c r="H31" s="20">
        <f t="shared" si="7"/>
        <v>488328.85938610788</v>
      </c>
      <c r="J31" s="32"/>
      <c r="K31" s="100"/>
      <c r="L31" s="100"/>
      <c r="M31" s="100"/>
      <c r="N31" s="100"/>
      <c r="O31" s="99"/>
      <c r="P31" s="100"/>
      <c r="Q31" s="33"/>
      <c r="R31" s="101"/>
      <c r="S31" s="102"/>
      <c r="T31" s="33"/>
      <c r="U31" s="47"/>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43" t="s">
        <v>97</v>
      </c>
      <c r="AX31" s="143" t="s">
        <v>97</v>
      </c>
      <c r="AY31" s="143" t="s">
        <v>98</v>
      </c>
      <c r="AZ31" s="143" t="s">
        <v>98</v>
      </c>
      <c r="BA31" s="143" t="s">
        <v>99</v>
      </c>
      <c r="BB31" s="143" t="s">
        <v>99</v>
      </c>
      <c r="BC31" s="143" t="s">
        <v>99</v>
      </c>
      <c r="BD31" s="143" t="s">
        <v>99</v>
      </c>
      <c r="BE31" s="118"/>
    </row>
    <row r="32" spans="2:57" ht="15.75">
      <c r="B32" s="21">
        <f t="shared" si="5"/>
        <v>46058</v>
      </c>
      <c r="C32" s="22" t="str">
        <f t="shared" si="2"/>
        <v>Feb-2026</v>
      </c>
      <c r="D32" s="2">
        <v>5</v>
      </c>
      <c r="E32" s="92">
        <f t="shared" si="3"/>
        <v>13536.71612134365</v>
      </c>
      <c r="F32" s="187">
        <f t="shared" si="6"/>
        <v>9060.3682436378294</v>
      </c>
      <c r="G32" s="188">
        <f t="shared" si="4"/>
        <v>4476.3478777058208</v>
      </c>
      <c r="H32" s="20">
        <f t="shared" si="7"/>
        <v>479268.49114247004</v>
      </c>
      <c r="J32" s="35"/>
      <c r="K32" s="101" t="s">
        <v>64</v>
      </c>
      <c r="L32" s="101"/>
      <c r="M32" s="101"/>
      <c r="N32" s="369" t="str">
        <f>D22</f>
        <v>SEVERO B. SINENSE</v>
      </c>
      <c r="O32" s="369"/>
      <c r="P32" s="369"/>
      <c r="Q32" s="369"/>
      <c r="R32" s="369"/>
      <c r="S32" s="369"/>
      <c r="T32" s="38"/>
      <c r="U32" s="48"/>
      <c r="W32" s="118"/>
      <c r="X32" s="309" t="s">
        <v>100</v>
      </c>
      <c r="Y32" s="309"/>
      <c r="Z32" s="309"/>
      <c r="AA32" s="309"/>
      <c r="AB32" s="309"/>
      <c r="AC32" s="309"/>
      <c r="AD32" s="309"/>
      <c r="AE32" s="309" t="s">
        <v>101</v>
      </c>
      <c r="AF32" s="309"/>
      <c r="AG32" s="309"/>
      <c r="AH32" s="309"/>
      <c r="AI32" s="309"/>
      <c r="AJ32" s="309"/>
      <c r="AK32" s="309"/>
      <c r="AL32" s="309"/>
      <c r="AM32" s="309" t="s">
        <v>102</v>
      </c>
      <c r="AN32" s="309"/>
      <c r="AO32" s="309"/>
      <c r="AP32" s="309"/>
      <c r="AQ32" s="309"/>
      <c r="AR32" s="309"/>
      <c r="AS32" s="309"/>
      <c r="AT32" s="309" t="s">
        <v>103</v>
      </c>
      <c r="AU32" s="309"/>
      <c r="AV32" s="309"/>
      <c r="AW32" s="309"/>
      <c r="AX32" s="309"/>
      <c r="AY32" s="309"/>
      <c r="AZ32" s="309"/>
      <c r="BA32" s="309"/>
      <c r="BB32" s="309"/>
      <c r="BC32" s="309"/>
      <c r="BD32" s="309"/>
      <c r="BE32" s="115"/>
    </row>
    <row r="33" spans="2:57" ht="15.75">
      <c r="B33" s="21">
        <f t="shared" si="5"/>
        <v>46086</v>
      </c>
      <c r="C33" s="22" t="str">
        <f t="shared" si="2"/>
        <v>Mar-2026</v>
      </c>
      <c r="D33" s="2">
        <v>6</v>
      </c>
      <c r="E33" s="92">
        <f t="shared" si="3"/>
        <v>13536.71612134365</v>
      </c>
      <c r="F33" s="187">
        <f t="shared" si="6"/>
        <v>9143.421619204506</v>
      </c>
      <c r="G33" s="188">
        <f t="shared" si="4"/>
        <v>4393.2945021391442</v>
      </c>
      <c r="H33" s="20">
        <f t="shared" si="7"/>
        <v>470125.06952326553</v>
      </c>
      <c r="J33" s="35"/>
      <c r="K33" s="101" t="s">
        <v>65</v>
      </c>
      <c r="L33" s="101"/>
      <c r="M33" s="101"/>
      <c r="N33" s="370" t="str">
        <f>D23</f>
        <v>O-121408</v>
      </c>
      <c r="O33" s="371"/>
      <c r="P33" s="371"/>
      <c r="Q33" s="371"/>
      <c r="R33" s="371"/>
      <c r="S33" s="371"/>
      <c r="T33" s="38"/>
      <c r="U33" s="48"/>
      <c r="W33" s="118"/>
      <c r="X33" s="123"/>
      <c r="Y33" s="309" t="s">
        <v>104</v>
      </c>
      <c r="Z33" s="309"/>
      <c r="AA33" s="309"/>
      <c r="AB33" s="309"/>
      <c r="AC33" s="309"/>
      <c r="AD33" s="309"/>
      <c r="AE33" s="123"/>
      <c r="AF33" s="309" t="s">
        <v>105</v>
      </c>
      <c r="AG33" s="309"/>
      <c r="AH33" s="309"/>
      <c r="AI33" s="309"/>
      <c r="AJ33" s="309"/>
      <c r="AK33" s="309"/>
      <c r="AL33" s="309"/>
      <c r="AM33" s="123"/>
      <c r="AN33" s="115" t="s">
        <v>106</v>
      </c>
      <c r="AO33" s="118"/>
      <c r="AP33" s="118"/>
      <c r="AQ33" s="118"/>
      <c r="AR33" s="118"/>
      <c r="AS33" s="118"/>
      <c r="AT33" s="123"/>
      <c r="AU33" s="309" t="s">
        <v>107</v>
      </c>
      <c r="AV33" s="309"/>
      <c r="AW33" s="309"/>
      <c r="AX33" s="309"/>
      <c r="AY33" s="309"/>
      <c r="AZ33" s="309"/>
      <c r="BA33" s="309"/>
      <c r="BB33" s="309"/>
      <c r="BC33" s="309"/>
      <c r="BD33" s="309"/>
      <c r="BE33" s="118"/>
    </row>
    <row r="34" spans="2:57" ht="15.75">
      <c r="B34" s="21">
        <f t="shared" si="5"/>
        <v>46117</v>
      </c>
      <c r="C34" s="22" t="str">
        <f t="shared" si="2"/>
        <v>Apr-2026</v>
      </c>
      <c r="D34" s="2">
        <v>7</v>
      </c>
      <c r="E34" s="92">
        <f t="shared" si="3"/>
        <v>13536.71612134365</v>
      </c>
      <c r="F34" s="187">
        <f t="shared" si="6"/>
        <v>9227.2363173805443</v>
      </c>
      <c r="G34" s="188">
        <f t="shared" si="4"/>
        <v>4309.479803963106</v>
      </c>
      <c r="H34" s="20">
        <f t="shared" si="7"/>
        <v>460897.83320588496</v>
      </c>
      <c r="J34" s="35"/>
      <c r="K34" s="101" t="s">
        <v>46</v>
      </c>
      <c r="L34" s="101"/>
      <c r="M34" s="101"/>
      <c r="N34" s="367" t="str">
        <f>F23</f>
        <v>P7 CABUGAO, ECHAGUE, ISABELA</v>
      </c>
      <c r="O34" s="367"/>
      <c r="P34" s="367"/>
      <c r="Q34" s="367"/>
      <c r="R34" s="367"/>
      <c r="S34" s="367"/>
      <c r="T34" s="38"/>
      <c r="U34" s="48"/>
      <c r="W34" s="118"/>
      <c r="X34" s="123"/>
      <c r="Y34" s="309" t="s">
        <v>108</v>
      </c>
      <c r="Z34" s="309"/>
      <c r="AA34" s="309"/>
      <c r="AB34" s="309"/>
      <c r="AC34" s="309"/>
      <c r="AD34" s="309"/>
      <c r="AE34" s="123"/>
      <c r="AF34" s="309" t="s">
        <v>109</v>
      </c>
      <c r="AG34" s="309"/>
      <c r="AH34" s="309"/>
      <c r="AI34" s="309"/>
      <c r="AJ34" s="309"/>
      <c r="AK34" s="309"/>
      <c r="AL34" s="309"/>
      <c r="AM34" s="123"/>
      <c r="AN34" s="115" t="s">
        <v>110</v>
      </c>
      <c r="AO34" s="118"/>
      <c r="AP34" s="118"/>
      <c r="AQ34" s="118"/>
      <c r="AR34" s="118"/>
      <c r="AS34" s="118"/>
      <c r="AT34" s="123"/>
      <c r="AU34" s="309" t="s">
        <v>111</v>
      </c>
      <c r="AV34" s="309"/>
      <c r="AW34" s="309"/>
      <c r="AX34" s="309"/>
      <c r="AY34" s="309"/>
      <c r="AZ34" s="309"/>
      <c r="BA34" s="309"/>
      <c r="BB34" s="309"/>
      <c r="BC34" s="309"/>
      <c r="BD34" s="309"/>
      <c r="BE34" s="118"/>
    </row>
    <row r="35" spans="2:57" ht="16.5" thickBot="1">
      <c r="B35" s="21">
        <f t="shared" si="5"/>
        <v>46147</v>
      </c>
      <c r="C35" s="22" t="str">
        <f t="shared" si="2"/>
        <v>May-2026</v>
      </c>
      <c r="D35" s="2">
        <v>8</v>
      </c>
      <c r="E35" s="92">
        <f t="shared" si="3"/>
        <v>13536.71612134365</v>
      </c>
      <c r="F35" s="187">
        <f t="shared" si="6"/>
        <v>9311.8193169565293</v>
      </c>
      <c r="G35" s="188">
        <f t="shared" si="4"/>
        <v>4224.8968043871209</v>
      </c>
      <c r="H35" s="20">
        <f t="shared" si="7"/>
        <v>451586.01388892846</v>
      </c>
      <c r="J35" s="32"/>
      <c r="K35" s="100"/>
      <c r="L35" s="100"/>
      <c r="M35" s="100"/>
      <c r="N35" s="36"/>
      <c r="O35" s="38"/>
      <c r="P35" s="38"/>
      <c r="Q35" s="33"/>
      <c r="R35" s="33"/>
      <c r="S35" s="33"/>
      <c r="T35" s="33"/>
      <c r="U35" s="47"/>
      <c r="W35" s="118"/>
      <c r="X35" s="123"/>
      <c r="Y35" s="309" t="s">
        <v>112</v>
      </c>
      <c r="Z35" s="309"/>
      <c r="AA35" s="309"/>
      <c r="AB35" s="309"/>
      <c r="AC35" s="309"/>
      <c r="AD35" s="309"/>
      <c r="AE35" s="123"/>
      <c r="AF35" s="309" t="s">
        <v>113</v>
      </c>
      <c r="AG35" s="309"/>
      <c r="AH35" s="309"/>
      <c r="AI35" s="309"/>
      <c r="AJ35" s="309"/>
      <c r="AK35" s="309"/>
      <c r="AL35" s="309"/>
      <c r="AM35" s="123"/>
      <c r="AN35" s="115" t="s">
        <v>114</v>
      </c>
      <c r="AO35" s="118"/>
      <c r="AP35" s="118"/>
      <c r="AQ35" s="118"/>
      <c r="AR35" s="118"/>
      <c r="AS35" s="118"/>
      <c r="AT35" s="123"/>
      <c r="AU35" s="115" t="s">
        <v>115</v>
      </c>
      <c r="AV35" s="115"/>
      <c r="AW35" s="368"/>
      <c r="AX35" s="368"/>
      <c r="AY35" s="368"/>
      <c r="AZ35" s="368"/>
      <c r="BA35" s="368"/>
      <c r="BB35" s="115"/>
      <c r="BC35" s="115"/>
      <c r="BD35" s="115"/>
      <c r="BE35" s="118"/>
    </row>
    <row r="36" spans="2:57" ht="15.75">
      <c r="B36" s="21">
        <f t="shared" si="5"/>
        <v>46178</v>
      </c>
      <c r="C36" s="22" t="str">
        <f t="shared" si="2"/>
        <v>Jun-2026</v>
      </c>
      <c r="D36" s="2">
        <v>9</v>
      </c>
      <c r="E36" s="92">
        <f t="shared" si="3"/>
        <v>13536.71612134365</v>
      </c>
      <c r="F36" s="187">
        <f t="shared" si="6"/>
        <v>9397.1776606952953</v>
      </c>
      <c r="G36" s="188">
        <f t="shared" si="4"/>
        <v>4139.5384606483558</v>
      </c>
      <c r="H36" s="20">
        <f t="shared" si="7"/>
        <v>442188.83622823318</v>
      </c>
      <c r="J36" s="32"/>
      <c r="K36" s="100"/>
      <c r="L36" s="101" t="s">
        <v>66</v>
      </c>
      <c r="M36" s="100"/>
      <c r="N36" s="100"/>
      <c r="O36" s="99"/>
      <c r="P36" s="100"/>
      <c r="Q36" s="103"/>
      <c r="R36" s="340">
        <f>C4</f>
        <v>523754.78433333337</v>
      </c>
      <c r="S36" s="340"/>
      <c r="T36" s="340"/>
      <c r="U36" s="47"/>
      <c r="W36" s="118"/>
      <c r="X36" s="123"/>
      <c r="Y36" s="309" t="s">
        <v>116</v>
      </c>
      <c r="Z36" s="309"/>
      <c r="AA36" s="309"/>
      <c r="AB36" s="309"/>
      <c r="AC36" s="309"/>
      <c r="AD36" s="309"/>
      <c r="AE36" s="123"/>
      <c r="AF36" s="309" t="s">
        <v>117</v>
      </c>
      <c r="AG36" s="309"/>
      <c r="AH36" s="309"/>
      <c r="AI36" s="309"/>
      <c r="AJ36" s="309"/>
      <c r="AK36" s="309"/>
      <c r="AL36" s="309"/>
      <c r="AM36" s="123"/>
      <c r="AN36" s="115" t="s">
        <v>118</v>
      </c>
      <c r="AO36" s="118"/>
      <c r="AP36" s="118"/>
      <c r="AQ36" s="118"/>
      <c r="AR36" s="118"/>
      <c r="AS36" s="118"/>
      <c r="AT36" s="118"/>
      <c r="AU36" s="118"/>
      <c r="AV36" s="118"/>
      <c r="AW36" s="118"/>
      <c r="AX36" s="118"/>
      <c r="AY36" s="118"/>
      <c r="AZ36" s="118"/>
      <c r="BA36" s="118"/>
      <c r="BB36" s="118"/>
      <c r="BC36" s="118"/>
      <c r="BD36" s="118"/>
      <c r="BE36" s="118"/>
    </row>
    <row r="37" spans="2:57" ht="15.75">
      <c r="B37" s="21">
        <f t="shared" si="5"/>
        <v>46208</v>
      </c>
      <c r="C37" s="22" t="str">
        <f t="shared" si="2"/>
        <v>Jul-2026</v>
      </c>
      <c r="D37" s="2">
        <v>10</v>
      </c>
      <c r="E37" s="92">
        <f t="shared" si="3"/>
        <v>13536.71612134365</v>
      </c>
      <c r="F37" s="187">
        <f t="shared" si="6"/>
        <v>9483.3184559183319</v>
      </c>
      <c r="G37" s="188">
        <f t="shared" si="4"/>
        <v>4053.3976654253188</v>
      </c>
      <c r="H37" s="20">
        <f t="shared" si="7"/>
        <v>432705.51777231484</v>
      </c>
      <c r="J37" s="32"/>
      <c r="K37" s="100"/>
      <c r="L37" s="101"/>
      <c r="M37" s="100"/>
      <c r="N37" s="100"/>
      <c r="O37" s="99"/>
      <c r="P37" s="100"/>
      <c r="Q37" s="103"/>
      <c r="R37" s="366"/>
      <c r="S37" s="366"/>
      <c r="T37" s="366"/>
      <c r="U37" s="47"/>
      <c r="W37" s="118"/>
      <c r="X37" s="123"/>
      <c r="Y37" s="309" t="s">
        <v>119</v>
      </c>
      <c r="Z37" s="309"/>
      <c r="AA37" s="309"/>
      <c r="AB37" s="309"/>
      <c r="AC37" s="309"/>
      <c r="AD37" s="309"/>
      <c r="AE37" s="123"/>
      <c r="AF37" s="309" t="s">
        <v>120</v>
      </c>
      <c r="AG37" s="309"/>
      <c r="AH37" s="309"/>
      <c r="AI37" s="309"/>
      <c r="AJ37" s="309"/>
      <c r="AK37" s="309"/>
      <c r="AL37" s="309"/>
      <c r="AM37" s="123"/>
      <c r="AN37" s="115" t="s">
        <v>121</v>
      </c>
      <c r="AO37" s="118"/>
      <c r="AP37" s="118"/>
      <c r="AQ37" s="118"/>
      <c r="AR37" s="118"/>
      <c r="AS37" s="118"/>
      <c r="AT37" s="118"/>
      <c r="AU37" s="118"/>
      <c r="AV37" s="118"/>
      <c r="AW37" s="118"/>
      <c r="AX37" s="118"/>
      <c r="AY37" s="118"/>
      <c r="AZ37" s="118"/>
      <c r="BA37" s="118"/>
      <c r="BB37" s="118"/>
      <c r="BC37" s="118"/>
      <c r="BD37" s="118"/>
      <c r="BE37" s="118"/>
    </row>
    <row r="38" spans="2:57" ht="16.5" thickBot="1">
      <c r="B38" s="21">
        <f t="shared" si="5"/>
        <v>46239</v>
      </c>
      <c r="C38" s="22" t="str">
        <f t="shared" si="2"/>
        <v>Aug-2026</v>
      </c>
      <c r="D38" s="2">
        <v>11</v>
      </c>
      <c r="E38" s="92">
        <f t="shared" si="3"/>
        <v>13536.71612134365</v>
      </c>
      <c r="F38" s="187">
        <f t="shared" si="6"/>
        <v>9570.248875097579</v>
      </c>
      <c r="G38" s="188">
        <f t="shared" si="4"/>
        <v>3966.4672462460708</v>
      </c>
      <c r="H38" s="20">
        <f t="shared" si="7"/>
        <v>423135.26889721723</v>
      </c>
      <c r="J38" s="39"/>
      <c r="K38" s="104"/>
      <c r="L38" s="105" t="s">
        <v>67</v>
      </c>
      <c r="M38" s="104" t="s">
        <v>68</v>
      </c>
      <c r="N38" s="104"/>
      <c r="O38" s="106"/>
      <c r="P38" s="104"/>
      <c r="Q38" s="36"/>
      <c r="R38" s="340">
        <f>-C14</f>
        <v>-91367.87</v>
      </c>
      <c r="S38" s="340"/>
      <c r="T38" s="340"/>
      <c r="U38" s="37"/>
      <c r="W38" s="118"/>
      <c r="X38" s="306"/>
      <c r="Y38" s="306"/>
      <c r="Z38" s="306"/>
      <c r="AA38" s="306"/>
      <c r="AB38" s="306"/>
      <c r="AC38" s="306"/>
      <c r="AD38" s="306"/>
      <c r="AE38" s="152"/>
      <c r="AF38" s="115" t="s">
        <v>122</v>
      </c>
      <c r="AG38" s="115"/>
      <c r="AH38" s="273"/>
      <c r="AI38" s="273"/>
      <c r="AJ38" s="273"/>
      <c r="AK38" s="273"/>
      <c r="AL38" s="361"/>
      <c r="AM38" s="152"/>
      <c r="AN38" s="115" t="s">
        <v>115</v>
      </c>
      <c r="AO38" s="118"/>
      <c r="AP38" s="362"/>
      <c r="AQ38" s="362"/>
      <c r="AR38" s="362"/>
      <c r="AS38" s="362"/>
      <c r="AT38" s="362"/>
      <c r="AU38" s="118"/>
      <c r="AV38" s="118"/>
      <c r="AW38" s="118"/>
      <c r="AX38" s="118"/>
      <c r="AY38" s="118"/>
      <c r="AZ38" s="118"/>
      <c r="BA38" s="118"/>
      <c r="BB38" s="118"/>
      <c r="BC38" s="118"/>
      <c r="BD38" s="118"/>
      <c r="BE38" s="118"/>
    </row>
    <row r="39" spans="2:57" ht="15.75">
      <c r="B39" s="21">
        <f t="shared" si="5"/>
        <v>46270</v>
      </c>
      <c r="C39" s="22" t="str">
        <f t="shared" si="2"/>
        <v>Sep-2026</v>
      </c>
      <c r="D39" s="2">
        <v>12</v>
      </c>
      <c r="E39" s="92">
        <f t="shared" si="3"/>
        <v>13536.71612134365</v>
      </c>
      <c r="F39" s="187">
        <f t="shared" si="6"/>
        <v>9657.976156452638</v>
      </c>
      <c r="G39" s="188">
        <f t="shared" si="4"/>
        <v>3878.7399648910127</v>
      </c>
      <c r="H39" s="20">
        <f t="shared" si="7"/>
        <v>413477.29274076462</v>
      </c>
      <c r="J39" s="39"/>
      <c r="K39" s="104"/>
      <c r="L39" s="105" t="s">
        <v>67</v>
      </c>
      <c r="M39" s="104" t="s">
        <v>69</v>
      </c>
      <c r="N39" s="104"/>
      <c r="O39" s="106"/>
      <c r="P39" s="104"/>
      <c r="Q39" s="36"/>
      <c r="R39" s="340">
        <f>-C8</f>
        <v>-300</v>
      </c>
      <c r="S39" s="340"/>
      <c r="T39" s="340"/>
      <c r="U39" s="37"/>
      <c r="W39" s="118"/>
      <c r="X39" s="153" t="s">
        <v>123</v>
      </c>
      <c r="Y39" s="147"/>
      <c r="Z39" s="147"/>
      <c r="AA39" s="147"/>
      <c r="AB39" s="363">
        <f>R44</f>
        <v>352669.13</v>
      </c>
      <c r="AC39" s="363"/>
      <c r="AD39" s="363"/>
      <c r="AE39" s="363"/>
      <c r="AF39" s="363"/>
      <c r="AG39" s="363"/>
      <c r="AH39" s="364"/>
      <c r="AI39" s="364"/>
      <c r="AJ39" s="364"/>
      <c r="AK39" s="364"/>
      <c r="AL39" s="364"/>
      <c r="AM39" s="365"/>
      <c r="AN39" s="153" t="s">
        <v>124</v>
      </c>
      <c r="AO39" s="147"/>
      <c r="AP39" s="146"/>
      <c r="AQ39" s="146"/>
      <c r="AR39" s="146"/>
      <c r="AS39" s="146"/>
      <c r="AT39" s="364">
        <f>R49</f>
        <v>13536.71612134365</v>
      </c>
      <c r="AU39" s="363"/>
      <c r="AV39" s="363"/>
      <c r="AW39" s="363"/>
      <c r="AX39" s="363"/>
      <c r="AY39" s="363"/>
      <c r="AZ39" s="363"/>
      <c r="BA39" s="363"/>
      <c r="BB39" s="363"/>
      <c r="BC39" s="363"/>
      <c r="BD39" s="365"/>
      <c r="BE39" s="118"/>
    </row>
    <row r="40" spans="2:57" ht="15.75">
      <c r="B40" s="21">
        <f t="shared" si="5"/>
        <v>46300</v>
      </c>
      <c r="C40" s="22" t="str">
        <f t="shared" si="2"/>
        <v>Oct-2026</v>
      </c>
      <c r="D40" s="2">
        <v>13</v>
      </c>
      <c r="E40" s="92">
        <f>C$1</f>
        <v>13536.71612134365</v>
      </c>
      <c r="F40" s="187">
        <f t="shared" si="6"/>
        <v>9746.5076045534497</v>
      </c>
      <c r="G40" s="188">
        <f t="shared" si="4"/>
        <v>3790.2085167902005</v>
      </c>
      <c r="H40" s="20">
        <f t="shared" si="7"/>
        <v>403730.7851362112</v>
      </c>
      <c r="J40" s="39"/>
      <c r="K40" s="104"/>
      <c r="L40" s="105" t="s">
        <v>67</v>
      </c>
      <c r="M40" s="104" t="s">
        <v>70</v>
      </c>
      <c r="N40" s="104"/>
      <c r="O40" s="106"/>
      <c r="P40" s="104"/>
      <c r="Q40" s="36"/>
      <c r="R40" s="350">
        <f>-C7</f>
        <v>-10000</v>
      </c>
      <c r="S40" s="350"/>
      <c r="T40" s="350"/>
      <c r="U40" s="37"/>
      <c r="W40" s="118"/>
      <c r="X40" s="154"/>
      <c r="Y40" s="155"/>
      <c r="Z40" s="155"/>
      <c r="AA40" s="155"/>
      <c r="AB40" s="278"/>
      <c r="AC40" s="278"/>
      <c r="AD40" s="278"/>
      <c r="AE40" s="278"/>
      <c r="AF40" s="278"/>
      <c r="AG40" s="278"/>
      <c r="AH40" s="278"/>
      <c r="AI40" s="278"/>
      <c r="AJ40" s="278"/>
      <c r="AK40" s="278"/>
      <c r="AL40" s="278"/>
      <c r="AM40" s="279"/>
      <c r="AN40" s="154"/>
      <c r="AO40" s="155"/>
      <c r="AP40" s="155"/>
      <c r="AQ40" s="155"/>
      <c r="AR40" s="155"/>
      <c r="AS40" s="155"/>
      <c r="AT40" s="278"/>
      <c r="AU40" s="278"/>
      <c r="AV40" s="278"/>
      <c r="AW40" s="278"/>
      <c r="AX40" s="278"/>
      <c r="AY40" s="278"/>
      <c r="AZ40" s="278"/>
      <c r="BA40" s="278"/>
      <c r="BB40" s="278"/>
      <c r="BC40" s="278"/>
      <c r="BD40" s="279"/>
      <c r="BE40" s="118"/>
    </row>
    <row r="41" spans="2:57" ht="15.75">
      <c r="B41" s="21">
        <f t="shared" si="5"/>
        <v>46331</v>
      </c>
      <c r="C41" s="22" t="str">
        <f t="shared" si="2"/>
        <v>Nov-2026</v>
      </c>
      <c r="D41" s="2">
        <v>14</v>
      </c>
      <c r="E41" s="92">
        <f t="shared" si="3"/>
        <v>13536.71612134365</v>
      </c>
      <c r="F41" s="187">
        <f t="shared" si="6"/>
        <v>9835.8505909285195</v>
      </c>
      <c r="G41" s="188">
        <f t="shared" si="4"/>
        <v>3700.8655304151307</v>
      </c>
      <c r="H41" s="20">
        <f t="shared" si="7"/>
        <v>393894.93454528268</v>
      </c>
      <c r="J41" s="39"/>
      <c r="K41" s="104"/>
      <c r="L41" s="105" t="s">
        <v>67</v>
      </c>
      <c r="M41" s="104" t="s">
        <v>9</v>
      </c>
      <c r="N41" s="104"/>
      <c r="O41" s="106"/>
      <c r="P41" s="104"/>
      <c r="Q41" s="36"/>
      <c r="R41" s="350">
        <f>-C5</f>
        <v>-39963.33</v>
      </c>
      <c r="S41" s="350"/>
      <c r="T41" s="350"/>
      <c r="U41" s="37"/>
      <c r="W41" s="118"/>
      <c r="X41" s="338" t="s">
        <v>125</v>
      </c>
      <c r="Y41" s="351"/>
      <c r="Z41" s="352"/>
      <c r="AA41" s="353"/>
      <c r="AB41" s="353"/>
      <c r="AC41" s="353"/>
      <c r="AD41" s="353"/>
      <c r="AE41" s="354"/>
      <c r="AF41" s="157" t="s">
        <v>126</v>
      </c>
      <c r="AG41" s="155"/>
      <c r="AH41" s="155"/>
      <c r="AI41" s="155"/>
      <c r="AJ41" s="325"/>
      <c r="AK41" s="325"/>
      <c r="AL41" s="325"/>
      <c r="AM41" s="325"/>
      <c r="AN41" s="325"/>
      <c r="AO41" s="325"/>
      <c r="AP41" s="325"/>
      <c r="AQ41" s="326"/>
      <c r="AR41" s="158" t="s">
        <v>127</v>
      </c>
      <c r="AS41" s="159"/>
      <c r="AT41" s="159"/>
      <c r="AU41" s="159"/>
      <c r="AV41" s="325"/>
      <c r="AW41" s="325"/>
      <c r="AX41" s="325"/>
      <c r="AY41" s="325"/>
      <c r="AZ41" s="325"/>
      <c r="BA41" s="325"/>
      <c r="BB41" s="325"/>
      <c r="BC41" s="325"/>
      <c r="BD41" s="326"/>
      <c r="BE41" s="118"/>
    </row>
    <row r="42" spans="2:57" ht="15.75">
      <c r="B42" s="21">
        <f t="shared" si="5"/>
        <v>46361</v>
      </c>
      <c r="C42" s="22" t="str">
        <f t="shared" si="2"/>
        <v>Dec-2026</v>
      </c>
      <c r="D42" s="2">
        <v>15</v>
      </c>
      <c r="E42" s="92">
        <f t="shared" si="3"/>
        <v>13536.71612134365</v>
      </c>
      <c r="F42" s="187">
        <f t="shared" si="6"/>
        <v>9926.0125546786949</v>
      </c>
      <c r="G42" s="188">
        <f t="shared" si="4"/>
        <v>3610.7035666649558</v>
      </c>
      <c r="H42" s="20">
        <f t="shared" si="7"/>
        <v>383968.92199060397</v>
      </c>
      <c r="J42" s="39"/>
      <c r="K42" s="104"/>
      <c r="L42" s="105" t="s">
        <v>67</v>
      </c>
      <c r="M42" s="104" t="s">
        <v>71</v>
      </c>
      <c r="N42" s="104"/>
      <c r="O42" s="106"/>
      <c r="P42" s="104"/>
      <c r="Q42" s="36"/>
      <c r="R42" s="350">
        <f>-C6</f>
        <v>-21313.775999999998</v>
      </c>
      <c r="S42" s="350"/>
      <c r="T42" s="350"/>
      <c r="U42" s="37"/>
      <c r="W42" s="118"/>
      <c r="X42" s="355" t="s">
        <v>128</v>
      </c>
      <c r="Y42" s="356"/>
      <c r="Z42" s="357"/>
      <c r="AA42" s="358"/>
      <c r="AB42" s="358"/>
      <c r="AC42" s="358"/>
      <c r="AD42" s="358"/>
      <c r="AE42" s="359"/>
      <c r="AF42" s="161"/>
      <c r="AG42" s="160" t="s">
        <v>129</v>
      </c>
      <c r="AH42" s="162"/>
      <c r="AI42" s="162"/>
      <c r="AJ42" s="162"/>
      <c r="AK42" s="162"/>
      <c r="AL42" s="162"/>
      <c r="AM42" s="162"/>
      <c r="AN42" s="162"/>
      <c r="AO42" s="162"/>
      <c r="AP42" s="162"/>
      <c r="AQ42" s="163"/>
      <c r="AR42" s="164"/>
      <c r="AS42" s="355" t="s">
        <v>130</v>
      </c>
      <c r="AT42" s="360"/>
      <c r="AU42" s="360"/>
      <c r="AV42" s="162"/>
      <c r="AW42" s="162"/>
      <c r="AX42" s="162"/>
      <c r="AY42" s="162"/>
      <c r="AZ42" s="162"/>
      <c r="BA42" s="162"/>
      <c r="BB42" s="162"/>
      <c r="BC42" s="162"/>
      <c r="BD42" s="163"/>
      <c r="BE42" s="118"/>
    </row>
    <row r="43" spans="2:57" ht="15.75">
      <c r="B43" s="21">
        <f t="shared" si="5"/>
        <v>46392</v>
      </c>
      <c r="C43" s="22" t="str">
        <f t="shared" si="2"/>
        <v>Jan-2027</v>
      </c>
      <c r="D43" s="2">
        <v>16</v>
      </c>
      <c r="E43" s="92">
        <f t="shared" si="3"/>
        <v>13536.71612134365</v>
      </c>
      <c r="F43" s="187">
        <f t="shared" si="6"/>
        <v>10017.001003096579</v>
      </c>
      <c r="G43" s="188">
        <f t="shared" si="4"/>
        <v>3519.7151182470711</v>
      </c>
      <c r="H43" s="20">
        <f t="shared" si="7"/>
        <v>373951.92098750739</v>
      </c>
      <c r="J43" s="16"/>
      <c r="L43" s="105" t="s">
        <v>67</v>
      </c>
      <c r="M43" s="104" t="s">
        <v>13</v>
      </c>
      <c r="R43" s="350">
        <f>-C9</f>
        <v>-8140.6783333333333</v>
      </c>
      <c r="S43" s="350"/>
      <c r="T43" s="350"/>
      <c r="U43" s="107"/>
      <c r="W43" s="118"/>
      <c r="X43" s="338"/>
      <c r="Y43" s="351"/>
      <c r="Z43" s="352"/>
      <c r="AA43" s="353"/>
      <c r="AB43" s="353"/>
      <c r="AC43" s="353"/>
      <c r="AD43" s="353"/>
      <c r="AE43" s="354"/>
      <c r="AF43" s="123"/>
      <c r="AG43" s="156" t="s">
        <v>131</v>
      </c>
      <c r="AH43" s="165"/>
      <c r="AI43" s="165"/>
      <c r="AJ43" s="165"/>
      <c r="AK43" s="165"/>
      <c r="AL43" s="165"/>
      <c r="AM43" s="165"/>
      <c r="AN43" s="165"/>
      <c r="AO43" s="165"/>
      <c r="AP43" s="165"/>
      <c r="AQ43" s="166"/>
      <c r="AR43" s="123"/>
      <c r="AS43" s="338" t="s">
        <v>132</v>
      </c>
      <c r="AT43" s="339"/>
      <c r="AU43" s="339"/>
      <c r="AV43" s="165"/>
      <c r="AW43" s="165"/>
      <c r="AX43" s="165"/>
      <c r="AY43" s="165"/>
      <c r="AZ43" s="165"/>
      <c r="BA43" s="165"/>
      <c r="BB43" s="165"/>
      <c r="BC43" s="165"/>
      <c r="BD43" s="166"/>
      <c r="BE43" s="118"/>
    </row>
    <row r="44" spans="2:57" ht="15.75">
      <c r="B44" s="21">
        <f t="shared" si="5"/>
        <v>46423</v>
      </c>
      <c r="C44" s="22" t="str">
        <f t="shared" si="2"/>
        <v>Feb-2027</v>
      </c>
      <c r="D44" s="2">
        <v>17</v>
      </c>
      <c r="E44" s="92">
        <f t="shared" si="3"/>
        <v>13536.71612134365</v>
      </c>
      <c r="F44" s="187">
        <f t="shared" si="6"/>
        <v>10108.823512291627</v>
      </c>
      <c r="G44" s="188">
        <f t="shared" si="4"/>
        <v>3427.8926090520226</v>
      </c>
      <c r="H44" s="20">
        <f t="shared" si="7"/>
        <v>363843.09747521573</v>
      </c>
      <c r="J44" s="32"/>
      <c r="K44" s="100"/>
      <c r="L44" s="101" t="s">
        <v>72</v>
      </c>
      <c r="M44" s="100"/>
      <c r="N44" s="100"/>
      <c r="O44" s="99"/>
      <c r="P44" s="100"/>
      <c r="Q44" s="33"/>
      <c r="R44" s="340">
        <f>SUM(R36:T43)</f>
        <v>352669.13</v>
      </c>
      <c r="S44" s="340"/>
      <c r="T44" s="340"/>
      <c r="U44" s="47"/>
      <c r="W44" s="118"/>
      <c r="X44" s="341" t="s">
        <v>133</v>
      </c>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3"/>
      <c r="BE44" s="118"/>
    </row>
    <row r="45" spans="2:57" ht="16.5" thickBot="1">
      <c r="B45" s="21">
        <f t="shared" si="5"/>
        <v>46451</v>
      </c>
      <c r="C45" s="22" t="str">
        <f t="shared" si="2"/>
        <v>Mar-2027</v>
      </c>
      <c r="D45" s="2">
        <v>18</v>
      </c>
      <c r="E45" s="92">
        <f t="shared" si="3"/>
        <v>13536.71612134365</v>
      </c>
      <c r="F45" s="187">
        <f t="shared" si="6"/>
        <v>10201.487727820964</v>
      </c>
      <c r="G45" s="188">
        <f t="shared" si="4"/>
        <v>3335.228393522686</v>
      </c>
      <c r="H45" s="20">
        <f t="shared" si="7"/>
        <v>353641.60974739474</v>
      </c>
      <c r="J45" s="32"/>
      <c r="K45" s="33"/>
      <c r="L45" s="33"/>
      <c r="M45" s="33"/>
      <c r="N45" s="33"/>
      <c r="O45" s="34"/>
      <c r="P45" s="33"/>
      <c r="Q45" s="33"/>
      <c r="R45" s="33"/>
      <c r="S45" s="33"/>
      <c r="T45" s="33"/>
      <c r="U45" s="47"/>
      <c r="W45" s="118"/>
      <c r="X45" s="167" t="s">
        <v>248</v>
      </c>
      <c r="Y45" s="167"/>
      <c r="Z45" s="167"/>
      <c r="AA45" s="167"/>
      <c r="AB45" s="167"/>
      <c r="AC45" s="167"/>
      <c r="AD45" s="167" t="s">
        <v>249</v>
      </c>
      <c r="AE45" s="167"/>
      <c r="AF45" s="167"/>
      <c r="AG45" s="167"/>
      <c r="AH45" s="167"/>
      <c r="AI45" s="167"/>
      <c r="AJ45" s="167"/>
      <c r="AK45" s="167"/>
      <c r="AL45" s="167"/>
      <c r="AM45" s="167"/>
      <c r="AN45" s="167" t="s">
        <v>250</v>
      </c>
      <c r="AO45" s="167"/>
      <c r="AP45" s="167"/>
      <c r="AQ45" s="167"/>
      <c r="AR45" s="167"/>
      <c r="AS45" s="167"/>
      <c r="AT45" s="167"/>
      <c r="AU45" s="167"/>
      <c r="AV45" s="167"/>
      <c r="AW45" s="167"/>
      <c r="AX45" s="167"/>
      <c r="AY45" s="167"/>
      <c r="AZ45" s="167"/>
      <c r="BA45" s="167"/>
      <c r="BB45" s="146"/>
      <c r="BC45" s="146"/>
      <c r="BD45" s="146"/>
      <c r="BE45" s="118"/>
    </row>
    <row r="46" spans="2:57" ht="15.75">
      <c r="B46" s="21">
        <f t="shared" si="5"/>
        <v>46482</v>
      </c>
      <c r="C46" s="22" t="str">
        <f t="shared" si="2"/>
        <v>Apr-2027</v>
      </c>
      <c r="D46" s="2">
        <v>19</v>
      </c>
      <c r="E46" s="92">
        <f t="shared" si="3"/>
        <v>13536.71612134365</v>
      </c>
      <c r="F46" s="187">
        <f t="shared" si="6"/>
        <v>10295.001365325987</v>
      </c>
      <c r="G46" s="188">
        <f t="shared" si="4"/>
        <v>3241.7147560176636</v>
      </c>
      <c r="H46" s="20">
        <f t="shared" si="7"/>
        <v>343346.60838206875</v>
      </c>
      <c r="J46" s="32"/>
      <c r="K46" s="108" t="s">
        <v>73</v>
      </c>
      <c r="L46" s="108"/>
      <c r="M46" s="108"/>
      <c r="N46" s="108"/>
      <c r="O46" s="108"/>
      <c r="P46" s="108"/>
      <c r="Q46" s="108"/>
      <c r="R46" s="108"/>
      <c r="S46" s="108"/>
      <c r="T46" s="108"/>
      <c r="U46" s="47"/>
      <c r="W46" s="118"/>
      <c r="X46" s="115" t="s">
        <v>134</v>
      </c>
      <c r="Y46" s="141"/>
      <c r="Z46" s="141"/>
      <c r="AA46" s="115"/>
      <c r="AB46" s="115"/>
      <c r="AC46" s="115"/>
      <c r="AD46" s="115" t="s">
        <v>135</v>
      </c>
      <c r="AE46" s="115"/>
      <c r="AF46" s="115"/>
      <c r="AG46" s="115"/>
      <c r="AH46" s="115"/>
      <c r="AI46" s="115"/>
      <c r="AJ46" s="115"/>
      <c r="AK46" s="115"/>
      <c r="AL46" s="118"/>
      <c r="AM46" s="115"/>
      <c r="AN46" s="115" t="s">
        <v>136</v>
      </c>
      <c r="AO46" s="115"/>
      <c r="AP46" s="115"/>
      <c r="AQ46" s="115"/>
      <c r="AR46" s="115"/>
      <c r="AS46" s="118"/>
      <c r="AT46" s="115"/>
      <c r="AU46" s="115"/>
      <c r="AV46" s="115"/>
      <c r="AW46" s="115"/>
      <c r="AX46" s="118"/>
      <c r="AY46" s="115"/>
      <c r="AZ46" s="115" t="s">
        <v>137</v>
      </c>
      <c r="BA46" s="115"/>
      <c r="BB46" s="116"/>
      <c r="BC46" s="117"/>
      <c r="BD46" s="117"/>
      <c r="BE46" s="118"/>
    </row>
    <row r="47" spans="2:57" ht="15.75">
      <c r="B47" s="21">
        <f t="shared" si="5"/>
        <v>46512</v>
      </c>
      <c r="C47" s="22" t="str">
        <f t="shared" si="2"/>
        <v>May-2027</v>
      </c>
      <c r="D47" s="2">
        <v>20</v>
      </c>
      <c r="E47" s="92">
        <f t="shared" si="3"/>
        <v>13536.71612134365</v>
      </c>
      <c r="F47" s="187">
        <f t="shared" si="6"/>
        <v>10389.372211174805</v>
      </c>
      <c r="G47" s="188">
        <f t="shared" si="4"/>
        <v>3147.3439101688455</v>
      </c>
      <c r="H47" s="20">
        <f t="shared" si="7"/>
        <v>332957.23617089394</v>
      </c>
      <c r="J47" s="32"/>
      <c r="K47" s="33"/>
      <c r="L47" s="33"/>
      <c r="M47" s="33"/>
      <c r="N47" s="33"/>
      <c r="O47" s="34"/>
      <c r="P47" s="33"/>
      <c r="Q47" s="33"/>
      <c r="R47" s="33"/>
      <c r="S47" s="33"/>
      <c r="T47" s="33"/>
      <c r="U47" s="47"/>
      <c r="W47" s="118"/>
      <c r="X47" s="344" t="s">
        <v>138</v>
      </c>
      <c r="Y47" s="345"/>
      <c r="Z47" s="345"/>
      <c r="AA47" s="345"/>
      <c r="AB47" s="345"/>
      <c r="AC47" s="346"/>
      <c r="AD47" s="344" t="s">
        <v>65</v>
      </c>
      <c r="AE47" s="345"/>
      <c r="AF47" s="345"/>
      <c r="AG47" s="345"/>
      <c r="AH47" s="346"/>
      <c r="AI47" s="344" t="s">
        <v>139</v>
      </c>
      <c r="AJ47" s="345"/>
      <c r="AK47" s="345"/>
      <c r="AL47" s="345"/>
      <c r="AM47" s="345"/>
      <c r="AN47" s="346"/>
      <c r="AO47" s="347" t="s">
        <v>140</v>
      </c>
      <c r="AP47" s="348"/>
      <c r="AQ47" s="348"/>
      <c r="AR47" s="348"/>
      <c r="AS47" s="348"/>
      <c r="AT47" s="348"/>
      <c r="AU47" s="348"/>
      <c r="AV47" s="348"/>
      <c r="AW47" s="347" t="s">
        <v>141</v>
      </c>
      <c r="AX47" s="348"/>
      <c r="AY47" s="348"/>
      <c r="AZ47" s="348"/>
      <c r="BA47" s="348"/>
      <c r="BB47" s="348"/>
      <c r="BC47" s="348"/>
      <c r="BD47" s="349"/>
      <c r="BE47" s="118"/>
    </row>
    <row r="48" spans="2:57" ht="15.75">
      <c r="B48" s="21">
        <f t="shared" si="5"/>
        <v>46543</v>
      </c>
      <c r="C48" s="22" t="str">
        <f t="shared" si="2"/>
        <v>Jun-2027</v>
      </c>
      <c r="D48" s="2">
        <v>21</v>
      </c>
      <c r="E48" s="92">
        <f t="shared" si="3"/>
        <v>13536.71612134365</v>
      </c>
      <c r="F48" s="187">
        <f t="shared" si="6"/>
        <v>10484.608123110571</v>
      </c>
      <c r="G48" s="188">
        <f t="shared" si="4"/>
        <v>3052.1079982330803</v>
      </c>
      <c r="H48" s="20">
        <f t="shared" si="7"/>
        <v>322472.62804778339</v>
      </c>
      <c r="J48" s="32"/>
      <c r="K48" s="33"/>
      <c r="L48" s="109" t="s">
        <v>89</v>
      </c>
      <c r="M48" s="104"/>
      <c r="N48" s="104"/>
      <c r="O48" s="104"/>
      <c r="P48" s="104"/>
      <c r="Q48" s="104"/>
      <c r="R48" s="331">
        <f>E25</f>
        <v>48</v>
      </c>
      <c r="S48" s="331"/>
      <c r="T48" s="97" t="s">
        <v>84</v>
      </c>
      <c r="U48" s="47"/>
      <c r="W48" s="118"/>
      <c r="X48" s="332" t="s">
        <v>242</v>
      </c>
      <c r="Y48" s="333"/>
      <c r="Z48" s="333"/>
      <c r="AA48" s="333"/>
      <c r="AB48" s="333"/>
      <c r="AC48" s="334"/>
      <c r="AD48" s="335" t="str">
        <f>D23</f>
        <v>O-121408</v>
      </c>
      <c r="AE48" s="336"/>
      <c r="AF48" s="336"/>
      <c r="AG48" s="336"/>
      <c r="AH48" s="337"/>
      <c r="AI48" s="332" t="s">
        <v>243</v>
      </c>
      <c r="AJ48" s="333"/>
      <c r="AK48" s="333"/>
      <c r="AL48" s="333"/>
      <c r="AM48" s="333"/>
      <c r="AN48" s="334"/>
      <c r="AO48" s="112"/>
      <c r="AP48" s="327" t="s">
        <v>96</v>
      </c>
      <c r="AQ48" s="327"/>
      <c r="AR48" s="327" t="s">
        <v>96</v>
      </c>
      <c r="AS48" s="327"/>
      <c r="AT48" s="113"/>
      <c r="AU48" s="113"/>
      <c r="AV48" s="114"/>
      <c r="AW48" s="112"/>
      <c r="AX48" s="327" t="s">
        <v>96</v>
      </c>
      <c r="AY48" s="327"/>
      <c r="AZ48" s="327" t="s">
        <v>96</v>
      </c>
      <c r="BA48" s="327"/>
      <c r="BB48" s="113"/>
      <c r="BC48" s="113"/>
      <c r="BD48" s="114"/>
      <c r="BE48" s="118"/>
    </row>
    <row r="49" spans="2:57" ht="15.75">
      <c r="B49" s="21">
        <f t="shared" si="5"/>
        <v>46573</v>
      </c>
      <c r="C49" s="22" t="str">
        <f t="shared" si="2"/>
        <v>Jul-2027</v>
      </c>
      <c r="D49" s="2">
        <v>22</v>
      </c>
      <c r="E49" s="92">
        <f t="shared" si="3"/>
        <v>13536.71612134365</v>
      </c>
      <c r="F49" s="187">
        <f t="shared" si="6"/>
        <v>10580.717030905747</v>
      </c>
      <c r="G49" s="188">
        <f t="shared" si="4"/>
        <v>2955.9990904379038</v>
      </c>
      <c r="H49" s="20">
        <f t="shared" si="7"/>
        <v>311891.91101687762</v>
      </c>
      <c r="J49" s="32"/>
      <c r="K49" s="33"/>
      <c r="L49" s="104" t="s">
        <v>86</v>
      </c>
      <c r="M49" s="104"/>
      <c r="N49" s="104"/>
      <c r="O49" s="104"/>
      <c r="P49" s="104"/>
      <c r="Q49" s="104"/>
      <c r="R49" s="328">
        <f>C1</f>
        <v>13536.71612134365</v>
      </c>
      <c r="S49" s="328"/>
      <c r="T49" s="328"/>
      <c r="U49" s="47"/>
      <c r="W49" s="118"/>
      <c r="X49" s="118"/>
      <c r="Y49" s="118"/>
      <c r="Z49" s="118"/>
      <c r="AA49" s="118"/>
      <c r="AB49" s="118"/>
      <c r="AC49" s="118"/>
      <c r="AD49" s="118"/>
      <c r="AE49" s="118"/>
      <c r="AF49" s="118"/>
      <c r="AG49" s="118"/>
      <c r="AH49" s="118"/>
      <c r="AI49" s="118"/>
      <c r="AJ49" s="118"/>
      <c r="AK49" s="118"/>
      <c r="AL49" s="118"/>
      <c r="AM49" s="118"/>
      <c r="AN49" s="118"/>
      <c r="AO49" s="168" t="s">
        <v>97</v>
      </c>
      <c r="AP49" s="168" t="s">
        <v>97</v>
      </c>
      <c r="AQ49" s="168" t="s">
        <v>98</v>
      </c>
      <c r="AR49" s="168" t="s">
        <v>98</v>
      </c>
      <c r="AS49" s="168" t="s">
        <v>99</v>
      </c>
      <c r="AT49" s="168" t="s">
        <v>99</v>
      </c>
      <c r="AU49" s="168" t="s">
        <v>99</v>
      </c>
      <c r="AV49" s="168" t="s">
        <v>99</v>
      </c>
      <c r="AW49" s="168" t="s">
        <v>97</v>
      </c>
      <c r="AX49" s="168" t="s">
        <v>97</v>
      </c>
      <c r="AY49" s="168" t="s">
        <v>98</v>
      </c>
      <c r="AZ49" s="168" t="s">
        <v>98</v>
      </c>
      <c r="BA49" s="168" t="s">
        <v>99</v>
      </c>
      <c r="BB49" s="168" t="s">
        <v>99</v>
      </c>
      <c r="BC49" s="168" t="s">
        <v>99</v>
      </c>
      <c r="BD49" s="168" t="s">
        <v>99</v>
      </c>
      <c r="BE49" s="118"/>
    </row>
    <row r="50" spans="2:57" ht="15.75">
      <c r="B50" s="21">
        <f t="shared" si="5"/>
        <v>46604</v>
      </c>
      <c r="C50" s="22" t="str">
        <f t="shared" si="2"/>
        <v>Aug-2027</v>
      </c>
      <c r="D50" s="2">
        <v>23</v>
      </c>
      <c r="E50" s="92">
        <f t="shared" si="3"/>
        <v>13536.71612134365</v>
      </c>
      <c r="F50" s="187">
        <f t="shared" si="6"/>
        <v>10677.70693702238</v>
      </c>
      <c r="G50" s="188">
        <f t="shared" si="4"/>
        <v>2859.0091843212713</v>
      </c>
      <c r="H50" s="20">
        <f t="shared" si="7"/>
        <v>301214.20407985523</v>
      </c>
      <c r="J50" s="32"/>
      <c r="K50" s="33"/>
      <c r="L50" s="104" t="s">
        <v>74</v>
      </c>
      <c r="M50" s="104"/>
      <c r="N50" s="104"/>
      <c r="O50" s="104"/>
      <c r="P50" s="104"/>
      <c r="Q50" s="104"/>
      <c r="R50" s="390">
        <f>E24</f>
        <v>45874</v>
      </c>
      <c r="S50" s="390"/>
      <c r="T50" s="390"/>
      <c r="U50" s="47"/>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row>
    <row r="51" spans="2:57" ht="15.75">
      <c r="B51" s="21">
        <f t="shared" si="5"/>
        <v>46635</v>
      </c>
      <c r="C51" s="22" t="str">
        <f t="shared" si="2"/>
        <v>Sep-2027</v>
      </c>
      <c r="D51" s="2">
        <v>24</v>
      </c>
      <c r="E51" s="92">
        <f t="shared" si="3"/>
        <v>13536.71612134365</v>
      </c>
      <c r="F51" s="187">
        <f t="shared" si="6"/>
        <v>10775.585917278415</v>
      </c>
      <c r="G51" s="188">
        <f t="shared" si="4"/>
        <v>2761.1302040652363</v>
      </c>
      <c r="H51" s="20">
        <f t="shared" si="7"/>
        <v>290438.61816257681</v>
      </c>
      <c r="J51" s="32"/>
      <c r="K51" s="33"/>
      <c r="L51" s="104" t="s">
        <v>75</v>
      </c>
      <c r="M51" s="104"/>
      <c r="N51" s="104"/>
      <c r="O51" s="104"/>
      <c r="P51" s="104"/>
      <c r="Q51" s="104"/>
      <c r="R51" s="329">
        <f>G24</f>
        <v>47366</v>
      </c>
      <c r="S51" s="329"/>
      <c r="T51" s="329"/>
      <c r="U51" s="47"/>
      <c r="W51" s="118"/>
      <c r="X51" s="115" t="s">
        <v>142</v>
      </c>
      <c r="Y51" s="115"/>
      <c r="Z51" s="115"/>
      <c r="AA51" s="115"/>
      <c r="AB51" s="115"/>
      <c r="AC51" s="115"/>
      <c r="AD51" s="115"/>
      <c r="AE51" s="115" t="s">
        <v>143</v>
      </c>
      <c r="AF51" s="115"/>
      <c r="AG51" s="115"/>
      <c r="AH51" s="115"/>
      <c r="AI51" s="118"/>
      <c r="AJ51" s="169" t="s">
        <v>144</v>
      </c>
      <c r="AK51" s="324">
        <v>70</v>
      </c>
      <c r="AL51" s="326"/>
      <c r="AM51" s="330" t="s">
        <v>145</v>
      </c>
      <c r="AN51" s="330"/>
      <c r="AO51" s="330"/>
      <c r="AP51" s="330"/>
      <c r="AQ51" s="170"/>
      <c r="AR51" s="309" t="s">
        <v>146</v>
      </c>
      <c r="AS51" s="309"/>
      <c r="AT51" s="170"/>
      <c r="AU51" s="309" t="s">
        <v>147</v>
      </c>
      <c r="AV51" s="309"/>
      <c r="AW51" s="309"/>
      <c r="AX51" s="309" t="s">
        <v>148</v>
      </c>
      <c r="AY51" s="309"/>
      <c r="AZ51" s="309"/>
      <c r="BA51" s="309"/>
      <c r="BB51" s="309"/>
      <c r="BC51" s="309"/>
      <c r="BD51" s="309"/>
      <c r="BE51" s="118"/>
    </row>
    <row r="52" spans="2:57" ht="15.75">
      <c r="B52" s="21">
        <f t="shared" si="5"/>
        <v>46665</v>
      </c>
      <c r="C52" s="22" t="str">
        <f t="shared" si="2"/>
        <v>Oct-2027</v>
      </c>
      <c r="D52" s="2">
        <v>25</v>
      </c>
      <c r="E52" s="92">
        <f t="shared" si="3"/>
        <v>13536.71612134365</v>
      </c>
      <c r="F52" s="187">
        <f t="shared" si="6"/>
        <v>10874.362121520129</v>
      </c>
      <c r="G52" s="188">
        <f t="shared" si="4"/>
        <v>2662.353999823521</v>
      </c>
      <c r="H52" s="20">
        <f t="shared" si="7"/>
        <v>279564.25604105665</v>
      </c>
      <c r="J52" s="32"/>
      <c r="K52" s="33"/>
      <c r="L52" s="104" t="s">
        <v>76</v>
      </c>
      <c r="M52" s="104"/>
      <c r="N52" s="104"/>
      <c r="O52" s="104"/>
      <c r="P52" s="104"/>
      <c r="Q52" s="104"/>
      <c r="R52" s="319">
        <f>C16</f>
        <v>0.12736174018256685</v>
      </c>
      <c r="S52" s="319"/>
      <c r="T52" s="319"/>
      <c r="U52" s="47"/>
      <c r="W52" s="118"/>
      <c r="X52" s="321"/>
      <c r="Y52" s="322"/>
      <c r="Z52" s="322"/>
      <c r="AA52" s="322"/>
      <c r="AB52" s="322"/>
      <c r="AC52" s="322"/>
      <c r="AD52" s="323"/>
      <c r="AE52" s="324" t="s">
        <v>255</v>
      </c>
      <c r="AF52" s="325"/>
      <c r="AG52" s="325"/>
      <c r="AH52" s="325"/>
      <c r="AI52" s="325"/>
      <c r="AJ52" s="325"/>
      <c r="AK52" s="325"/>
      <c r="AL52" s="326"/>
      <c r="AM52" s="330"/>
      <c r="AN52" s="330"/>
      <c r="AO52" s="330"/>
      <c r="AP52" s="330"/>
      <c r="AQ52" s="170"/>
      <c r="AR52" s="309" t="s">
        <v>150</v>
      </c>
      <c r="AS52" s="309"/>
      <c r="AT52" s="170"/>
      <c r="AU52" s="309" t="s">
        <v>151</v>
      </c>
      <c r="AV52" s="309"/>
      <c r="AW52" s="309"/>
      <c r="AX52" s="313"/>
      <c r="AY52" s="314"/>
      <c r="AZ52" s="314"/>
      <c r="BA52" s="314"/>
      <c r="BB52" s="314"/>
      <c r="BC52" s="314"/>
      <c r="BD52" s="315"/>
      <c r="BE52" s="118"/>
    </row>
    <row r="53" spans="2:57" ht="15.75">
      <c r="B53" s="21">
        <f t="shared" si="5"/>
        <v>46696</v>
      </c>
      <c r="C53" s="22" t="str">
        <f t="shared" si="2"/>
        <v>Nov-2027</v>
      </c>
      <c r="D53" s="2">
        <v>26</v>
      </c>
      <c r="E53" s="92">
        <f t="shared" si="3"/>
        <v>13536.71612134365</v>
      </c>
      <c r="F53" s="187">
        <f t="shared" si="6"/>
        <v>10974.043774300728</v>
      </c>
      <c r="G53" s="188">
        <f t="shared" si="4"/>
        <v>2562.6723470429233</v>
      </c>
      <c r="H53" s="20">
        <f t="shared" si="7"/>
        <v>268590.21226675593</v>
      </c>
      <c r="J53" s="32"/>
      <c r="K53" s="33"/>
      <c r="L53" s="104" t="s">
        <v>77</v>
      </c>
      <c r="M53" s="104"/>
      <c r="N53" s="104"/>
      <c r="O53" s="104"/>
      <c r="P53" s="104"/>
      <c r="Q53" s="104"/>
      <c r="R53" s="319">
        <f>C15</f>
        <v>0.01</v>
      </c>
      <c r="S53" s="319"/>
      <c r="T53" s="319"/>
      <c r="U53" s="47"/>
      <c r="W53" s="118"/>
      <c r="X53" s="320" t="s">
        <v>152</v>
      </c>
      <c r="Y53" s="320"/>
      <c r="Z53" s="320"/>
      <c r="AA53" s="320"/>
      <c r="AB53" s="320"/>
      <c r="AC53" s="320"/>
      <c r="AD53" s="320"/>
      <c r="AE53" s="320" t="s">
        <v>153</v>
      </c>
      <c r="AF53" s="320"/>
      <c r="AG53" s="320"/>
      <c r="AH53" s="320"/>
      <c r="AI53" s="320"/>
      <c r="AJ53" s="320"/>
      <c r="AK53" s="320"/>
      <c r="AL53" s="320"/>
      <c r="AM53" s="320"/>
      <c r="AN53" s="320"/>
      <c r="AO53" s="320"/>
      <c r="AP53" s="320"/>
      <c r="AQ53" s="320"/>
      <c r="AR53" s="320"/>
      <c r="AS53" s="320"/>
      <c r="AT53" s="320"/>
      <c r="AU53" s="118"/>
      <c r="AV53" s="146"/>
      <c r="AW53" s="146"/>
      <c r="AX53" s="146" t="s">
        <v>154</v>
      </c>
      <c r="AY53" s="146"/>
      <c r="AZ53" s="146"/>
      <c r="BA53" s="146"/>
      <c r="BB53" s="146"/>
      <c r="BC53" s="146"/>
      <c r="BD53" s="146"/>
      <c r="BE53" s="118"/>
    </row>
    <row r="54" spans="2:57" ht="16.5" thickBot="1">
      <c r="B54" s="21">
        <f t="shared" si="5"/>
        <v>46726</v>
      </c>
      <c r="C54" s="22" t="str">
        <f t="shared" si="2"/>
        <v>Dec-2027</v>
      </c>
      <c r="D54" s="2">
        <v>27</v>
      </c>
      <c r="E54" s="92">
        <f t="shared" si="3"/>
        <v>13536.71612134365</v>
      </c>
      <c r="F54" s="187">
        <f t="shared" si="6"/>
        <v>11074.639175565146</v>
      </c>
      <c r="G54" s="188">
        <f t="shared" si="4"/>
        <v>2462.0769457785036</v>
      </c>
      <c r="H54" s="20">
        <f t="shared" si="7"/>
        <v>257515.57309119077</v>
      </c>
      <c r="J54" s="32"/>
      <c r="K54" s="40"/>
      <c r="L54" s="40"/>
      <c r="M54" s="40"/>
      <c r="N54" s="40"/>
      <c r="O54" s="41"/>
      <c r="P54" s="40"/>
      <c r="Q54" s="40"/>
      <c r="R54" s="40"/>
      <c r="S54" s="40"/>
      <c r="T54" s="40"/>
      <c r="U54" s="47"/>
      <c r="W54" s="118"/>
      <c r="X54" s="313"/>
      <c r="Y54" s="314"/>
      <c r="Z54" s="314"/>
      <c r="AA54" s="314"/>
      <c r="AB54" s="314"/>
      <c r="AC54" s="314"/>
      <c r="AD54" s="315"/>
      <c r="AE54" s="310"/>
      <c r="AF54" s="311"/>
      <c r="AG54" s="311"/>
      <c r="AH54" s="311"/>
      <c r="AI54" s="311"/>
      <c r="AJ54" s="311"/>
      <c r="AK54" s="311"/>
      <c r="AL54" s="311"/>
      <c r="AM54" s="311"/>
      <c r="AN54" s="311"/>
      <c r="AO54" s="311"/>
      <c r="AP54" s="311"/>
      <c r="AQ54" s="311"/>
      <c r="AR54" s="311"/>
      <c r="AS54" s="311"/>
      <c r="AT54" s="311"/>
      <c r="AU54" s="311"/>
      <c r="AV54" s="311"/>
      <c r="AW54" s="312"/>
      <c r="AX54" s="310" t="s">
        <v>155</v>
      </c>
      <c r="AY54" s="311"/>
      <c r="AZ54" s="311"/>
      <c r="BA54" s="311"/>
      <c r="BB54" s="311"/>
      <c r="BC54" s="311"/>
      <c r="BD54" s="312"/>
      <c r="BE54" s="118"/>
    </row>
    <row r="55" spans="2:57" ht="16.5" thickTop="1">
      <c r="B55" s="21">
        <f t="shared" si="5"/>
        <v>46757</v>
      </c>
      <c r="C55" s="22" t="str">
        <f t="shared" si="2"/>
        <v>Jan-2028</v>
      </c>
      <c r="D55" s="2">
        <v>28</v>
      </c>
      <c r="E55" s="92">
        <f t="shared" si="3"/>
        <v>13536.71612134365</v>
      </c>
      <c r="F55" s="187">
        <f t="shared" si="6"/>
        <v>11176.156701341157</v>
      </c>
      <c r="G55" s="188">
        <f t="shared" si="4"/>
        <v>2360.5594200024939</v>
      </c>
      <c r="H55" s="20">
        <f t="shared" si="7"/>
        <v>246339.41638984962</v>
      </c>
      <c r="J55" s="32"/>
      <c r="K55" s="33"/>
      <c r="L55" s="33"/>
      <c r="M55" s="33"/>
      <c r="N55" s="33"/>
      <c r="O55" s="34"/>
      <c r="P55" s="33"/>
      <c r="Q55" s="33"/>
      <c r="R55" s="33"/>
      <c r="S55" s="33"/>
      <c r="T55" s="33"/>
      <c r="U55" s="47"/>
      <c r="W55" s="118"/>
      <c r="X55" s="115" t="s">
        <v>156</v>
      </c>
      <c r="Y55" s="115"/>
      <c r="Z55" s="115"/>
      <c r="AA55" s="115"/>
      <c r="AB55" s="115"/>
      <c r="AC55" s="115"/>
      <c r="AD55" s="115"/>
      <c r="AE55" s="118"/>
      <c r="AF55" s="115"/>
      <c r="AG55" s="146" t="s">
        <v>157</v>
      </c>
      <c r="AH55" s="118"/>
      <c r="AI55" s="118"/>
      <c r="AJ55" s="118"/>
      <c r="AK55" s="146"/>
      <c r="AL55" s="146"/>
      <c r="AM55" s="146"/>
      <c r="AN55" s="146"/>
      <c r="AO55" s="146"/>
      <c r="AP55" s="146"/>
      <c r="AQ55" s="146"/>
      <c r="AR55" s="146"/>
      <c r="AS55" s="146"/>
      <c r="AT55" s="309" t="s">
        <v>158</v>
      </c>
      <c r="AU55" s="309"/>
      <c r="AV55" s="309"/>
      <c r="AW55" s="309"/>
      <c r="AX55" s="309"/>
      <c r="AY55" s="309"/>
      <c r="AZ55" s="309"/>
      <c r="BA55" s="309"/>
      <c r="BB55" s="309"/>
      <c r="BC55" s="309"/>
      <c r="BD55" s="309"/>
      <c r="BE55" s="118"/>
    </row>
    <row r="56" spans="2:57" ht="15.75">
      <c r="B56" s="21">
        <f t="shared" si="5"/>
        <v>46788</v>
      </c>
      <c r="C56" s="22" t="str">
        <f t="shared" si="2"/>
        <v>Feb-2028</v>
      </c>
      <c r="D56" s="2">
        <v>29</v>
      </c>
      <c r="E56" s="92">
        <f t="shared" si="3"/>
        <v>13536.71612134365</v>
      </c>
      <c r="F56" s="187">
        <f t="shared" si="6"/>
        <v>11278.60480443678</v>
      </c>
      <c r="G56" s="188">
        <f t="shared" si="4"/>
        <v>2258.1113169068703</v>
      </c>
      <c r="H56" s="20">
        <f t="shared" si="7"/>
        <v>235060.81158541283</v>
      </c>
      <c r="J56" s="32"/>
      <c r="K56" s="33" t="s">
        <v>78</v>
      </c>
      <c r="L56" s="33"/>
      <c r="M56" s="33"/>
      <c r="O56" s="33"/>
      <c r="P56" s="33"/>
      <c r="R56" s="33" t="s">
        <v>87</v>
      </c>
      <c r="S56" s="33"/>
      <c r="T56" s="33"/>
      <c r="U56" s="47"/>
      <c r="W56" s="118"/>
      <c r="X56" s="310"/>
      <c r="Y56" s="311"/>
      <c r="Z56" s="311"/>
      <c r="AA56" s="311"/>
      <c r="AB56" s="311"/>
      <c r="AC56" s="311"/>
      <c r="AD56" s="311"/>
      <c r="AE56" s="311"/>
      <c r="AF56" s="312"/>
      <c r="AG56" s="389" t="s">
        <v>256</v>
      </c>
      <c r="AH56" s="314"/>
      <c r="AI56" s="314"/>
      <c r="AJ56" s="314"/>
      <c r="AK56" s="314"/>
      <c r="AL56" s="314"/>
      <c r="AM56" s="314"/>
      <c r="AN56" s="314"/>
      <c r="AO56" s="314"/>
      <c r="AP56" s="314"/>
      <c r="AQ56" s="314"/>
      <c r="AR56" s="314"/>
      <c r="AS56" s="315"/>
      <c r="AT56" s="171">
        <v>1</v>
      </c>
      <c r="AU56" s="172">
        <v>3</v>
      </c>
      <c r="AV56" s="172">
        <v>7</v>
      </c>
      <c r="AW56" s="173" t="s">
        <v>159</v>
      </c>
      <c r="AX56" s="172">
        <v>6</v>
      </c>
      <c r="AY56" s="172">
        <v>2</v>
      </c>
      <c r="AZ56" s="172">
        <v>4</v>
      </c>
      <c r="BA56" s="173" t="s">
        <v>159</v>
      </c>
      <c r="BB56" s="172">
        <v>8</v>
      </c>
      <c r="BC56" s="172">
        <v>2</v>
      </c>
      <c r="BD56" s="172">
        <v>9</v>
      </c>
      <c r="BE56" s="118"/>
    </row>
    <row r="57" spans="2:57" ht="15.6" customHeight="1">
      <c r="B57" s="21">
        <f t="shared" si="5"/>
        <v>46817</v>
      </c>
      <c r="C57" s="22" t="str">
        <f t="shared" si="2"/>
        <v>Mar-2028</v>
      </c>
      <c r="D57" s="2">
        <v>30</v>
      </c>
      <c r="E57" s="92">
        <f t="shared" si="3"/>
        <v>13536.71612134365</v>
      </c>
      <c r="F57" s="187">
        <f t="shared" si="6"/>
        <v>11381.992015144113</v>
      </c>
      <c r="G57" s="188">
        <f t="shared" si="4"/>
        <v>2154.7241061995369</v>
      </c>
      <c r="H57" s="20">
        <f t="shared" si="7"/>
        <v>223678.81957026871</v>
      </c>
      <c r="J57" s="32"/>
      <c r="K57" s="33"/>
      <c r="L57" s="33"/>
      <c r="M57" s="33"/>
      <c r="N57" s="33"/>
      <c r="O57" s="33"/>
      <c r="P57" s="33"/>
      <c r="Q57" s="33"/>
      <c r="R57" s="33"/>
      <c r="S57" s="33"/>
      <c r="T57" s="33"/>
      <c r="U57" s="47"/>
      <c r="W57" s="118"/>
      <c r="X57" s="174" t="s">
        <v>160</v>
      </c>
      <c r="Y57" s="146"/>
      <c r="Z57" s="146"/>
      <c r="AA57" s="146"/>
      <c r="AB57" s="316" t="str">
        <f>N34</f>
        <v>P7 CABUGAO, ECHAGUE, ISABELA</v>
      </c>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317"/>
      <c r="AY57" s="317"/>
      <c r="AZ57" s="317"/>
      <c r="BA57" s="317"/>
      <c r="BB57" s="317"/>
      <c r="BC57" s="317"/>
      <c r="BD57" s="318"/>
      <c r="BE57" s="118"/>
    </row>
    <row r="58" spans="2:57" ht="15.75">
      <c r="B58" s="21">
        <f t="shared" si="5"/>
        <v>46848</v>
      </c>
      <c r="C58" s="22" t="str">
        <f t="shared" si="2"/>
        <v>Apr-2028</v>
      </c>
      <c r="D58" s="2">
        <v>31</v>
      </c>
      <c r="E58" s="92">
        <f t="shared" si="3"/>
        <v>13536.71612134365</v>
      </c>
      <c r="F58" s="187">
        <f t="shared" si="6"/>
        <v>11486.326941949597</v>
      </c>
      <c r="G58" s="188">
        <f t="shared" si="4"/>
        <v>2050.3891793940529</v>
      </c>
      <c r="H58" s="20">
        <f t="shared" si="7"/>
        <v>212192.4926283191</v>
      </c>
      <c r="J58" s="16"/>
      <c r="U58" s="107"/>
      <c r="W58" s="118"/>
      <c r="X58" s="287" t="s">
        <v>161</v>
      </c>
      <c r="Y58" s="288"/>
      <c r="Z58" s="288"/>
      <c r="AA58" s="288"/>
      <c r="AB58" s="288"/>
      <c r="AC58" s="288"/>
      <c r="AD58" s="288"/>
      <c r="AE58" s="288"/>
      <c r="AF58" s="288"/>
      <c r="AG58" s="288"/>
      <c r="AH58" s="288"/>
      <c r="AI58" s="288"/>
      <c r="AJ58" s="288"/>
      <c r="AK58" s="288"/>
      <c r="AL58" s="288"/>
      <c r="AM58" s="288"/>
      <c r="AN58" s="288"/>
      <c r="AO58" s="288"/>
      <c r="AP58" s="288"/>
      <c r="AQ58" s="288"/>
      <c r="AR58" s="288"/>
      <c r="AS58" s="288"/>
      <c r="AT58" s="288"/>
      <c r="AU58" s="288"/>
      <c r="AV58" s="288"/>
      <c r="AW58" s="288"/>
      <c r="AX58" s="288"/>
      <c r="AY58" s="288"/>
      <c r="AZ58" s="288"/>
      <c r="BA58" s="288"/>
      <c r="BB58" s="288"/>
      <c r="BC58" s="288"/>
      <c r="BD58" s="289"/>
      <c r="BE58" s="118"/>
    </row>
    <row r="59" spans="2:57" ht="15.75">
      <c r="B59" s="21">
        <f t="shared" si="5"/>
        <v>46878</v>
      </c>
      <c r="C59" s="22" t="str">
        <f t="shared" si="2"/>
        <v>May-2028</v>
      </c>
      <c r="D59" s="2">
        <v>32</v>
      </c>
      <c r="E59" s="92">
        <f t="shared" si="3"/>
        <v>13536.71612134365</v>
      </c>
      <c r="F59" s="187">
        <f t="shared" si="6"/>
        <v>11591.618272250798</v>
      </c>
      <c r="G59" s="188">
        <f t="shared" si="4"/>
        <v>1945.0978490928521</v>
      </c>
      <c r="H59" s="20">
        <f t="shared" si="7"/>
        <v>200600.87435606829</v>
      </c>
      <c r="J59" s="16"/>
      <c r="U59" s="107"/>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row>
    <row r="60" spans="2:57" ht="16.5" thickBot="1">
      <c r="B60" s="21">
        <f t="shared" si="5"/>
        <v>46909</v>
      </c>
      <c r="C60" s="22" t="str">
        <f t="shared" si="2"/>
        <v>Jun-2028</v>
      </c>
      <c r="D60" s="2">
        <v>33</v>
      </c>
      <c r="E60" s="92">
        <f t="shared" si="3"/>
        <v>13536.71612134365</v>
      </c>
      <c r="F60" s="187">
        <f t="shared" si="6"/>
        <v>11697.87477307976</v>
      </c>
      <c r="G60" s="188">
        <f t="shared" si="4"/>
        <v>1838.8413482638905</v>
      </c>
      <c r="H60" s="20">
        <f t="shared" si="7"/>
        <v>188902.99958298853</v>
      </c>
      <c r="J60" s="32"/>
      <c r="K60" s="307" t="s">
        <v>245</v>
      </c>
      <c r="L60" s="307"/>
      <c r="M60" s="307"/>
      <c r="N60" s="100"/>
      <c r="O60" s="100"/>
      <c r="P60" s="100"/>
      <c r="R60" s="308" t="s">
        <v>246</v>
      </c>
      <c r="S60" s="308"/>
      <c r="T60" s="308"/>
      <c r="U60" s="47"/>
      <c r="W60" s="118"/>
      <c r="X60" s="118"/>
      <c r="Y60" s="118" t="s">
        <v>162</v>
      </c>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row>
    <row r="61" spans="2:57" ht="15.75">
      <c r="B61" s="21">
        <f t="shared" si="5"/>
        <v>46939</v>
      </c>
      <c r="C61" s="22" t="str">
        <f t="shared" si="2"/>
        <v>Jul-2028</v>
      </c>
      <c r="D61" s="2">
        <v>34</v>
      </c>
      <c r="E61" s="92">
        <f t="shared" si="3"/>
        <v>13536.71612134365</v>
      </c>
      <c r="F61" s="187">
        <f t="shared" si="6"/>
        <v>11805.105291832988</v>
      </c>
      <c r="G61" s="188">
        <f t="shared" si="4"/>
        <v>1731.6108295106633</v>
      </c>
      <c r="H61" s="20">
        <f t="shared" si="7"/>
        <v>177097.89429115554</v>
      </c>
      <c r="J61" s="32"/>
      <c r="K61" s="305" t="s">
        <v>80</v>
      </c>
      <c r="L61" s="305"/>
      <c r="M61" s="305"/>
      <c r="N61" s="33"/>
      <c r="O61" s="34"/>
      <c r="P61" s="33"/>
      <c r="R61" s="305" t="s">
        <v>88</v>
      </c>
      <c r="S61" s="305"/>
      <c r="T61" s="305"/>
      <c r="U61" s="47"/>
      <c r="W61" s="118"/>
      <c r="X61" s="118" t="s">
        <v>163</v>
      </c>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row>
    <row r="62" spans="2:57" ht="15.75">
      <c r="B62" s="21">
        <f t="shared" si="5"/>
        <v>46970</v>
      </c>
      <c r="C62" s="22" t="str">
        <f t="shared" si="2"/>
        <v>Aug-2028</v>
      </c>
      <c r="D62" s="2">
        <v>35</v>
      </c>
      <c r="E62" s="92">
        <f t="shared" si="3"/>
        <v>13536.71612134365</v>
      </c>
      <c r="F62" s="187">
        <f t="shared" si="6"/>
        <v>11913.318757008119</v>
      </c>
      <c r="G62" s="188">
        <f t="shared" si="4"/>
        <v>1623.3973643355316</v>
      </c>
      <c r="H62" s="187">
        <f t="shared" si="7"/>
        <v>165184.57553414741</v>
      </c>
      <c r="J62" s="16"/>
      <c r="U62" s="107"/>
      <c r="W62" s="118"/>
      <c r="X62" s="118" t="s">
        <v>164</v>
      </c>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row>
    <row r="63" spans="2:57" ht="15.75">
      <c r="B63" s="21">
        <f t="shared" si="5"/>
        <v>47001</v>
      </c>
      <c r="C63" s="22" t="str">
        <f t="shared" si="2"/>
        <v>Sep-2028</v>
      </c>
      <c r="D63" s="2">
        <v>36</v>
      </c>
      <c r="E63" s="92">
        <f t="shared" si="3"/>
        <v>13536.71612134365</v>
      </c>
      <c r="F63" s="187">
        <f t="shared" si="6"/>
        <v>12022.524178947355</v>
      </c>
      <c r="G63" s="188">
        <f t="shared" si="4"/>
        <v>1514.1919423962945</v>
      </c>
      <c r="H63" s="187">
        <f t="shared" si="7"/>
        <v>153162.05135520006</v>
      </c>
      <c r="J63" s="16"/>
      <c r="U63" s="107"/>
      <c r="W63" s="118"/>
      <c r="X63" s="118" t="s">
        <v>165</v>
      </c>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row>
    <row r="64" spans="2:57" ht="16.5" thickBot="1">
      <c r="B64" s="21">
        <f t="shared" si="5"/>
        <v>47031</v>
      </c>
      <c r="C64" s="22" t="str">
        <f t="shared" si="2"/>
        <v>Oct-2028</v>
      </c>
      <c r="D64" s="2">
        <v>37</v>
      </c>
      <c r="E64" s="92">
        <f t="shared" si="3"/>
        <v>13536.71612134365</v>
      </c>
      <c r="F64" s="187">
        <f t="shared" si="6"/>
        <v>12132.730650587702</v>
      </c>
      <c r="G64" s="188">
        <f t="shared" si="4"/>
        <v>1403.985470755948</v>
      </c>
      <c r="H64" s="187">
        <f t="shared" si="7"/>
        <v>141029.32070461236</v>
      </c>
      <c r="J64" s="16"/>
      <c r="U64" s="107"/>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270" t="str">
        <f>D22</f>
        <v>SEVERO B. SINENSE</v>
      </c>
      <c r="AV64" s="270"/>
      <c r="AW64" s="270"/>
      <c r="AX64" s="270"/>
      <c r="AY64" s="270"/>
      <c r="AZ64" s="270"/>
      <c r="BA64" s="270"/>
      <c r="BB64" s="270"/>
      <c r="BC64" s="270"/>
      <c r="BD64" s="118"/>
      <c r="BE64" s="118"/>
    </row>
    <row r="65" spans="2:57" ht="15.75">
      <c r="B65" s="21">
        <f t="shared" si="5"/>
        <v>47062</v>
      </c>
      <c r="C65" s="22" t="str">
        <f t="shared" si="2"/>
        <v>Nov-2028</v>
      </c>
      <c r="D65" s="2">
        <v>38</v>
      </c>
      <c r="E65" s="92">
        <f t="shared" si="3"/>
        <v>13536.71612134365</v>
      </c>
      <c r="F65" s="187">
        <f t="shared" si="6"/>
        <v>12243.947348218086</v>
      </c>
      <c r="G65" s="188">
        <f t="shared" si="4"/>
        <v>1292.7687731255648</v>
      </c>
      <c r="H65" s="187">
        <f t="shared" si="7"/>
        <v>128785.37335639427</v>
      </c>
      <c r="J65" s="32"/>
      <c r="K65" s="33"/>
      <c r="L65" s="33"/>
      <c r="M65" s="33"/>
      <c r="N65" s="33"/>
      <c r="O65" s="34"/>
      <c r="P65" s="33"/>
      <c r="Q65" s="33"/>
      <c r="R65" s="33"/>
      <c r="S65" s="33"/>
      <c r="T65" s="33"/>
      <c r="U65" s="47"/>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231" t="s">
        <v>166</v>
      </c>
      <c r="AV65" s="306"/>
      <c r="AW65" s="306"/>
      <c r="AX65" s="306"/>
      <c r="AY65" s="306"/>
      <c r="AZ65" s="306"/>
      <c r="BA65" s="306"/>
      <c r="BB65" s="306"/>
      <c r="BC65" s="306"/>
      <c r="BD65" s="118"/>
      <c r="BE65" s="118"/>
    </row>
    <row r="66" spans="2:57" ht="15.75">
      <c r="B66" s="21">
        <f t="shared" si="5"/>
        <v>47092</v>
      </c>
      <c r="C66" s="22" t="str">
        <f t="shared" si="2"/>
        <v>Dec-2028</v>
      </c>
      <c r="D66" s="2">
        <v>39</v>
      </c>
      <c r="E66" s="92">
        <f t="shared" si="3"/>
        <v>13536.71612134365</v>
      </c>
      <c r="F66" s="187">
        <f t="shared" si="6"/>
        <v>12356.183532243414</v>
      </c>
      <c r="G66" s="188">
        <f t="shared" si="4"/>
        <v>1180.5325891002365</v>
      </c>
      <c r="H66" s="187">
        <f t="shared" si="7"/>
        <v>116429.18982415085</v>
      </c>
      <c r="J66" s="32"/>
      <c r="K66" s="33" t="s">
        <v>82</v>
      </c>
      <c r="L66" s="33"/>
      <c r="M66" s="33"/>
      <c r="N66" s="33"/>
      <c r="O66" s="34"/>
      <c r="P66" s="33"/>
      <c r="Q66" s="33"/>
      <c r="R66" s="33" t="s">
        <v>79</v>
      </c>
      <c r="S66" s="33"/>
      <c r="T66" s="33"/>
      <c r="U66" s="47"/>
      <c r="W66" s="118"/>
      <c r="X66" s="287" t="s">
        <v>167</v>
      </c>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c r="BC66" s="288"/>
      <c r="BD66" s="289"/>
      <c r="BE66" s="118"/>
    </row>
    <row r="67" spans="2:57" ht="15.75">
      <c r="B67" s="21">
        <f t="shared" si="5"/>
        <v>47123</v>
      </c>
      <c r="C67" s="22" t="str">
        <f t="shared" si="2"/>
        <v>Jan-2029</v>
      </c>
      <c r="D67" s="2">
        <v>40</v>
      </c>
      <c r="E67" s="92">
        <f t="shared" si="3"/>
        <v>13536.71612134365</v>
      </c>
      <c r="F67" s="187">
        <f t="shared" si="6"/>
        <v>12469.448547955641</v>
      </c>
      <c r="G67" s="188">
        <f t="shared" si="4"/>
        <v>1067.2675733880094</v>
      </c>
      <c r="H67" s="187">
        <f t="shared" si="7"/>
        <v>103959.7412761952</v>
      </c>
      <c r="J67" s="32"/>
      <c r="K67" s="33"/>
      <c r="L67" s="33"/>
      <c r="M67" s="33"/>
      <c r="N67" s="33"/>
      <c r="O67" s="34"/>
      <c r="P67" s="33"/>
      <c r="Q67" s="33"/>
      <c r="R67" s="33"/>
      <c r="S67" s="33"/>
      <c r="T67" s="33"/>
      <c r="U67" s="47"/>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row>
    <row r="68" spans="2:57" ht="15.75">
      <c r="B68" s="21">
        <f t="shared" si="5"/>
        <v>47154</v>
      </c>
      <c r="C68" s="22" t="str">
        <f t="shared" si="2"/>
        <v>Feb-2029</v>
      </c>
      <c r="D68" s="2">
        <v>41</v>
      </c>
      <c r="E68" s="92">
        <f t="shared" si="3"/>
        <v>13536.71612134365</v>
      </c>
      <c r="F68" s="187">
        <f t="shared" si="6"/>
        <v>12583.751826311896</v>
      </c>
      <c r="G68" s="188">
        <f t="shared" si="4"/>
        <v>952.96429503175364</v>
      </c>
      <c r="H68" s="187">
        <f t="shared" si="7"/>
        <v>91375.989449883302</v>
      </c>
      <c r="J68" s="16"/>
      <c r="U68" s="107"/>
      <c r="W68" s="118"/>
      <c r="X68" s="118"/>
      <c r="Y68" s="118" t="s">
        <v>168</v>
      </c>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row>
    <row r="69" spans="2:57" ht="16.5" thickBot="1">
      <c r="B69" s="21">
        <f t="shared" si="5"/>
        <v>47182</v>
      </c>
      <c r="C69" s="22" t="str">
        <f t="shared" si="2"/>
        <v>Mar-2029</v>
      </c>
      <c r="D69" s="2">
        <v>42</v>
      </c>
      <c r="E69" s="92">
        <f t="shared" si="3"/>
        <v>13536.71612134365</v>
      </c>
      <c r="F69" s="187">
        <f t="shared" si="6"/>
        <v>12699.102884719752</v>
      </c>
      <c r="G69" s="188">
        <f t="shared" si="4"/>
        <v>837.61323662389884</v>
      </c>
      <c r="H69" s="187">
        <f t="shared" si="7"/>
        <v>78676.886565163557</v>
      </c>
      <c r="J69" s="16"/>
      <c r="K69" s="388" t="str">
        <f>D22</f>
        <v>SEVERO B. SINENSE</v>
      </c>
      <c r="L69" s="388"/>
      <c r="M69" s="388"/>
      <c r="P69" s="308" t="s">
        <v>247</v>
      </c>
      <c r="Q69" s="308"/>
      <c r="R69" s="308"/>
      <c r="S69" s="308"/>
      <c r="T69" s="308"/>
      <c r="U69" s="194"/>
      <c r="W69" s="118"/>
      <c r="X69" s="118" t="s">
        <v>169</v>
      </c>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row>
    <row r="70" spans="2:57" ht="15.75">
      <c r="B70" s="21">
        <f t="shared" si="5"/>
        <v>47213</v>
      </c>
      <c r="C70" s="22" t="str">
        <f t="shared" si="2"/>
        <v>Apr-2029</v>
      </c>
      <c r="D70" s="2">
        <v>43</v>
      </c>
      <c r="E70" s="92">
        <f t="shared" si="3"/>
        <v>13536.71612134365</v>
      </c>
      <c r="F70" s="187">
        <f t="shared" si="6"/>
        <v>12815.511327829678</v>
      </c>
      <c r="G70" s="188">
        <f t="shared" si="4"/>
        <v>721.20479351397228</v>
      </c>
      <c r="H70" s="187">
        <f t="shared" si="7"/>
        <v>65861.375237333879</v>
      </c>
      <c r="J70" s="32"/>
      <c r="K70" s="42" t="s">
        <v>83</v>
      </c>
      <c r="L70" s="42"/>
      <c r="M70" s="42"/>
      <c r="N70" s="33"/>
      <c r="O70" s="34"/>
      <c r="P70" s="33"/>
      <c r="Q70" s="33"/>
      <c r="R70" s="100" t="s">
        <v>81</v>
      </c>
      <c r="S70" s="100"/>
      <c r="T70" s="33"/>
      <c r="U70" s="47"/>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row>
    <row r="71" spans="2:57" ht="16.5" thickBot="1">
      <c r="B71" s="21">
        <f t="shared" si="5"/>
        <v>47243</v>
      </c>
      <c r="C71" s="22" t="str">
        <f t="shared" si="2"/>
        <v>May-2029</v>
      </c>
      <c r="D71" s="2">
        <v>44</v>
      </c>
      <c r="E71" s="92">
        <f t="shared" si="3"/>
        <v>13536.71612134365</v>
      </c>
      <c r="F71" s="187">
        <f t="shared" si="6"/>
        <v>12932.986848334778</v>
      </c>
      <c r="G71" s="188">
        <f t="shared" si="4"/>
        <v>603.72927300887125</v>
      </c>
      <c r="H71" s="187">
        <f t="shared" si="7"/>
        <v>52928.388388999098</v>
      </c>
      <c r="J71" s="43"/>
      <c r="K71" s="44"/>
      <c r="L71" s="44"/>
      <c r="M71" s="44"/>
      <c r="N71" s="44"/>
      <c r="O71" s="45"/>
      <c r="P71" s="44"/>
      <c r="Q71" s="44"/>
      <c r="R71" s="44"/>
      <c r="S71" s="44"/>
      <c r="T71" s="44"/>
      <c r="U71" s="49"/>
      <c r="W71" s="118"/>
      <c r="X71" s="125"/>
      <c r="Y71" s="125"/>
      <c r="Z71" s="125"/>
      <c r="AA71" s="125"/>
      <c r="AB71" s="125"/>
      <c r="AC71" s="125"/>
      <c r="AD71" s="125"/>
      <c r="AE71" s="125"/>
      <c r="AF71" s="118"/>
      <c r="AG71" s="125"/>
      <c r="AH71" s="125"/>
      <c r="AI71" s="125"/>
      <c r="AJ71" s="125"/>
      <c r="AK71" s="125"/>
      <c r="AL71" s="125"/>
      <c r="AM71" s="125"/>
      <c r="AN71" s="118"/>
      <c r="AO71" s="118"/>
      <c r="AP71" s="125"/>
      <c r="AQ71" s="125"/>
      <c r="AR71" s="125"/>
      <c r="AS71" s="125"/>
      <c r="AT71" s="125"/>
      <c r="AU71" s="125"/>
      <c r="AV71" s="125"/>
      <c r="AW71" s="118"/>
      <c r="AX71" s="125"/>
      <c r="AY71" s="125"/>
      <c r="AZ71" s="125"/>
      <c r="BA71" s="125"/>
      <c r="BB71" s="125"/>
      <c r="BC71" s="125"/>
      <c r="BD71" s="125"/>
      <c r="BE71" s="118"/>
    </row>
    <row r="72" spans="2:57" ht="15.75">
      <c r="B72" s="21">
        <f t="shared" si="5"/>
        <v>47274</v>
      </c>
      <c r="C72" s="22" t="str">
        <f t="shared" si="2"/>
        <v>Jun-2029</v>
      </c>
      <c r="D72" s="2">
        <v>45</v>
      </c>
      <c r="E72" s="92">
        <f t="shared" si="3"/>
        <v>13536.71612134365</v>
      </c>
      <c r="F72" s="187">
        <f t="shared" si="6"/>
        <v>13051.539227777843</v>
      </c>
      <c r="G72" s="188">
        <f t="shared" si="4"/>
        <v>485.17689356580689</v>
      </c>
      <c r="H72" s="187">
        <f t="shared" si="7"/>
        <v>39876.849161221253</v>
      </c>
      <c r="W72" s="118"/>
      <c r="X72" s="231" t="s">
        <v>170</v>
      </c>
      <c r="Y72" s="231"/>
      <c r="Z72" s="231"/>
      <c r="AA72" s="231"/>
      <c r="AB72" s="231"/>
      <c r="AC72" s="231"/>
      <c r="AD72" s="231"/>
      <c r="AE72" s="231"/>
      <c r="AF72" s="118"/>
      <c r="AG72" s="231" t="s">
        <v>171</v>
      </c>
      <c r="AH72" s="231"/>
      <c r="AI72" s="231"/>
      <c r="AJ72" s="231"/>
      <c r="AK72" s="231"/>
      <c r="AL72" s="231"/>
      <c r="AM72" s="231"/>
      <c r="AN72" s="118"/>
      <c r="AO72" s="118"/>
      <c r="AP72" s="231" t="s">
        <v>172</v>
      </c>
      <c r="AQ72" s="231"/>
      <c r="AR72" s="231"/>
      <c r="AS72" s="231"/>
      <c r="AT72" s="231"/>
      <c r="AU72" s="231"/>
      <c r="AV72" s="231"/>
      <c r="AW72" s="118"/>
      <c r="AX72" s="231" t="s">
        <v>173</v>
      </c>
      <c r="AY72" s="231"/>
      <c r="AZ72" s="231"/>
      <c r="BA72" s="231"/>
      <c r="BB72" s="231"/>
      <c r="BC72" s="231"/>
      <c r="BD72" s="231"/>
      <c r="BE72" s="118"/>
    </row>
    <row r="73" spans="2:57" ht="15.75">
      <c r="B73" s="21">
        <f t="shared" si="5"/>
        <v>47304</v>
      </c>
      <c r="C73" s="22" t="str">
        <f t="shared" si="2"/>
        <v>Jul-2029</v>
      </c>
      <c r="D73" s="2">
        <v>46</v>
      </c>
      <c r="E73" s="92">
        <f t="shared" si="3"/>
        <v>13536.71612134365</v>
      </c>
      <c r="F73" s="187">
        <f t="shared" si="6"/>
        <v>13171.178337365802</v>
      </c>
      <c r="G73" s="188">
        <f t="shared" si="4"/>
        <v>365.53778397784777</v>
      </c>
      <c r="H73" s="187">
        <f t="shared" si="7"/>
        <v>26705.670823855449</v>
      </c>
      <c r="W73" s="118"/>
      <c r="X73" s="231" t="s">
        <v>174</v>
      </c>
      <c r="Y73" s="231"/>
      <c r="Z73" s="231"/>
      <c r="AA73" s="231"/>
      <c r="AB73" s="231"/>
      <c r="AC73" s="231"/>
      <c r="AD73" s="231"/>
      <c r="AE73" s="231"/>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row>
    <row r="74" spans="2:57" ht="15.75">
      <c r="B74" s="21">
        <f t="shared" si="5"/>
        <v>47335</v>
      </c>
      <c r="C74" s="22" t="str">
        <f t="shared" si="2"/>
        <v>Aug-2029</v>
      </c>
      <c r="D74" s="2">
        <v>47</v>
      </c>
      <c r="E74" s="92">
        <f t="shared" si="3"/>
        <v>13536.71612134365</v>
      </c>
      <c r="F74" s="187">
        <f t="shared" si="6"/>
        <v>13291.914138791652</v>
      </c>
      <c r="G74" s="188">
        <f t="shared" si="4"/>
        <v>244.80198255199912</v>
      </c>
      <c r="H74" s="187">
        <f t="shared" si="7"/>
        <v>13413.756685063798</v>
      </c>
      <c r="W74" s="118"/>
      <c r="X74" s="287" t="s">
        <v>175</v>
      </c>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c r="BD74" s="304"/>
      <c r="BE74" s="118"/>
    </row>
    <row r="75" spans="2:57" ht="15.75">
      <c r="B75" s="21">
        <f t="shared" si="5"/>
        <v>47366</v>
      </c>
      <c r="C75" s="22" t="str">
        <f t="shared" si="2"/>
        <v>Sep-2029</v>
      </c>
      <c r="D75" s="2">
        <v>48</v>
      </c>
      <c r="E75" s="92">
        <f t="shared" si="3"/>
        <v>13536.71612134365</v>
      </c>
      <c r="F75" s="187">
        <f t="shared" si="6"/>
        <v>13413.756685063903</v>
      </c>
      <c r="G75" s="188">
        <f t="shared" si="4"/>
        <v>122.95943627974687</v>
      </c>
      <c r="H75" s="187">
        <f t="shared" si="7"/>
        <v>-1.0550138540565968E-10</v>
      </c>
      <c r="W75" s="118"/>
      <c r="X75" s="293" t="s">
        <v>176</v>
      </c>
      <c r="Y75" s="293"/>
      <c r="Z75" s="293"/>
      <c r="AA75" s="293" t="s">
        <v>177</v>
      </c>
      <c r="AB75" s="293"/>
      <c r="AC75" s="293"/>
      <c r="AD75" s="293"/>
      <c r="AE75" s="293" t="s">
        <v>178</v>
      </c>
      <c r="AF75" s="293"/>
      <c r="AG75" s="293"/>
      <c r="AH75" s="293"/>
      <c r="AI75" s="293"/>
      <c r="AJ75" s="293" t="s">
        <v>179</v>
      </c>
      <c r="AK75" s="293"/>
      <c r="AL75" s="293"/>
      <c r="AM75" s="293" t="s">
        <v>50</v>
      </c>
      <c r="AN75" s="293"/>
      <c r="AO75" s="293"/>
      <c r="AP75" s="293"/>
      <c r="AQ75" s="293"/>
      <c r="AR75" s="293" t="s">
        <v>180</v>
      </c>
      <c r="AS75" s="293"/>
      <c r="AT75" s="293"/>
      <c r="AU75" s="293" t="s">
        <v>181</v>
      </c>
      <c r="AV75" s="293"/>
      <c r="AW75" s="293"/>
      <c r="AX75" s="293"/>
      <c r="AY75" s="293"/>
      <c r="AZ75" s="293" t="s">
        <v>182</v>
      </c>
      <c r="BA75" s="293"/>
      <c r="BB75" s="293"/>
      <c r="BC75" s="293"/>
      <c r="BD75" s="293"/>
      <c r="BE75" s="118"/>
    </row>
    <row r="76" spans="2:57" ht="15.75">
      <c r="C76" s="25"/>
      <c r="D76" s="26"/>
      <c r="E76" s="26">
        <f>SUM(E28:E75)</f>
        <v>649762.37382449571</v>
      </c>
      <c r="F76" s="26">
        <f>SUM(F28:F75)</f>
        <v>523754.78433333331</v>
      </c>
      <c r="G76" s="26">
        <f>SUM(G28:G75)</f>
        <v>126007.58949116195</v>
      </c>
      <c r="H76" s="27"/>
      <c r="I76" s="28"/>
      <c r="J76" s="28"/>
      <c r="W76" s="118"/>
      <c r="X76" s="294"/>
      <c r="Y76" s="295"/>
      <c r="Z76" s="295"/>
      <c r="AA76" s="296"/>
      <c r="AB76" s="295"/>
      <c r="AC76" s="295"/>
      <c r="AD76" s="295"/>
      <c r="AE76" s="297"/>
      <c r="AF76" s="297"/>
      <c r="AG76" s="297"/>
      <c r="AH76" s="297"/>
      <c r="AI76" s="297"/>
      <c r="AJ76" s="298"/>
      <c r="AK76" s="295"/>
      <c r="AL76" s="295"/>
      <c r="AM76" s="299"/>
      <c r="AN76" s="300"/>
      <c r="AO76" s="300"/>
      <c r="AP76" s="300"/>
      <c r="AQ76" s="301"/>
      <c r="AR76" s="302"/>
      <c r="AS76" s="302"/>
      <c r="AT76" s="302"/>
      <c r="AU76" s="295"/>
      <c r="AV76" s="295"/>
      <c r="AW76" s="295"/>
      <c r="AX76" s="295"/>
      <c r="AY76" s="295"/>
      <c r="AZ76" s="297"/>
      <c r="BA76" s="297"/>
      <c r="BB76" s="297"/>
      <c r="BC76" s="297"/>
      <c r="BD76" s="297"/>
      <c r="BE76" s="118"/>
    </row>
    <row r="77" spans="2:57" ht="15.75">
      <c r="W77" s="118"/>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118"/>
    </row>
    <row r="78" spans="2:57" ht="15.75">
      <c r="W78" s="118"/>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118"/>
    </row>
    <row r="79" spans="2:57" ht="15.75">
      <c r="V79" s="33"/>
      <c r="W79" s="118"/>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118"/>
    </row>
    <row r="80" spans="2:57" ht="15" customHeight="1">
      <c r="V80" s="33"/>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row>
    <row r="81" spans="22:57" ht="15.75">
      <c r="V81" s="33"/>
      <c r="W81" s="118"/>
      <c r="X81" s="287" t="s">
        <v>183</v>
      </c>
      <c r="Y81" s="288"/>
      <c r="Z81" s="288"/>
      <c r="AA81" s="288"/>
      <c r="AB81" s="288"/>
      <c r="AC81" s="288"/>
      <c r="AD81" s="288"/>
      <c r="AE81" s="288"/>
      <c r="AF81" s="288"/>
      <c r="AG81" s="288"/>
      <c r="AH81" s="288"/>
      <c r="AI81" s="288"/>
      <c r="AJ81" s="288"/>
      <c r="AK81" s="288"/>
      <c r="AL81" s="288"/>
      <c r="AM81" s="288"/>
      <c r="AN81" s="288"/>
      <c r="AO81" s="288"/>
      <c r="AP81" s="288"/>
      <c r="AQ81" s="288"/>
      <c r="AR81" s="288"/>
      <c r="AS81" s="288"/>
      <c r="AT81" s="288"/>
      <c r="AU81" s="288"/>
      <c r="AV81" s="288"/>
      <c r="AW81" s="288"/>
      <c r="AX81" s="288"/>
      <c r="AY81" s="288"/>
      <c r="AZ81" s="288"/>
      <c r="BA81" s="288"/>
      <c r="BB81" s="288"/>
      <c r="BC81" s="288"/>
      <c r="BD81" s="289"/>
      <c r="BE81" s="118"/>
    </row>
    <row r="82" spans="22:57" ht="15.75">
      <c r="V82" s="33"/>
      <c r="W82" s="118"/>
      <c r="X82" s="290" t="s">
        <v>184</v>
      </c>
      <c r="Y82" s="291"/>
      <c r="Z82" s="291"/>
      <c r="AA82" s="291"/>
      <c r="AB82" s="292"/>
      <c r="AC82" s="290" t="s">
        <v>185</v>
      </c>
      <c r="AD82" s="291"/>
      <c r="AE82" s="291"/>
      <c r="AF82" s="292"/>
      <c r="AG82" s="290" t="s">
        <v>51</v>
      </c>
      <c r="AH82" s="291"/>
      <c r="AI82" s="291"/>
      <c r="AJ82" s="292"/>
      <c r="AK82" s="290" t="s">
        <v>186</v>
      </c>
      <c r="AL82" s="291"/>
      <c r="AM82" s="291"/>
      <c r="AN82" s="291"/>
      <c r="AO82" s="291"/>
      <c r="AP82" s="291"/>
      <c r="AQ82" s="292"/>
      <c r="AR82" s="290" t="s">
        <v>187</v>
      </c>
      <c r="AS82" s="291"/>
      <c r="AT82" s="291"/>
      <c r="AU82" s="291"/>
      <c r="AV82" s="292"/>
      <c r="AW82" s="290" t="s">
        <v>188</v>
      </c>
      <c r="AX82" s="291"/>
      <c r="AY82" s="291"/>
      <c r="AZ82" s="291"/>
      <c r="BA82" s="291"/>
      <c r="BB82" s="291"/>
      <c r="BC82" s="291"/>
      <c r="BD82" s="292"/>
      <c r="BE82" s="118"/>
    </row>
    <row r="83" spans="22:57" ht="15.75">
      <c r="V83" s="33"/>
      <c r="W83" s="118"/>
      <c r="X83" s="277">
        <f>C4</f>
        <v>523754.78433333337</v>
      </c>
      <c r="Y83" s="278"/>
      <c r="Z83" s="278"/>
      <c r="AA83" s="278"/>
      <c r="AB83" s="279"/>
      <c r="AC83" s="277">
        <f>C1</f>
        <v>13536.71612134365</v>
      </c>
      <c r="AD83" s="278"/>
      <c r="AE83" s="278"/>
      <c r="AF83" s="279"/>
      <c r="AG83" s="387">
        <f>R48</f>
        <v>48</v>
      </c>
      <c r="AH83" s="284"/>
      <c r="AI83" s="284"/>
      <c r="AJ83" s="285"/>
      <c r="AK83" s="277">
        <v>650</v>
      </c>
      <c r="AL83" s="278"/>
      <c r="AM83" s="278"/>
      <c r="AN83" s="278"/>
      <c r="AO83" s="278"/>
      <c r="AP83" s="278"/>
      <c r="AQ83" s="279"/>
      <c r="AR83" s="283"/>
      <c r="AS83" s="284"/>
      <c r="AT83" s="284"/>
      <c r="AU83" s="284"/>
      <c r="AV83" s="285"/>
      <c r="AW83" s="277">
        <f>C3</f>
        <v>649762.37382449524</v>
      </c>
      <c r="AX83" s="278"/>
      <c r="AY83" s="278"/>
      <c r="AZ83" s="278"/>
      <c r="BA83" s="278"/>
      <c r="BB83" s="278"/>
      <c r="BC83" s="278"/>
      <c r="BD83" s="279"/>
      <c r="BE83" s="118"/>
    </row>
    <row r="84" spans="22:57" ht="15.75">
      <c r="V84" s="33"/>
      <c r="W84" s="118"/>
      <c r="X84" s="272" t="s">
        <v>189</v>
      </c>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118"/>
    </row>
    <row r="85" spans="22:57" ht="15.75">
      <c r="V85" s="33"/>
      <c r="W85" s="118"/>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8"/>
    </row>
    <row r="86" spans="22:57" ht="16.5" thickBot="1">
      <c r="V86" s="33"/>
      <c r="W86" s="118"/>
      <c r="X86" s="115"/>
      <c r="Y86" s="115"/>
      <c r="Z86" s="115"/>
      <c r="AA86" s="115"/>
      <c r="AB86" s="115"/>
      <c r="AC86" s="115"/>
      <c r="AD86" s="115"/>
      <c r="AE86" s="115"/>
      <c r="AF86" s="115"/>
      <c r="AG86" s="115"/>
      <c r="AH86" s="115"/>
      <c r="AI86" s="115"/>
      <c r="AJ86" s="273" t="s">
        <v>257</v>
      </c>
      <c r="AK86" s="273"/>
      <c r="AL86" s="273"/>
      <c r="AM86" s="273"/>
      <c r="AN86" s="273"/>
      <c r="AO86" s="273"/>
      <c r="AP86" s="273"/>
      <c r="AQ86" s="273"/>
      <c r="AR86" s="273"/>
      <c r="AS86" s="273"/>
      <c r="AT86" s="115"/>
      <c r="AU86" s="115"/>
      <c r="AV86" s="115"/>
      <c r="AW86" s="115"/>
      <c r="AX86" s="115"/>
      <c r="AY86" s="115"/>
      <c r="AZ86" s="115"/>
      <c r="BA86" s="115"/>
      <c r="BB86" s="115"/>
      <c r="BC86" s="115"/>
      <c r="BD86" s="115"/>
      <c r="BE86" s="118"/>
    </row>
    <row r="87" spans="22:57" ht="15.75">
      <c r="V87" s="33"/>
      <c r="W87" s="231" t="s">
        <v>190</v>
      </c>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31"/>
      <c r="BA87" s="231"/>
      <c r="BB87" s="231"/>
      <c r="BC87" s="231"/>
      <c r="BD87" s="231"/>
      <c r="BE87" s="231"/>
    </row>
    <row r="88" spans="22:57" ht="15.75">
      <c r="V88" s="33"/>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row>
    <row r="89" spans="22:57" ht="15.75">
      <c r="V89" s="33"/>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row>
    <row r="90" spans="22:57" ht="15.75">
      <c r="V90" s="33"/>
      <c r="W90" s="118"/>
      <c r="X90" s="274" t="s">
        <v>191</v>
      </c>
      <c r="Y90" s="272"/>
      <c r="Z90" s="272"/>
      <c r="AA90" s="272"/>
      <c r="AB90" s="272"/>
      <c r="AC90" s="272"/>
      <c r="AD90" s="272"/>
      <c r="AE90" s="272"/>
      <c r="AF90" s="272"/>
      <c r="AG90" s="272"/>
      <c r="AH90" s="272"/>
      <c r="AI90" s="272"/>
      <c r="AJ90" s="272"/>
      <c r="AK90" s="272"/>
      <c r="AL90" s="272"/>
      <c r="AM90" s="272"/>
      <c r="AN90" s="275"/>
      <c r="AO90" s="274" t="s">
        <v>192</v>
      </c>
      <c r="AP90" s="272"/>
      <c r="AQ90" s="272"/>
      <c r="AR90" s="272"/>
      <c r="AS90" s="272"/>
      <c r="AT90" s="272"/>
      <c r="AU90" s="272"/>
      <c r="AV90" s="272"/>
      <c r="AW90" s="272"/>
      <c r="AX90" s="272"/>
      <c r="AY90" s="272"/>
      <c r="AZ90" s="272"/>
      <c r="BA90" s="272"/>
      <c r="BB90" s="272"/>
      <c r="BC90" s="272"/>
      <c r="BD90" s="275"/>
      <c r="BE90" s="118"/>
    </row>
    <row r="91" spans="22:57" ht="15.75">
      <c r="V91" s="33"/>
      <c r="W91" s="118"/>
      <c r="X91" s="175"/>
      <c r="Y91" s="142"/>
      <c r="Z91" s="142"/>
      <c r="AA91" s="142"/>
      <c r="AB91" s="142"/>
      <c r="AC91" s="142"/>
      <c r="AD91" s="142"/>
      <c r="AE91" s="142"/>
      <c r="AF91" s="142"/>
      <c r="AG91" s="142"/>
      <c r="AH91" s="142"/>
      <c r="AI91" s="142"/>
      <c r="AJ91" s="142"/>
      <c r="AK91" s="142"/>
      <c r="AL91" s="142"/>
      <c r="AM91" s="142"/>
      <c r="AN91" s="176"/>
      <c r="AO91" s="175"/>
      <c r="AP91" s="142"/>
      <c r="AQ91" s="142"/>
      <c r="AR91" s="142"/>
      <c r="AS91" s="142"/>
      <c r="AT91" s="142"/>
      <c r="AU91" s="142"/>
      <c r="AV91" s="142"/>
      <c r="AW91" s="142"/>
      <c r="AX91" s="142"/>
      <c r="AY91" s="142"/>
      <c r="AZ91" s="142"/>
      <c r="BA91" s="142"/>
      <c r="BB91" s="142"/>
      <c r="BC91" s="142"/>
      <c r="BD91" s="176"/>
      <c r="BE91" s="118"/>
    </row>
    <row r="92" spans="22:57" ht="16.5" thickBot="1">
      <c r="V92" s="33"/>
      <c r="W92" s="118"/>
      <c r="X92" s="177"/>
      <c r="Y92" s="132"/>
      <c r="Z92" s="132"/>
      <c r="AA92" s="178"/>
      <c r="AB92" s="276" t="s">
        <v>235</v>
      </c>
      <c r="AC92" s="276"/>
      <c r="AD92" s="276"/>
      <c r="AE92" s="276"/>
      <c r="AF92" s="276"/>
      <c r="AG92" s="276"/>
      <c r="AH92" s="276"/>
      <c r="AI92" s="276"/>
      <c r="AJ92" s="276"/>
      <c r="AK92" s="178"/>
      <c r="AL92" s="178"/>
      <c r="AM92" s="178"/>
      <c r="AN92" s="179"/>
      <c r="AO92" s="177"/>
      <c r="AP92" s="118"/>
      <c r="AQ92" s="118"/>
      <c r="AR92" s="118"/>
      <c r="AS92" s="273" t="s">
        <v>43</v>
      </c>
      <c r="AT92" s="273"/>
      <c r="AU92" s="273"/>
      <c r="AV92" s="273"/>
      <c r="AW92" s="273"/>
      <c r="AX92" s="273"/>
      <c r="AY92" s="273"/>
      <c r="AZ92" s="273"/>
      <c r="BA92" s="118"/>
      <c r="BB92" s="118"/>
      <c r="BC92" s="118"/>
      <c r="BD92" s="180"/>
      <c r="BE92" s="118"/>
    </row>
    <row r="93" spans="22:57" ht="15.75">
      <c r="V93" s="33"/>
      <c r="W93" s="118"/>
      <c r="X93" s="267" t="s">
        <v>190</v>
      </c>
      <c r="Y93" s="268"/>
      <c r="Z93" s="268"/>
      <c r="AA93" s="268"/>
      <c r="AB93" s="268"/>
      <c r="AC93" s="268"/>
      <c r="AD93" s="268"/>
      <c r="AE93" s="268"/>
      <c r="AF93" s="268"/>
      <c r="AG93" s="268"/>
      <c r="AH93" s="268"/>
      <c r="AI93" s="268"/>
      <c r="AJ93" s="268"/>
      <c r="AK93" s="268"/>
      <c r="AL93" s="268"/>
      <c r="AM93" s="268"/>
      <c r="AN93" s="269"/>
      <c r="AO93" s="267" t="s">
        <v>190</v>
      </c>
      <c r="AP93" s="268"/>
      <c r="AQ93" s="268"/>
      <c r="AR93" s="268"/>
      <c r="AS93" s="268"/>
      <c r="AT93" s="268"/>
      <c r="AU93" s="268"/>
      <c r="AV93" s="268"/>
      <c r="AW93" s="268"/>
      <c r="AX93" s="268"/>
      <c r="AY93" s="268"/>
      <c r="AZ93" s="268"/>
      <c r="BA93" s="268"/>
      <c r="BB93" s="268"/>
      <c r="BC93" s="268"/>
      <c r="BD93" s="269"/>
      <c r="BE93" s="118"/>
    </row>
    <row r="94" spans="22:57" ht="15.75">
      <c r="V94" s="33"/>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row>
    <row r="95" spans="22:57" ht="15.75">
      <c r="V95" s="33"/>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row>
    <row r="96" spans="22:57">
      <c r="V96" s="33"/>
    </row>
    <row r="97" spans="22:57">
      <c r="V97" s="33"/>
    </row>
    <row r="98" spans="22:57" ht="18.75">
      <c r="V98" s="33"/>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38"/>
      <c r="AS98" s="118"/>
      <c r="AT98" s="118"/>
      <c r="AU98" s="118"/>
      <c r="AV98" s="118"/>
      <c r="AW98" s="118"/>
      <c r="AX98" s="118"/>
      <c r="AY98" s="118"/>
      <c r="AZ98" s="118"/>
      <c r="BA98" s="118"/>
      <c r="BB98" s="118"/>
      <c r="BC98" s="118"/>
      <c r="BD98" s="118"/>
      <c r="BE98" s="118"/>
    </row>
    <row r="99" spans="22:57" ht="18.75">
      <c r="V99" s="33"/>
      <c r="W99" s="118"/>
      <c r="X99" s="232" t="s">
        <v>193</v>
      </c>
      <c r="Y99" s="233"/>
      <c r="Z99" s="233"/>
      <c r="AA99" s="233"/>
      <c r="AB99" s="233"/>
      <c r="AC99" s="233"/>
      <c r="AD99" s="233"/>
      <c r="AE99" s="233"/>
      <c r="AF99" s="233"/>
      <c r="AG99" s="233"/>
      <c r="AH99" s="233"/>
      <c r="AI99" s="233"/>
      <c r="AJ99" s="233"/>
      <c r="AK99" s="233"/>
      <c r="AL99" s="118"/>
      <c r="AM99" s="118"/>
      <c r="AN99" s="118"/>
      <c r="AO99" s="118"/>
      <c r="AP99" s="118"/>
      <c r="AQ99" s="118"/>
      <c r="AR99" s="118"/>
      <c r="AS99" s="118"/>
      <c r="AT99" s="118"/>
      <c r="AU99" s="118"/>
      <c r="AV99" s="118"/>
      <c r="AW99" s="118"/>
      <c r="AX99" s="118"/>
      <c r="AY99" s="118"/>
    </row>
    <row r="100" spans="22:57" ht="18" customHeight="1">
      <c r="V100" s="33"/>
      <c r="W100" s="118"/>
      <c r="X100" s="118"/>
      <c r="Y100" s="265" t="s">
        <v>230</v>
      </c>
      <c r="Z100" s="265"/>
      <c r="AA100" s="265"/>
      <c r="AB100" s="265"/>
      <c r="AC100" s="265"/>
      <c r="AD100" s="265"/>
      <c r="AE100" s="265"/>
      <c r="AF100" s="265"/>
      <c r="AG100" s="265"/>
      <c r="AH100" s="265"/>
      <c r="AI100" s="265"/>
      <c r="AJ100" s="265"/>
      <c r="AK100" s="265"/>
      <c r="AL100" s="265"/>
      <c r="AM100" s="265"/>
      <c r="AN100" s="265"/>
      <c r="AO100" s="265"/>
      <c r="AP100" s="265"/>
      <c r="AQ100" s="265"/>
      <c r="AR100" s="265"/>
      <c r="AS100" s="265"/>
      <c r="AT100" s="265"/>
      <c r="AU100" s="265"/>
      <c r="AV100" s="265"/>
      <c r="AW100" s="265"/>
      <c r="AX100" s="265"/>
      <c r="AY100" s="271">
        <f>AW83</f>
        <v>649762.37382449524</v>
      </c>
      <c r="AZ100" s="271"/>
      <c r="BA100" s="271"/>
      <c r="BB100" s="271"/>
      <c r="BC100" s="271"/>
      <c r="BD100" s="271"/>
      <c r="BE100" s="138"/>
    </row>
    <row r="101" spans="22:57" ht="18" customHeight="1">
      <c r="V101" s="33"/>
      <c r="W101" s="118"/>
      <c r="X101" s="263"/>
      <c r="Y101" s="263"/>
      <c r="Z101" s="263"/>
      <c r="AA101" s="139" t="s">
        <v>231</v>
      </c>
      <c r="AB101" s="181">
        <f>AG83</f>
        <v>48</v>
      </c>
      <c r="AC101" s="265" t="s">
        <v>232</v>
      </c>
      <c r="AD101" s="265"/>
      <c r="AE101" s="265"/>
      <c r="AF101" s="265"/>
      <c r="AG101" s="265"/>
      <c r="AH101" s="265"/>
      <c r="AI101" s="265"/>
      <c r="AJ101" s="265"/>
      <c r="AK101" s="265"/>
      <c r="AL101" s="265"/>
      <c r="AM101" s="265"/>
      <c r="AN101" s="264">
        <f>AC83</f>
        <v>13536.71612134365</v>
      </c>
      <c r="AO101" s="264"/>
      <c r="AP101" s="264"/>
      <c r="AQ101" s="264"/>
      <c r="AR101" s="265" t="s">
        <v>233</v>
      </c>
      <c r="AS101" s="265"/>
      <c r="AT101" s="265"/>
      <c r="AU101" s="265"/>
      <c r="AV101" s="265"/>
      <c r="AW101" s="265"/>
      <c r="AX101" s="265"/>
      <c r="AY101" s="265"/>
      <c r="AZ101" s="265"/>
      <c r="BA101" s="265"/>
      <c r="BB101" s="265"/>
      <c r="BC101" s="265"/>
      <c r="BD101" s="265"/>
      <c r="BE101" s="138"/>
    </row>
    <row r="102" spans="22:57" ht="18" customHeight="1">
      <c r="V102" s="38"/>
      <c r="W102" s="118"/>
      <c r="X102" s="266">
        <f>B28</f>
        <v>45935</v>
      </c>
      <c r="Y102" s="266"/>
      <c r="Z102" s="266"/>
      <c r="AA102" s="266"/>
      <c r="AB102" s="242" t="s">
        <v>237</v>
      </c>
      <c r="AC102" s="242"/>
      <c r="AD102" s="242"/>
      <c r="AE102" s="242"/>
      <c r="AF102" s="242"/>
      <c r="AG102" s="242"/>
      <c r="AH102" s="242"/>
      <c r="AI102" s="242"/>
      <c r="AJ102" s="242"/>
      <c r="AK102" s="242"/>
      <c r="AL102" s="242"/>
      <c r="AM102" s="242"/>
      <c r="AN102" s="242"/>
      <c r="AO102" s="242"/>
      <c r="AP102" s="242"/>
      <c r="AQ102" s="242"/>
      <c r="AR102" s="242"/>
      <c r="AS102" s="242"/>
      <c r="AT102" s="242"/>
      <c r="AU102" s="242"/>
      <c r="AV102" s="242"/>
      <c r="AW102" s="242"/>
      <c r="AX102" s="242"/>
      <c r="AY102" s="242"/>
      <c r="AZ102" s="242"/>
      <c r="BA102" s="242"/>
      <c r="BB102" s="242"/>
      <c r="BC102" s="242"/>
      <c r="BD102" s="242"/>
      <c r="BE102" s="138"/>
    </row>
    <row r="103" spans="22:57" ht="18" customHeight="1">
      <c r="V103" s="38"/>
      <c r="W103" s="118"/>
      <c r="X103" s="242" t="s">
        <v>236</v>
      </c>
      <c r="Y103" s="242"/>
      <c r="Z103" s="242"/>
      <c r="AA103" s="242"/>
      <c r="AB103" s="242"/>
      <c r="AC103" s="242"/>
      <c r="AD103" s="242"/>
      <c r="AE103" s="242"/>
      <c r="AF103" s="242"/>
      <c r="AG103" s="242"/>
      <c r="AH103" s="242"/>
      <c r="AI103" s="242"/>
      <c r="AJ103" s="242"/>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138"/>
    </row>
    <row r="104" spans="22:57" ht="18" customHeight="1">
      <c r="V104" s="38"/>
      <c r="W104" s="118"/>
      <c r="X104" s="242" t="s">
        <v>194</v>
      </c>
      <c r="Y104" s="242"/>
      <c r="Z104" s="242"/>
      <c r="AA104" s="242"/>
      <c r="AB104" s="242"/>
      <c r="AC104" s="242"/>
      <c r="AD104" s="242"/>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2"/>
      <c r="BA104" s="242"/>
      <c r="BB104" s="242"/>
      <c r="BC104" s="242"/>
      <c r="BD104" s="242"/>
      <c r="BE104" s="138"/>
    </row>
    <row r="105" spans="22:57" ht="18.75">
      <c r="V105" s="33"/>
      <c r="W105" s="118"/>
      <c r="X105" s="242"/>
      <c r="Y105" s="242"/>
      <c r="Z105" s="242"/>
      <c r="AA105" s="242"/>
      <c r="AB105" s="242"/>
      <c r="AC105" s="242"/>
      <c r="AD105" s="242"/>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138"/>
    </row>
    <row r="106" spans="22:57" ht="18.75">
      <c r="V106" s="33"/>
      <c r="W106" s="118"/>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138"/>
    </row>
    <row r="107" spans="22:57" ht="18" customHeight="1">
      <c r="V107" s="33"/>
      <c r="W107" s="118"/>
      <c r="X107" s="242" t="s">
        <v>195</v>
      </c>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138"/>
    </row>
    <row r="108" spans="22:57" ht="18.75">
      <c r="V108" s="36"/>
      <c r="W108" s="118"/>
      <c r="X108" s="242"/>
      <c r="Y108" s="242"/>
      <c r="Z108" s="242"/>
      <c r="AA108" s="242"/>
      <c r="AB108" s="242"/>
      <c r="AC108" s="242"/>
      <c r="AD108" s="242"/>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138"/>
    </row>
    <row r="109" spans="22:57" ht="18.75">
      <c r="V109" s="36"/>
      <c r="W109" s="118"/>
      <c r="X109" s="242"/>
      <c r="Y109" s="242"/>
      <c r="Z109" s="242"/>
      <c r="AA109" s="242"/>
      <c r="AB109" s="242"/>
      <c r="AC109" s="242"/>
      <c r="AD109" s="242"/>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138"/>
    </row>
    <row r="110" spans="22:57" ht="18" customHeight="1">
      <c r="V110" s="36"/>
      <c r="W110" s="118"/>
      <c r="X110" s="242" t="s">
        <v>196</v>
      </c>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138"/>
    </row>
    <row r="111" spans="22:57" ht="18.75">
      <c r="V111" s="36"/>
      <c r="W111" s="118"/>
      <c r="X111" s="242"/>
      <c r="Y111" s="242"/>
      <c r="Z111" s="242"/>
      <c r="AA111" s="242"/>
      <c r="AB111" s="242"/>
      <c r="AC111" s="242"/>
      <c r="AD111" s="242"/>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138"/>
    </row>
    <row r="112" spans="22:57" ht="18.75">
      <c r="V112" s="36"/>
      <c r="W112" s="118"/>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138"/>
    </row>
    <row r="113" spans="22:57" ht="18.75">
      <c r="V113" s="33"/>
      <c r="W113" s="118"/>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138"/>
    </row>
    <row r="114" spans="22:57" ht="18.75">
      <c r="V114" s="33"/>
      <c r="W114" s="118"/>
      <c r="X114" s="242"/>
      <c r="Y114" s="242"/>
      <c r="Z114" s="242"/>
      <c r="AA114" s="242"/>
      <c r="AB114" s="242"/>
      <c r="AC114" s="242"/>
      <c r="AD114" s="242"/>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138"/>
    </row>
    <row r="115" spans="22:57" ht="18" customHeight="1">
      <c r="V115" s="33"/>
      <c r="W115" s="118"/>
      <c r="X115" s="242" t="s">
        <v>197</v>
      </c>
      <c r="Y115" s="242"/>
      <c r="Z115" s="242"/>
      <c r="AA115" s="242"/>
      <c r="AB115" s="242"/>
      <c r="AC115" s="242"/>
      <c r="AD115" s="242"/>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138"/>
    </row>
    <row r="116" spans="22:57" ht="18.75">
      <c r="V116" s="33"/>
      <c r="W116" s="118"/>
      <c r="X116" s="242"/>
      <c r="Y116" s="242"/>
      <c r="Z116" s="242"/>
      <c r="AA116" s="242"/>
      <c r="AB116" s="242"/>
      <c r="AC116" s="242"/>
      <c r="AD116" s="242"/>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138"/>
    </row>
    <row r="117" spans="22:57" ht="18.75">
      <c r="V117" s="33"/>
      <c r="W117" s="118"/>
      <c r="X117" s="242"/>
      <c r="Y117" s="242"/>
      <c r="Z117" s="242"/>
      <c r="AA117" s="242"/>
      <c r="AB117" s="242"/>
      <c r="AC117" s="242"/>
      <c r="AD117" s="242"/>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138"/>
    </row>
    <row r="118" spans="22:57" ht="19.5" thickBot="1">
      <c r="V118" s="33"/>
      <c r="W118" s="118"/>
      <c r="X118" s="242"/>
      <c r="Y118" s="242"/>
      <c r="Z118" s="242"/>
      <c r="AA118" s="242"/>
      <c r="AB118" s="242"/>
      <c r="AC118" s="242"/>
      <c r="AD118" s="242"/>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138"/>
    </row>
    <row r="119" spans="22:57" ht="15.75">
      <c r="V119" s="33"/>
      <c r="W119" s="118"/>
      <c r="X119" s="122"/>
      <c r="Y119" s="122"/>
      <c r="Z119" s="122"/>
      <c r="AA119" s="122"/>
      <c r="AB119" s="122"/>
      <c r="AC119" s="122"/>
      <c r="AD119" s="122"/>
      <c r="AE119" s="122"/>
      <c r="AF119" s="122"/>
      <c r="AG119" s="122"/>
      <c r="AH119" s="122"/>
      <c r="AI119" s="122"/>
      <c r="AJ119" s="122"/>
      <c r="AK119" s="122"/>
      <c r="AL119" s="123"/>
      <c r="AM119" s="118" t="s">
        <v>198</v>
      </c>
      <c r="AN119" s="118"/>
      <c r="AO119" s="124"/>
      <c r="AP119" s="118"/>
      <c r="AQ119" s="118"/>
      <c r="AR119" s="122"/>
      <c r="AS119" s="122"/>
      <c r="AT119" s="243"/>
      <c r="AU119" s="244"/>
      <c r="AV119" s="244"/>
      <c r="AW119" s="244"/>
      <c r="AX119" s="245"/>
      <c r="AY119" s="144"/>
      <c r="AZ119" s="252"/>
      <c r="BA119" s="253"/>
      <c r="BB119" s="253"/>
      <c r="BC119" s="253"/>
      <c r="BD119" s="254"/>
      <c r="BE119" s="122"/>
    </row>
    <row r="120" spans="22:57" ht="15.75">
      <c r="V120" s="33"/>
      <c r="W120" s="118"/>
      <c r="X120" s="118"/>
      <c r="Y120" s="118"/>
      <c r="Z120" s="118"/>
      <c r="AA120" s="118"/>
      <c r="AB120" s="118"/>
      <c r="AC120" s="118"/>
      <c r="AD120" s="118"/>
      <c r="AE120" s="118"/>
      <c r="AF120" s="118"/>
      <c r="AG120" s="118"/>
      <c r="AH120" s="118"/>
      <c r="AI120" s="118"/>
      <c r="AJ120" s="118"/>
      <c r="AK120" s="118"/>
      <c r="AL120" s="123"/>
      <c r="AM120" s="118" t="s">
        <v>199</v>
      </c>
      <c r="AN120" s="118"/>
      <c r="AO120" s="118"/>
      <c r="AP120" s="118"/>
      <c r="AQ120" s="118"/>
      <c r="AR120" s="118"/>
      <c r="AS120" s="118"/>
      <c r="AT120" s="246"/>
      <c r="AU120" s="247"/>
      <c r="AV120" s="247"/>
      <c r="AW120" s="247"/>
      <c r="AX120" s="248"/>
      <c r="AY120" s="122"/>
      <c r="AZ120" s="255"/>
      <c r="BA120" s="256"/>
      <c r="BB120" s="256"/>
      <c r="BC120" s="256"/>
      <c r="BD120" s="257"/>
      <c r="BE120" s="122"/>
    </row>
    <row r="121" spans="22:57" ht="15.75">
      <c r="V121" s="33"/>
      <c r="W121" s="118"/>
      <c r="X121" s="118"/>
      <c r="Y121" s="118"/>
      <c r="Z121" s="118"/>
      <c r="AA121" s="118"/>
      <c r="AB121" s="118"/>
      <c r="AC121" s="118"/>
      <c r="AD121" s="118"/>
      <c r="AE121" s="118"/>
      <c r="AF121" s="118"/>
      <c r="AG121" s="118"/>
      <c r="AH121" s="118"/>
      <c r="AI121" s="118"/>
      <c r="AJ121" s="118"/>
      <c r="AK121" s="118"/>
      <c r="AL121" s="123"/>
      <c r="AM121" s="118" t="s">
        <v>200</v>
      </c>
      <c r="AN121" s="118"/>
      <c r="AO121" s="118"/>
      <c r="AP121" s="118"/>
      <c r="AQ121" s="118"/>
      <c r="AR121" s="118"/>
      <c r="AS121" s="118"/>
      <c r="AT121" s="246"/>
      <c r="AU121" s="247"/>
      <c r="AV121" s="247"/>
      <c r="AW121" s="247"/>
      <c r="AX121" s="248"/>
      <c r="AY121" s="122"/>
      <c r="AZ121" s="255"/>
      <c r="BA121" s="256"/>
      <c r="BB121" s="256"/>
      <c r="BC121" s="256"/>
      <c r="BD121" s="257"/>
      <c r="BE121" s="122"/>
    </row>
    <row r="122" spans="22:57" ht="16.5" thickBot="1">
      <c r="V122" s="33"/>
      <c r="W122" s="118"/>
      <c r="X122" s="118"/>
      <c r="Y122" s="118"/>
      <c r="Z122" s="261" t="str">
        <f>N32</f>
        <v>SEVERO B. SINENSE</v>
      </c>
      <c r="AA122" s="261"/>
      <c r="AB122" s="261"/>
      <c r="AC122" s="261"/>
      <c r="AD122" s="261"/>
      <c r="AE122" s="261"/>
      <c r="AF122" s="261"/>
      <c r="AG122" s="261"/>
      <c r="AH122" s="261"/>
      <c r="AI122" s="118"/>
      <c r="AJ122" s="118"/>
      <c r="AK122" s="118"/>
      <c r="AL122" s="123"/>
      <c r="AM122" s="118" t="s">
        <v>115</v>
      </c>
      <c r="AN122" s="118"/>
      <c r="AO122" s="125"/>
      <c r="AP122" s="125"/>
      <c r="AQ122" s="125"/>
      <c r="AR122" s="118"/>
      <c r="AS122" s="118"/>
      <c r="AT122" s="246"/>
      <c r="AU122" s="247"/>
      <c r="AV122" s="247"/>
      <c r="AW122" s="247"/>
      <c r="AX122" s="248"/>
      <c r="AY122" s="122"/>
      <c r="AZ122" s="255"/>
      <c r="BA122" s="256"/>
      <c r="BB122" s="256"/>
      <c r="BC122" s="256"/>
      <c r="BD122" s="257"/>
      <c r="BE122" s="122"/>
    </row>
    <row r="123" spans="22:57" ht="15.75">
      <c r="V123" s="33"/>
      <c r="W123" s="118"/>
      <c r="X123" s="262" t="s">
        <v>201</v>
      </c>
      <c r="Y123" s="262"/>
      <c r="Z123" s="262"/>
      <c r="AA123" s="262"/>
      <c r="AB123" s="262"/>
      <c r="AC123" s="262"/>
      <c r="AD123" s="262"/>
      <c r="AE123" s="262"/>
      <c r="AF123" s="262"/>
      <c r="AG123" s="262"/>
      <c r="AH123" s="262"/>
      <c r="AI123" s="262"/>
      <c r="AJ123" s="262"/>
      <c r="AK123" s="118"/>
      <c r="AL123" s="118"/>
      <c r="AM123" s="118"/>
      <c r="AN123" s="118"/>
      <c r="AO123" s="118"/>
      <c r="AP123" s="118"/>
      <c r="AQ123" s="118"/>
      <c r="AR123" s="118"/>
      <c r="AS123" s="118"/>
      <c r="AT123" s="246"/>
      <c r="AU123" s="247"/>
      <c r="AV123" s="247"/>
      <c r="AW123" s="247"/>
      <c r="AX123" s="248"/>
      <c r="AY123" s="122"/>
      <c r="AZ123" s="255"/>
      <c r="BA123" s="256"/>
      <c r="BB123" s="256"/>
      <c r="BC123" s="256"/>
      <c r="BD123" s="257"/>
      <c r="BE123" s="122"/>
    </row>
    <row r="124" spans="22:57" ht="15.75">
      <c r="V124" s="33"/>
      <c r="W124" s="118"/>
      <c r="X124" s="115"/>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246"/>
      <c r="AU124" s="247"/>
      <c r="AV124" s="247"/>
      <c r="AW124" s="247"/>
      <c r="AX124" s="248"/>
      <c r="AY124" s="122"/>
      <c r="AZ124" s="255"/>
      <c r="BA124" s="256"/>
      <c r="BB124" s="256"/>
      <c r="BC124" s="256"/>
      <c r="BD124" s="257"/>
      <c r="BE124" s="122"/>
    </row>
    <row r="125" spans="22:57" ht="16.5" thickBot="1">
      <c r="V125" s="33"/>
      <c r="W125" s="118"/>
      <c r="X125" s="118" t="s">
        <v>202</v>
      </c>
      <c r="Y125" s="118"/>
      <c r="Z125" s="125"/>
      <c r="AA125" s="125"/>
      <c r="AB125" s="125"/>
      <c r="AC125" s="125"/>
      <c r="AD125" s="125"/>
      <c r="AE125" s="125"/>
      <c r="AF125" s="125"/>
      <c r="AG125" s="125"/>
      <c r="AH125" s="125"/>
      <c r="AI125" s="125"/>
      <c r="AJ125" s="118"/>
      <c r="AK125" s="118"/>
      <c r="AL125" s="118"/>
      <c r="AM125" s="118"/>
      <c r="AN125" s="118"/>
      <c r="AO125" s="118"/>
      <c r="AP125" s="118"/>
      <c r="AQ125" s="118"/>
      <c r="AR125" s="118"/>
      <c r="AS125" s="118"/>
      <c r="AT125" s="249"/>
      <c r="AU125" s="250"/>
      <c r="AV125" s="250"/>
      <c r="AW125" s="250"/>
      <c r="AX125" s="251"/>
      <c r="AY125" s="145"/>
      <c r="AZ125" s="258"/>
      <c r="BA125" s="259"/>
      <c r="BB125" s="259"/>
      <c r="BC125" s="259"/>
      <c r="BD125" s="260"/>
      <c r="BE125" s="122"/>
    </row>
    <row r="126" spans="22:57" ht="16.5" thickBot="1">
      <c r="V126" s="33"/>
      <c r="W126" s="118"/>
      <c r="X126" s="118" t="s">
        <v>203</v>
      </c>
      <c r="Y126" s="118"/>
      <c r="Z126" s="118"/>
      <c r="AA126" s="118"/>
      <c r="AB126" s="126"/>
      <c r="AC126" s="126"/>
      <c r="AD126" s="126"/>
      <c r="AE126" s="126"/>
      <c r="AF126" s="126"/>
      <c r="AG126" s="126"/>
      <c r="AH126" s="126"/>
      <c r="AI126" s="126"/>
      <c r="AJ126" s="118"/>
      <c r="AK126" s="118"/>
      <c r="AL126" s="118"/>
      <c r="AM126" s="118"/>
      <c r="AN126" s="118"/>
      <c r="AO126" s="118"/>
      <c r="AP126" s="118"/>
      <c r="AQ126" s="118"/>
      <c r="AR126" s="118"/>
      <c r="AS126" s="118"/>
      <c r="AT126" s="238" t="s">
        <v>204</v>
      </c>
      <c r="AU126" s="238"/>
      <c r="AV126" s="238"/>
      <c r="AW126" s="238"/>
      <c r="AX126" s="238"/>
      <c r="AY126" s="147"/>
      <c r="AZ126" s="238" t="s">
        <v>205</v>
      </c>
      <c r="BA126" s="238"/>
      <c r="BB126" s="238"/>
      <c r="BC126" s="238"/>
      <c r="BD126" s="238"/>
      <c r="BE126" s="146"/>
    </row>
    <row r="127" spans="22:57" ht="15.75">
      <c r="V127" s="33"/>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row>
    <row r="128" spans="22:57" ht="15.75">
      <c r="V128" s="33"/>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row>
    <row r="129" spans="10:57" ht="18.75">
      <c r="V129" s="33"/>
      <c r="W129" s="118"/>
      <c r="X129" s="232" t="s">
        <v>206</v>
      </c>
      <c r="Y129" s="233"/>
      <c r="Z129" s="233"/>
      <c r="AA129" s="233"/>
      <c r="AB129" s="233"/>
      <c r="AC129" s="233"/>
      <c r="AD129" s="233"/>
      <c r="AE129" s="233"/>
      <c r="AF129" s="233"/>
      <c r="AG129" s="233"/>
      <c r="AH129" s="233"/>
      <c r="AI129" s="233"/>
      <c r="AJ129" s="233"/>
      <c r="AK129" s="233"/>
      <c r="AL129" s="233"/>
      <c r="AM129" s="233"/>
      <c r="AN129" s="233"/>
      <c r="AO129" s="233"/>
      <c r="AP129" s="233"/>
      <c r="AQ129" s="233"/>
      <c r="AR129" s="233"/>
      <c r="AS129" s="233"/>
      <c r="AT129" s="233"/>
      <c r="AU129" s="233"/>
      <c r="AV129" s="233"/>
      <c r="AW129" s="233"/>
      <c r="AX129" s="233"/>
      <c r="AY129" s="233"/>
      <c r="AZ129" s="233"/>
      <c r="BA129" s="233"/>
      <c r="BB129" s="233"/>
      <c r="BC129" s="233"/>
      <c r="BD129" s="233"/>
      <c r="BE129" s="233"/>
    </row>
    <row r="130" spans="10:57" ht="15.75">
      <c r="V130" s="33"/>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row>
    <row r="131" spans="10:57" ht="17.25">
      <c r="V131" s="33"/>
      <c r="W131" s="118"/>
      <c r="X131" s="127" t="s">
        <v>207</v>
      </c>
      <c r="Y131" s="119"/>
      <c r="Z131" s="119"/>
      <c r="AA131" s="119"/>
      <c r="AB131" s="119"/>
      <c r="AC131" s="119"/>
      <c r="AD131" s="119"/>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row>
    <row r="132" spans="10:57" ht="17.25">
      <c r="V132" s="33"/>
      <c r="W132" s="118"/>
      <c r="X132" s="121" t="s">
        <v>208</v>
      </c>
      <c r="Y132" s="119"/>
      <c r="Z132" s="119"/>
      <c r="AA132" s="119"/>
      <c r="AB132" s="119"/>
      <c r="AC132" s="119"/>
      <c r="AD132" s="119"/>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row>
    <row r="133" spans="10:57" ht="17.25">
      <c r="V133" s="33"/>
      <c r="W133" s="118"/>
      <c r="X133" s="119"/>
      <c r="Y133" s="119"/>
      <c r="Z133" s="119"/>
      <c r="AA133" s="119"/>
      <c r="AB133" s="119"/>
      <c r="AC133" s="119"/>
      <c r="AD133" s="119"/>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row>
    <row r="134" spans="10:57" ht="17.45" customHeight="1">
      <c r="J134" s="33"/>
      <c r="K134" s="33"/>
      <c r="L134" s="33"/>
      <c r="M134" s="33"/>
      <c r="N134" s="33"/>
      <c r="O134" s="34"/>
      <c r="P134" s="33"/>
      <c r="Q134" s="33"/>
      <c r="R134" s="33"/>
      <c r="S134" s="33"/>
      <c r="T134" s="33"/>
      <c r="U134" s="33"/>
      <c r="V134" s="33"/>
      <c r="W134" s="118"/>
      <c r="X134" s="239" t="s">
        <v>209</v>
      </c>
      <c r="Y134" s="239"/>
      <c r="Z134" s="239"/>
      <c r="AA134" s="239"/>
      <c r="AB134" s="239"/>
      <c r="AC134" s="239"/>
      <c r="AD134" s="239"/>
      <c r="AE134" s="239"/>
      <c r="AF134" s="239"/>
      <c r="AG134" s="239"/>
      <c r="AH134" s="239"/>
      <c r="AI134" s="239"/>
      <c r="AJ134" s="239"/>
      <c r="AK134" s="239"/>
      <c r="AL134" s="239"/>
      <c r="AM134" s="239"/>
      <c r="AN134" s="239"/>
      <c r="AO134" s="239"/>
      <c r="AP134" s="239"/>
      <c r="AQ134" s="239"/>
      <c r="AR134" s="239"/>
      <c r="AS134" s="239"/>
      <c r="AT134" s="239"/>
      <c r="AU134" s="239"/>
      <c r="AV134" s="239"/>
      <c r="AW134" s="239"/>
      <c r="AX134" s="239"/>
      <c r="AY134" s="239"/>
      <c r="AZ134" s="239"/>
      <c r="BA134" s="239"/>
      <c r="BB134" s="239"/>
      <c r="BC134" s="239"/>
      <c r="BD134" s="239"/>
      <c r="BE134" s="150"/>
    </row>
    <row r="135" spans="10:57" ht="17.25">
      <c r="W135" s="118"/>
      <c r="X135" s="240" t="s">
        <v>210</v>
      </c>
      <c r="Y135" s="240"/>
      <c r="Z135" s="240"/>
      <c r="AA135" s="240"/>
      <c r="AB135" s="240"/>
      <c r="AC135" s="240"/>
      <c r="AD135" s="240"/>
      <c r="AE135" s="240"/>
      <c r="AF135" s="240"/>
      <c r="AG135" s="240"/>
      <c r="AH135" s="240"/>
      <c r="AI135" s="240"/>
      <c r="AJ135" s="240"/>
      <c r="AK135" s="240"/>
      <c r="AL135" s="240"/>
      <c r="AM135" s="240"/>
      <c r="AN135" s="240"/>
      <c r="AO135" s="240"/>
      <c r="AP135" s="240"/>
      <c r="AQ135" s="240"/>
      <c r="AR135" s="240"/>
      <c r="AS135" s="240"/>
      <c r="AT135" s="240"/>
      <c r="AU135" s="240"/>
      <c r="AV135" s="240"/>
      <c r="AW135" s="240"/>
      <c r="AX135" s="240"/>
      <c r="AY135" s="240"/>
      <c r="AZ135" s="240"/>
      <c r="BA135" s="240"/>
      <c r="BB135" s="240"/>
      <c r="BC135" s="240"/>
      <c r="BD135" s="240"/>
      <c r="BE135" s="150"/>
    </row>
    <row r="136" spans="10:57" ht="17.25">
      <c r="W136" s="118"/>
      <c r="X136" s="240"/>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0"/>
      <c r="AY136" s="240"/>
      <c r="AZ136" s="240"/>
      <c r="BA136" s="240"/>
      <c r="BB136" s="240"/>
      <c r="BC136" s="240"/>
      <c r="BD136" s="240"/>
      <c r="BE136" s="150"/>
    </row>
    <row r="137" spans="10:57" ht="17.25">
      <c r="W137" s="118"/>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0"/>
      <c r="AY137" s="240"/>
      <c r="AZ137" s="240"/>
      <c r="BA137" s="240"/>
      <c r="BB137" s="240"/>
      <c r="BC137" s="240"/>
      <c r="BD137" s="240"/>
      <c r="BE137" s="150"/>
    </row>
    <row r="138" spans="10:57" ht="17.25">
      <c r="W138" s="118"/>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0"/>
      <c r="AY138" s="240"/>
      <c r="AZ138" s="240"/>
      <c r="BA138" s="240"/>
      <c r="BB138" s="240"/>
      <c r="BC138" s="240"/>
      <c r="BD138" s="240"/>
      <c r="BE138" s="129"/>
    </row>
    <row r="139" spans="10:57" ht="17.25">
      <c r="W139" s="118"/>
      <c r="X139" s="119"/>
      <c r="Y139" s="120" t="s">
        <v>211</v>
      </c>
      <c r="Z139" s="119"/>
      <c r="AA139" s="119"/>
      <c r="AB139" s="119"/>
      <c r="AC139" s="119"/>
      <c r="AD139" s="119"/>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row>
    <row r="140" spans="10:57" ht="17.25">
      <c r="W140" s="118"/>
      <c r="X140" s="119"/>
      <c r="Y140" s="119"/>
      <c r="Z140" s="119"/>
      <c r="AA140" s="119"/>
      <c r="AB140" s="119"/>
      <c r="AC140" s="119"/>
      <c r="AD140" s="119"/>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row>
    <row r="141" spans="10:57" ht="18" thickBot="1">
      <c r="W141" s="118"/>
      <c r="X141" s="130" t="s">
        <v>212</v>
      </c>
      <c r="Y141" s="119"/>
      <c r="Z141" s="119"/>
      <c r="AA141" s="241"/>
      <c r="AB141" s="241"/>
      <c r="AC141" s="241"/>
      <c r="AD141" s="119"/>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row>
    <row r="142" spans="10:57" ht="18" thickBot="1">
      <c r="W142" s="118"/>
      <c r="X142" s="130" t="s">
        <v>213</v>
      </c>
      <c r="Y142" s="119"/>
      <c r="Z142" s="119"/>
      <c r="AA142" s="234"/>
      <c r="AB142" s="234"/>
      <c r="AC142" s="234"/>
      <c r="AD142" s="119"/>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row>
    <row r="143" spans="10:57" ht="18" thickBot="1">
      <c r="W143" s="118"/>
      <c r="X143" s="130" t="s">
        <v>214</v>
      </c>
      <c r="Y143" s="119"/>
      <c r="Z143" s="119"/>
      <c r="AA143" s="234"/>
      <c r="AB143" s="234"/>
      <c r="AC143" s="234"/>
      <c r="AD143" s="119"/>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row>
    <row r="144" spans="10:57" ht="18" thickBot="1">
      <c r="W144" s="118"/>
      <c r="X144" s="130" t="s">
        <v>215</v>
      </c>
      <c r="Y144" s="119"/>
      <c r="Z144" s="119"/>
      <c r="AA144" s="234"/>
      <c r="AB144" s="234"/>
      <c r="AC144" s="234"/>
      <c r="AD144" s="119"/>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row>
    <row r="145" spans="23:57" ht="15.75">
      <c r="W145" s="118"/>
      <c r="X145" s="131"/>
      <c r="Y145" s="118"/>
      <c r="Z145" s="118"/>
      <c r="AA145" s="132"/>
      <c r="AB145" s="132"/>
      <c r="AC145" s="132"/>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row>
    <row r="146" spans="23:57" ht="18.75">
      <c r="W146" s="118"/>
      <c r="X146" s="232" t="s">
        <v>216</v>
      </c>
      <c r="Y146" s="233"/>
      <c r="Z146" s="233"/>
      <c r="AA146" s="233"/>
      <c r="AB146" s="233"/>
      <c r="AC146" s="233"/>
      <c r="AD146" s="233"/>
      <c r="AE146" s="233"/>
      <c r="AF146" s="233"/>
      <c r="AG146" s="233"/>
      <c r="AH146" s="233"/>
      <c r="AI146" s="233"/>
      <c r="AJ146" s="233"/>
      <c r="AK146" s="233"/>
      <c r="AL146" s="233"/>
      <c r="AM146" s="233"/>
      <c r="AN146" s="233"/>
      <c r="AO146" s="233"/>
      <c r="AP146" s="233"/>
      <c r="AQ146" s="233"/>
      <c r="AR146" s="233"/>
      <c r="AS146" s="233"/>
      <c r="AT146" s="233"/>
      <c r="AU146" s="233"/>
      <c r="AV146" s="233"/>
      <c r="AW146" s="233"/>
      <c r="AX146" s="233"/>
      <c r="AY146" s="233"/>
      <c r="AZ146" s="233"/>
      <c r="BA146" s="233"/>
      <c r="BB146" s="233"/>
      <c r="BC146" s="233"/>
      <c r="BD146" s="233"/>
      <c r="BE146" s="148"/>
    </row>
    <row r="147" spans="23:57" ht="15.75">
      <c r="W147" s="118"/>
      <c r="X147" s="133"/>
      <c r="Y147" s="134"/>
      <c r="Z147" s="134"/>
      <c r="AA147" s="134"/>
      <c r="AB147" s="134"/>
      <c r="AC147" s="134"/>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row>
    <row r="148" spans="23:57" ht="17.25">
      <c r="W148" s="118"/>
      <c r="X148" s="119"/>
      <c r="Y148" s="119" t="s">
        <v>217</v>
      </c>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row>
    <row r="149" spans="23:57" ht="17.25">
      <c r="W149" s="118"/>
      <c r="X149" s="135" t="s">
        <v>218</v>
      </c>
      <c r="Y149" s="119"/>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row>
    <row r="150" spans="23:57" ht="19.5" thickBot="1">
      <c r="W150" s="118"/>
      <c r="X150" s="135" t="s">
        <v>219</v>
      </c>
      <c r="Y150" s="119"/>
      <c r="Z150" s="118"/>
      <c r="AA150" s="118"/>
      <c r="AB150" s="118"/>
      <c r="AC150" s="125"/>
      <c r="AD150" s="386">
        <f>AN101</f>
        <v>13536.71612134365</v>
      </c>
      <c r="AE150" s="386"/>
      <c r="AF150" s="136"/>
      <c r="AG150" s="136"/>
      <c r="AH150" s="236" t="s">
        <v>220</v>
      </c>
      <c r="AI150" s="236"/>
      <c r="AJ150" s="236"/>
      <c r="AK150" s="236"/>
      <c r="AL150" s="182">
        <f>AB101</f>
        <v>48</v>
      </c>
      <c r="AM150" s="128" t="s">
        <v>221</v>
      </c>
      <c r="AQ150" s="118"/>
      <c r="AR150" s="118"/>
      <c r="AS150" s="118"/>
      <c r="AT150" s="118"/>
      <c r="AU150" s="237">
        <f>AY100</f>
        <v>649762.37382449524</v>
      </c>
      <c r="AV150" s="237"/>
      <c r="AW150" s="237"/>
      <c r="AX150" s="237"/>
      <c r="AY150" s="237"/>
      <c r="AZ150" s="128" t="s">
        <v>222</v>
      </c>
      <c r="BA150" s="149"/>
      <c r="BB150" s="149"/>
      <c r="BC150" s="149"/>
      <c r="BE150" s="118"/>
    </row>
    <row r="151" spans="23:57" ht="17.25">
      <c r="W151" s="118"/>
      <c r="X151" s="119"/>
      <c r="Y151" s="120" t="s">
        <v>223</v>
      </c>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row>
    <row r="152" spans="23:57" ht="17.25">
      <c r="W152" s="118"/>
      <c r="X152" s="120" t="s">
        <v>224</v>
      </c>
      <c r="Y152" s="119"/>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row>
    <row r="153" spans="23:57" ht="15.75">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row>
    <row r="154" spans="23:57" ht="19.5" thickBot="1">
      <c r="W154" s="118"/>
      <c r="X154" s="118"/>
      <c r="Y154" s="118"/>
      <c r="Z154" s="118"/>
      <c r="AA154" s="118"/>
      <c r="AB154" s="118"/>
      <c r="AC154" s="118"/>
      <c r="AD154" s="118"/>
      <c r="AE154" s="118"/>
      <c r="AF154" s="118"/>
      <c r="AG154" s="118"/>
      <c r="AH154" s="118"/>
      <c r="AI154" s="118"/>
      <c r="AJ154" s="125"/>
      <c r="AK154" s="125"/>
      <c r="AL154" s="125"/>
      <c r="AM154" s="140" t="str">
        <f>Z122</f>
        <v>SEVERO B. SINENSE</v>
      </c>
      <c r="AN154" s="125"/>
      <c r="AO154" s="125"/>
      <c r="AP154" s="125"/>
      <c r="AQ154" s="125"/>
      <c r="AR154" s="125"/>
      <c r="AS154" s="125"/>
      <c r="AT154" s="125"/>
      <c r="AU154" s="125"/>
      <c r="AV154" s="118"/>
      <c r="AW154" s="118"/>
      <c r="AX154" s="118"/>
      <c r="AY154" s="118"/>
      <c r="AZ154" s="118"/>
      <c r="BA154" s="118"/>
      <c r="BB154" s="118"/>
      <c r="BC154" s="118"/>
      <c r="BD154" s="118"/>
      <c r="BE154" s="118"/>
    </row>
    <row r="155" spans="23:57" ht="15.75">
      <c r="W155" s="118"/>
      <c r="X155" s="231" t="s">
        <v>225</v>
      </c>
      <c r="Y155" s="231"/>
      <c r="Z155" s="231"/>
      <c r="AA155" s="231"/>
      <c r="AB155" s="231"/>
      <c r="AC155" s="231"/>
      <c r="AD155" s="231"/>
      <c r="AE155" s="231"/>
      <c r="AF155" s="231"/>
      <c r="AG155" s="231"/>
      <c r="AH155" s="231"/>
      <c r="AI155" s="231"/>
      <c r="AJ155" s="231"/>
      <c r="AK155" s="231"/>
      <c r="AL155" s="231"/>
      <c r="AM155" s="231"/>
      <c r="AN155" s="231"/>
      <c r="AO155" s="231"/>
      <c r="AP155" s="231"/>
      <c r="AQ155" s="231"/>
      <c r="AR155" s="231"/>
      <c r="AS155" s="231"/>
      <c r="AT155" s="231"/>
      <c r="AU155" s="231"/>
      <c r="AV155" s="231"/>
      <c r="AW155" s="231"/>
      <c r="AX155" s="231"/>
      <c r="AY155" s="231"/>
      <c r="AZ155" s="231"/>
      <c r="BA155" s="231"/>
      <c r="BB155" s="231"/>
      <c r="BC155" s="231"/>
      <c r="BD155" s="231"/>
      <c r="BE155" s="115"/>
    </row>
    <row r="156" spans="23:57" ht="15.75">
      <c r="W156" s="118"/>
      <c r="X156" s="137"/>
      <c r="Y156" s="137"/>
      <c r="Z156" s="137"/>
      <c r="AA156" s="137"/>
      <c r="AB156" s="137"/>
      <c r="AC156" s="137"/>
      <c r="AD156" s="137"/>
      <c r="AE156" s="137"/>
      <c r="AF156" s="137"/>
      <c r="AG156" s="137"/>
      <c r="AH156" s="137"/>
      <c r="AI156" s="137"/>
      <c r="AJ156" s="137"/>
      <c r="AK156" s="137"/>
      <c r="AL156" s="137"/>
      <c r="AM156" s="137"/>
      <c r="AN156" s="137"/>
      <c r="AO156" s="137"/>
      <c r="AP156" s="137"/>
      <c r="AQ156" s="137"/>
      <c r="AR156" s="137"/>
      <c r="AS156" s="137"/>
      <c r="AT156" s="137"/>
      <c r="AU156" s="137"/>
      <c r="AV156" s="137"/>
      <c r="AW156" s="137"/>
      <c r="AX156" s="137"/>
      <c r="AY156" s="137"/>
      <c r="AZ156" s="137"/>
      <c r="BA156" s="137"/>
      <c r="BB156" s="137"/>
      <c r="BC156" s="137"/>
      <c r="BD156" s="137"/>
      <c r="BE156" s="142"/>
    </row>
    <row r="157" spans="23:57" ht="18.75">
      <c r="W157" s="118"/>
      <c r="X157" s="232" t="s">
        <v>167</v>
      </c>
      <c r="Y157" s="233"/>
      <c r="Z157" s="233"/>
      <c r="AA157" s="233"/>
      <c r="AB157" s="233"/>
      <c r="AC157" s="233"/>
      <c r="AD157" s="233"/>
      <c r="AE157" s="233"/>
      <c r="AF157" s="233"/>
      <c r="AG157" s="233"/>
      <c r="AH157" s="233"/>
      <c r="AI157" s="233"/>
      <c r="AJ157" s="233"/>
      <c r="AK157" s="233"/>
      <c r="AL157" s="233"/>
      <c r="AM157" s="233"/>
      <c r="AN157" s="233"/>
      <c r="AO157" s="233"/>
      <c r="AP157" s="233"/>
      <c r="AQ157" s="233"/>
      <c r="AR157" s="233"/>
      <c r="AS157" s="233"/>
      <c r="AT157" s="233"/>
      <c r="AU157" s="233"/>
      <c r="AV157" s="233"/>
      <c r="AW157" s="233"/>
      <c r="AX157" s="233"/>
      <c r="AY157" s="233"/>
      <c r="AZ157" s="233"/>
      <c r="BA157" s="233"/>
      <c r="BB157" s="233"/>
      <c r="BC157" s="233"/>
      <c r="BD157" s="233"/>
      <c r="BE157" s="148"/>
    </row>
    <row r="158" spans="23:57" ht="15.75">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row>
    <row r="159" spans="23:57" ht="17.25">
      <c r="W159" s="118"/>
      <c r="X159" s="119"/>
      <c r="Y159" s="120" t="s">
        <v>226</v>
      </c>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row>
    <row r="160" spans="23:57" ht="17.25">
      <c r="W160" s="118"/>
      <c r="X160" s="120" t="s">
        <v>227</v>
      </c>
      <c r="Y160" s="119"/>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row>
    <row r="161" spans="23:57" ht="17.25">
      <c r="W161" s="118"/>
      <c r="X161" s="120" t="s">
        <v>228</v>
      </c>
      <c r="Y161" s="119"/>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row>
    <row r="162" spans="23:57" ht="16.5" thickBot="1">
      <c r="W162" s="118"/>
      <c r="X162" s="118"/>
      <c r="Y162" s="118"/>
      <c r="Z162" s="118"/>
      <c r="AA162" s="118"/>
      <c r="AB162" s="118"/>
      <c r="AC162" s="118"/>
      <c r="AD162" s="118"/>
      <c r="AE162" s="118"/>
      <c r="AF162" s="125"/>
      <c r="AG162" s="125"/>
      <c r="AH162" s="125"/>
      <c r="AI162" s="125"/>
      <c r="AJ162" s="125"/>
      <c r="AK162" s="125"/>
      <c r="AL162" s="125"/>
      <c r="AM162" s="125"/>
      <c r="AN162" s="125"/>
      <c r="AO162" s="125"/>
      <c r="AP162" s="125"/>
      <c r="AQ162" s="125"/>
      <c r="AR162" s="125"/>
      <c r="AS162" s="125"/>
      <c r="AT162" s="125"/>
      <c r="AU162" s="125"/>
      <c r="AV162" s="125"/>
      <c r="AW162" s="125"/>
      <c r="AX162" s="125"/>
      <c r="AY162" s="125"/>
      <c r="AZ162" s="118"/>
      <c r="BA162" s="118"/>
      <c r="BB162" s="118"/>
      <c r="BC162" s="118"/>
      <c r="BD162" s="118"/>
      <c r="BE162" s="118"/>
    </row>
    <row r="163" spans="23:57" ht="15.75">
      <c r="W163" s="118"/>
      <c r="Z163" s="115"/>
      <c r="AA163" s="115"/>
      <c r="AB163" s="115"/>
      <c r="AC163" s="115"/>
      <c r="AD163" s="115"/>
      <c r="AE163" s="115"/>
      <c r="AF163" s="115"/>
      <c r="AG163" s="115"/>
      <c r="AH163" s="115"/>
      <c r="AI163" s="115"/>
      <c r="AJ163" s="115" t="s">
        <v>229</v>
      </c>
      <c r="AK163" s="115"/>
      <c r="AL163" s="115"/>
      <c r="AM163" s="115"/>
      <c r="AN163" s="115"/>
      <c r="AO163" s="115"/>
      <c r="AP163" s="115"/>
      <c r="AQ163" s="115"/>
      <c r="AR163" s="115"/>
      <c r="AS163" s="115"/>
      <c r="AT163" s="115"/>
      <c r="AU163" s="115"/>
      <c r="AV163" s="115"/>
      <c r="AW163" s="115"/>
      <c r="AX163" s="115"/>
      <c r="AY163" s="115"/>
      <c r="AZ163" s="115"/>
      <c r="BA163" s="115"/>
      <c r="BB163" s="115"/>
      <c r="BC163" s="115"/>
      <c r="BD163" s="115"/>
      <c r="BE163" s="115"/>
    </row>
    <row r="164" spans="23:57" ht="15.75">
      <c r="W164" s="118"/>
      <c r="X164" s="118"/>
      <c r="Y164" s="118"/>
      <c r="Z164" s="118"/>
      <c r="AA164" s="118"/>
      <c r="AB164" s="115"/>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row>
    <row r="169" spans="23:57" ht="16.5" customHeight="1"/>
  </sheetData>
  <protectedRanges>
    <protectedRange sqref="E25" name="Range20_1"/>
    <protectedRange sqref="G24" name="Range19_1"/>
    <protectedRange sqref="E24" name="Range18_1"/>
    <protectedRange sqref="D23" name="Range17_1"/>
    <protectedRange sqref="F23" name="Range16_1"/>
    <protectedRange sqref="G24" name="Range15_1"/>
    <protectedRange sqref="H22" name="Range14_1"/>
    <protectedRange sqref="D22" name="Range13_1"/>
    <protectedRange sqref="C1" name="Range12_1"/>
    <protectedRange sqref="C3:C9" name="Range11_1"/>
    <protectedRange sqref="C10:BK10" name="Range21_1"/>
    <protectedRange sqref="C12" name="Range22_1"/>
    <protectedRange sqref="B28:B75" name="Range23_1"/>
    <protectedRange sqref="C28:C75" name="Range23"/>
  </protectedRanges>
  <mergeCells count="205">
    <mergeCell ref="X90:AN90"/>
    <mergeCell ref="AO90:BD90"/>
    <mergeCell ref="X78:Z78"/>
    <mergeCell ref="AA78:AD78"/>
    <mergeCell ref="AE78:AI78"/>
    <mergeCell ref="AJ78:AL78"/>
    <mergeCell ref="AM78:AQ78"/>
    <mergeCell ref="AR78:AT78"/>
    <mergeCell ref="AU78:AY78"/>
    <mergeCell ref="AZ78:BD78"/>
    <mergeCell ref="AU79:AY79"/>
    <mergeCell ref="AZ79:BD79"/>
    <mergeCell ref="X81:BD81"/>
    <mergeCell ref="X82:AB82"/>
    <mergeCell ref="AC82:AF82"/>
    <mergeCell ref="AG82:AJ82"/>
    <mergeCell ref="AK82:AQ82"/>
    <mergeCell ref="AR82:AV82"/>
    <mergeCell ref="AW82:BD82"/>
    <mergeCell ref="X79:Z79"/>
    <mergeCell ref="AA79:AD79"/>
    <mergeCell ref="AE79:AI79"/>
    <mergeCell ref="AJ79:AL79"/>
    <mergeCell ref="AM79:AQ79"/>
    <mergeCell ref="S29:T29"/>
    <mergeCell ref="X29:BD29"/>
    <mergeCell ref="S30:T30"/>
    <mergeCell ref="AU30:AV30"/>
    <mergeCell ref="AX30:AY30"/>
    <mergeCell ref="AZ30:BA30"/>
    <mergeCell ref="C20:H21"/>
    <mergeCell ref="C24:C27"/>
    <mergeCell ref="K24:T24"/>
    <mergeCell ref="K25:T25"/>
    <mergeCell ref="X25:BD25"/>
    <mergeCell ref="X26:BD26"/>
    <mergeCell ref="K27:T27"/>
    <mergeCell ref="X27:BD27"/>
    <mergeCell ref="N34:S34"/>
    <mergeCell ref="Y34:AD34"/>
    <mergeCell ref="AF34:AL34"/>
    <mergeCell ref="AU34:BD34"/>
    <mergeCell ref="Y35:AD35"/>
    <mergeCell ref="AF35:AL35"/>
    <mergeCell ref="AW35:BA35"/>
    <mergeCell ref="N32:S32"/>
    <mergeCell ref="X32:AD32"/>
    <mergeCell ref="AE32:AL32"/>
    <mergeCell ref="AM32:AS32"/>
    <mergeCell ref="AT32:BD32"/>
    <mergeCell ref="N33:S33"/>
    <mergeCell ref="Y33:AD33"/>
    <mergeCell ref="AF33:AL33"/>
    <mergeCell ref="AU33:BD33"/>
    <mergeCell ref="R38:T38"/>
    <mergeCell ref="X38:AD38"/>
    <mergeCell ref="AH38:AL38"/>
    <mergeCell ref="AP38:AT38"/>
    <mergeCell ref="R39:T39"/>
    <mergeCell ref="AB39:AM40"/>
    <mergeCell ref="AT39:BD40"/>
    <mergeCell ref="R40:T40"/>
    <mergeCell ref="R36:T36"/>
    <mergeCell ref="Y36:AD36"/>
    <mergeCell ref="AF36:AL36"/>
    <mergeCell ref="R37:T37"/>
    <mergeCell ref="Y37:AD37"/>
    <mergeCell ref="AF37:AL37"/>
    <mergeCell ref="AS43:AU43"/>
    <mergeCell ref="R44:T44"/>
    <mergeCell ref="X44:BD44"/>
    <mergeCell ref="X47:AC47"/>
    <mergeCell ref="AD47:AH47"/>
    <mergeCell ref="AI47:AN47"/>
    <mergeCell ref="AO47:AV47"/>
    <mergeCell ref="AW47:BD47"/>
    <mergeCell ref="R41:T41"/>
    <mergeCell ref="X41:Y41"/>
    <mergeCell ref="Z41:AE41"/>
    <mergeCell ref="AJ41:AQ41"/>
    <mergeCell ref="AV41:BD41"/>
    <mergeCell ref="R42:T42"/>
    <mergeCell ref="X42:Y43"/>
    <mergeCell ref="Z42:AE43"/>
    <mergeCell ref="AS42:AU42"/>
    <mergeCell ref="R43:T43"/>
    <mergeCell ref="R52:T52"/>
    <mergeCell ref="X52:AD52"/>
    <mergeCell ref="AE52:AL52"/>
    <mergeCell ref="AR52:AS52"/>
    <mergeCell ref="AU52:AW52"/>
    <mergeCell ref="AX52:BD52"/>
    <mergeCell ref="AX48:AY48"/>
    <mergeCell ref="AZ48:BA48"/>
    <mergeCell ref="R49:T49"/>
    <mergeCell ref="R50:T50"/>
    <mergeCell ref="R51:T51"/>
    <mergeCell ref="AK51:AL51"/>
    <mergeCell ref="AM51:AP52"/>
    <mergeCell ref="AR51:AS51"/>
    <mergeCell ref="AU51:AW51"/>
    <mergeCell ref="AX51:BD51"/>
    <mergeCell ref="R48:S48"/>
    <mergeCell ref="X48:AC48"/>
    <mergeCell ref="AD48:AH48"/>
    <mergeCell ref="AI48:AN48"/>
    <mergeCell ref="AP48:AQ48"/>
    <mergeCell ref="AR48:AS48"/>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2:AE72"/>
    <mergeCell ref="AG72:AM72"/>
    <mergeCell ref="AP72:AV72"/>
    <mergeCell ref="AX72:BD72"/>
    <mergeCell ref="X73:AE73"/>
    <mergeCell ref="X74:BD74"/>
    <mergeCell ref="K61:M61"/>
    <mergeCell ref="R61:T61"/>
    <mergeCell ref="AU64:BC64"/>
    <mergeCell ref="AU65:BC65"/>
    <mergeCell ref="X66:BD66"/>
    <mergeCell ref="K69:M69"/>
    <mergeCell ref="P69:T69"/>
    <mergeCell ref="AU75:AY75"/>
    <mergeCell ref="AZ75:BD75"/>
    <mergeCell ref="X75:Z75"/>
    <mergeCell ref="AA75:AD75"/>
    <mergeCell ref="AE75:AI75"/>
    <mergeCell ref="AJ75:AL75"/>
    <mergeCell ref="AM75:AQ75"/>
    <mergeCell ref="AR75:AT75"/>
    <mergeCell ref="AU77:AY77"/>
    <mergeCell ref="AZ77:BD77"/>
    <mergeCell ref="X77:Z77"/>
    <mergeCell ref="AA77:AD77"/>
    <mergeCell ref="AE77:AI77"/>
    <mergeCell ref="AJ77:AL77"/>
    <mergeCell ref="AM77:AQ77"/>
    <mergeCell ref="AR77:AT77"/>
    <mergeCell ref="X76:Z76"/>
    <mergeCell ref="AA76:AD76"/>
    <mergeCell ref="AE76:AI76"/>
    <mergeCell ref="AJ76:AL76"/>
    <mergeCell ref="AM76:AQ76"/>
    <mergeCell ref="AR76:AT76"/>
    <mergeCell ref="AU76:AY76"/>
    <mergeCell ref="AZ76:BD76"/>
    <mergeCell ref="AR79:AT79"/>
    <mergeCell ref="X84:BD84"/>
    <mergeCell ref="AJ86:AS86"/>
    <mergeCell ref="W87:BE87"/>
    <mergeCell ref="X83:AB83"/>
    <mergeCell ref="AC83:AF83"/>
    <mergeCell ref="AG83:AJ83"/>
    <mergeCell ref="AK83:AQ83"/>
    <mergeCell ref="AR83:AV83"/>
    <mergeCell ref="AW83:BD83"/>
    <mergeCell ref="AB92:AJ92"/>
    <mergeCell ref="AS92:AZ92"/>
    <mergeCell ref="X99:AK99"/>
    <mergeCell ref="Y100:AX100"/>
    <mergeCell ref="AY100:BD100"/>
    <mergeCell ref="X101:Z101"/>
    <mergeCell ref="AC101:AM101"/>
    <mergeCell ref="AN101:AQ101"/>
    <mergeCell ref="AR101:BD101"/>
    <mergeCell ref="X93:AN93"/>
    <mergeCell ref="AO93:BD93"/>
    <mergeCell ref="X115:BD118"/>
    <mergeCell ref="AT119:AX125"/>
    <mergeCell ref="AZ119:BD125"/>
    <mergeCell ref="Z122:AH122"/>
    <mergeCell ref="X123:AJ123"/>
    <mergeCell ref="AT126:AX126"/>
    <mergeCell ref="AZ126:BD126"/>
    <mergeCell ref="X102:AA102"/>
    <mergeCell ref="AB102:BD102"/>
    <mergeCell ref="X103:BD103"/>
    <mergeCell ref="X104:BD106"/>
    <mergeCell ref="X107:BD109"/>
    <mergeCell ref="X110:BD114"/>
    <mergeCell ref="X157:BD157"/>
    <mergeCell ref="AA144:AC144"/>
    <mergeCell ref="X146:BD146"/>
    <mergeCell ref="AD150:AE150"/>
    <mergeCell ref="AH150:AK150"/>
    <mergeCell ref="AU150:AY150"/>
    <mergeCell ref="X155:BD155"/>
    <mergeCell ref="X129:BE129"/>
    <mergeCell ref="X134:BD134"/>
    <mergeCell ref="X135:BD138"/>
    <mergeCell ref="AA141:AC141"/>
    <mergeCell ref="AA142:AC142"/>
    <mergeCell ref="AA143:AC143"/>
  </mergeCells>
  <hyperlinks>
    <hyperlink ref="AG56" r:id="rId1" xr:uid="{C14D0249-245C-459D-A2E4-BAFA27492040}"/>
  </hyperlinks>
  <pageMargins left="0.25" right="0.25" top="0.75" bottom="0.75" header="0.3" footer="0.3"/>
  <pageSetup paperSize="9" scale="85" orientation="portrait" horizontalDpi="0"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7071-7A92-4E3F-858A-C8A86DB63B02}">
  <sheetPr>
    <pageSetUpPr fitToPage="1"/>
  </sheetPr>
  <dimension ref="A1:BK165"/>
  <sheetViews>
    <sheetView topLeftCell="A13" zoomScaleNormal="100" workbookViewId="0">
      <selection activeCell="K20" sqref="K20"/>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64" width="4.85546875" customWidth="1"/>
  </cols>
  <sheetData>
    <row r="1" spans="1:63">
      <c r="A1" s="111" t="s">
        <v>91</v>
      </c>
      <c r="B1" t="s">
        <v>37</v>
      </c>
      <c r="C1" s="1">
        <f>'DATA ENTRY'!G16</f>
        <v>10499.998058830435</v>
      </c>
    </row>
    <row r="2" spans="1:63">
      <c r="B2" s="2" t="s">
        <v>38</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1:63">
      <c r="B3" s="2" t="s">
        <v>6</v>
      </c>
      <c r="C3" s="4">
        <f>'DATA ENTRY'!G4</f>
        <v>629999.88352982607</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3">
      <c r="B4" s="2" t="s">
        <v>14</v>
      </c>
      <c r="C4" s="4">
        <f>'DATA ENTRY'!G13</f>
        <v>472027.81600000005</v>
      </c>
      <c r="D4" s="6">
        <f t="shared" ref="D4:AI4" si="0">-$C1</f>
        <v>-10499.998058830435</v>
      </c>
      <c r="E4" s="6">
        <f t="shared" si="0"/>
        <v>-10499.998058830435</v>
      </c>
      <c r="F4" s="6">
        <f t="shared" si="0"/>
        <v>-10499.998058830435</v>
      </c>
      <c r="G4" s="6">
        <f t="shared" si="0"/>
        <v>-10499.998058830435</v>
      </c>
      <c r="H4" s="6">
        <f t="shared" si="0"/>
        <v>-10499.998058830435</v>
      </c>
      <c r="I4" s="6">
        <f t="shared" si="0"/>
        <v>-10499.998058830435</v>
      </c>
      <c r="J4" s="6">
        <f t="shared" si="0"/>
        <v>-10499.998058830435</v>
      </c>
      <c r="K4" s="6">
        <f t="shared" si="0"/>
        <v>-10499.998058830435</v>
      </c>
      <c r="L4" s="6">
        <f t="shared" si="0"/>
        <v>-10499.998058830435</v>
      </c>
      <c r="M4" s="6">
        <f t="shared" si="0"/>
        <v>-10499.998058830435</v>
      </c>
      <c r="N4" s="6">
        <f t="shared" si="0"/>
        <v>-10499.998058830435</v>
      </c>
      <c r="O4" s="6">
        <f t="shared" si="0"/>
        <v>-10499.998058830435</v>
      </c>
      <c r="P4" s="6">
        <f t="shared" si="0"/>
        <v>-10499.998058830435</v>
      </c>
      <c r="Q4" s="6">
        <f t="shared" si="0"/>
        <v>-10499.998058830435</v>
      </c>
      <c r="R4" s="6">
        <f t="shared" si="0"/>
        <v>-10499.998058830435</v>
      </c>
      <c r="S4" s="6">
        <f t="shared" si="0"/>
        <v>-10499.998058830435</v>
      </c>
      <c r="T4" s="6">
        <f t="shared" si="0"/>
        <v>-10499.998058830435</v>
      </c>
      <c r="U4" s="6">
        <f t="shared" si="0"/>
        <v>-10499.998058830435</v>
      </c>
      <c r="V4" s="6">
        <f t="shared" si="0"/>
        <v>-10499.998058830435</v>
      </c>
      <c r="W4" s="6">
        <f t="shared" si="0"/>
        <v>-10499.998058830435</v>
      </c>
      <c r="X4" s="6">
        <f t="shared" si="0"/>
        <v>-10499.998058830435</v>
      </c>
      <c r="Y4" s="6">
        <f t="shared" si="0"/>
        <v>-10499.998058830435</v>
      </c>
      <c r="Z4" s="6">
        <f t="shared" si="0"/>
        <v>-10499.998058830435</v>
      </c>
      <c r="AA4" s="6">
        <f t="shared" si="0"/>
        <v>-10499.998058830435</v>
      </c>
      <c r="AB4" s="6">
        <f t="shared" si="0"/>
        <v>-10499.998058830435</v>
      </c>
      <c r="AC4" s="6">
        <f t="shared" si="0"/>
        <v>-10499.998058830435</v>
      </c>
      <c r="AD4" s="6">
        <f t="shared" si="0"/>
        <v>-10499.998058830435</v>
      </c>
      <c r="AE4" s="6">
        <f t="shared" si="0"/>
        <v>-10499.998058830435</v>
      </c>
      <c r="AF4" s="6">
        <f t="shared" si="0"/>
        <v>-10499.998058830435</v>
      </c>
      <c r="AG4" s="6">
        <f t="shared" si="0"/>
        <v>-10499.998058830435</v>
      </c>
      <c r="AH4" s="6">
        <f t="shared" si="0"/>
        <v>-10499.998058830435</v>
      </c>
      <c r="AI4" s="6">
        <f t="shared" si="0"/>
        <v>-10499.998058830435</v>
      </c>
      <c r="AJ4" s="6">
        <f t="shared" ref="AJ4:BK4" si="1">-$C1</f>
        <v>-10499.998058830435</v>
      </c>
      <c r="AK4" s="6">
        <f t="shared" si="1"/>
        <v>-10499.998058830435</v>
      </c>
      <c r="AL4" s="6">
        <f t="shared" si="1"/>
        <v>-10499.998058830435</v>
      </c>
      <c r="AM4" s="6">
        <f t="shared" si="1"/>
        <v>-10499.998058830435</v>
      </c>
      <c r="AN4" s="6">
        <f t="shared" si="1"/>
        <v>-10499.998058830435</v>
      </c>
      <c r="AO4" s="6">
        <f t="shared" si="1"/>
        <v>-10499.998058830435</v>
      </c>
      <c r="AP4" s="6">
        <f t="shared" si="1"/>
        <v>-10499.998058830435</v>
      </c>
      <c r="AQ4" s="6">
        <f t="shared" si="1"/>
        <v>-10499.998058830435</v>
      </c>
      <c r="AR4" s="6">
        <f t="shared" si="1"/>
        <v>-10499.998058830435</v>
      </c>
      <c r="AS4" s="6">
        <f t="shared" si="1"/>
        <v>-10499.998058830435</v>
      </c>
      <c r="AT4" s="6">
        <f t="shared" si="1"/>
        <v>-10499.998058830435</v>
      </c>
      <c r="AU4" s="6">
        <f t="shared" si="1"/>
        <v>-10499.998058830435</v>
      </c>
      <c r="AV4" s="6">
        <f t="shared" si="1"/>
        <v>-10499.998058830435</v>
      </c>
      <c r="AW4" s="6">
        <f t="shared" si="1"/>
        <v>-10499.998058830435</v>
      </c>
      <c r="AX4" s="6">
        <f t="shared" si="1"/>
        <v>-10499.998058830435</v>
      </c>
      <c r="AY4" s="6">
        <f t="shared" si="1"/>
        <v>-10499.998058830435</v>
      </c>
      <c r="AZ4" s="6">
        <f t="shared" si="1"/>
        <v>-10499.998058830435</v>
      </c>
      <c r="BA4" s="6">
        <f t="shared" si="1"/>
        <v>-10499.998058830435</v>
      </c>
      <c r="BB4" s="6">
        <f t="shared" si="1"/>
        <v>-10499.998058830435</v>
      </c>
      <c r="BC4" s="6">
        <f t="shared" si="1"/>
        <v>-10499.998058830435</v>
      </c>
      <c r="BD4" s="6">
        <f t="shared" si="1"/>
        <v>-10499.998058830435</v>
      </c>
      <c r="BE4" s="6">
        <f t="shared" si="1"/>
        <v>-10499.998058830435</v>
      </c>
      <c r="BF4" s="6">
        <f t="shared" si="1"/>
        <v>-10499.998058830435</v>
      </c>
      <c r="BG4" s="6">
        <f t="shared" si="1"/>
        <v>-10499.998058830435</v>
      </c>
      <c r="BH4" s="6">
        <f t="shared" si="1"/>
        <v>-10499.998058830435</v>
      </c>
      <c r="BI4" s="6">
        <f t="shared" si="1"/>
        <v>-10499.998058830435</v>
      </c>
      <c r="BJ4" s="6">
        <f t="shared" si="1"/>
        <v>-10499.998058830435</v>
      </c>
      <c r="BK4" s="6">
        <f t="shared" si="1"/>
        <v>-10499.998058830435</v>
      </c>
    </row>
    <row r="5" spans="1:63">
      <c r="B5" s="2" t="s">
        <v>9</v>
      </c>
      <c r="C5" s="4">
        <f>'DATA ENTRY'!G8</f>
        <v>47022.536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3">
      <c r="B6" s="2" t="s">
        <v>10</v>
      </c>
      <c r="C6" s="4">
        <f>'DATA ENTRY'!G9</f>
        <v>23316.959999999999</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3">
      <c r="B7" s="2" t="s">
        <v>11</v>
      </c>
      <c r="C7" s="4">
        <f>'DATA ENTRY'!G10</f>
        <v>5000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1:63">
      <c r="B8" s="2" t="s">
        <v>12</v>
      </c>
      <c r="C8" s="4">
        <f>'DATA ENTRY'!G11</f>
        <v>300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c r="B9" s="2" t="s">
        <v>13</v>
      </c>
      <c r="C9" s="4">
        <f>'DATA ENTRY'!G12</f>
        <v>7772.32</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1:63">
      <c r="B10" s="5" t="s">
        <v>39</v>
      </c>
      <c r="C10" s="6">
        <f>C4-C5-C6-C7-C8-C9</f>
        <v>388616</v>
      </c>
    </row>
    <row r="12" spans="1:63">
      <c r="B12" t="s">
        <v>40</v>
      </c>
      <c r="C12" s="7">
        <f>IRR(C4:BK4)</f>
        <v>9.9999999999997868E-3</v>
      </c>
    </row>
    <row r="13" spans="1:63">
      <c r="C13" s="8"/>
    </row>
    <row r="14" spans="1:63">
      <c r="B14" t="s">
        <v>85</v>
      </c>
      <c r="C14" s="9">
        <v>261703.78</v>
      </c>
    </row>
    <row r="15" spans="1:63">
      <c r="B15" t="s">
        <v>32</v>
      </c>
      <c r="C15" s="10">
        <f>'DATA ENTRY'!G14/12</f>
        <v>0.01</v>
      </c>
    </row>
    <row r="16" spans="1:63">
      <c r="B16" t="s">
        <v>16</v>
      </c>
      <c r="C16" s="98">
        <f>'DATA ENTRY'!G15</f>
        <v>0.12736174018256685</v>
      </c>
      <c r="K16" s="51" t="s">
        <v>238</v>
      </c>
    </row>
    <row r="19" spans="2:57" ht="15.75" thickBot="1">
      <c r="H19" s="11"/>
    </row>
    <row r="20" spans="2:57" ht="15.75">
      <c r="B20" s="1"/>
      <c r="C20" s="375" t="s">
        <v>41</v>
      </c>
      <c r="D20" s="376"/>
      <c r="E20" s="376"/>
      <c r="F20" s="376"/>
      <c r="G20" s="376"/>
      <c r="H20" s="377"/>
      <c r="I20" s="24"/>
      <c r="J20" s="29"/>
      <c r="K20" s="30"/>
      <c r="L20" s="30"/>
      <c r="M20" s="30"/>
      <c r="N20" s="30"/>
      <c r="O20" s="31"/>
      <c r="P20" s="30"/>
      <c r="Q20" s="30"/>
      <c r="R20" s="30"/>
      <c r="S20" s="30"/>
      <c r="T20" s="30"/>
      <c r="U20" s="46"/>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row>
    <row r="21" spans="2:57" ht="15.75">
      <c r="C21" s="378"/>
      <c r="D21" s="379"/>
      <c r="E21" s="379"/>
      <c r="F21" s="379"/>
      <c r="G21" s="379"/>
      <c r="H21" s="380"/>
      <c r="J21" s="32"/>
      <c r="K21" s="33"/>
      <c r="L21" s="33"/>
      <c r="M21" s="33"/>
      <c r="N21" s="33"/>
      <c r="O21" s="99"/>
      <c r="P21" s="33"/>
      <c r="Q21" s="33"/>
      <c r="R21" s="33"/>
      <c r="S21" s="33"/>
      <c r="T21" s="33"/>
      <c r="U21" s="47"/>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row>
    <row r="22" spans="2:57" ht="15.75">
      <c r="C22" s="12" t="s">
        <v>42</v>
      </c>
      <c r="D22" s="213" t="s">
        <v>272</v>
      </c>
      <c r="E22" s="13"/>
      <c r="F22" s="14"/>
      <c r="G22" s="2" t="s">
        <v>44</v>
      </c>
      <c r="H22" s="216" t="s">
        <v>275</v>
      </c>
      <c r="J22" s="32"/>
      <c r="K22" s="33"/>
      <c r="L22" s="33"/>
      <c r="M22" s="33"/>
      <c r="N22" s="33"/>
      <c r="O22" s="34"/>
      <c r="P22" s="33"/>
      <c r="Q22" s="33"/>
      <c r="R22" s="33"/>
      <c r="S22" s="33"/>
      <c r="T22" s="33"/>
      <c r="U22" s="47"/>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row>
    <row r="23" spans="2:57" ht="15.75">
      <c r="C23" s="16" t="s">
        <v>45</v>
      </c>
      <c r="D23" s="214" t="s">
        <v>273</v>
      </c>
      <c r="E23" s="17" t="s">
        <v>46</v>
      </c>
      <c r="F23" s="215" t="s">
        <v>274</v>
      </c>
      <c r="G23" s="2" t="s">
        <v>47</v>
      </c>
      <c r="H23" s="18">
        <f>C10-C14</f>
        <v>126912.22</v>
      </c>
      <c r="J23" s="32"/>
      <c r="K23" s="33"/>
      <c r="L23" s="33"/>
      <c r="M23" s="33"/>
      <c r="N23" s="33"/>
      <c r="O23" s="34"/>
      <c r="P23" s="33"/>
      <c r="Q23" s="33"/>
      <c r="R23" s="33"/>
      <c r="S23" s="33"/>
      <c r="T23" s="33"/>
      <c r="U23" s="47"/>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row>
    <row r="24" spans="2:57" ht="21">
      <c r="C24" s="381" t="s">
        <v>48</v>
      </c>
      <c r="D24" s="12" t="s">
        <v>49</v>
      </c>
      <c r="E24" s="50">
        <v>45903</v>
      </c>
      <c r="F24" s="2" t="s">
        <v>50</v>
      </c>
      <c r="G24" s="19">
        <f>B63</f>
        <v>47029</v>
      </c>
      <c r="H24" s="15"/>
      <c r="J24" s="32"/>
      <c r="K24" s="382" t="s">
        <v>59</v>
      </c>
      <c r="L24" s="382"/>
      <c r="M24" s="382"/>
      <c r="N24" s="382"/>
      <c r="O24" s="382"/>
      <c r="P24" s="382"/>
      <c r="Q24" s="382"/>
      <c r="R24" s="382"/>
      <c r="S24" s="382"/>
      <c r="T24" s="382"/>
      <c r="U24" s="47"/>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row>
    <row r="25" spans="2:57" ht="15.75">
      <c r="C25" s="381"/>
      <c r="D25" s="2" t="s">
        <v>51</v>
      </c>
      <c r="E25" s="2">
        <v>60</v>
      </c>
      <c r="F25" s="2" t="s">
        <v>52</v>
      </c>
      <c r="G25" s="2"/>
      <c r="H25" s="15"/>
      <c r="J25" s="32"/>
      <c r="K25" s="383" t="s">
        <v>60</v>
      </c>
      <c r="L25" s="383"/>
      <c r="M25" s="383"/>
      <c r="N25" s="383"/>
      <c r="O25" s="383"/>
      <c r="P25" s="383"/>
      <c r="Q25" s="383"/>
      <c r="R25" s="383"/>
      <c r="S25" s="383"/>
      <c r="T25" s="383"/>
      <c r="U25" s="47"/>
      <c r="W25" s="118"/>
      <c r="X25" s="384" t="s">
        <v>92</v>
      </c>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84"/>
      <c r="BD25" s="384"/>
      <c r="BE25" s="118"/>
    </row>
    <row r="26" spans="2:57" ht="15.75">
      <c r="C26" s="381"/>
      <c r="D26" s="2" t="s">
        <v>53</v>
      </c>
      <c r="E26" s="91" t="s">
        <v>54</v>
      </c>
      <c r="F26" s="91" t="s">
        <v>55</v>
      </c>
      <c r="G26" s="91" t="s">
        <v>56</v>
      </c>
      <c r="H26" s="186" t="s">
        <v>57</v>
      </c>
      <c r="J26" s="32"/>
      <c r="K26" s="33"/>
      <c r="L26" s="33"/>
      <c r="M26" s="33"/>
      <c r="N26" s="33"/>
      <c r="O26" s="34"/>
      <c r="P26" s="33"/>
      <c r="Q26" s="33"/>
      <c r="R26" s="33"/>
      <c r="S26" s="33"/>
      <c r="T26" s="33"/>
      <c r="U26" s="47"/>
      <c r="W26" s="118"/>
      <c r="X26" s="384" t="s">
        <v>93</v>
      </c>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118"/>
    </row>
    <row r="27" spans="2:57" ht="18">
      <c r="C27" s="381"/>
      <c r="D27" s="2" t="s">
        <v>58</v>
      </c>
      <c r="E27" s="2"/>
      <c r="F27" s="2"/>
      <c r="G27" s="2"/>
      <c r="H27" s="20">
        <f>C4</f>
        <v>472027.81600000005</v>
      </c>
      <c r="J27" s="32"/>
      <c r="K27" s="385" t="s">
        <v>61</v>
      </c>
      <c r="L27" s="385"/>
      <c r="M27" s="385"/>
      <c r="N27" s="385"/>
      <c r="O27" s="385"/>
      <c r="P27" s="385"/>
      <c r="Q27" s="385"/>
      <c r="R27" s="385"/>
      <c r="S27" s="385"/>
      <c r="T27" s="385"/>
      <c r="U27" s="47"/>
      <c r="W27" s="118"/>
      <c r="X27" s="384" t="s">
        <v>94</v>
      </c>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118"/>
    </row>
    <row r="28" spans="2:57" ht="15.75">
      <c r="B28" s="21">
        <f>DATE(YEAR(E$24),MONTH(E$24)+D28+1,DAY(E$24))</f>
        <v>45964</v>
      </c>
      <c r="C28" s="22" t="str">
        <f t="shared" ref="C28:C87" si="2">TEXT(B28,"mmm-yyyy")</f>
        <v>Nov-2025</v>
      </c>
      <c r="D28" s="2">
        <v>1</v>
      </c>
      <c r="E28" s="92">
        <f t="shared" ref="E28:E87" si="3">C$1</f>
        <v>10499.998058830435</v>
      </c>
      <c r="F28" s="187">
        <f>E28-G28</f>
        <v>5779.7198988305354</v>
      </c>
      <c r="G28" s="188">
        <f t="shared" ref="G28:G63" si="4">H27*C$12</f>
        <v>4720.2781599998998</v>
      </c>
      <c r="H28" s="20">
        <f>H27-F28</f>
        <v>466248.09610116953</v>
      </c>
      <c r="J28" s="32"/>
      <c r="K28" s="100"/>
      <c r="L28" s="100"/>
      <c r="M28" s="100"/>
      <c r="N28" s="100"/>
      <c r="O28" s="99"/>
      <c r="P28" s="100"/>
      <c r="Q28" s="33"/>
      <c r="R28" s="33"/>
      <c r="S28" s="33"/>
      <c r="T28" s="33"/>
      <c r="U28" s="47"/>
      <c r="W28" s="118"/>
      <c r="X28" s="118"/>
      <c r="Y28" s="118"/>
      <c r="Z28" s="118"/>
      <c r="AA28" s="118"/>
      <c r="AB28" s="118"/>
      <c r="AC28" s="118"/>
      <c r="AD28" s="118"/>
      <c r="AE28" s="151"/>
      <c r="AF28" s="151"/>
      <c r="AG28" s="151"/>
      <c r="AH28" s="151"/>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row>
    <row r="29" spans="2:57" ht="15.75">
      <c r="B29" s="21">
        <f t="shared" ref="B29:B87" si="5">DATE(YEAR(E$24),MONTH(E$24)+D29+1,DAY(E$24))</f>
        <v>45994</v>
      </c>
      <c r="C29" s="22" t="str">
        <f t="shared" si="2"/>
        <v>Dec-2025</v>
      </c>
      <c r="D29" s="2">
        <v>2</v>
      </c>
      <c r="E29" s="92">
        <f t="shared" si="3"/>
        <v>10499.998058830435</v>
      </c>
      <c r="F29" s="187">
        <f t="shared" ref="F29:F63" si="6">E29-G29</f>
        <v>5837.5170978188389</v>
      </c>
      <c r="G29" s="188">
        <f t="shared" si="4"/>
        <v>4662.4809610115963</v>
      </c>
      <c r="H29" s="20">
        <f t="shared" ref="H29:H63" si="7">H28-F29</f>
        <v>460410.57900335069</v>
      </c>
      <c r="J29" s="32"/>
      <c r="K29" s="100"/>
      <c r="L29" s="100"/>
      <c r="M29" s="100"/>
      <c r="N29" s="100"/>
      <c r="O29" s="99"/>
      <c r="P29" s="100"/>
      <c r="Q29" s="33"/>
      <c r="R29" s="101" t="s">
        <v>62</v>
      </c>
      <c r="S29" s="372">
        <f>E24</f>
        <v>45903</v>
      </c>
      <c r="T29" s="372"/>
      <c r="U29" s="47"/>
      <c r="W29" s="115"/>
      <c r="X29" s="341" t="s">
        <v>95</v>
      </c>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3"/>
      <c r="BE29" s="118"/>
    </row>
    <row r="30" spans="2:57" ht="15.75">
      <c r="B30" s="21">
        <f t="shared" si="5"/>
        <v>46025</v>
      </c>
      <c r="C30" s="22" t="str">
        <f t="shared" si="2"/>
        <v>Jan-2026</v>
      </c>
      <c r="D30" s="2">
        <v>3</v>
      </c>
      <c r="E30" s="92">
        <f t="shared" si="3"/>
        <v>10499.998058830435</v>
      </c>
      <c r="F30" s="187">
        <f t="shared" si="6"/>
        <v>5895.8922687970262</v>
      </c>
      <c r="G30" s="188">
        <f t="shared" si="4"/>
        <v>4604.105790033409</v>
      </c>
      <c r="H30" s="20">
        <f t="shared" si="7"/>
        <v>454514.68673455366</v>
      </c>
      <c r="J30" s="32"/>
      <c r="K30" s="100"/>
      <c r="L30" s="100"/>
      <c r="M30" s="100"/>
      <c r="N30" s="100"/>
      <c r="O30" s="99"/>
      <c r="P30" s="100"/>
      <c r="Q30" s="33"/>
      <c r="R30" s="101" t="s">
        <v>63</v>
      </c>
      <c r="S30" s="373" t="str">
        <f>H22</f>
        <v>LV- 005-BO</v>
      </c>
      <c r="T30" s="373"/>
      <c r="U30" s="47"/>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374" t="s">
        <v>62</v>
      </c>
      <c r="AV30" s="374"/>
      <c r="AW30" s="112">
        <v>0</v>
      </c>
      <c r="AX30" s="113">
        <v>9</v>
      </c>
      <c r="AY30" s="113">
        <v>0</v>
      </c>
      <c r="AZ30" s="113">
        <v>3</v>
      </c>
      <c r="BA30" s="113">
        <v>2</v>
      </c>
      <c r="BB30" s="113">
        <v>0</v>
      </c>
      <c r="BC30" s="113">
        <v>2</v>
      </c>
      <c r="BD30" s="114">
        <v>5</v>
      </c>
      <c r="BE30" s="118"/>
    </row>
    <row r="31" spans="2:57" ht="15.75">
      <c r="B31" s="21">
        <f t="shared" si="5"/>
        <v>46056</v>
      </c>
      <c r="C31" s="22" t="str">
        <f t="shared" si="2"/>
        <v>Feb-2026</v>
      </c>
      <c r="D31" s="23">
        <v>4</v>
      </c>
      <c r="E31" s="92">
        <f t="shared" si="3"/>
        <v>10499.998058830435</v>
      </c>
      <c r="F31" s="187">
        <f t="shared" si="6"/>
        <v>5954.8511914849951</v>
      </c>
      <c r="G31" s="188">
        <f t="shared" si="4"/>
        <v>4545.1468673454401</v>
      </c>
      <c r="H31" s="20">
        <f t="shared" si="7"/>
        <v>448559.83554306865</v>
      </c>
      <c r="J31" s="32"/>
      <c r="K31" s="100"/>
      <c r="L31" s="100"/>
      <c r="M31" s="100"/>
      <c r="N31" s="100"/>
      <c r="O31" s="99"/>
      <c r="P31" s="100"/>
      <c r="Q31" s="33"/>
      <c r="R31" s="101"/>
      <c r="S31" s="102"/>
      <c r="T31" s="33"/>
      <c r="U31" s="47"/>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43" t="s">
        <v>97</v>
      </c>
      <c r="AX31" s="143" t="s">
        <v>97</v>
      </c>
      <c r="AY31" s="143" t="s">
        <v>98</v>
      </c>
      <c r="AZ31" s="143" t="s">
        <v>98</v>
      </c>
      <c r="BA31" s="143" t="s">
        <v>99</v>
      </c>
      <c r="BB31" s="143" t="s">
        <v>99</v>
      </c>
      <c r="BC31" s="143" t="s">
        <v>99</v>
      </c>
      <c r="BD31" s="143" t="s">
        <v>99</v>
      </c>
      <c r="BE31" s="118"/>
    </row>
    <row r="32" spans="2:57" ht="15.75">
      <c r="B32" s="21">
        <f t="shared" si="5"/>
        <v>46084</v>
      </c>
      <c r="C32" s="22" t="str">
        <f t="shared" si="2"/>
        <v>Mar-2026</v>
      </c>
      <c r="D32" s="2">
        <v>5</v>
      </c>
      <c r="E32" s="92">
        <f t="shared" si="3"/>
        <v>10499.998058830435</v>
      </c>
      <c r="F32" s="187">
        <f t="shared" si="6"/>
        <v>6014.3997033998439</v>
      </c>
      <c r="G32" s="188">
        <f t="shared" si="4"/>
        <v>4485.5983554305913</v>
      </c>
      <c r="H32" s="20">
        <f t="shared" si="7"/>
        <v>442545.43583966879</v>
      </c>
      <c r="J32" s="35"/>
      <c r="K32" s="101" t="s">
        <v>64</v>
      </c>
      <c r="L32" s="101"/>
      <c r="M32" s="101"/>
      <c r="N32" s="369" t="str">
        <f>D22</f>
        <v>ALBERTO B MAGISTRADO</v>
      </c>
      <c r="O32" s="369"/>
      <c r="P32" s="369"/>
      <c r="Q32" s="369"/>
      <c r="R32" s="369"/>
      <c r="S32" s="369"/>
      <c r="T32" s="38"/>
      <c r="U32" s="48"/>
      <c r="W32" s="118"/>
      <c r="X32" s="309" t="s">
        <v>100</v>
      </c>
      <c r="Y32" s="309"/>
      <c r="Z32" s="309"/>
      <c r="AA32" s="309"/>
      <c r="AB32" s="309"/>
      <c r="AC32" s="309"/>
      <c r="AD32" s="309"/>
      <c r="AE32" s="309" t="s">
        <v>101</v>
      </c>
      <c r="AF32" s="309"/>
      <c r="AG32" s="309"/>
      <c r="AH32" s="309"/>
      <c r="AI32" s="309"/>
      <c r="AJ32" s="309"/>
      <c r="AK32" s="309"/>
      <c r="AL32" s="309"/>
      <c r="AM32" s="309" t="s">
        <v>102</v>
      </c>
      <c r="AN32" s="309"/>
      <c r="AO32" s="309"/>
      <c r="AP32" s="309"/>
      <c r="AQ32" s="309"/>
      <c r="AR32" s="309"/>
      <c r="AS32" s="309"/>
      <c r="AT32" s="309" t="s">
        <v>103</v>
      </c>
      <c r="AU32" s="309"/>
      <c r="AV32" s="309"/>
      <c r="AW32" s="309"/>
      <c r="AX32" s="309"/>
      <c r="AY32" s="309"/>
      <c r="AZ32" s="309"/>
      <c r="BA32" s="309"/>
      <c r="BB32" s="309"/>
      <c r="BC32" s="309"/>
      <c r="BD32" s="309"/>
      <c r="BE32" s="115"/>
    </row>
    <row r="33" spans="2:57" ht="15.75">
      <c r="B33" s="21">
        <f t="shared" si="5"/>
        <v>46115</v>
      </c>
      <c r="C33" s="22" t="str">
        <f t="shared" si="2"/>
        <v>Apr-2026</v>
      </c>
      <c r="D33" s="2">
        <v>6</v>
      </c>
      <c r="E33" s="92">
        <f t="shared" si="3"/>
        <v>10499.998058830435</v>
      </c>
      <c r="F33" s="187">
        <f t="shared" si="6"/>
        <v>6074.5437004338419</v>
      </c>
      <c r="G33" s="188">
        <f t="shared" si="4"/>
        <v>4425.4543583965933</v>
      </c>
      <c r="H33" s="20">
        <f t="shared" si="7"/>
        <v>436470.89213923493</v>
      </c>
      <c r="J33" s="35"/>
      <c r="K33" s="101" t="s">
        <v>65</v>
      </c>
      <c r="L33" s="101"/>
      <c r="M33" s="101"/>
      <c r="N33" s="370" t="str">
        <f>D23</f>
        <v>665147</v>
      </c>
      <c r="O33" s="371"/>
      <c r="P33" s="371"/>
      <c r="Q33" s="371"/>
      <c r="R33" s="371"/>
      <c r="S33" s="371"/>
      <c r="T33" s="38"/>
      <c r="U33" s="48"/>
      <c r="W33" s="118"/>
      <c r="X33" s="123"/>
      <c r="Y33" s="309" t="s">
        <v>104</v>
      </c>
      <c r="Z33" s="309"/>
      <c r="AA33" s="309"/>
      <c r="AB33" s="309"/>
      <c r="AC33" s="309"/>
      <c r="AD33" s="309"/>
      <c r="AE33" s="123"/>
      <c r="AF33" s="309" t="s">
        <v>105</v>
      </c>
      <c r="AG33" s="309"/>
      <c r="AH33" s="309"/>
      <c r="AI33" s="309"/>
      <c r="AJ33" s="309"/>
      <c r="AK33" s="309"/>
      <c r="AL33" s="309"/>
      <c r="AM33" s="123"/>
      <c r="AN33" s="115" t="s">
        <v>106</v>
      </c>
      <c r="AO33" s="118"/>
      <c r="AP33" s="118"/>
      <c r="AQ33" s="118"/>
      <c r="AR33" s="118"/>
      <c r="AS33" s="118"/>
      <c r="AT33" s="123"/>
      <c r="AU33" s="309" t="s">
        <v>107</v>
      </c>
      <c r="AV33" s="309"/>
      <c r="AW33" s="309"/>
      <c r="AX33" s="309"/>
      <c r="AY33" s="309"/>
      <c r="AZ33" s="309"/>
      <c r="BA33" s="309"/>
      <c r="BB33" s="309"/>
      <c r="BC33" s="309"/>
      <c r="BD33" s="309"/>
      <c r="BE33" s="118"/>
    </row>
    <row r="34" spans="2:57" ht="15.75">
      <c r="B34" s="21">
        <f t="shared" si="5"/>
        <v>46145</v>
      </c>
      <c r="C34" s="22" t="str">
        <f t="shared" si="2"/>
        <v>May-2026</v>
      </c>
      <c r="D34" s="2">
        <v>7</v>
      </c>
      <c r="E34" s="92">
        <f t="shared" si="3"/>
        <v>10499.998058830435</v>
      </c>
      <c r="F34" s="187">
        <f t="shared" si="6"/>
        <v>6135.2891374381788</v>
      </c>
      <c r="G34" s="188">
        <f t="shared" si="4"/>
        <v>4364.7089213922563</v>
      </c>
      <c r="H34" s="20">
        <f t="shared" si="7"/>
        <v>430335.60300179676</v>
      </c>
      <c r="J34" s="35"/>
      <c r="K34" s="101" t="s">
        <v>46</v>
      </c>
      <c r="L34" s="101"/>
      <c r="M34" s="101"/>
      <c r="N34" s="367" t="str">
        <f>F23</f>
        <v xml:space="preserve">BLK 7 LOT 11 PHASE 2 REGINA VILLE 2000 BRGY INCENCIO TRECE MARTIRES CITY CAVITE </v>
      </c>
      <c r="O34" s="367"/>
      <c r="P34" s="367"/>
      <c r="Q34" s="367"/>
      <c r="R34" s="367"/>
      <c r="S34" s="367"/>
      <c r="T34" s="38"/>
      <c r="U34" s="48"/>
      <c r="W34" s="118"/>
      <c r="X34" s="123"/>
      <c r="Y34" s="309" t="s">
        <v>108</v>
      </c>
      <c r="Z34" s="309"/>
      <c r="AA34" s="309"/>
      <c r="AB34" s="309"/>
      <c r="AC34" s="309"/>
      <c r="AD34" s="309"/>
      <c r="AE34" s="123"/>
      <c r="AF34" s="309" t="s">
        <v>109</v>
      </c>
      <c r="AG34" s="309"/>
      <c r="AH34" s="309"/>
      <c r="AI34" s="309"/>
      <c r="AJ34" s="309"/>
      <c r="AK34" s="309"/>
      <c r="AL34" s="309"/>
      <c r="AM34" s="123"/>
      <c r="AN34" s="115" t="s">
        <v>110</v>
      </c>
      <c r="AO34" s="118"/>
      <c r="AP34" s="118"/>
      <c r="AQ34" s="118"/>
      <c r="AR34" s="118"/>
      <c r="AS34" s="118"/>
      <c r="AT34" s="123"/>
      <c r="AU34" s="309" t="s">
        <v>111</v>
      </c>
      <c r="AV34" s="309"/>
      <c r="AW34" s="309"/>
      <c r="AX34" s="309"/>
      <c r="AY34" s="309"/>
      <c r="AZ34" s="309"/>
      <c r="BA34" s="309"/>
      <c r="BB34" s="309"/>
      <c r="BC34" s="309"/>
      <c r="BD34" s="309"/>
      <c r="BE34" s="118"/>
    </row>
    <row r="35" spans="2:57" ht="16.5" thickBot="1">
      <c r="B35" s="21">
        <f t="shared" si="5"/>
        <v>46176</v>
      </c>
      <c r="C35" s="22" t="str">
        <f t="shared" si="2"/>
        <v>Jun-2026</v>
      </c>
      <c r="D35" s="2">
        <v>8</v>
      </c>
      <c r="E35" s="92">
        <f t="shared" si="3"/>
        <v>10499.998058830435</v>
      </c>
      <c r="F35" s="187">
        <f t="shared" si="6"/>
        <v>6196.6420288125591</v>
      </c>
      <c r="G35" s="188">
        <f t="shared" si="4"/>
        <v>4303.356030017876</v>
      </c>
      <c r="H35" s="20">
        <f t="shared" si="7"/>
        <v>424138.96097298421</v>
      </c>
      <c r="J35" s="32"/>
      <c r="K35" s="100"/>
      <c r="L35" s="100"/>
      <c r="M35" s="100"/>
      <c r="N35" s="36"/>
      <c r="O35" s="38"/>
      <c r="P35" s="38"/>
      <c r="Q35" s="33"/>
      <c r="R35" s="33"/>
      <c r="S35" s="33"/>
      <c r="T35" s="33"/>
      <c r="U35" s="47"/>
      <c r="W35" s="118"/>
      <c r="X35" s="123"/>
      <c r="Y35" s="309" t="s">
        <v>112</v>
      </c>
      <c r="Z35" s="309"/>
      <c r="AA35" s="309"/>
      <c r="AB35" s="309"/>
      <c r="AC35" s="309"/>
      <c r="AD35" s="309"/>
      <c r="AE35" s="123"/>
      <c r="AF35" s="309" t="s">
        <v>113</v>
      </c>
      <c r="AG35" s="309"/>
      <c r="AH35" s="309"/>
      <c r="AI35" s="309"/>
      <c r="AJ35" s="309"/>
      <c r="AK35" s="309"/>
      <c r="AL35" s="309"/>
      <c r="AM35" s="123"/>
      <c r="AN35" s="115" t="s">
        <v>114</v>
      </c>
      <c r="AO35" s="118"/>
      <c r="AP35" s="118"/>
      <c r="AQ35" s="118"/>
      <c r="AR35" s="118"/>
      <c r="AS35" s="118"/>
      <c r="AT35" s="123"/>
      <c r="AU35" s="115" t="s">
        <v>115</v>
      </c>
      <c r="AV35" s="115"/>
      <c r="AW35" s="368"/>
      <c r="AX35" s="368"/>
      <c r="AY35" s="368"/>
      <c r="AZ35" s="368"/>
      <c r="BA35" s="368"/>
      <c r="BB35" s="115"/>
      <c r="BC35" s="115"/>
      <c r="BD35" s="115"/>
      <c r="BE35" s="118"/>
    </row>
    <row r="36" spans="2:57" ht="15.75">
      <c r="B36" s="21">
        <f t="shared" si="5"/>
        <v>46206</v>
      </c>
      <c r="C36" s="22" t="str">
        <f t="shared" si="2"/>
        <v>Jul-2026</v>
      </c>
      <c r="D36" s="2">
        <v>9</v>
      </c>
      <c r="E36" s="92">
        <f t="shared" si="3"/>
        <v>10499.998058830435</v>
      </c>
      <c r="F36" s="187">
        <f t="shared" si="6"/>
        <v>6258.6084491006832</v>
      </c>
      <c r="G36" s="188">
        <f t="shared" si="4"/>
        <v>4241.389609729752</v>
      </c>
      <c r="H36" s="20">
        <f t="shared" si="7"/>
        <v>417880.35252388351</v>
      </c>
      <c r="J36" s="32"/>
      <c r="K36" s="100"/>
      <c r="L36" s="101" t="s">
        <v>66</v>
      </c>
      <c r="M36" s="100"/>
      <c r="N36" s="100"/>
      <c r="O36" s="99"/>
      <c r="P36" s="100"/>
      <c r="Q36" s="103"/>
      <c r="R36" s="340">
        <f>C4</f>
        <v>472027.81600000005</v>
      </c>
      <c r="S36" s="340"/>
      <c r="T36" s="340"/>
      <c r="U36" s="47"/>
      <c r="W36" s="118"/>
      <c r="X36" s="123"/>
      <c r="Y36" s="309" t="s">
        <v>116</v>
      </c>
      <c r="Z36" s="309"/>
      <c r="AA36" s="309"/>
      <c r="AB36" s="309"/>
      <c r="AC36" s="309"/>
      <c r="AD36" s="309"/>
      <c r="AE36" s="123"/>
      <c r="AF36" s="309" t="s">
        <v>117</v>
      </c>
      <c r="AG36" s="309"/>
      <c r="AH36" s="309"/>
      <c r="AI36" s="309"/>
      <c r="AJ36" s="309"/>
      <c r="AK36" s="309"/>
      <c r="AL36" s="309"/>
      <c r="AM36" s="123"/>
      <c r="AN36" s="115" t="s">
        <v>118</v>
      </c>
      <c r="AO36" s="118"/>
      <c r="AP36" s="118"/>
      <c r="AQ36" s="118"/>
      <c r="AR36" s="118"/>
      <c r="AS36" s="118"/>
      <c r="AT36" s="118"/>
      <c r="AU36" s="118"/>
      <c r="AV36" s="118"/>
      <c r="AW36" s="118"/>
      <c r="AX36" s="118"/>
      <c r="AY36" s="118"/>
      <c r="AZ36" s="118"/>
      <c r="BA36" s="118"/>
      <c r="BB36" s="118"/>
      <c r="BC36" s="118"/>
      <c r="BD36" s="118"/>
      <c r="BE36" s="118"/>
    </row>
    <row r="37" spans="2:57" ht="15.75">
      <c r="B37" s="21">
        <f t="shared" si="5"/>
        <v>46237</v>
      </c>
      <c r="C37" s="22" t="str">
        <f t="shared" si="2"/>
        <v>Aug-2026</v>
      </c>
      <c r="D37" s="2">
        <v>10</v>
      </c>
      <c r="E37" s="92">
        <f t="shared" si="3"/>
        <v>10499.998058830435</v>
      </c>
      <c r="F37" s="187">
        <f t="shared" si="6"/>
        <v>6321.1945335916889</v>
      </c>
      <c r="G37" s="188">
        <f t="shared" si="4"/>
        <v>4178.8035252387463</v>
      </c>
      <c r="H37" s="20">
        <f t="shared" si="7"/>
        <v>411559.15799029183</v>
      </c>
      <c r="J37" s="32"/>
      <c r="K37" s="100"/>
      <c r="L37" s="101"/>
      <c r="M37" s="100"/>
      <c r="N37" s="100"/>
      <c r="O37" s="99"/>
      <c r="P37" s="100"/>
      <c r="Q37" s="103"/>
      <c r="R37" s="366"/>
      <c r="S37" s="366"/>
      <c r="T37" s="366"/>
      <c r="U37" s="47"/>
      <c r="W37" s="118"/>
      <c r="X37" s="123"/>
      <c r="Y37" s="309" t="s">
        <v>119</v>
      </c>
      <c r="Z37" s="309"/>
      <c r="AA37" s="309"/>
      <c r="AB37" s="309"/>
      <c r="AC37" s="309"/>
      <c r="AD37" s="309"/>
      <c r="AE37" s="123"/>
      <c r="AF37" s="309" t="s">
        <v>120</v>
      </c>
      <c r="AG37" s="309"/>
      <c r="AH37" s="309"/>
      <c r="AI37" s="309"/>
      <c r="AJ37" s="309"/>
      <c r="AK37" s="309"/>
      <c r="AL37" s="309"/>
      <c r="AM37" s="123"/>
      <c r="AN37" s="115" t="s">
        <v>121</v>
      </c>
      <c r="AO37" s="118"/>
      <c r="AP37" s="118"/>
      <c r="AQ37" s="118"/>
      <c r="AR37" s="118"/>
      <c r="AS37" s="118"/>
      <c r="AT37" s="118"/>
      <c r="AU37" s="118"/>
      <c r="AV37" s="118"/>
      <c r="AW37" s="118"/>
      <c r="AX37" s="118"/>
      <c r="AY37" s="118"/>
      <c r="AZ37" s="118"/>
      <c r="BA37" s="118"/>
      <c r="BB37" s="118"/>
      <c r="BC37" s="118"/>
      <c r="BD37" s="118"/>
      <c r="BE37" s="118"/>
    </row>
    <row r="38" spans="2:57" ht="16.5" thickBot="1">
      <c r="B38" s="21">
        <f t="shared" si="5"/>
        <v>46268</v>
      </c>
      <c r="C38" s="22" t="str">
        <f t="shared" si="2"/>
        <v>Sep-2026</v>
      </c>
      <c r="D38" s="2">
        <v>11</v>
      </c>
      <c r="E38" s="92">
        <f t="shared" si="3"/>
        <v>10499.998058830435</v>
      </c>
      <c r="F38" s="187">
        <f t="shared" si="6"/>
        <v>6384.4064789276044</v>
      </c>
      <c r="G38" s="188">
        <f t="shared" si="4"/>
        <v>4115.5915799028307</v>
      </c>
      <c r="H38" s="20">
        <f t="shared" si="7"/>
        <v>405174.75151136424</v>
      </c>
      <c r="J38" s="39"/>
      <c r="K38" s="104"/>
      <c r="L38" s="105" t="s">
        <v>67</v>
      </c>
      <c r="M38" s="104" t="s">
        <v>68</v>
      </c>
      <c r="N38" s="104"/>
      <c r="O38" s="106"/>
      <c r="P38" s="104"/>
      <c r="Q38" s="36"/>
      <c r="R38" s="340">
        <f>-C14</f>
        <v>-261703.78</v>
      </c>
      <c r="S38" s="340"/>
      <c r="T38" s="340"/>
      <c r="U38" s="37"/>
      <c r="W38" s="118"/>
      <c r="X38" s="306"/>
      <c r="Y38" s="306"/>
      <c r="Z38" s="306"/>
      <c r="AA38" s="306"/>
      <c r="AB38" s="306"/>
      <c r="AC38" s="306"/>
      <c r="AD38" s="306"/>
      <c r="AE38" s="152"/>
      <c r="AF38" s="115" t="s">
        <v>122</v>
      </c>
      <c r="AG38" s="115"/>
      <c r="AH38" s="273"/>
      <c r="AI38" s="273"/>
      <c r="AJ38" s="273"/>
      <c r="AK38" s="273"/>
      <c r="AL38" s="361"/>
      <c r="AM38" s="152"/>
      <c r="AN38" s="115" t="s">
        <v>115</v>
      </c>
      <c r="AO38" s="118"/>
      <c r="AP38" s="362"/>
      <c r="AQ38" s="362"/>
      <c r="AR38" s="362"/>
      <c r="AS38" s="362"/>
      <c r="AT38" s="362"/>
      <c r="AU38" s="118"/>
      <c r="AV38" s="118"/>
      <c r="AW38" s="118"/>
      <c r="AX38" s="118"/>
      <c r="AY38" s="118"/>
      <c r="AZ38" s="118"/>
      <c r="BA38" s="118"/>
      <c r="BB38" s="118"/>
      <c r="BC38" s="118"/>
      <c r="BD38" s="118"/>
      <c r="BE38" s="118"/>
    </row>
    <row r="39" spans="2:57" ht="15.75">
      <c r="B39" s="21">
        <f t="shared" si="5"/>
        <v>46298</v>
      </c>
      <c r="C39" s="22" t="str">
        <f t="shared" si="2"/>
        <v>Oct-2026</v>
      </c>
      <c r="D39" s="2">
        <v>12</v>
      </c>
      <c r="E39" s="92">
        <f t="shared" si="3"/>
        <v>10499.998058830435</v>
      </c>
      <c r="F39" s="187">
        <f t="shared" si="6"/>
        <v>6448.2505437168793</v>
      </c>
      <c r="G39" s="188">
        <f t="shared" si="4"/>
        <v>4051.7475151135559</v>
      </c>
      <c r="H39" s="20">
        <f t="shared" si="7"/>
        <v>398726.50096764736</v>
      </c>
      <c r="J39" s="39"/>
      <c r="K39" s="104"/>
      <c r="L39" s="105" t="s">
        <v>67</v>
      </c>
      <c r="M39" s="104" t="s">
        <v>69</v>
      </c>
      <c r="N39" s="104"/>
      <c r="O39" s="106"/>
      <c r="P39" s="104"/>
      <c r="Q39" s="36"/>
      <c r="R39" s="340">
        <f>-C8</f>
        <v>-300</v>
      </c>
      <c r="S39" s="340"/>
      <c r="T39" s="340"/>
      <c r="U39" s="37"/>
      <c r="W39" s="118"/>
      <c r="X39" s="153" t="s">
        <v>123</v>
      </c>
      <c r="Y39" s="147"/>
      <c r="Z39" s="147"/>
      <c r="AA39" s="147"/>
      <c r="AB39" s="363">
        <f>R44</f>
        <v>126912.22000000006</v>
      </c>
      <c r="AC39" s="363"/>
      <c r="AD39" s="363"/>
      <c r="AE39" s="363"/>
      <c r="AF39" s="363"/>
      <c r="AG39" s="363"/>
      <c r="AH39" s="364"/>
      <c r="AI39" s="364"/>
      <c r="AJ39" s="364"/>
      <c r="AK39" s="364"/>
      <c r="AL39" s="364"/>
      <c r="AM39" s="365"/>
      <c r="AN39" s="153" t="s">
        <v>124</v>
      </c>
      <c r="AO39" s="147"/>
      <c r="AP39" s="146"/>
      <c r="AQ39" s="146"/>
      <c r="AR39" s="146"/>
      <c r="AS39" s="146"/>
      <c r="AT39" s="364">
        <f>R49</f>
        <v>10499.998058830435</v>
      </c>
      <c r="AU39" s="363"/>
      <c r="AV39" s="363"/>
      <c r="AW39" s="363"/>
      <c r="AX39" s="363"/>
      <c r="AY39" s="363"/>
      <c r="AZ39" s="363"/>
      <c r="BA39" s="363"/>
      <c r="BB39" s="363"/>
      <c r="BC39" s="363"/>
      <c r="BD39" s="365"/>
      <c r="BE39" s="118"/>
    </row>
    <row r="40" spans="2:57" ht="15.75">
      <c r="B40" s="21">
        <f t="shared" si="5"/>
        <v>46329</v>
      </c>
      <c r="C40" s="22" t="str">
        <f t="shared" si="2"/>
        <v>Nov-2026</v>
      </c>
      <c r="D40" s="2">
        <v>13</v>
      </c>
      <c r="E40" s="92">
        <f>C$1</f>
        <v>10499.998058830435</v>
      </c>
      <c r="F40" s="187">
        <f t="shared" si="6"/>
        <v>6512.733049154047</v>
      </c>
      <c r="G40" s="188">
        <f t="shared" si="4"/>
        <v>3987.2650096763887</v>
      </c>
      <c r="H40" s="20">
        <f t="shared" si="7"/>
        <v>392213.76791849331</v>
      </c>
      <c r="J40" s="39"/>
      <c r="K40" s="104"/>
      <c r="L40" s="105" t="s">
        <v>67</v>
      </c>
      <c r="M40" s="104" t="s">
        <v>70</v>
      </c>
      <c r="N40" s="104"/>
      <c r="O40" s="106"/>
      <c r="P40" s="104"/>
      <c r="Q40" s="36"/>
      <c r="R40" s="350">
        <f>-C7</f>
        <v>-5000</v>
      </c>
      <c r="S40" s="350"/>
      <c r="T40" s="350"/>
      <c r="U40" s="37"/>
      <c r="W40" s="118"/>
      <c r="X40" s="154"/>
      <c r="Y40" s="155"/>
      <c r="Z40" s="155"/>
      <c r="AA40" s="155"/>
      <c r="AB40" s="278"/>
      <c r="AC40" s="278"/>
      <c r="AD40" s="278"/>
      <c r="AE40" s="278"/>
      <c r="AF40" s="278"/>
      <c r="AG40" s="278"/>
      <c r="AH40" s="278"/>
      <c r="AI40" s="278"/>
      <c r="AJ40" s="278"/>
      <c r="AK40" s="278"/>
      <c r="AL40" s="278"/>
      <c r="AM40" s="279"/>
      <c r="AN40" s="154"/>
      <c r="AO40" s="155"/>
      <c r="AP40" s="155"/>
      <c r="AQ40" s="155"/>
      <c r="AR40" s="155"/>
      <c r="AS40" s="155"/>
      <c r="AT40" s="278"/>
      <c r="AU40" s="278"/>
      <c r="AV40" s="278"/>
      <c r="AW40" s="278"/>
      <c r="AX40" s="278"/>
      <c r="AY40" s="278"/>
      <c r="AZ40" s="278"/>
      <c r="BA40" s="278"/>
      <c r="BB40" s="278"/>
      <c r="BC40" s="278"/>
      <c r="BD40" s="279"/>
      <c r="BE40" s="118"/>
    </row>
    <row r="41" spans="2:57" ht="15.75">
      <c r="B41" s="21">
        <f t="shared" si="5"/>
        <v>46359</v>
      </c>
      <c r="C41" s="22" t="str">
        <f t="shared" si="2"/>
        <v>Dec-2026</v>
      </c>
      <c r="D41" s="2">
        <v>14</v>
      </c>
      <c r="E41" s="92">
        <f t="shared" si="3"/>
        <v>10499.998058830435</v>
      </c>
      <c r="F41" s="187">
        <f t="shared" si="6"/>
        <v>6577.8603796455864</v>
      </c>
      <c r="G41" s="188">
        <f t="shared" si="4"/>
        <v>3922.1376791848493</v>
      </c>
      <c r="H41" s="20">
        <f t="shared" si="7"/>
        <v>385635.90753884771</v>
      </c>
      <c r="J41" s="39"/>
      <c r="K41" s="104"/>
      <c r="L41" s="105" t="s">
        <v>67</v>
      </c>
      <c r="M41" s="104" t="s">
        <v>9</v>
      </c>
      <c r="N41" s="104"/>
      <c r="O41" s="106"/>
      <c r="P41" s="104"/>
      <c r="Q41" s="36"/>
      <c r="R41" s="350">
        <f>-C5</f>
        <v>-47022.536</v>
      </c>
      <c r="S41" s="350"/>
      <c r="T41" s="350"/>
      <c r="U41" s="37"/>
      <c r="W41" s="118"/>
      <c r="X41" s="338" t="s">
        <v>125</v>
      </c>
      <c r="Y41" s="351"/>
      <c r="Z41" s="352"/>
      <c r="AA41" s="353"/>
      <c r="AB41" s="353"/>
      <c r="AC41" s="353"/>
      <c r="AD41" s="353"/>
      <c r="AE41" s="354"/>
      <c r="AF41" s="157" t="s">
        <v>126</v>
      </c>
      <c r="AG41" s="155"/>
      <c r="AH41" s="155"/>
      <c r="AI41" s="155"/>
      <c r="AJ41" s="325"/>
      <c r="AK41" s="325"/>
      <c r="AL41" s="325"/>
      <c r="AM41" s="325"/>
      <c r="AN41" s="325"/>
      <c r="AO41" s="325"/>
      <c r="AP41" s="325"/>
      <c r="AQ41" s="326"/>
      <c r="AR41" s="158" t="s">
        <v>127</v>
      </c>
      <c r="AS41" s="159"/>
      <c r="AT41" s="159"/>
      <c r="AU41" s="159"/>
      <c r="AV41" s="325"/>
      <c r="AW41" s="325"/>
      <c r="AX41" s="325"/>
      <c r="AY41" s="325"/>
      <c r="AZ41" s="325"/>
      <c r="BA41" s="325"/>
      <c r="BB41" s="325"/>
      <c r="BC41" s="325"/>
      <c r="BD41" s="326"/>
      <c r="BE41" s="118"/>
    </row>
    <row r="42" spans="2:57" ht="15.75">
      <c r="B42" s="21">
        <f t="shared" si="5"/>
        <v>46390</v>
      </c>
      <c r="C42" s="22" t="str">
        <f t="shared" si="2"/>
        <v>Jan-2027</v>
      </c>
      <c r="D42" s="2">
        <v>15</v>
      </c>
      <c r="E42" s="92">
        <f t="shared" si="3"/>
        <v>10499.998058830435</v>
      </c>
      <c r="F42" s="187">
        <f t="shared" si="6"/>
        <v>6643.6389834420406</v>
      </c>
      <c r="G42" s="188">
        <f t="shared" si="4"/>
        <v>3856.359075388395</v>
      </c>
      <c r="H42" s="20">
        <f t="shared" si="7"/>
        <v>378992.26855540567</v>
      </c>
      <c r="J42" s="39"/>
      <c r="K42" s="104"/>
      <c r="L42" s="105" t="s">
        <v>67</v>
      </c>
      <c r="M42" s="104" t="s">
        <v>71</v>
      </c>
      <c r="N42" s="104"/>
      <c r="O42" s="106"/>
      <c r="P42" s="104"/>
      <c r="Q42" s="36"/>
      <c r="R42" s="350">
        <f>-C6</f>
        <v>-23316.959999999999</v>
      </c>
      <c r="S42" s="350"/>
      <c r="T42" s="350"/>
      <c r="U42" s="37"/>
      <c r="W42" s="118"/>
      <c r="X42" s="355" t="s">
        <v>128</v>
      </c>
      <c r="Y42" s="356"/>
      <c r="Z42" s="357"/>
      <c r="AA42" s="358"/>
      <c r="AB42" s="358"/>
      <c r="AC42" s="358"/>
      <c r="AD42" s="358"/>
      <c r="AE42" s="359"/>
      <c r="AF42" s="161"/>
      <c r="AG42" s="160" t="s">
        <v>129</v>
      </c>
      <c r="AH42" s="162"/>
      <c r="AI42" s="162"/>
      <c r="AJ42" s="162"/>
      <c r="AK42" s="162"/>
      <c r="AL42" s="162"/>
      <c r="AM42" s="162"/>
      <c r="AN42" s="162"/>
      <c r="AO42" s="162"/>
      <c r="AP42" s="162"/>
      <c r="AQ42" s="163"/>
      <c r="AR42" s="164"/>
      <c r="AS42" s="355" t="s">
        <v>130</v>
      </c>
      <c r="AT42" s="360"/>
      <c r="AU42" s="360"/>
      <c r="AV42" s="162"/>
      <c r="AW42" s="162"/>
      <c r="AX42" s="162"/>
      <c r="AY42" s="162"/>
      <c r="AZ42" s="162"/>
      <c r="BA42" s="162"/>
      <c r="BB42" s="162"/>
      <c r="BC42" s="162"/>
      <c r="BD42" s="163"/>
      <c r="BE42" s="118"/>
    </row>
    <row r="43" spans="2:57" ht="15.75">
      <c r="B43" s="21">
        <f t="shared" si="5"/>
        <v>46421</v>
      </c>
      <c r="C43" s="22" t="str">
        <f t="shared" si="2"/>
        <v>Feb-2027</v>
      </c>
      <c r="D43" s="2">
        <v>16</v>
      </c>
      <c r="E43" s="92">
        <f t="shared" si="3"/>
        <v>10499.998058830435</v>
      </c>
      <c r="F43" s="187">
        <f t="shared" si="6"/>
        <v>6710.0753732764588</v>
      </c>
      <c r="G43" s="188">
        <f>H42*C$12</f>
        <v>3789.922685553976</v>
      </c>
      <c r="H43" s="20">
        <f>H42-F43</f>
        <v>372282.19318212918</v>
      </c>
      <c r="J43" s="16"/>
      <c r="L43" s="105" t="s">
        <v>67</v>
      </c>
      <c r="M43" s="104" t="s">
        <v>13</v>
      </c>
      <c r="R43" s="350">
        <f>-C9</f>
        <v>-7772.32</v>
      </c>
      <c r="S43" s="350"/>
      <c r="T43" s="350"/>
      <c r="U43" s="107"/>
      <c r="W43" s="118"/>
      <c r="X43" s="338"/>
      <c r="Y43" s="351"/>
      <c r="Z43" s="352"/>
      <c r="AA43" s="353"/>
      <c r="AB43" s="353"/>
      <c r="AC43" s="353"/>
      <c r="AD43" s="353"/>
      <c r="AE43" s="354"/>
      <c r="AF43" s="123"/>
      <c r="AG43" s="156" t="s">
        <v>131</v>
      </c>
      <c r="AH43" s="165"/>
      <c r="AI43" s="165"/>
      <c r="AJ43" s="165"/>
      <c r="AK43" s="165"/>
      <c r="AL43" s="165"/>
      <c r="AM43" s="165"/>
      <c r="AN43" s="165"/>
      <c r="AO43" s="165"/>
      <c r="AP43" s="165"/>
      <c r="AQ43" s="166"/>
      <c r="AR43" s="123"/>
      <c r="AS43" s="338" t="s">
        <v>132</v>
      </c>
      <c r="AT43" s="339"/>
      <c r="AU43" s="339"/>
      <c r="AV43" s="165"/>
      <c r="AW43" s="165"/>
      <c r="AX43" s="165"/>
      <c r="AY43" s="165"/>
      <c r="AZ43" s="165"/>
      <c r="BA43" s="165"/>
      <c r="BB43" s="165"/>
      <c r="BC43" s="165"/>
      <c r="BD43" s="166"/>
      <c r="BE43" s="118"/>
    </row>
    <row r="44" spans="2:57" ht="15.75">
      <c r="B44" s="21">
        <f t="shared" si="5"/>
        <v>46449</v>
      </c>
      <c r="C44" s="22" t="str">
        <f t="shared" si="2"/>
        <v>Mar-2027</v>
      </c>
      <c r="D44" s="2">
        <v>17</v>
      </c>
      <c r="E44" s="92">
        <f t="shared" si="3"/>
        <v>10499.998058830435</v>
      </c>
      <c r="F44" s="187">
        <f t="shared" si="6"/>
        <v>6777.1761270092229</v>
      </c>
      <c r="G44" s="188">
        <f>H43*C$12</f>
        <v>3722.8219318212123</v>
      </c>
      <c r="H44" s="20">
        <f>H43-F44</f>
        <v>365505.01705511997</v>
      </c>
      <c r="J44" s="32"/>
      <c r="K44" s="100"/>
      <c r="L44" s="101" t="s">
        <v>72</v>
      </c>
      <c r="M44" s="100"/>
      <c r="N44" s="100"/>
      <c r="O44" s="99"/>
      <c r="P44" s="100"/>
      <c r="Q44" s="33"/>
      <c r="R44" s="340">
        <f>SUM(R36:T43)</f>
        <v>126912.22000000006</v>
      </c>
      <c r="S44" s="340"/>
      <c r="T44" s="340"/>
      <c r="U44" s="47"/>
      <c r="W44" s="118"/>
      <c r="X44" s="341" t="s">
        <v>133</v>
      </c>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3"/>
      <c r="BE44" s="118"/>
    </row>
    <row r="45" spans="2:57" ht="16.5" thickBot="1">
      <c r="B45" s="21">
        <f t="shared" si="5"/>
        <v>46480</v>
      </c>
      <c r="C45" s="22" t="str">
        <f t="shared" si="2"/>
        <v>Apr-2027</v>
      </c>
      <c r="D45" s="2">
        <v>18</v>
      </c>
      <c r="E45" s="92">
        <f t="shared" si="3"/>
        <v>10499.998058830435</v>
      </c>
      <c r="F45" s="187">
        <f t="shared" si="6"/>
        <v>6844.9478882793137</v>
      </c>
      <c r="G45" s="188">
        <f t="shared" si="4"/>
        <v>3655.0501705511219</v>
      </c>
      <c r="H45" s="20">
        <f t="shared" si="7"/>
        <v>358660.06916684064</v>
      </c>
      <c r="J45" s="32"/>
      <c r="K45" s="33"/>
      <c r="L45" s="33"/>
      <c r="M45" s="33"/>
      <c r="N45" s="33"/>
      <c r="O45" s="34"/>
      <c r="P45" s="33"/>
      <c r="Q45" s="33"/>
      <c r="R45" s="33"/>
      <c r="S45" s="33"/>
      <c r="T45" s="33"/>
      <c r="U45" s="47"/>
      <c r="W45" s="118"/>
      <c r="X45" s="167" t="s">
        <v>276</v>
      </c>
      <c r="Y45" s="167"/>
      <c r="Z45" s="167"/>
      <c r="AA45" s="167"/>
      <c r="AB45" s="167"/>
      <c r="AC45" s="167"/>
      <c r="AD45" s="167" t="s">
        <v>277</v>
      </c>
      <c r="AE45" s="167"/>
      <c r="AF45" s="167"/>
      <c r="AG45" s="167"/>
      <c r="AH45" s="167"/>
      <c r="AI45" s="167"/>
      <c r="AJ45" s="167"/>
      <c r="AK45" s="167"/>
      <c r="AL45" s="167"/>
      <c r="AM45" s="167"/>
      <c r="AN45" s="167" t="s">
        <v>278</v>
      </c>
      <c r="AO45" s="167"/>
      <c r="AP45" s="167"/>
      <c r="AQ45" s="167"/>
      <c r="AR45" s="167"/>
      <c r="AS45" s="167"/>
      <c r="AT45" s="167"/>
      <c r="AU45" s="167"/>
      <c r="AV45" s="167"/>
      <c r="AW45" s="167"/>
      <c r="AX45" s="167"/>
      <c r="AY45" s="167"/>
      <c r="AZ45" s="167"/>
      <c r="BA45" s="167"/>
      <c r="BB45" s="146"/>
      <c r="BC45" s="146"/>
      <c r="BD45" s="146"/>
      <c r="BE45" s="118"/>
    </row>
    <row r="46" spans="2:57" ht="15.75">
      <c r="B46" s="21">
        <f t="shared" si="5"/>
        <v>46510</v>
      </c>
      <c r="C46" s="22" t="str">
        <f t="shared" si="2"/>
        <v>May-2027</v>
      </c>
      <c r="D46" s="2">
        <v>19</v>
      </c>
      <c r="E46" s="92">
        <f t="shared" si="3"/>
        <v>10499.998058830435</v>
      </c>
      <c r="F46" s="187">
        <f t="shared" si="6"/>
        <v>6913.3973671621052</v>
      </c>
      <c r="G46" s="188">
        <f t="shared" si="4"/>
        <v>3586.60069166833</v>
      </c>
      <c r="H46" s="20">
        <f t="shared" si="7"/>
        <v>351746.67179967853</v>
      </c>
      <c r="J46" s="32"/>
      <c r="K46" s="108" t="s">
        <v>73</v>
      </c>
      <c r="L46" s="108"/>
      <c r="M46" s="108"/>
      <c r="N46" s="108"/>
      <c r="O46" s="108"/>
      <c r="P46" s="108"/>
      <c r="Q46" s="108"/>
      <c r="R46" s="108"/>
      <c r="S46" s="108"/>
      <c r="T46" s="108"/>
      <c r="U46" s="47"/>
      <c r="W46" s="118"/>
      <c r="X46" s="115" t="s">
        <v>134</v>
      </c>
      <c r="Y46" s="141"/>
      <c r="Z46" s="141"/>
      <c r="AA46" s="115"/>
      <c r="AB46" s="115"/>
      <c r="AC46" s="115"/>
      <c r="AD46" s="115" t="s">
        <v>135</v>
      </c>
      <c r="AE46" s="115"/>
      <c r="AF46" s="115"/>
      <c r="AG46" s="115"/>
      <c r="AH46" s="115"/>
      <c r="AI46" s="115"/>
      <c r="AJ46" s="115"/>
      <c r="AK46" s="115"/>
      <c r="AL46" s="118"/>
      <c r="AM46" s="115"/>
      <c r="AN46" s="115" t="s">
        <v>136</v>
      </c>
      <c r="AO46" s="115"/>
      <c r="AP46" s="115"/>
      <c r="AQ46" s="115"/>
      <c r="AR46" s="115"/>
      <c r="AS46" s="118"/>
      <c r="AT46" s="115"/>
      <c r="AU46" s="115"/>
      <c r="AV46" s="115"/>
      <c r="AW46" s="115"/>
      <c r="AX46" s="118"/>
      <c r="AY46" s="115"/>
      <c r="AZ46" s="115" t="s">
        <v>137</v>
      </c>
      <c r="BA46" s="115"/>
      <c r="BB46" s="116"/>
      <c r="BC46" s="117"/>
      <c r="BD46" s="117"/>
      <c r="BE46" s="118"/>
    </row>
    <row r="47" spans="2:57" ht="15.75">
      <c r="B47" s="21">
        <f t="shared" si="5"/>
        <v>46541</v>
      </c>
      <c r="C47" s="22" t="str">
        <f t="shared" si="2"/>
        <v>Jun-2027</v>
      </c>
      <c r="D47" s="2">
        <v>20</v>
      </c>
      <c r="E47" s="92">
        <f t="shared" si="3"/>
        <v>10499.998058830435</v>
      </c>
      <c r="F47" s="187">
        <f t="shared" si="6"/>
        <v>6982.5313408337242</v>
      </c>
      <c r="G47" s="188">
        <f t="shared" si="4"/>
        <v>3517.4667179967105</v>
      </c>
      <c r="H47" s="20">
        <f t="shared" si="7"/>
        <v>344764.14045884483</v>
      </c>
      <c r="J47" s="32"/>
      <c r="K47" s="33"/>
      <c r="L47" s="33"/>
      <c r="M47" s="33"/>
      <c r="N47" s="33"/>
      <c r="O47" s="34"/>
      <c r="P47" s="33"/>
      <c r="Q47" s="33"/>
      <c r="R47" s="33"/>
      <c r="S47" s="33"/>
      <c r="T47" s="33"/>
      <c r="U47" s="47"/>
      <c r="W47" s="118"/>
      <c r="X47" s="344" t="s">
        <v>138</v>
      </c>
      <c r="Y47" s="345"/>
      <c r="Z47" s="345"/>
      <c r="AA47" s="345"/>
      <c r="AB47" s="345"/>
      <c r="AC47" s="346"/>
      <c r="AD47" s="344" t="s">
        <v>65</v>
      </c>
      <c r="AE47" s="345"/>
      <c r="AF47" s="345"/>
      <c r="AG47" s="345"/>
      <c r="AH47" s="346"/>
      <c r="AI47" s="344" t="s">
        <v>139</v>
      </c>
      <c r="AJ47" s="345"/>
      <c r="AK47" s="345"/>
      <c r="AL47" s="345"/>
      <c r="AM47" s="345"/>
      <c r="AN47" s="346"/>
      <c r="AO47" s="347" t="s">
        <v>140</v>
      </c>
      <c r="AP47" s="348"/>
      <c r="AQ47" s="348"/>
      <c r="AR47" s="348"/>
      <c r="AS47" s="348"/>
      <c r="AT47" s="348"/>
      <c r="AU47" s="348"/>
      <c r="AV47" s="348"/>
      <c r="AW47" s="347" t="s">
        <v>141</v>
      </c>
      <c r="AX47" s="348"/>
      <c r="AY47" s="348"/>
      <c r="AZ47" s="348"/>
      <c r="BA47" s="348"/>
      <c r="BB47" s="348"/>
      <c r="BC47" s="348"/>
      <c r="BD47" s="349"/>
      <c r="BE47" s="118"/>
    </row>
    <row r="48" spans="2:57" ht="15.75">
      <c r="B48" s="21">
        <f t="shared" si="5"/>
        <v>46571</v>
      </c>
      <c r="C48" s="22" t="str">
        <f t="shared" si="2"/>
        <v>Jul-2027</v>
      </c>
      <c r="D48" s="2">
        <v>21</v>
      </c>
      <c r="E48" s="92">
        <f t="shared" si="3"/>
        <v>10499.998058830435</v>
      </c>
      <c r="F48" s="187">
        <f t="shared" si="6"/>
        <v>7052.3566542420604</v>
      </c>
      <c r="G48" s="188">
        <f t="shared" si="4"/>
        <v>3447.6414045883748</v>
      </c>
      <c r="H48" s="20">
        <f t="shared" si="7"/>
        <v>337711.78380460275</v>
      </c>
      <c r="J48" s="32"/>
      <c r="K48" s="33"/>
      <c r="L48" s="109" t="s">
        <v>89</v>
      </c>
      <c r="M48" s="104"/>
      <c r="N48" s="104"/>
      <c r="O48" s="104"/>
      <c r="P48" s="104"/>
      <c r="Q48" s="104"/>
      <c r="R48" s="331">
        <f>E25</f>
        <v>60</v>
      </c>
      <c r="S48" s="331"/>
      <c r="T48" s="97" t="s">
        <v>84</v>
      </c>
      <c r="U48" s="47"/>
      <c r="W48" s="118"/>
      <c r="X48" s="332" t="s">
        <v>279</v>
      </c>
      <c r="Y48" s="333"/>
      <c r="Z48" s="333"/>
      <c r="AA48" s="333"/>
      <c r="AB48" s="333"/>
      <c r="AC48" s="334"/>
      <c r="AD48" s="392" t="str">
        <f>N33</f>
        <v>665147</v>
      </c>
      <c r="AE48" s="336"/>
      <c r="AF48" s="336"/>
      <c r="AG48" s="336"/>
      <c r="AH48" s="337"/>
      <c r="AI48" s="332" t="s">
        <v>280</v>
      </c>
      <c r="AJ48" s="333"/>
      <c r="AK48" s="333"/>
      <c r="AL48" s="333"/>
      <c r="AM48" s="333"/>
      <c r="AN48" s="334"/>
      <c r="AO48" s="112"/>
      <c r="AP48" s="327" t="s">
        <v>96</v>
      </c>
      <c r="AQ48" s="327"/>
      <c r="AR48" s="327" t="s">
        <v>96</v>
      </c>
      <c r="AS48" s="327"/>
      <c r="AT48" s="113"/>
      <c r="AU48" s="113"/>
      <c r="AV48" s="114"/>
      <c r="AW48" s="112"/>
      <c r="AX48" s="327" t="s">
        <v>96</v>
      </c>
      <c r="AY48" s="327"/>
      <c r="AZ48" s="327" t="s">
        <v>96</v>
      </c>
      <c r="BA48" s="327"/>
      <c r="BB48" s="113"/>
      <c r="BC48" s="113"/>
      <c r="BD48" s="114"/>
      <c r="BE48" s="118"/>
    </row>
    <row r="49" spans="2:57" ht="15.75">
      <c r="B49" s="21">
        <f t="shared" si="5"/>
        <v>46602</v>
      </c>
      <c r="C49" s="22" t="str">
        <f t="shared" si="2"/>
        <v>Aug-2027</v>
      </c>
      <c r="D49" s="2">
        <v>22</v>
      </c>
      <c r="E49" s="92">
        <f t="shared" si="3"/>
        <v>10499.998058830435</v>
      </c>
      <c r="F49" s="187">
        <f t="shared" si="6"/>
        <v>7122.8802207844801</v>
      </c>
      <c r="G49" s="188">
        <f t="shared" si="4"/>
        <v>3377.1178380459555</v>
      </c>
      <c r="H49" s="20">
        <f t="shared" si="7"/>
        <v>330588.90358381829</v>
      </c>
      <c r="J49" s="32"/>
      <c r="K49" s="33"/>
      <c r="L49" s="104" t="s">
        <v>86</v>
      </c>
      <c r="M49" s="104"/>
      <c r="N49" s="104"/>
      <c r="O49" s="104"/>
      <c r="P49" s="104"/>
      <c r="Q49" s="104"/>
      <c r="R49" s="328">
        <f>C1</f>
        <v>10499.998058830435</v>
      </c>
      <c r="S49" s="328"/>
      <c r="T49" s="328"/>
      <c r="U49" s="47"/>
      <c r="W49" s="118"/>
      <c r="X49" s="118"/>
      <c r="Y49" s="118"/>
      <c r="Z49" s="118"/>
      <c r="AA49" s="118"/>
      <c r="AB49" s="118"/>
      <c r="AC49" s="118"/>
      <c r="AD49" s="118"/>
      <c r="AE49" s="118"/>
      <c r="AF49" s="118"/>
      <c r="AG49" s="118"/>
      <c r="AH49" s="118"/>
      <c r="AI49" s="118"/>
      <c r="AJ49" s="118"/>
      <c r="AK49" s="118"/>
      <c r="AL49" s="118"/>
      <c r="AM49" s="118"/>
      <c r="AN49" s="118"/>
      <c r="AO49" s="168" t="s">
        <v>97</v>
      </c>
      <c r="AP49" s="168" t="s">
        <v>97</v>
      </c>
      <c r="AQ49" s="168" t="s">
        <v>98</v>
      </c>
      <c r="AR49" s="168" t="s">
        <v>98</v>
      </c>
      <c r="AS49" s="168" t="s">
        <v>99</v>
      </c>
      <c r="AT49" s="168" t="s">
        <v>99</v>
      </c>
      <c r="AU49" s="168" t="s">
        <v>99</v>
      </c>
      <c r="AV49" s="168" t="s">
        <v>99</v>
      </c>
      <c r="AW49" s="168" t="s">
        <v>97</v>
      </c>
      <c r="AX49" s="168" t="s">
        <v>97</v>
      </c>
      <c r="AY49" s="168" t="s">
        <v>98</v>
      </c>
      <c r="AZ49" s="168" t="s">
        <v>98</v>
      </c>
      <c r="BA49" s="168" t="s">
        <v>99</v>
      </c>
      <c r="BB49" s="168" t="s">
        <v>99</v>
      </c>
      <c r="BC49" s="168" t="s">
        <v>99</v>
      </c>
      <c r="BD49" s="168" t="s">
        <v>99</v>
      </c>
      <c r="BE49" s="118"/>
    </row>
    <row r="50" spans="2:57" ht="15.75">
      <c r="B50" s="21">
        <f t="shared" si="5"/>
        <v>46633</v>
      </c>
      <c r="C50" s="22" t="str">
        <f t="shared" si="2"/>
        <v>Sep-2027</v>
      </c>
      <c r="D50" s="2">
        <v>23</v>
      </c>
      <c r="E50" s="92">
        <f t="shared" si="3"/>
        <v>10499.998058830435</v>
      </c>
      <c r="F50" s="187">
        <f t="shared" si="6"/>
        <v>7194.1090229923229</v>
      </c>
      <c r="G50" s="188">
        <f t="shared" si="4"/>
        <v>3305.8890358381122</v>
      </c>
      <c r="H50" s="20">
        <f t="shared" si="7"/>
        <v>323394.79456082598</v>
      </c>
      <c r="J50" s="32"/>
      <c r="K50" s="33"/>
      <c r="L50" s="104" t="s">
        <v>74</v>
      </c>
      <c r="M50" s="104"/>
      <c r="N50" s="104"/>
      <c r="O50" s="104"/>
      <c r="P50" s="104"/>
      <c r="Q50" s="104"/>
      <c r="R50" s="329" t="s">
        <v>282</v>
      </c>
      <c r="S50" s="329"/>
      <c r="T50" s="329"/>
      <c r="U50" s="47"/>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row>
    <row r="51" spans="2:57" ht="15.75">
      <c r="B51" s="21">
        <f t="shared" si="5"/>
        <v>46663</v>
      </c>
      <c r="C51" s="22" t="str">
        <f t="shared" si="2"/>
        <v>Oct-2027</v>
      </c>
      <c r="D51" s="2">
        <v>24</v>
      </c>
      <c r="E51" s="92">
        <f t="shared" si="3"/>
        <v>10499.998058830435</v>
      </c>
      <c r="F51" s="187">
        <f t="shared" si="6"/>
        <v>7266.0501132222444</v>
      </c>
      <c r="G51" s="188">
        <f t="shared" si="4"/>
        <v>3233.9479456081908</v>
      </c>
      <c r="H51" s="20">
        <f t="shared" si="7"/>
        <v>316128.74444760371</v>
      </c>
      <c r="J51" s="32"/>
      <c r="K51" s="33"/>
      <c r="L51" s="104" t="s">
        <v>75</v>
      </c>
      <c r="M51" s="104"/>
      <c r="N51" s="104"/>
      <c r="O51" s="104"/>
      <c r="P51" s="104"/>
      <c r="Q51" s="104"/>
      <c r="R51" s="329">
        <f>B87</f>
        <v>47759</v>
      </c>
      <c r="S51" s="329"/>
      <c r="T51" s="329"/>
      <c r="U51" s="47"/>
      <c r="W51" s="118"/>
      <c r="X51" s="115" t="s">
        <v>142</v>
      </c>
      <c r="Y51" s="115"/>
      <c r="Z51" s="115"/>
      <c r="AA51" s="115"/>
      <c r="AB51" s="115"/>
      <c r="AC51" s="115"/>
      <c r="AD51" s="115"/>
      <c r="AE51" s="115" t="s">
        <v>143</v>
      </c>
      <c r="AF51" s="115"/>
      <c r="AG51" s="115"/>
      <c r="AH51" s="115"/>
      <c r="AI51" s="118"/>
      <c r="AJ51" s="169" t="s">
        <v>144</v>
      </c>
      <c r="AK51" s="324">
        <v>68</v>
      </c>
      <c r="AL51" s="326"/>
      <c r="AM51" s="330" t="s">
        <v>145</v>
      </c>
      <c r="AN51" s="330"/>
      <c r="AO51" s="330"/>
      <c r="AP51" s="330"/>
      <c r="AQ51" s="170"/>
      <c r="AR51" s="309" t="s">
        <v>146</v>
      </c>
      <c r="AS51" s="309"/>
      <c r="AT51" s="170"/>
      <c r="AU51" s="309" t="s">
        <v>147</v>
      </c>
      <c r="AV51" s="309"/>
      <c r="AW51" s="309"/>
      <c r="AX51" s="309" t="s">
        <v>148</v>
      </c>
      <c r="AY51" s="309"/>
      <c r="AZ51" s="309"/>
      <c r="BA51" s="309"/>
      <c r="BB51" s="309"/>
      <c r="BC51" s="309"/>
      <c r="BD51" s="309"/>
      <c r="BE51" s="118"/>
    </row>
    <row r="52" spans="2:57" ht="15.75">
      <c r="B52" s="21">
        <f t="shared" si="5"/>
        <v>46694</v>
      </c>
      <c r="C52" s="22" t="str">
        <f t="shared" si="2"/>
        <v>Nov-2027</v>
      </c>
      <c r="D52" s="2">
        <v>25</v>
      </c>
      <c r="E52" s="92">
        <f t="shared" si="3"/>
        <v>10499.998058830435</v>
      </c>
      <c r="F52" s="187">
        <f t="shared" si="6"/>
        <v>7338.7106143544661</v>
      </c>
      <c r="G52" s="188">
        <f t="shared" si="4"/>
        <v>3161.2874444759696</v>
      </c>
      <c r="H52" s="20">
        <f t="shared" si="7"/>
        <v>308790.03383324924</v>
      </c>
      <c r="J52" s="32"/>
      <c r="K52" s="33"/>
      <c r="L52" s="104" t="s">
        <v>76</v>
      </c>
      <c r="M52" s="104"/>
      <c r="N52" s="104"/>
      <c r="O52" s="104"/>
      <c r="P52" s="104"/>
      <c r="Q52" s="104"/>
      <c r="R52" s="319">
        <f>C16</f>
        <v>0.12736174018256685</v>
      </c>
      <c r="S52" s="319"/>
      <c r="T52" s="319"/>
      <c r="U52" s="47"/>
      <c r="W52" s="118"/>
      <c r="X52" s="321"/>
      <c r="Y52" s="322"/>
      <c r="Z52" s="322"/>
      <c r="AA52" s="322"/>
      <c r="AB52" s="322"/>
      <c r="AC52" s="322"/>
      <c r="AD52" s="323"/>
      <c r="AE52" s="324" t="s">
        <v>281</v>
      </c>
      <c r="AF52" s="325"/>
      <c r="AG52" s="325"/>
      <c r="AH52" s="325"/>
      <c r="AI52" s="325"/>
      <c r="AJ52" s="325"/>
      <c r="AK52" s="325"/>
      <c r="AL52" s="326"/>
      <c r="AM52" s="330"/>
      <c r="AN52" s="330"/>
      <c r="AO52" s="330"/>
      <c r="AP52" s="330"/>
      <c r="AQ52" s="170"/>
      <c r="AR52" s="309" t="s">
        <v>150</v>
      </c>
      <c r="AS52" s="309"/>
      <c r="AT52" s="170"/>
      <c r="AU52" s="309" t="s">
        <v>151</v>
      </c>
      <c r="AV52" s="309"/>
      <c r="AW52" s="309"/>
      <c r="AX52" s="313"/>
      <c r="AY52" s="314"/>
      <c r="AZ52" s="314"/>
      <c r="BA52" s="314"/>
      <c r="BB52" s="314"/>
      <c r="BC52" s="314"/>
      <c r="BD52" s="315"/>
      <c r="BE52" s="118"/>
    </row>
    <row r="53" spans="2:57" ht="15.75">
      <c r="B53" s="21">
        <f t="shared" si="5"/>
        <v>46724</v>
      </c>
      <c r="C53" s="22" t="str">
        <f t="shared" si="2"/>
        <v>Dec-2027</v>
      </c>
      <c r="D53" s="2">
        <v>26</v>
      </c>
      <c r="E53" s="92">
        <f t="shared" si="3"/>
        <v>10499.998058830435</v>
      </c>
      <c r="F53" s="187">
        <f t="shared" si="6"/>
        <v>7412.0977204980081</v>
      </c>
      <c r="G53" s="188">
        <f t="shared" si="4"/>
        <v>3087.9003383324266</v>
      </c>
      <c r="H53" s="20">
        <f t="shared" si="7"/>
        <v>301377.93611275125</v>
      </c>
      <c r="J53" s="32"/>
      <c r="K53" s="33"/>
      <c r="L53" s="104" t="s">
        <v>77</v>
      </c>
      <c r="M53" s="104"/>
      <c r="N53" s="104"/>
      <c r="O53" s="104"/>
      <c r="P53" s="104"/>
      <c r="Q53" s="104"/>
      <c r="R53" s="319">
        <f>C15</f>
        <v>0.01</v>
      </c>
      <c r="S53" s="319"/>
      <c r="T53" s="319"/>
      <c r="U53" s="47"/>
      <c r="W53" s="118"/>
      <c r="X53" s="320" t="s">
        <v>152</v>
      </c>
      <c r="Y53" s="320"/>
      <c r="Z53" s="320"/>
      <c r="AA53" s="320"/>
      <c r="AB53" s="320"/>
      <c r="AC53" s="320"/>
      <c r="AD53" s="320"/>
      <c r="AE53" s="320" t="s">
        <v>153</v>
      </c>
      <c r="AF53" s="320"/>
      <c r="AG53" s="320"/>
      <c r="AH53" s="320"/>
      <c r="AI53" s="320"/>
      <c r="AJ53" s="320"/>
      <c r="AK53" s="320"/>
      <c r="AL53" s="320"/>
      <c r="AM53" s="320"/>
      <c r="AN53" s="320"/>
      <c r="AO53" s="320"/>
      <c r="AP53" s="320"/>
      <c r="AQ53" s="320"/>
      <c r="AR53" s="320"/>
      <c r="AS53" s="320"/>
      <c r="AT53" s="320"/>
      <c r="AU53" s="118"/>
      <c r="AV53" s="146"/>
      <c r="AW53" s="146"/>
      <c r="AX53" s="146" t="s">
        <v>154</v>
      </c>
      <c r="AY53" s="146"/>
      <c r="AZ53" s="146"/>
      <c r="BA53" s="146"/>
      <c r="BB53" s="146"/>
      <c r="BC53" s="146"/>
      <c r="BD53" s="146"/>
      <c r="BE53" s="118"/>
    </row>
    <row r="54" spans="2:57" ht="16.5" thickBot="1">
      <c r="B54" s="21">
        <f t="shared" si="5"/>
        <v>46755</v>
      </c>
      <c r="C54" s="22" t="str">
        <f t="shared" si="2"/>
        <v>Jan-2028</v>
      </c>
      <c r="D54" s="2">
        <v>27</v>
      </c>
      <c r="E54" s="92">
        <f t="shared" si="3"/>
        <v>10499.998058830435</v>
      </c>
      <c r="F54" s="187">
        <f t="shared" si="6"/>
        <v>7486.2186977029869</v>
      </c>
      <c r="G54" s="188">
        <f t="shared" si="4"/>
        <v>3013.7793611274483</v>
      </c>
      <c r="H54" s="20">
        <f t="shared" si="7"/>
        <v>293891.71741504828</v>
      </c>
      <c r="J54" s="32"/>
      <c r="K54" s="40"/>
      <c r="L54" s="40"/>
      <c r="M54" s="40"/>
      <c r="N54" s="40"/>
      <c r="O54" s="41"/>
      <c r="P54" s="40"/>
      <c r="Q54" s="40"/>
      <c r="R54" s="40"/>
      <c r="S54" s="40"/>
      <c r="T54" s="40"/>
      <c r="U54" s="47"/>
      <c r="W54" s="118"/>
      <c r="X54" s="313"/>
      <c r="Y54" s="314"/>
      <c r="Z54" s="314"/>
      <c r="AA54" s="314"/>
      <c r="AB54" s="314"/>
      <c r="AC54" s="314"/>
      <c r="AD54" s="315"/>
      <c r="AE54" s="310"/>
      <c r="AF54" s="311"/>
      <c r="AG54" s="311"/>
      <c r="AH54" s="311"/>
      <c r="AI54" s="311"/>
      <c r="AJ54" s="311"/>
      <c r="AK54" s="311"/>
      <c r="AL54" s="311"/>
      <c r="AM54" s="311"/>
      <c r="AN54" s="311"/>
      <c r="AO54" s="311"/>
      <c r="AP54" s="311"/>
      <c r="AQ54" s="311"/>
      <c r="AR54" s="311"/>
      <c r="AS54" s="311"/>
      <c r="AT54" s="311"/>
      <c r="AU54" s="311"/>
      <c r="AV54" s="311"/>
      <c r="AW54" s="312"/>
      <c r="AX54" s="310"/>
      <c r="AY54" s="311"/>
      <c r="AZ54" s="311"/>
      <c r="BA54" s="311"/>
      <c r="BB54" s="311"/>
      <c r="BC54" s="311"/>
      <c r="BD54" s="312"/>
      <c r="BE54" s="118"/>
    </row>
    <row r="55" spans="2:57" ht="16.5" thickTop="1">
      <c r="B55" s="21">
        <f t="shared" si="5"/>
        <v>46786</v>
      </c>
      <c r="C55" s="22" t="str">
        <f t="shared" si="2"/>
        <v>Feb-2028</v>
      </c>
      <c r="D55" s="2">
        <v>28</v>
      </c>
      <c r="E55" s="92">
        <f t="shared" si="3"/>
        <v>10499.998058830435</v>
      </c>
      <c r="F55" s="187">
        <f t="shared" si="6"/>
        <v>7561.0808846800155</v>
      </c>
      <c r="G55" s="188">
        <f t="shared" si="4"/>
        <v>2938.9171741504201</v>
      </c>
      <c r="H55" s="20">
        <f t="shared" si="7"/>
        <v>286330.63653036824</v>
      </c>
      <c r="J55" s="32"/>
      <c r="K55" s="33"/>
      <c r="L55" s="33"/>
      <c r="M55" s="33"/>
      <c r="N55" s="33"/>
      <c r="O55" s="34"/>
      <c r="P55" s="33"/>
      <c r="Q55" s="33"/>
      <c r="R55" s="33"/>
      <c r="S55" s="33"/>
      <c r="T55" s="33"/>
      <c r="U55" s="47"/>
      <c r="W55" s="118"/>
      <c r="X55" s="115" t="s">
        <v>156</v>
      </c>
      <c r="Y55" s="115"/>
      <c r="Z55" s="115"/>
      <c r="AA55" s="115"/>
      <c r="AB55" s="115"/>
      <c r="AC55" s="115"/>
      <c r="AD55" s="115"/>
      <c r="AE55" s="118"/>
      <c r="AF55" s="115"/>
      <c r="AG55" s="146" t="s">
        <v>157</v>
      </c>
      <c r="AH55" s="118"/>
      <c r="AI55" s="118"/>
      <c r="AJ55" s="118"/>
      <c r="AK55" s="146"/>
      <c r="AL55" s="146"/>
      <c r="AM55" s="146"/>
      <c r="AN55" s="146"/>
      <c r="AO55" s="146"/>
      <c r="AP55" s="146"/>
      <c r="AQ55" s="146"/>
      <c r="AR55" s="146"/>
      <c r="AS55" s="146"/>
      <c r="AT55" s="309" t="s">
        <v>158</v>
      </c>
      <c r="AU55" s="309"/>
      <c r="AV55" s="309"/>
      <c r="AW55" s="309"/>
      <c r="AX55" s="309"/>
      <c r="AY55" s="309"/>
      <c r="AZ55" s="309"/>
      <c r="BA55" s="309"/>
      <c r="BB55" s="309"/>
      <c r="BC55" s="309"/>
      <c r="BD55" s="309"/>
      <c r="BE55" s="118"/>
    </row>
    <row r="56" spans="2:57" ht="15.75">
      <c r="B56" s="21">
        <f t="shared" si="5"/>
        <v>46815</v>
      </c>
      <c r="C56" s="22" t="str">
        <f t="shared" si="2"/>
        <v>Mar-2028</v>
      </c>
      <c r="D56" s="2">
        <v>29</v>
      </c>
      <c r="E56" s="92">
        <f t="shared" si="3"/>
        <v>10499.998058830435</v>
      </c>
      <c r="F56" s="187">
        <f t="shared" si="6"/>
        <v>7636.6916935268137</v>
      </c>
      <c r="G56" s="188">
        <f t="shared" si="4"/>
        <v>2863.3063653036215</v>
      </c>
      <c r="H56" s="20">
        <f t="shared" si="7"/>
        <v>278693.94483684143</v>
      </c>
      <c r="J56" s="32"/>
      <c r="K56" s="33" t="s">
        <v>78</v>
      </c>
      <c r="L56" s="33"/>
      <c r="M56" s="33"/>
      <c r="O56" s="33"/>
      <c r="P56" s="33"/>
      <c r="R56" s="33" t="s">
        <v>87</v>
      </c>
      <c r="S56" s="33"/>
      <c r="T56" s="33"/>
      <c r="U56" s="47"/>
      <c r="W56" s="118"/>
      <c r="X56" s="310"/>
      <c r="Y56" s="311"/>
      <c r="Z56" s="311"/>
      <c r="AA56" s="311"/>
      <c r="AB56" s="311"/>
      <c r="AC56" s="311"/>
      <c r="AD56" s="311"/>
      <c r="AE56" s="311"/>
      <c r="AF56" s="312"/>
      <c r="AG56" s="313"/>
      <c r="AH56" s="314"/>
      <c r="AI56" s="314"/>
      <c r="AJ56" s="314"/>
      <c r="AK56" s="314"/>
      <c r="AL56" s="314"/>
      <c r="AM56" s="314"/>
      <c r="AN56" s="314"/>
      <c r="AO56" s="314"/>
      <c r="AP56" s="314"/>
      <c r="AQ56" s="314"/>
      <c r="AR56" s="314"/>
      <c r="AS56" s="315"/>
      <c r="AT56" s="217">
        <v>1</v>
      </c>
      <c r="AU56" s="205">
        <v>2</v>
      </c>
      <c r="AV56" s="205">
        <v>4</v>
      </c>
      <c r="AW56" s="173" t="s">
        <v>159</v>
      </c>
      <c r="AX56" s="205">
        <v>2</v>
      </c>
      <c r="AY56" s="205">
        <v>4</v>
      </c>
      <c r="AZ56" s="205">
        <v>0</v>
      </c>
      <c r="BA56" s="173" t="s">
        <v>159</v>
      </c>
      <c r="BB56" s="205">
        <v>6</v>
      </c>
      <c r="BC56" s="205">
        <v>7</v>
      </c>
      <c r="BD56" s="205">
        <v>4</v>
      </c>
      <c r="BE56" s="118"/>
    </row>
    <row r="57" spans="2:57" ht="15.6" customHeight="1">
      <c r="B57" s="21">
        <f t="shared" si="5"/>
        <v>46846</v>
      </c>
      <c r="C57" s="22" t="str">
        <f t="shared" si="2"/>
        <v>Apr-2028</v>
      </c>
      <c r="D57" s="2">
        <v>30</v>
      </c>
      <c r="E57" s="92">
        <f t="shared" si="3"/>
        <v>10499.998058830435</v>
      </c>
      <c r="F57" s="187">
        <f t="shared" si="6"/>
        <v>7713.0586104620797</v>
      </c>
      <c r="G57" s="188">
        <f t="shared" si="4"/>
        <v>2786.939448368355</v>
      </c>
      <c r="H57" s="20">
        <f t="shared" si="7"/>
        <v>270980.88622637937</v>
      </c>
      <c r="J57" s="32"/>
      <c r="K57" s="33"/>
      <c r="L57" s="33"/>
      <c r="M57" s="33"/>
      <c r="N57" s="33"/>
      <c r="O57" s="33"/>
      <c r="P57" s="33"/>
      <c r="Q57" s="33"/>
      <c r="R57" s="33"/>
      <c r="S57" s="33"/>
      <c r="T57" s="33"/>
      <c r="U57" s="47"/>
      <c r="W57" s="118"/>
      <c r="X57" s="174" t="s">
        <v>160</v>
      </c>
      <c r="Y57" s="146"/>
      <c r="Z57" s="146"/>
      <c r="AA57" s="146"/>
      <c r="AB57" s="316" t="str">
        <f>N34</f>
        <v xml:space="preserve">BLK 7 LOT 11 PHASE 2 REGINA VILLE 2000 BRGY INCENCIO TRECE MARTIRES CITY CAVITE </v>
      </c>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317"/>
      <c r="AY57" s="317"/>
      <c r="AZ57" s="317"/>
      <c r="BA57" s="317"/>
      <c r="BB57" s="317"/>
      <c r="BC57" s="317"/>
      <c r="BD57" s="318"/>
      <c r="BE57" s="118"/>
    </row>
    <row r="58" spans="2:57" ht="15.75">
      <c r="B58" s="21">
        <f t="shared" si="5"/>
        <v>46876</v>
      </c>
      <c r="C58" s="22" t="str">
        <f t="shared" si="2"/>
        <v>May-2028</v>
      </c>
      <c r="D58" s="2">
        <v>31</v>
      </c>
      <c r="E58" s="92">
        <f t="shared" si="3"/>
        <v>10499.998058830435</v>
      </c>
      <c r="F58" s="187">
        <f t="shared" si="6"/>
        <v>7790.1891965666991</v>
      </c>
      <c r="G58" s="188">
        <f t="shared" si="4"/>
        <v>2709.808862263736</v>
      </c>
      <c r="H58" s="20">
        <f t="shared" si="7"/>
        <v>263190.69702981267</v>
      </c>
      <c r="J58" s="16"/>
      <c r="U58" s="107"/>
      <c r="W58" s="118"/>
      <c r="X58" s="287" t="s">
        <v>161</v>
      </c>
      <c r="Y58" s="288"/>
      <c r="Z58" s="288"/>
      <c r="AA58" s="288"/>
      <c r="AB58" s="288"/>
      <c r="AC58" s="288"/>
      <c r="AD58" s="288"/>
      <c r="AE58" s="288"/>
      <c r="AF58" s="288"/>
      <c r="AG58" s="288"/>
      <c r="AH58" s="288"/>
      <c r="AI58" s="288"/>
      <c r="AJ58" s="288"/>
      <c r="AK58" s="288"/>
      <c r="AL58" s="288"/>
      <c r="AM58" s="288"/>
      <c r="AN58" s="288"/>
      <c r="AO58" s="288"/>
      <c r="AP58" s="288"/>
      <c r="AQ58" s="288"/>
      <c r="AR58" s="288"/>
      <c r="AS58" s="288"/>
      <c r="AT58" s="288"/>
      <c r="AU58" s="288"/>
      <c r="AV58" s="288"/>
      <c r="AW58" s="288"/>
      <c r="AX58" s="288"/>
      <c r="AY58" s="288"/>
      <c r="AZ58" s="288"/>
      <c r="BA58" s="288"/>
      <c r="BB58" s="288"/>
      <c r="BC58" s="288"/>
      <c r="BD58" s="289"/>
      <c r="BE58" s="118"/>
    </row>
    <row r="59" spans="2:57" ht="15.75">
      <c r="B59" s="21">
        <f t="shared" si="5"/>
        <v>46907</v>
      </c>
      <c r="C59" s="22" t="str">
        <f t="shared" si="2"/>
        <v>Jun-2028</v>
      </c>
      <c r="D59" s="2">
        <v>32</v>
      </c>
      <c r="E59" s="92">
        <f t="shared" si="3"/>
        <v>10499.998058830435</v>
      </c>
      <c r="F59" s="187">
        <f t="shared" si="6"/>
        <v>7868.0910885323647</v>
      </c>
      <c r="G59" s="188">
        <f t="shared" si="4"/>
        <v>2631.9069702980705</v>
      </c>
      <c r="H59" s="20">
        <f t="shared" si="7"/>
        <v>255322.60594128032</v>
      </c>
      <c r="J59" s="16"/>
      <c r="U59" s="107"/>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row>
    <row r="60" spans="2:57" ht="16.5" thickBot="1">
      <c r="B60" s="21">
        <f t="shared" si="5"/>
        <v>46937</v>
      </c>
      <c r="C60" s="22" t="str">
        <f t="shared" si="2"/>
        <v>Jul-2028</v>
      </c>
      <c r="D60" s="2">
        <v>33</v>
      </c>
      <c r="E60" s="92">
        <f t="shared" si="3"/>
        <v>10499.998058830435</v>
      </c>
      <c r="F60" s="187">
        <f t="shared" si="6"/>
        <v>7946.7719994176859</v>
      </c>
      <c r="G60" s="188">
        <f t="shared" si="4"/>
        <v>2553.2260594127488</v>
      </c>
      <c r="H60" s="20">
        <f t="shared" si="7"/>
        <v>247375.83394186263</v>
      </c>
      <c r="J60" s="32"/>
      <c r="K60" s="307" t="s">
        <v>246</v>
      </c>
      <c r="L60" s="307"/>
      <c r="M60" s="307"/>
      <c r="N60" s="100"/>
      <c r="O60" s="100"/>
      <c r="P60" s="100"/>
      <c r="R60" s="308" t="s">
        <v>246</v>
      </c>
      <c r="S60" s="308"/>
      <c r="T60" s="308"/>
      <c r="U60" s="47"/>
      <c r="W60" s="118"/>
      <c r="X60" s="118"/>
      <c r="Y60" s="118" t="s">
        <v>162</v>
      </c>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row>
    <row r="61" spans="2:57" ht="15.75">
      <c r="B61" s="21">
        <f t="shared" si="5"/>
        <v>46968</v>
      </c>
      <c r="C61" s="22" t="str">
        <f t="shared" si="2"/>
        <v>Aug-2028</v>
      </c>
      <c r="D61" s="2">
        <v>34</v>
      </c>
      <c r="E61" s="92">
        <f t="shared" si="3"/>
        <v>10499.998058830435</v>
      </c>
      <c r="F61" s="187">
        <f t="shared" si="6"/>
        <v>8026.2397194118621</v>
      </c>
      <c r="G61" s="188">
        <f t="shared" si="4"/>
        <v>2473.7583394185735</v>
      </c>
      <c r="H61" s="20">
        <f t="shared" si="7"/>
        <v>239349.59422245077</v>
      </c>
      <c r="J61" s="32"/>
      <c r="K61" s="305" t="s">
        <v>80</v>
      </c>
      <c r="L61" s="305"/>
      <c r="M61" s="305"/>
      <c r="N61" s="33"/>
      <c r="O61" s="34"/>
      <c r="P61" s="33"/>
      <c r="R61" s="305" t="s">
        <v>88</v>
      </c>
      <c r="S61" s="305"/>
      <c r="T61" s="305"/>
      <c r="U61" s="47"/>
      <c r="W61" s="118"/>
      <c r="X61" s="118" t="s">
        <v>163</v>
      </c>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row>
    <row r="62" spans="2:57" ht="15.75">
      <c r="B62" s="21">
        <f t="shared" si="5"/>
        <v>46999</v>
      </c>
      <c r="C62" s="22" t="str">
        <f t="shared" si="2"/>
        <v>Sep-2028</v>
      </c>
      <c r="D62" s="2">
        <v>35</v>
      </c>
      <c r="E62" s="92">
        <f t="shared" si="3"/>
        <v>10499.998058830435</v>
      </c>
      <c r="F62" s="187">
        <f t="shared" si="6"/>
        <v>8106.5021166059778</v>
      </c>
      <c r="G62" s="188">
        <f t="shared" si="4"/>
        <v>2393.4959422244569</v>
      </c>
      <c r="H62" s="187">
        <f t="shared" si="7"/>
        <v>231243.09210584479</v>
      </c>
      <c r="J62" s="16"/>
      <c r="U62" s="107"/>
      <c r="W62" s="118"/>
      <c r="X62" s="118" t="s">
        <v>164</v>
      </c>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row>
    <row r="63" spans="2:57" ht="15.75">
      <c r="B63" s="21">
        <f t="shared" si="5"/>
        <v>47029</v>
      </c>
      <c r="C63" s="22" t="str">
        <f t="shared" si="2"/>
        <v>Oct-2028</v>
      </c>
      <c r="D63" s="2">
        <v>36</v>
      </c>
      <c r="E63" s="92">
        <f t="shared" si="3"/>
        <v>10499.998058830435</v>
      </c>
      <c r="F63" s="187">
        <f t="shared" si="6"/>
        <v>8187.5671377720364</v>
      </c>
      <c r="G63" s="188">
        <f t="shared" si="4"/>
        <v>2312.4309210583988</v>
      </c>
      <c r="H63" s="187">
        <f t="shared" si="7"/>
        <v>223055.52496807274</v>
      </c>
      <c r="J63" s="16"/>
      <c r="U63" s="107"/>
      <c r="W63" s="118"/>
      <c r="X63" s="118" t="s">
        <v>165</v>
      </c>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row>
    <row r="64" spans="2:57" ht="16.5" thickBot="1">
      <c r="B64" s="21">
        <f t="shared" si="5"/>
        <v>47060</v>
      </c>
      <c r="C64" s="22" t="str">
        <f t="shared" si="2"/>
        <v>Nov-2028</v>
      </c>
      <c r="D64" s="2">
        <v>37</v>
      </c>
      <c r="E64" s="92">
        <f t="shared" si="3"/>
        <v>10499.998058830435</v>
      </c>
      <c r="F64" s="187">
        <f t="shared" ref="F64:F87" si="8">E64-G64</f>
        <v>8269.4428091497557</v>
      </c>
      <c r="G64" s="188">
        <f t="shared" ref="G64:G87" si="9">H63*C$12</f>
        <v>2230.5552496806799</v>
      </c>
      <c r="H64" s="187">
        <f t="shared" ref="H64:H87" si="10">H63-F64</f>
        <v>214786.08215892297</v>
      </c>
      <c r="J64" s="16"/>
      <c r="U64" s="107"/>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270" t="str">
        <f>D22</f>
        <v>ALBERTO B MAGISTRADO</v>
      </c>
      <c r="AV64" s="270"/>
      <c r="AW64" s="270"/>
      <c r="AX64" s="270"/>
      <c r="AY64" s="270"/>
      <c r="AZ64" s="270"/>
      <c r="BA64" s="270"/>
      <c r="BB64" s="270"/>
      <c r="BC64" s="270"/>
      <c r="BD64" s="118"/>
      <c r="BE64" s="118"/>
    </row>
    <row r="65" spans="2:57" ht="15.75">
      <c r="B65" s="21">
        <f t="shared" si="5"/>
        <v>47090</v>
      </c>
      <c r="C65" s="22" t="str">
        <f t="shared" si="2"/>
        <v>Dec-2028</v>
      </c>
      <c r="D65" s="2">
        <v>38</v>
      </c>
      <c r="E65" s="92">
        <f t="shared" si="3"/>
        <v>10499.998058830435</v>
      </c>
      <c r="F65" s="187">
        <f t="shared" si="8"/>
        <v>8352.1372372412516</v>
      </c>
      <c r="G65" s="188">
        <f t="shared" si="9"/>
        <v>2147.8608215891841</v>
      </c>
      <c r="H65" s="187">
        <f t="shared" si="10"/>
        <v>206433.94492168172</v>
      </c>
      <c r="J65" s="32"/>
      <c r="K65" s="33"/>
      <c r="L65" s="33"/>
      <c r="M65" s="33"/>
      <c r="N65" s="33"/>
      <c r="O65" s="34"/>
      <c r="P65" s="33"/>
      <c r="Q65" s="33"/>
      <c r="R65" s="33"/>
      <c r="S65" s="33"/>
      <c r="T65" s="33"/>
      <c r="U65" s="47"/>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231" t="s">
        <v>166</v>
      </c>
      <c r="AV65" s="306"/>
      <c r="AW65" s="306"/>
      <c r="AX65" s="306"/>
      <c r="AY65" s="306"/>
      <c r="AZ65" s="306"/>
      <c r="BA65" s="306"/>
      <c r="BB65" s="306"/>
      <c r="BC65" s="306"/>
      <c r="BD65" s="118"/>
      <c r="BE65" s="118"/>
    </row>
    <row r="66" spans="2:57" ht="15.75">
      <c r="B66" s="21">
        <f t="shared" si="5"/>
        <v>47121</v>
      </c>
      <c r="C66" s="22" t="str">
        <f t="shared" si="2"/>
        <v>Jan-2029</v>
      </c>
      <c r="D66" s="2">
        <v>39</v>
      </c>
      <c r="E66" s="92">
        <f t="shared" si="3"/>
        <v>10499.998058830435</v>
      </c>
      <c r="F66" s="187">
        <f t="shared" si="8"/>
        <v>8435.6586096136616</v>
      </c>
      <c r="G66" s="188">
        <f t="shared" si="9"/>
        <v>2064.3394492167731</v>
      </c>
      <c r="H66" s="187">
        <f t="shared" si="10"/>
        <v>197998.28631206806</v>
      </c>
      <c r="J66" s="32"/>
      <c r="K66" s="33" t="s">
        <v>82</v>
      </c>
      <c r="L66" s="33"/>
      <c r="M66" s="33"/>
      <c r="N66" s="33"/>
      <c r="O66" s="34"/>
      <c r="P66" s="33"/>
      <c r="Q66" s="33"/>
      <c r="R66" s="33" t="s">
        <v>79</v>
      </c>
      <c r="S66" s="33"/>
      <c r="T66" s="33"/>
      <c r="U66" s="47"/>
      <c r="W66" s="118"/>
      <c r="X66" s="287" t="s">
        <v>167</v>
      </c>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c r="BC66" s="288"/>
      <c r="BD66" s="289"/>
      <c r="BE66" s="118"/>
    </row>
    <row r="67" spans="2:57" ht="15.75">
      <c r="B67" s="21">
        <f t="shared" si="5"/>
        <v>47152</v>
      </c>
      <c r="C67" s="22" t="str">
        <f t="shared" si="2"/>
        <v>Feb-2029</v>
      </c>
      <c r="D67" s="2">
        <v>40</v>
      </c>
      <c r="E67" s="92">
        <f t="shared" si="3"/>
        <v>10499.998058830435</v>
      </c>
      <c r="F67" s="187">
        <f t="shared" si="8"/>
        <v>8520.0151957097969</v>
      </c>
      <c r="G67" s="188">
        <f t="shared" si="9"/>
        <v>1979.9828631206383</v>
      </c>
      <c r="H67" s="187">
        <f t="shared" si="10"/>
        <v>189478.27111635826</v>
      </c>
      <c r="J67" s="32"/>
      <c r="K67" s="33"/>
      <c r="L67" s="33"/>
      <c r="M67" s="33"/>
      <c r="N67" s="33"/>
      <c r="O67" s="34"/>
      <c r="P67" s="33"/>
      <c r="Q67" s="33"/>
      <c r="R67" s="33"/>
      <c r="S67" s="33"/>
      <c r="T67" s="33"/>
      <c r="U67" s="47"/>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row>
    <row r="68" spans="2:57" ht="15.75">
      <c r="B68" s="21">
        <f t="shared" si="5"/>
        <v>47180</v>
      </c>
      <c r="C68" s="22" t="str">
        <f t="shared" si="2"/>
        <v>Mar-2029</v>
      </c>
      <c r="D68" s="2">
        <v>41</v>
      </c>
      <c r="E68" s="92">
        <f t="shared" si="3"/>
        <v>10499.998058830435</v>
      </c>
      <c r="F68" s="187">
        <f t="shared" si="8"/>
        <v>8605.2153476668936</v>
      </c>
      <c r="G68" s="188">
        <f t="shared" si="9"/>
        <v>1894.7827111635422</v>
      </c>
      <c r="H68" s="187">
        <f t="shared" si="10"/>
        <v>180873.05576869135</v>
      </c>
      <c r="J68" s="16"/>
      <c r="U68" s="107"/>
      <c r="W68" s="118"/>
      <c r="X68" s="118"/>
      <c r="Y68" s="118" t="s">
        <v>168</v>
      </c>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row>
    <row r="69" spans="2:57" ht="16.5" thickBot="1">
      <c r="B69" s="21">
        <f t="shared" si="5"/>
        <v>47211</v>
      </c>
      <c r="C69" s="22" t="str">
        <f t="shared" si="2"/>
        <v>Apr-2029</v>
      </c>
      <c r="D69" s="2">
        <v>42</v>
      </c>
      <c r="E69" s="92">
        <f t="shared" si="3"/>
        <v>10499.998058830435</v>
      </c>
      <c r="F69" s="187">
        <f t="shared" si="8"/>
        <v>8691.2675011435604</v>
      </c>
      <c r="G69" s="188">
        <f t="shared" si="9"/>
        <v>1808.730557686875</v>
      </c>
      <c r="H69" s="187">
        <f t="shared" si="10"/>
        <v>172181.78826754779</v>
      </c>
      <c r="J69" s="16"/>
      <c r="K69" s="388" t="str">
        <f>D22</f>
        <v>ALBERTO B MAGISTRADO</v>
      </c>
      <c r="L69" s="388"/>
      <c r="M69" s="388"/>
      <c r="P69" s="308" t="s">
        <v>247</v>
      </c>
      <c r="Q69" s="308"/>
      <c r="R69" s="308"/>
      <c r="S69" s="308"/>
      <c r="T69" s="308"/>
      <c r="U69" s="194"/>
      <c r="W69" s="118"/>
      <c r="X69" s="118" t="s">
        <v>169</v>
      </c>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row>
    <row r="70" spans="2:57" ht="15.75">
      <c r="B70" s="21">
        <f t="shared" si="5"/>
        <v>47241</v>
      </c>
      <c r="C70" s="22" t="str">
        <f t="shared" si="2"/>
        <v>May-2029</v>
      </c>
      <c r="D70" s="2">
        <v>43</v>
      </c>
      <c r="E70" s="92">
        <f t="shared" si="3"/>
        <v>10499.998058830435</v>
      </c>
      <c r="F70" s="187">
        <f t="shared" si="8"/>
        <v>8778.1801761549941</v>
      </c>
      <c r="G70" s="188">
        <f t="shared" si="9"/>
        <v>1721.8178826754411</v>
      </c>
      <c r="H70" s="187">
        <f t="shared" si="10"/>
        <v>163403.60809139279</v>
      </c>
      <c r="J70" s="32"/>
      <c r="K70" s="42" t="s">
        <v>83</v>
      </c>
      <c r="L70" s="42"/>
      <c r="M70" s="42"/>
      <c r="N70" s="33"/>
      <c r="O70" s="34"/>
      <c r="P70" s="33"/>
      <c r="Q70" s="33"/>
      <c r="R70" s="100" t="s">
        <v>81</v>
      </c>
      <c r="S70" s="100"/>
      <c r="T70" s="33"/>
      <c r="U70" s="47"/>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row>
    <row r="71" spans="2:57" ht="16.5" thickBot="1">
      <c r="B71" s="21">
        <f t="shared" si="5"/>
        <v>47272</v>
      </c>
      <c r="C71" s="22" t="str">
        <f t="shared" si="2"/>
        <v>Jun-2029</v>
      </c>
      <c r="D71" s="2">
        <v>44</v>
      </c>
      <c r="E71" s="92">
        <f t="shared" si="3"/>
        <v>10499.998058830435</v>
      </c>
      <c r="F71" s="187">
        <f t="shared" si="8"/>
        <v>8865.9619779165423</v>
      </c>
      <c r="G71" s="188">
        <f t="shared" si="9"/>
        <v>1634.0360809138931</v>
      </c>
      <c r="H71" s="187">
        <f t="shared" si="10"/>
        <v>154537.64611347625</v>
      </c>
      <c r="J71" s="43"/>
      <c r="K71" s="44"/>
      <c r="L71" s="44"/>
      <c r="M71" s="44"/>
      <c r="N71" s="44"/>
      <c r="O71" s="45"/>
      <c r="P71" s="44"/>
      <c r="Q71" s="44"/>
      <c r="R71" s="44"/>
      <c r="S71" s="44"/>
      <c r="T71" s="44"/>
      <c r="U71" s="49"/>
      <c r="W71" s="118"/>
      <c r="X71" s="125"/>
      <c r="Y71" s="125"/>
      <c r="Z71" s="125"/>
      <c r="AA71" s="125"/>
      <c r="AB71" s="125"/>
      <c r="AC71" s="125"/>
      <c r="AD71" s="125"/>
      <c r="AE71" s="125"/>
      <c r="AF71" s="118"/>
      <c r="AG71" s="125"/>
      <c r="AH71" s="125"/>
      <c r="AI71" s="125"/>
      <c r="AJ71" s="125"/>
      <c r="AK71" s="125"/>
      <c r="AL71" s="125"/>
      <c r="AM71" s="125"/>
      <c r="AN71" s="118"/>
      <c r="AO71" s="118"/>
      <c r="AP71" s="125"/>
      <c r="AQ71" s="125"/>
      <c r="AR71" s="125"/>
      <c r="AS71" s="125"/>
      <c r="AT71" s="125"/>
      <c r="AU71" s="125"/>
      <c r="AV71" s="125"/>
      <c r="AW71" s="118"/>
      <c r="AX71" s="125"/>
      <c r="AY71" s="125"/>
      <c r="AZ71" s="125"/>
      <c r="BA71" s="125"/>
      <c r="BB71" s="125"/>
      <c r="BC71" s="125"/>
      <c r="BD71" s="125"/>
      <c r="BE71" s="118"/>
    </row>
    <row r="72" spans="2:57" ht="15.75">
      <c r="B72" s="21">
        <f t="shared" si="5"/>
        <v>47302</v>
      </c>
      <c r="C72" s="22" t="str">
        <f t="shared" si="2"/>
        <v>Jul-2029</v>
      </c>
      <c r="D72" s="2">
        <v>45</v>
      </c>
      <c r="E72" s="92">
        <f t="shared" si="3"/>
        <v>10499.998058830435</v>
      </c>
      <c r="F72" s="187">
        <f t="shared" si="8"/>
        <v>8954.6215976957064</v>
      </c>
      <c r="G72" s="188">
        <f t="shared" si="9"/>
        <v>1545.3764611347297</v>
      </c>
      <c r="H72" s="187">
        <f t="shared" si="10"/>
        <v>145583.02451578053</v>
      </c>
      <c r="W72" s="118"/>
      <c r="X72" s="231" t="s">
        <v>170</v>
      </c>
      <c r="Y72" s="231"/>
      <c r="Z72" s="231"/>
      <c r="AA72" s="231"/>
      <c r="AB72" s="231"/>
      <c r="AC72" s="231"/>
      <c r="AD72" s="231"/>
      <c r="AE72" s="231"/>
      <c r="AF72" s="118"/>
      <c r="AG72" s="231" t="s">
        <v>171</v>
      </c>
      <c r="AH72" s="231"/>
      <c r="AI72" s="231"/>
      <c r="AJ72" s="231"/>
      <c r="AK72" s="231"/>
      <c r="AL72" s="231"/>
      <c r="AM72" s="231"/>
      <c r="AN72" s="118"/>
      <c r="AO72" s="118"/>
      <c r="AP72" s="231" t="s">
        <v>172</v>
      </c>
      <c r="AQ72" s="231"/>
      <c r="AR72" s="231"/>
      <c r="AS72" s="231"/>
      <c r="AT72" s="231"/>
      <c r="AU72" s="231"/>
      <c r="AV72" s="231"/>
      <c r="AW72" s="118"/>
      <c r="AX72" s="231" t="s">
        <v>173</v>
      </c>
      <c r="AY72" s="231"/>
      <c r="AZ72" s="231"/>
      <c r="BA72" s="231"/>
      <c r="BB72" s="231"/>
      <c r="BC72" s="231"/>
      <c r="BD72" s="231"/>
      <c r="BE72" s="118"/>
    </row>
    <row r="73" spans="2:57" ht="15.75">
      <c r="B73" s="21">
        <f t="shared" si="5"/>
        <v>47333</v>
      </c>
      <c r="C73" s="22" t="str">
        <f t="shared" si="2"/>
        <v>Aug-2029</v>
      </c>
      <c r="D73" s="2">
        <v>46</v>
      </c>
      <c r="E73" s="92">
        <f t="shared" si="3"/>
        <v>10499.998058830435</v>
      </c>
      <c r="F73" s="187">
        <f t="shared" si="8"/>
        <v>9044.1678136726605</v>
      </c>
      <c r="G73" s="188">
        <f t="shared" si="9"/>
        <v>1455.8302451577742</v>
      </c>
      <c r="H73" s="187">
        <f t="shared" si="10"/>
        <v>136538.85670210788</v>
      </c>
      <c r="W73" s="118"/>
      <c r="X73" s="231" t="s">
        <v>174</v>
      </c>
      <c r="Y73" s="231"/>
      <c r="Z73" s="231"/>
      <c r="AA73" s="231"/>
      <c r="AB73" s="231"/>
      <c r="AC73" s="231"/>
      <c r="AD73" s="231"/>
      <c r="AE73" s="231"/>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row>
    <row r="74" spans="2:57" ht="15.75">
      <c r="B74" s="21">
        <f t="shared" si="5"/>
        <v>47364</v>
      </c>
      <c r="C74" s="22" t="str">
        <f t="shared" si="2"/>
        <v>Sep-2029</v>
      </c>
      <c r="D74" s="2">
        <v>47</v>
      </c>
      <c r="E74" s="92">
        <f t="shared" si="3"/>
        <v>10499.998058830435</v>
      </c>
      <c r="F74" s="187">
        <f t="shared" si="8"/>
        <v>9134.6094918093859</v>
      </c>
      <c r="G74" s="188">
        <f t="shared" si="9"/>
        <v>1365.3885670210498</v>
      </c>
      <c r="H74" s="187">
        <f t="shared" si="10"/>
        <v>127404.24721029849</v>
      </c>
      <c r="W74" s="118"/>
      <c r="X74" s="287" t="s">
        <v>175</v>
      </c>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c r="BD74" s="304"/>
      <c r="BE74" s="118"/>
    </row>
    <row r="75" spans="2:57" ht="15.75">
      <c r="B75" s="21">
        <f t="shared" si="5"/>
        <v>47394</v>
      </c>
      <c r="C75" s="22" t="str">
        <f t="shared" si="2"/>
        <v>Oct-2029</v>
      </c>
      <c r="D75" s="2">
        <v>48</v>
      </c>
      <c r="E75" s="92">
        <f t="shared" si="3"/>
        <v>10499.998058830435</v>
      </c>
      <c r="F75" s="187">
        <f t="shared" si="8"/>
        <v>9225.9555867274776</v>
      </c>
      <c r="G75" s="188">
        <f t="shared" si="9"/>
        <v>1274.0424721029578</v>
      </c>
      <c r="H75" s="187">
        <f t="shared" si="10"/>
        <v>118178.29162357101</v>
      </c>
      <c r="W75" s="118"/>
      <c r="X75" s="293" t="s">
        <v>176</v>
      </c>
      <c r="Y75" s="293"/>
      <c r="Z75" s="293"/>
      <c r="AA75" s="293" t="s">
        <v>177</v>
      </c>
      <c r="AB75" s="293"/>
      <c r="AC75" s="293"/>
      <c r="AD75" s="293"/>
      <c r="AE75" s="293" t="s">
        <v>178</v>
      </c>
      <c r="AF75" s="293"/>
      <c r="AG75" s="293"/>
      <c r="AH75" s="293"/>
      <c r="AI75" s="293"/>
      <c r="AJ75" s="293" t="s">
        <v>179</v>
      </c>
      <c r="AK75" s="293"/>
      <c r="AL75" s="293"/>
      <c r="AM75" s="293" t="s">
        <v>50</v>
      </c>
      <c r="AN75" s="293"/>
      <c r="AO75" s="293"/>
      <c r="AP75" s="293"/>
      <c r="AQ75" s="293"/>
      <c r="AR75" s="293" t="s">
        <v>180</v>
      </c>
      <c r="AS75" s="293"/>
      <c r="AT75" s="293"/>
      <c r="AU75" s="293" t="s">
        <v>181</v>
      </c>
      <c r="AV75" s="293"/>
      <c r="AW75" s="293"/>
      <c r="AX75" s="293"/>
      <c r="AY75" s="293"/>
      <c r="AZ75" s="293" t="s">
        <v>182</v>
      </c>
      <c r="BA75" s="293"/>
      <c r="BB75" s="293"/>
      <c r="BC75" s="293"/>
      <c r="BD75" s="293"/>
      <c r="BE75" s="118"/>
    </row>
    <row r="76" spans="2:57" ht="15.75">
      <c r="B76" s="21">
        <f t="shared" si="5"/>
        <v>47425</v>
      </c>
      <c r="C76" s="22" t="str">
        <f t="shared" si="2"/>
        <v>Nov-2029</v>
      </c>
      <c r="D76" s="2">
        <v>49</v>
      </c>
      <c r="E76" s="92">
        <f t="shared" si="3"/>
        <v>10499.998058830435</v>
      </c>
      <c r="F76" s="187">
        <f t="shared" si="8"/>
        <v>9318.2151425947504</v>
      </c>
      <c r="G76" s="188">
        <f t="shared" si="9"/>
        <v>1181.782916235685</v>
      </c>
      <c r="H76" s="187">
        <f t="shared" si="10"/>
        <v>108860.07648097626</v>
      </c>
      <c r="W76" s="118"/>
      <c r="X76" s="294"/>
      <c r="Y76" s="295"/>
      <c r="Z76" s="295"/>
      <c r="AA76" s="296"/>
      <c r="AB76" s="295"/>
      <c r="AC76" s="295"/>
      <c r="AD76" s="295"/>
      <c r="AE76" s="297"/>
      <c r="AF76" s="297"/>
      <c r="AG76" s="297"/>
      <c r="AH76" s="297"/>
      <c r="AI76" s="297"/>
      <c r="AJ76" s="298"/>
      <c r="AK76" s="295"/>
      <c r="AL76" s="295"/>
      <c r="AM76" s="299"/>
      <c r="AN76" s="300"/>
      <c r="AO76" s="300"/>
      <c r="AP76" s="300"/>
      <c r="AQ76" s="301"/>
      <c r="AR76" s="302"/>
      <c r="AS76" s="302"/>
      <c r="AT76" s="302"/>
      <c r="AU76" s="295"/>
      <c r="AV76" s="295"/>
      <c r="AW76" s="295"/>
      <c r="AX76" s="295"/>
      <c r="AY76" s="295"/>
      <c r="AZ76" s="297"/>
      <c r="BA76" s="297"/>
      <c r="BB76" s="297"/>
      <c r="BC76" s="297"/>
      <c r="BD76" s="297"/>
      <c r="BE76" s="118"/>
    </row>
    <row r="77" spans="2:57" ht="15.75">
      <c r="B77" s="21">
        <f t="shared" si="5"/>
        <v>47455</v>
      </c>
      <c r="C77" s="22" t="str">
        <f t="shared" si="2"/>
        <v>Dec-2029</v>
      </c>
      <c r="D77" s="2">
        <v>50</v>
      </c>
      <c r="E77" s="92">
        <f t="shared" si="3"/>
        <v>10499.998058830435</v>
      </c>
      <c r="F77" s="187">
        <f t="shared" si="8"/>
        <v>9411.397294020695</v>
      </c>
      <c r="G77" s="188">
        <f t="shared" si="9"/>
        <v>1088.6007648097395</v>
      </c>
      <c r="H77" s="187">
        <f t="shared" si="10"/>
        <v>99448.67918695556</v>
      </c>
      <c r="W77" s="118"/>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118"/>
    </row>
    <row r="78" spans="2:57" ht="15.75">
      <c r="B78" s="21">
        <f t="shared" si="5"/>
        <v>47486</v>
      </c>
      <c r="C78" s="22" t="str">
        <f t="shared" si="2"/>
        <v>Jan-2030</v>
      </c>
      <c r="D78" s="2">
        <v>51</v>
      </c>
      <c r="E78" s="92">
        <f t="shared" si="3"/>
        <v>10499.998058830435</v>
      </c>
      <c r="F78" s="187">
        <f t="shared" si="8"/>
        <v>9505.5112669609007</v>
      </c>
      <c r="G78" s="188">
        <f t="shared" si="9"/>
        <v>994.48679186953439</v>
      </c>
      <c r="H78" s="187">
        <f t="shared" si="10"/>
        <v>89943.167919994652</v>
      </c>
      <c r="W78" s="118"/>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118"/>
    </row>
    <row r="79" spans="2:57" ht="15.75">
      <c r="B79" s="21">
        <f t="shared" si="5"/>
        <v>47517</v>
      </c>
      <c r="C79" s="22" t="str">
        <f t="shared" si="2"/>
        <v>Feb-2030</v>
      </c>
      <c r="D79" s="2">
        <v>52</v>
      </c>
      <c r="E79" s="92">
        <f t="shared" si="3"/>
        <v>10499.998058830435</v>
      </c>
      <c r="F79" s="187">
        <f t="shared" si="8"/>
        <v>9600.5663796305071</v>
      </c>
      <c r="G79" s="188">
        <f t="shared" si="9"/>
        <v>899.43167919992732</v>
      </c>
      <c r="H79" s="187">
        <f t="shared" si="10"/>
        <v>80342.60154036415</v>
      </c>
      <c r="W79" s="118"/>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118"/>
    </row>
    <row r="80" spans="2:57" ht="15.75">
      <c r="B80" s="21">
        <f t="shared" si="5"/>
        <v>47545</v>
      </c>
      <c r="C80" s="22" t="str">
        <f t="shared" si="2"/>
        <v>Mar-2030</v>
      </c>
      <c r="D80" s="2">
        <v>53</v>
      </c>
      <c r="E80" s="92">
        <f t="shared" si="3"/>
        <v>10499.998058830435</v>
      </c>
      <c r="F80" s="187">
        <f t="shared" si="8"/>
        <v>9696.5720434268114</v>
      </c>
      <c r="G80" s="188">
        <f t="shared" si="9"/>
        <v>803.42601540362443</v>
      </c>
      <c r="H80" s="187">
        <f t="shared" si="10"/>
        <v>70646.029496937335</v>
      </c>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row>
    <row r="81" spans="2:57" ht="15.75">
      <c r="B81" s="21">
        <f t="shared" si="5"/>
        <v>47576</v>
      </c>
      <c r="C81" s="22" t="str">
        <f t="shared" si="2"/>
        <v>Apr-2030</v>
      </c>
      <c r="D81" s="2">
        <v>54</v>
      </c>
      <c r="E81" s="92">
        <f t="shared" si="3"/>
        <v>10499.998058830435</v>
      </c>
      <c r="F81" s="187">
        <f t="shared" si="8"/>
        <v>9793.5377638610771</v>
      </c>
      <c r="G81" s="188">
        <f t="shared" si="9"/>
        <v>706.4602949693583</v>
      </c>
      <c r="H81" s="187">
        <f t="shared" si="10"/>
        <v>60852.491733076255</v>
      </c>
      <c r="W81" s="118"/>
      <c r="X81" s="287" t="s">
        <v>183</v>
      </c>
      <c r="Y81" s="288"/>
      <c r="Z81" s="288"/>
      <c r="AA81" s="288"/>
      <c r="AB81" s="288"/>
      <c r="AC81" s="288"/>
      <c r="AD81" s="288"/>
      <c r="AE81" s="288"/>
      <c r="AF81" s="288"/>
      <c r="AG81" s="288"/>
      <c r="AH81" s="288"/>
      <c r="AI81" s="288"/>
      <c r="AJ81" s="288"/>
      <c r="AK81" s="288"/>
      <c r="AL81" s="288"/>
      <c r="AM81" s="288"/>
      <c r="AN81" s="288"/>
      <c r="AO81" s="288"/>
      <c r="AP81" s="288"/>
      <c r="AQ81" s="288"/>
      <c r="AR81" s="288"/>
      <c r="AS81" s="288"/>
      <c r="AT81" s="288"/>
      <c r="AU81" s="288"/>
      <c r="AV81" s="288"/>
      <c r="AW81" s="288"/>
      <c r="AX81" s="288"/>
      <c r="AY81" s="288"/>
      <c r="AZ81" s="288"/>
      <c r="BA81" s="288"/>
      <c r="BB81" s="288"/>
      <c r="BC81" s="288"/>
      <c r="BD81" s="289"/>
      <c r="BE81" s="118"/>
    </row>
    <row r="82" spans="2:57" ht="15.75">
      <c r="B82" s="21">
        <f t="shared" si="5"/>
        <v>47606</v>
      </c>
      <c r="C82" s="22" t="str">
        <f t="shared" si="2"/>
        <v>May-2030</v>
      </c>
      <c r="D82" s="2">
        <v>55</v>
      </c>
      <c r="E82" s="92">
        <f t="shared" si="3"/>
        <v>10499.998058830435</v>
      </c>
      <c r="F82" s="187">
        <f t="shared" si="8"/>
        <v>9891.4731414996859</v>
      </c>
      <c r="G82" s="188">
        <f t="shared" si="9"/>
        <v>608.52491733074953</v>
      </c>
      <c r="H82" s="187">
        <f t="shared" si="10"/>
        <v>50961.018591576569</v>
      </c>
      <c r="W82" s="118"/>
      <c r="X82" s="290" t="s">
        <v>184</v>
      </c>
      <c r="Y82" s="291"/>
      <c r="Z82" s="291"/>
      <c r="AA82" s="291"/>
      <c r="AB82" s="292"/>
      <c r="AC82" s="290" t="s">
        <v>185</v>
      </c>
      <c r="AD82" s="291"/>
      <c r="AE82" s="291"/>
      <c r="AF82" s="292"/>
      <c r="AG82" s="290" t="s">
        <v>51</v>
      </c>
      <c r="AH82" s="291"/>
      <c r="AI82" s="291"/>
      <c r="AJ82" s="292"/>
      <c r="AK82" s="290" t="s">
        <v>186</v>
      </c>
      <c r="AL82" s="291"/>
      <c r="AM82" s="291"/>
      <c r="AN82" s="291"/>
      <c r="AO82" s="291"/>
      <c r="AP82" s="291"/>
      <c r="AQ82" s="292"/>
      <c r="AR82" s="290" t="s">
        <v>187</v>
      </c>
      <c r="AS82" s="291"/>
      <c r="AT82" s="291"/>
      <c r="AU82" s="291"/>
      <c r="AV82" s="292"/>
      <c r="AW82" s="290" t="s">
        <v>188</v>
      </c>
      <c r="AX82" s="291"/>
      <c r="AY82" s="291"/>
      <c r="AZ82" s="291"/>
      <c r="BA82" s="291"/>
      <c r="BB82" s="291"/>
      <c r="BC82" s="291"/>
      <c r="BD82" s="292"/>
      <c r="BE82" s="118"/>
    </row>
    <row r="83" spans="2:57" ht="15.75">
      <c r="B83" s="21">
        <f t="shared" si="5"/>
        <v>47637</v>
      </c>
      <c r="C83" s="22" t="str">
        <f t="shared" si="2"/>
        <v>Jun-2030</v>
      </c>
      <c r="D83" s="2">
        <v>56</v>
      </c>
      <c r="E83" s="92">
        <f t="shared" si="3"/>
        <v>10499.998058830435</v>
      </c>
      <c r="F83" s="187">
        <f t="shared" si="8"/>
        <v>9990.38787291468</v>
      </c>
      <c r="G83" s="188">
        <f t="shared" si="9"/>
        <v>509.61018591575481</v>
      </c>
      <c r="H83" s="187">
        <f t="shared" si="10"/>
        <v>40970.630718661887</v>
      </c>
      <c r="W83" s="118"/>
      <c r="X83" s="277">
        <f>C4</f>
        <v>472027.81600000005</v>
      </c>
      <c r="Y83" s="278"/>
      <c r="Z83" s="278"/>
      <c r="AA83" s="278"/>
      <c r="AB83" s="279"/>
      <c r="AC83" s="277">
        <f>C1</f>
        <v>10499.998058830435</v>
      </c>
      <c r="AD83" s="278"/>
      <c r="AE83" s="278"/>
      <c r="AF83" s="279"/>
      <c r="AG83" s="387">
        <f>E25</f>
        <v>60</v>
      </c>
      <c r="AH83" s="284"/>
      <c r="AI83" s="284"/>
      <c r="AJ83" s="285"/>
      <c r="AK83" s="277">
        <v>650</v>
      </c>
      <c r="AL83" s="278"/>
      <c r="AM83" s="278"/>
      <c r="AN83" s="278"/>
      <c r="AO83" s="278"/>
      <c r="AP83" s="278"/>
      <c r="AQ83" s="279"/>
      <c r="AR83" s="283"/>
      <c r="AS83" s="284"/>
      <c r="AT83" s="284"/>
      <c r="AU83" s="284"/>
      <c r="AV83" s="285"/>
      <c r="AW83" s="277">
        <f>C3</f>
        <v>629999.88352982607</v>
      </c>
      <c r="AX83" s="278"/>
      <c r="AY83" s="278"/>
      <c r="AZ83" s="278"/>
      <c r="BA83" s="278"/>
      <c r="BB83" s="278"/>
      <c r="BC83" s="278"/>
      <c r="BD83" s="279"/>
      <c r="BE83" s="118"/>
    </row>
    <row r="84" spans="2:57" ht="15.75">
      <c r="B84" s="21">
        <f t="shared" si="5"/>
        <v>47667</v>
      </c>
      <c r="C84" s="22" t="str">
        <f t="shared" si="2"/>
        <v>Jul-2030</v>
      </c>
      <c r="D84" s="2">
        <v>57</v>
      </c>
      <c r="E84" s="92">
        <f t="shared" si="3"/>
        <v>10499.998058830435</v>
      </c>
      <c r="F84" s="187">
        <f t="shared" si="8"/>
        <v>10090.291751643825</v>
      </c>
      <c r="G84" s="188">
        <f t="shared" si="9"/>
        <v>409.70630718661016</v>
      </c>
      <c r="H84" s="187">
        <f t="shared" si="10"/>
        <v>30880.338967018062</v>
      </c>
      <c r="W84" s="118"/>
      <c r="X84" s="272" t="s">
        <v>189</v>
      </c>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118"/>
    </row>
    <row r="85" spans="2:57" ht="15.75">
      <c r="B85" s="21">
        <f t="shared" si="5"/>
        <v>47698</v>
      </c>
      <c r="C85" s="22" t="str">
        <f t="shared" si="2"/>
        <v>Aug-2030</v>
      </c>
      <c r="D85" s="2">
        <v>58</v>
      </c>
      <c r="E85" s="92">
        <f t="shared" si="3"/>
        <v>10499.998058830435</v>
      </c>
      <c r="F85" s="187">
        <f t="shared" si="8"/>
        <v>10191.194669160261</v>
      </c>
      <c r="G85" s="188">
        <f t="shared" si="9"/>
        <v>308.80338967017406</v>
      </c>
      <c r="H85" s="187">
        <f t="shared" si="10"/>
        <v>20689.144297857802</v>
      </c>
      <c r="W85" s="118"/>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8"/>
    </row>
    <row r="86" spans="2:57" ht="16.5" thickBot="1">
      <c r="B86" s="21">
        <f t="shared" si="5"/>
        <v>47729</v>
      </c>
      <c r="C86" s="22" t="str">
        <f t="shared" si="2"/>
        <v>Sep-2030</v>
      </c>
      <c r="D86" s="2">
        <v>59</v>
      </c>
      <c r="E86" s="92">
        <f t="shared" si="3"/>
        <v>10499.998058830435</v>
      </c>
      <c r="F86" s="187">
        <f t="shared" si="8"/>
        <v>10293.106615851862</v>
      </c>
      <c r="G86" s="188">
        <f t="shared" si="9"/>
        <v>206.89144297857359</v>
      </c>
      <c r="H86" s="187">
        <f t="shared" si="10"/>
        <v>10396.037682005939</v>
      </c>
      <c r="W86" s="118"/>
      <c r="X86" s="115"/>
      <c r="Y86" s="115"/>
      <c r="Z86" s="115"/>
      <c r="AA86" s="115"/>
      <c r="AB86" s="115"/>
      <c r="AC86" s="115"/>
      <c r="AD86" s="115"/>
      <c r="AE86" s="115"/>
      <c r="AF86" s="115"/>
      <c r="AG86" s="115"/>
      <c r="AH86" s="115"/>
      <c r="AI86" s="115"/>
      <c r="AJ86" s="273" t="str">
        <f>K60</f>
        <v>ALEXANDER A. FERIA JR.</v>
      </c>
      <c r="AK86" s="273"/>
      <c r="AL86" s="273"/>
      <c r="AM86" s="273"/>
      <c r="AN86" s="273"/>
      <c r="AO86" s="273"/>
      <c r="AP86" s="273"/>
      <c r="AQ86" s="273"/>
      <c r="AR86" s="273"/>
      <c r="AS86" s="273"/>
      <c r="AT86" s="115"/>
      <c r="AU86" s="115"/>
      <c r="AV86" s="115"/>
      <c r="AW86" s="115"/>
      <c r="AX86" s="115"/>
      <c r="AY86" s="115"/>
      <c r="AZ86" s="115"/>
      <c r="BA86" s="115"/>
      <c r="BB86" s="115"/>
      <c r="BC86" s="115"/>
      <c r="BD86" s="115"/>
      <c r="BE86" s="118"/>
    </row>
    <row r="87" spans="2:57" ht="15.75">
      <c r="B87" s="21">
        <f t="shared" si="5"/>
        <v>47759</v>
      </c>
      <c r="C87" s="22" t="str">
        <f t="shared" si="2"/>
        <v>Oct-2030</v>
      </c>
      <c r="D87" s="2">
        <v>60</v>
      </c>
      <c r="E87" s="92">
        <f t="shared" si="3"/>
        <v>10499.998058830435</v>
      </c>
      <c r="F87" s="187">
        <f t="shared" si="8"/>
        <v>10396.037682010377</v>
      </c>
      <c r="G87" s="188">
        <f t="shared" si="9"/>
        <v>103.96037682005718</v>
      </c>
      <c r="H87" s="187">
        <f t="shared" si="10"/>
        <v>-4.4383341446518898E-9</v>
      </c>
      <c r="W87" s="231" t="s">
        <v>190</v>
      </c>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31"/>
      <c r="BA87" s="231"/>
      <c r="BB87" s="231"/>
      <c r="BC87" s="231"/>
      <c r="BD87" s="231"/>
      <c r="BE87" s="231"/>
    </row>
    <row r="88" spans="2:57" ht="15.75">
      <c r="C88" s="25"/>
      <c r="D88" s="26"/>
      <c r="E88" s="26">
        <f t="shared" ref="E88:G88" si="11">SUM(E28:E87)</f>
        <v>629999.88352982595</v>
      </c>
      <c r="F88" s="26">
        <f t="shared" si="11"/>
        <v>472027.8160000043</v>
      </c>
      <c r="G88" s="26">
        <f t="shared" si="11"/>
        <v>157972.06752982171</v>
      </c>
      <c r="H88" s="27"/>
      <c r="I88" s="28"/>
      <c r="J88" s="2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row>
    <row r="89" spans="2:57" ht="15.75">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row>
    <row r="90" spans="2:57" ht="15.75">
      <c r="W90" s="118"/>
      <c r="X90" s="274" t="s">
        <v>191</v>
      </c>
      <c r="Y90" s="272"/>
      <c r="Z90" s="272"/>
      <c r="AA90" s="272"/>
      <c r="AB90" s="272"/>
      <c r="AC90" s="272"/>
      <c r="AD90" s="272"/>
      <c r="AE90" s="272"/>
      <c r="AF90" s="272"/>
      <c r="AG90" s="272"/>
      <c r="AH90" s="272"/>
      <c r="AI90" s="272"/>
      <c r="AJ90" s="272"/>
      <c r="AK90" s="272"/>
      <c r="AL90" s="272"/>
      <c r="AM90" s="272"/>
      <c r="AN90" s="275"/>
      <c r="AO90" s="274" t="s">
        <v>192</v>
      </c>
      <c r="AP90" s="272"/>
      <c r="AQ90" s="272"/>
      <c r="AR90" s="272"/>
      <c r="AS90" s="272"/>
      <c r="AT90" s="272"/>
      <c r="AU90" s="272"/>
      <c r="AV90" s="272"/>
      <c r="AW90" s="272"/>
      <c r="AX90" s="272"/>
      <c r="AY90" s="272"/>
      <c r="AZ90" s="272"/>
      <c r="BA90" s="272"/>
      <c r="BB90" s="272"/>
      <c r="BC90" s="272"/>
      <c r="BD90" s="275"/>
      <c r="BE90" s="118"/>
    </row>
    <row r="91" spans="2:57" ht="15.75">
      <c r="V91" s="33"/>
      <c r="W91" s="118"/>
      <c r="X91" s="175"/>
      <c r="Y91" s="142"/>
      <c r="Z91" s="142"/>
      <c r="AA91" s="142"/>
      <c r="AB91" s="142"/>
      <c r="AC91" s="142"/>
      <c r="AD91" s="142"/>
      <c r="AE91" s="142"/>
      <c r="AF91" s="142"/>
      <c r="AG91" s="142"/>
      <c r="AH91" s="142"/>
      <c r="AI91" s="142"/>
      <c r="AJ91" s="142"/>
      <c r="AK91" s="142"/>
      <c r="AL91" s="142"/>
      <c r="AM91" s="142"/>
      <c r="AN91" s="176"/>
      <c r="AO91" s="175"/>
      <c r="AP91" s="142"/>
      <c r="AQ91" s="142"/>
      <c r="AR91" s="142"/>
      <c r="AS91" s="142"/>
      <c r="AT91" s="142"/>
      <c r="AU91" s="142"/>
      <c r="AV91" s="142"/>
      <c r="AW91" s="142"/>
      <c r="AX91" s="142"/>
      <c r="AY91" s="142"/>
      <c r="AZ91" s="142"/>
      <c r="BA91" s="142"/>
      <c r="BB91" s="142"/>
      <c r="BC91" s="142"/>
      <c r="BD91" s="176"/>
      <c r="BE91" s="118"/>
    </row>
    <row r="92" spans="2:57" ht="15" customHeight="1" thickBot="1">
      <c r="E92" s="195">
        <f>E88-F88</f>
        <v>157972.06752982165</v>
      </c>
      <c r="V92" s="33"/>
      <c r="W92" s="118"/>
      <c r="X92" s="177"/>
      <c r="Y92" s="132"/>
      <c r="Z92" s="132"/>
      <c r="AA92" s="178"/>
      <c r="AB92" s="276" t="s">
        <v>235</v>
      </c>
      <c r="AC92" s="276"/>
      <c r="AD92" s="276"/>
      <c r="AE92" s="276"/>
      <c r="AF92" s="276"/>
      <c r="AG92" s="276"/>
      <c r="AH92" s="276"/>
      <c r="AI92" s="276"/>
      <c r="AJ92" s="276"/>
      <c r="AK92" s="178"/>
      <c r="AL92" s="178"/>
      <c r="AM92" s="178"/>
      <c r="AN92" s="179"/>
      <c r="AO92" s="177"/>
      <c r="AP92" s="118"/>
      <c r="AQ92" s="118"/>
      <c r="AR92" s="118"/>
      <c r="AS92" s="273" t="s">
        <v>43</v>
      </c>
      <c r="AT92" s="273"/>
      <c r="AU92" s="273"/>
      <c r="AV92" s="273"/>
      <c r="AW92" s="273"/>
      <c r="AX92" s="273"/>
      <c r="AY92" s="273"/>
      <c r="AZ92" s="273"/>
      <c r="BA92" s="118"/>
      <c r="BB92" s="118"/>
      <c r="BC92" s="118"/>
      <c r="BD92" s="180"/>
      <c r="BE92" s="118"/>
    </row>
    <row r="93" spans="2:57" ht="15.75">
      <c r="F93" s="195">
        <f>E92/60</f>
        <v>2632.867792163694</v>
      </c>
      <c r="V93" s="33"/>
      <c r="W93" s="118"/>
      <c r="X93" s="267" t="s">
        <v>190</v>
      </c>
      <c r="Y93" s="268"/>
      <c r="Z93" s="268"/>
      <c r="AA93" s="268"/>
      <c r="AB93" s="268"/>
      <c r="AC93" s="268"/>
      <c r="AD93" s="268"/>
      <c r="AE93" s="268"/>
      <c r="AF93" s="268"/>
      <c r="AG93" s="268"/>
      <c r="AH93" s="268"/>
      <c r="AI93" s="268"/>
      <c r="AJ93" s="268"/>
      <c r="AK93" s="268"/>
      <c r="AL93" s="268"/>
      <c r="AM93" s="268"/>
      <c r="AN93" s="269"/>
      <c r="AO93" s="267" t="s">
        <v>190</v>
      </c>
      <c r="AP93" s="268"/>
      <c r="AQ93" s="268"/>
      <c r="AR93" s="268"/>
      <c r="AS93" s="268"/>
      <c r="AT93" s="268"/>
      <c r="AU93" s="268"/>
      <c r="AV93" s="268"/>
      <c r="AW93" s="268"/>
      <c r="AX93" s="268"/>
      <c r="AY93" s="268"/>
      <c r="AZ93" s="268"/>
      <c r="BA93" s="268"/>
      <c r="BB93" s="268"/>
      <c r="BC93" s="268"/>
      <c r="BD93" s="269"/>
      <c r="BE93" s="118"/>
    </row>
    <row r="94" spans="2:57" ht="15.75">
      <c r="G94" s="195">
        <f>F93*4</f>
        <v>10531.471168654776</v>
      </c>
      <c r="V94" s="33"/>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row>
    <row r="95" spans="2:57" ht="15.75">
      <c r="V95" s="33"/>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row>
    <row r="96" spans="2:57">
      <c r="V96" s="33"/>
    </row>
    <row r="97" spans="22:57">
      <c r="V97" s="33"/>
    </row>
    <row r="98" spans="22:57">
      <c r="V98" s="33"/>
    </row>
    <row r="99" spans="22:57" ht="18.75">
      <c r="V99" s="33"/>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38"/>
      <c r="AS99" s="118"/>
      <c r="AT99" s="118"/>
      <c r="AU99" s="118"/>
      <c r="AV99" s="118"/>
      <c r="AW99" s="118"/>
      <c r="AX99" s="118"/>
      <c r="AY99" s="118"/>
      <c r="AZ99" s="118"/>
      <c r="BA99" s="118"/>
      <c r="BB99" s="118"/>
      <c r="BC99" s="118"/>
      <c r="BD99" s="118"/>
      <c r="BE99" s="118"/>
    </row>
    <row r="100" spans="22:57" ht="19.5" thickBot="1">
      <c r="V100" s="33"/>
      <c r="W100" s="118"/>
      <c r="X100" s="232" t="s">
        <v>193</v>
      </c>
      <c r="Y100" s="233"/>
      <c r="Z100" s="233"/>
      <c r="AA100" s="233"/>
      <c r="AB100" s="233"/>
      <c r="AC100" s="233"/>
      <c r="AD100" s="233"/>
      <c r="AE100" s="233"/>
      <c r="AF100" s="233"/>
      <c r="AG100" s="233"/>
      <c r="AH100" s="233"/>
      <c r="AI100" s="233"/>
      <c r="AJ100" s="233"/>
      <c r="AK100" s="233"/>
      <c r="AL100" s="270" t="str">
        <f>S30</f>
        <v>LV- 005-BO</v>
      </c>
      <c r="AM100" s="270"/>
      <c r="AN100" s="270"/>
      <c r="AO100" s="118"/>
      <c r="AP100" s="118"/>
      <c r="AQ100" s="118"/>
      <c r="AR100" s="118"/>
      <c r="AS100" s="118"/>
      <c r="AT100" s="118"/>
      <c r="AU100" s="118"/>
      <c r="AV100" s="118"/>
      <c r="AW100" s="118"/>
      <c r="AX100" s="118"/>
      <c r="AY100" s="118"/>
    </row>
    <row r="101" spans="22:57" ht="18" customHeight="1">
      <c r="V101" s="33"/>
      <c r="W101" s="118"/>
      <c r="X101" s="118"/>
      <c r="Y101" s="265" t="s">
        <v>230</v>
      </c>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71">
        <f>AW83</f>
        <v>629999.88352982607</v>
      </c>
      <c r="AZ101" s="265"/>
      <c r="BA101" s="265"/>
      <c r="BB101" s="265"/>
      <c r="BC101" s="265"/>
      <c r="BD101" s="265"/>
      <c r="BE101" s="138"/>
    </row>
    <row r="102" spans="22:57" ht="18" customHeight="1">
      <c r="V102" s="33"/>
      <c r="W102" s="118"/>
      <c r="X102" s="263"/>
      <c r="Y102" s="264"/>
      <c r="Z102" s="264"/>
      <c r="AA102" s="139" t="s">
        <v>231</v>
      </c>
      <c r="AB102" s="181">
        <f>AG83</f>
        <v>60</v>
      </c>
      <c r="AC102" s="265" t="s">
        <v>232</v>
      </c>
      <c r="AD102" s="265"/>
      <c r="AE102" s="265"/>
      <c r="AF102" s="265"/>
      <c r="AG102" s="265"/>
      <c r="AH102" s="265"/>
      <c r="AI102" s="265"/>
      <c r="AJ102" s="265"/>
      <c r="AK102" s="265"/>
      <c r="AL102" s="265"/>
      <c r="AM102" s="265"/>
      <c r="AN102" s="264">
        <f>AC83</f>
        <v>10499.998058830435</v>
      </c>
      <c r="AO102" s="264"/>
      <c r="AP102" s="264"/>
      <c r="AQ102" s="264"/>
      <c r="AR102" s="265" t="s">
        <v>233</v>
      </c>
      <c r="AS102" s="265"/>
      <c r="AT102" s="265"/>
      <c r="AU102" s="265"/>
      <c r="AV102" s="265"/>
      <c r="AW102" s="265"/>
      <c r="AX102" s="265"/>
      <c r="AY102" s="265"/>
      <c r="AZ102" s="265"/>
      <c r="BA102" s="265"/>
      <c r="BB102" s="265"/>
      <c r="BC102" s="265"/>
      <c r="BD102" s="265"/>
      <c r="BE102" s="138"/>
    </row>
    <row r="103" spans="22:57" ht="18" customHeight="1">
      <c r="V103" s="38"/>
      <c r="W103" s="118"/>
      <c r="X103" s="266">
        <f>B28</f>
        <v>45964</v>
      </c>
      <c r="Y103" s="266"/>
      <c r="Z103" s="266"/>
      <c r="AA103" s="266"/>
      <c r="AB103" s="242" t="s">
        <v>237</v>
      </c>
      <c r="AC103" s="242"/>
      <c r="AD103" s="242"/>
      <c r="AE103" s="242"/>
      <c r="AF103" s="242"/>
      <c r="AG103" s="242"/>
      <c r="AH103" s="242"/>
      <c r="AI103" s="242"/>
      <c r="AJ103" s="242"/>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138"/>
    </row>
    <row r="104" spans="22:57" ht="18" customHeight="1">
      <c r="V104" s="38"/>
      <c r="W104" s="118"/>
      <c r="X104" s="242" t="s">
        <v>236</v>
      </c>
      <c r="Y104" s="242"/>
      <c r="Z104" s="242"/>
      <c r="AA104" s="242"/>
      <c r="AB104" s="242"/>
      <c r="AC104" s="242"/>
      <c r="AD104" s="242"/>
      <c r="AE104" s="242"/>
      <c r="AF104" s="242"/>
      <c r="AG104" s="242"/>
      <c r="AH104" s="242"/>
      <c r="AI104" s="242"/>
      <c r="AJ104" s="242"/>
      <c r="AK104" s="242"/>
      <c r="AL104" s="242"/>
      <c r="AM104" s="242"/>
      <c r="AN104" s="242"/>
      <c r="AO104" s="242"/>
      <c r="AP104" s="242"/>
      <c r="AQ104" s="242"/>
      <c r="AR104" s="242"/>
      <c r="AS104" s="242"/>
      <c r="AT104" s="242"/>
      <c r="AU104" s="242"/>
      <c r="AV104" s="242"/>
      <c r="AW104" s="242"/>
      <c r="AX104" s="242"/>
      <c r="AY104" s="242"/>
      <c r="AZ104" s="242"/>
      <c r="BA104" s="242"/>
      <c r="BB104" s="242"/>
      <c r="BC104" s="242"/>
      <c r="BD104" s="242"/>
      <c r="BE104" s="138"/>
    </row>
    <row r="105" spans="22:57" ht="18" customHeight="1">
      <c r="V105" s="38"/>
      <c r="W105" s="118"/>
      <c r="X105" s="242" t="s">
        <v>194</v>
      </c>
      <c r="Y105" s="242"/>
      <c r="Z105" s="242"/>
      <c r="AA105" s="242"/>
      <c r="AB105" s="242"/>
      <c r="AC105" s="242"/>
      <c r="AD105" s="242"/>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138"/>
    </row>
    <row r="106" spans="22:57" ht="18.75">
      <c r="V106" s="33"/>
      <c r="W106" s="118"/>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138"/>
    </row>
    <row r="107" spans="22:57" ht="18.75">
      <c r="V107" s="33"/>
      <c r="W107" s="118"/>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138"/>
    </row>
    <row r="108" spans="22:57" ht="18" customHeight="1">
      <c r="V108" s="33"/>
      <c r="W108" s="118"/>
      <c r="X108" s="242" t="s">
        <v>195</v>
      </c>
      <c r="Y108" s="242"/>
      <c r="Z108" s="242"/>
      <c r="AA108" s="242"/>
      <c r="AB108" s="242"/>
      <c r="AC108" s="242"/>
      <c r="AD108" s="242"/>
      <c r="AE108" s="242"/>
      <c r="AF108" s="242"/>
      <c r="AG108" s="242"/>
      <c r="AH108" s="242"/>
      <c r="AI108" s="242"/>
      <c r="AJ108" s="242"/>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138"/>
    </row>
    <row r="109" spans="22:57" ht="18.75">
      <c r="V109" s="36"/>
      <c r="W109" s="118"/>
      <c r="X109" s="242"/>
      <c r="Y109" s="242"/>
      <c r="Z109" s="242"/>
      <c r="AA109" s="242"/>
      <c r="AB109" s="242"/>
      <c r="AC109" s="242"/>
      <c r="AD109" s="242"/>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138"/>
    </row>
    <row r="110" spans="22:57" ht="18.75">
      <c r="V110" s="36"/>
      <c r="W110" s="118"/>
      <c r="X110" s="242"/>
      <c r="Y110" s="242"/>
      <c r="Z110" s="242"/>
      <c r="AA110" s="242"/>
      <c r="AB110" s="242"/>
      <c r="AC110" s="24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138"/>
    </row>
    <row r="111" spans="22:57" ht="18" customHeight="1">
      <c r="V111" s="36"/>
      <c r="W111" s="118"/>
      <c r="X111" s="242" t="s">
        <v>196</v>
      </c>
      <c r="Y111" s="242"/>
      <c r="Z111" s="242"/>
      <c r="AA111" s="242"/>
      <c r="AB111" s="242"/>
      <c r="AC111" s="242"/>
      <c r="AD111" s="242"/>
      <c r="AE111" s="242"/>
      <c r="AF111" s="242"/>
      <c r="AG111" s="242"/>
      <c r="AH111" s="242"/>
      <c r="AI111" s="242"/>
      <c r="AJ111" s="242"/>
      <c r="AK111" s="242"/>
      <c r="AL111" s="242"/>
      <c r="AM111" s="242"/>
      <c r="AN111" s="242"/>
      <c r="AO111" s="242"/>
      <c r="AP111" s="242"/>
      <c r="AQ111" s="242"/>
      <c r="AR111" s="242"/>
      <c r="AS111" s="242"/>
      <c r="AT111" s="242"/>
      <c r="AU111" s="242"/>
      <c r="AV111" s="242"/>
      <c r="AW111" s="242"/>
      <c r="AX111" s="242"/>
      <c r="AY111" s="242"/>
      <c r="AZ111" s="242"/>
      <c r="BA111" s="242"/>
      <c r="BB111" s="242"/>
      <c r="BC111" s="242"/>
      <c r="BD111" s="242"/>
      <c r="BE111" s="138"/>
    </row>
    <row r="112" spans="22:57" ht="18.75">
      <c r="V112" s="36"/>
      <c r="W112" s="118"/>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138"/>
    </row>
    <row r="113" spans="22:57" ht="18.75">
      <c r="V113" s="36"/>
      <c r="W113" s="118"/>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138"/>
    </row>
    <row r="114" spans="22:57" ht="18.75">
      <c r="V114" s="33"/>
      <c r="W114" s="118"/>
      <c r="X114" s="242"/>
      <c r="Y114" s="242"/>
      <c r="Z114" s="242"/>
      <c r="AA114" s="242"/>
      <c r="AB114" s="242"/>
      <c r="AC114" s="242"/>
      <c r="AD114" s="242"/>
      <c r="AE114" s="242"/>
      <c r="AF114" s="242"/>
      <c r="AG114" s="242"/>
      <c r="AH114" s="242"/>
      <c r="AI114" s="242"/>
      <c r="AJ114" s="242"/>
      <c r="AK114" s="242"/>
      <c r="AL114" s="242"/>
      <c r="AM114" s="242"/>
      <c r="AN114" s="242"/>
      <c r="AO114" s="242"/>
      <c r="AP114" s="242"/>
      <c r="AQ114" s="242"/>
      <c r="AR114" s="242"/>
      <c r="AS114" s="242"/>
      <c r="AT114" s="242"/>
      <c r="AU114" s="242"/>
      <c r="AV114" s="242"/>
      <c r="AW114" s="242"/>
      <c r="AX114" s="242"/>
      <c r="AY114" s="242"/>
      <c r="AZ114" s="242"/>
      <c r="BA114" s="242"/>
      <c r="BB114" s="242"/>
      <c r="BC114" s="242"/>
      <c r="BD114" s="242"/>
      <c r="BE114" s="138"/>
    </row>
    <row r="115" spans="22:57" ht="18.75">
      <c r="V115" s="33"/>
      <c r="W115" s="118"/>
      <c r="X115" s="242"/>
      <c r="Y115" s="242"/>
      <c r="Z115" s="242"/>
      <c r="AA115" s="242"/>
      <c r="AB115" s="242"/>
      <c r="AC115" s="242"/>
      <c r="AD115" s="242"/>
      <c r="AE115" s="242"/>
      <c r="AF115" s="242"/>
      <c r="AG115" s="242"/>
      <c r="AH115" s="242"/>
      <c r="AI115" s="242"/>
      <c r="AJ115" s="242"/>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138"/>
    </row>
    <row r="116" spans="22:57" ht="18" customHeight="1">
      <c r="V116" s="33"/>
      <c r="W116" s="118"/>
      <c r="X116" s="242" t="s">
        <v>197</v>
      </c>
      <c r="Y116" s="242"/>
      <c r="Z116" s="242"/>
      <c r="AA116" s="242"/>
      <c r="AB116" s="242"/>
      <c r="AC116" s="242"/>
      <c r="AD116" s="242"/>
      <c r="AE116" s="242"/>
      <c r="AF116" s="242"/>
      <c r="AG116" s="242"/>
      <c r="AH116" s="242"/>
      <c r="AI116" s="242"/>
      <c r="AJ116" s="242"/>
      <c r="AK116" s="242"/>
      <c r="AL116" s="242"/>
      <c r="AM116" s="242"/>
      <c r="AN116" s="242"/>
      <c r="AO116" s="242"/>
      <c r="AP116" s="242"/>
      <c r="AQ116" s="242"/>
      <c r="AR116" s="242"/>
      <c r="AS116" s="242"/>
      <c r="AT116" s="242"/>
      <c r="AU116" s="242"/>
      <c r="AV116" s="242"/>
      <c r="AW116" s="242"/>
      <c r="AX116" s="242"/>
      <c r="AY116" s="242"/>
      <c r="AZ116" s="242"/>
      <c r="BA116" s="242"/>
      <c r="BB116" s="242"/>
      <c r="BC116" s="242"/>
      <c r="BD116" s="242"/>
      <c r="BE116" s="138"/>
    </row>
    <row r="117" spans="22:57" ht="18.75">
      <c r="V117" s="33"/>
      <c r="W117" s="118"/>
      <c r="X117" s="242"/>
      <c r="Y117" s="242"/>
      <c r="Z117" s="242"/>
      <c r="AA117" s="242"/>
      <c r="AB117" s="242"/>
      <c r="AC117" s="242"/>
      <c r="AD117" s="242"/>
      <c r="AE117" s="242"/>
      <c r="AF117" s="242"/>
      <c r="AG117" s="242"/>
      <c r="AH117" s="242"/>
      <c r="AI117" s="242"/>
      <c r="AJ117" s="242"/>
      <c r="AK117" s="242"/>
      <c r="AL117" s="242"/>
      <c r="AM117" s="242"/>
      <c r="AN117" s="242"/>
      <c r="AO117" s="242"/>
      <c r="AP117" s="242"/>
      <c r="AQ117" s="242"/>
      <c r="AR117" s="242"/>
      <c r="AS117" s="242"/>
      <c r="AT117" s="242"/>
      <c r="AU117" s="242"/>
      <c r="AV117" s="242"/>
      <c r="AW117" s="242"/>
      <c r="AX117" s="242"/>
      <c r="AY117" s="242"/>
      <c r="AZ117" s="242"/>
      <c r="BA117" s="242"/>
      <c r="BB117" s="242"/>
      <c r="BC117" s="242"/>
      <c r="BD117" s="242"/>
      <c r="BE117" s="138"/>
    </row>
    <row r="118" spans="22:57" ht="18.75">
      <c r="V118" s="33"/>
      <c r="W118" s="118"/>
      <c r="X118" s="242"/>
      <c r="Y118" s="242"/>
      <c r="Z118" s="242"/>
      <c r="AA118" s="242"/>
      <c r="AB118" s="242"/>
      <c r="AC118" s="242"/>
      <c r="AD118" s="242"/>
      <c r="AE118" s="242"/>
      <c r="AF118" s="242"/>
      <c r="AG118" s="242"/>
      <c r="AH118" s="242"/>
      <c r="AI118" s="242"/>
      <c r="AJ118" s="242"/>
      <c r="AK118" s="242"/>
      <c r="AL118" s="242"/>
      <c r="AM118" s="242"/>
      <c r="AN118" s="242"/>
      <c r="AO118" s="242"/>
      <c r="AP118" s="242"/>
      <c r="AQ118" s="242"/>
      <c r="AR118" s="242"/>
      <c r="AS118" s="242"/>
      <c r="AT118" s="242"/>
      <c r="AU118" s="242"/>
      <c r="AV118" s="242"/>
      <c r="AW118" s="242"/>
      <c r="AX118" s="242"/>
      <c r="AY118" s="242"/>
      <c r="AZ118" s="242"/>
      <c r="BA118" s="242"/>
      <c r="BB118" s="242"/>
      <c r="BC118" s="242"/>
      <c r="BD118" s="242"/>
      <c r="BE118" s="138"/>
    </row>
    <row r="119" spans="22:57" ht="19.5" thickBot="1">
      <c r="V119" s="33"/>
      <c r="W119" s="118"/>
      <c r="X119" s="242"/>
      <c r="Y119" s="242"/>
      <c r="Z119" s="242"/>
      <c r="AA119" s="242"/>
      <c r="AB119" s="242"/>
      <c r="AC119" s="242"/>
      <c r="AD119" s="242"/>
      <c r="AE119" s="242"/>
      <c r="AF119" s="242"/>
      <c r="AG119" s="242"/>
      <c r="AH119" s="242"/>
      <c r="AI119" s="242"/>
      <c r="AJ119" s="242"/>
      <c r="AK119" s="242"/>
      <c r="AL119" s="242"/>
      <c r="AM119" s="242"/>
      <c r="AN119" s="242"/>
      <c r="AO119" s="242"/>
      <c r="AP119" s="242"/>
      <c r="AQ119" s="242"/>
      <c r="AR119" s="242"/>
      <c r="AS119" s="242"/>
      <c r="AT119" s="242"/>
      <c r="AU119" s="242"/>
      <c r="AV119" s="242"/>
      <c r="AW119" s="242"/>
      <c r="AX119" s="242"/>
      <c r="AY119" s="242"/>
      <c r="AZ119" s="242"/>
      <c r="BA119" s="242"/>
      <c r="BB119" s="242"/>
      <c r="BC119" s="242"/>
      <c r="BD119" s="242"/>
      <c r="BE119" s="138"/>
    </row>
    <row r="120" spans="22:57" ht="15.75">
      <c r="V120" s="33"/>
      <c r="W120" s="118"/>
      <c r="X120" s="122"/>
      <c r="Y120" s="122"/>
      <c r="Z120" s="122"/>
      <c r="AA120" s="122"/>
      <c r="AB120" s="122"/>
      <c r="AC120" s="122"/>
      <c r="AD120" s="122"/>
      <c r="AE120" s="122"/>
      <c r="AF120" s="122"/>
      <c r="AG120" s="122"/>
      <c r="AH120" s="122"/>
      <c r="AI120" s="122"/>
      <c r="AJ120" s="122"/>
      <c r="AK120" s="122"/>
      <c r="AL120" s="123"/>
      <c r="AM120" s="118" t="s">
        <v>198</v>
      </c>
      <c r="AN120" s="118"/>
      <c r="AO120" s="124"/>
      <c r="AP120" s="118"/>
      <c r="AQ120" s="118"/>
      <c r="AR120" s="122"/>
      <c r="AS120" s="122"/>
      <c r="AT120" s="243"/>
      <c r="AU120" s="244"/>
      <c r="AV120" s="244"/>
      <c r="AW120" s="244"/>
      <c r="AX120" s="245"/>
      <c r="AY120" s="144"/>
      <c r="AZ120" s="252"/>
      <c r="BA120" s="253"/>
      <c r="BB120" s="253"/>
      <c r="BC120" s="253"/>
      <c r="BD120" s="254"/>
      <c r="BE120" s="122"/>
    </row>
    <row r="121" spans="22:57" ht="15.75">
      <c r="V121" s="33"/>
      <c r="W121" s="118"/>
      <c r="X121" s="118"/>
      <c r="Y121" s="118"/>
      <c r="Z121" s="118"/>
      <c r="AA121" s="118"/>
      <c r="AB121" s="118"/>
      <c r="AC121" s="118"/>
      <c r="AD121" s="118"/>
      <c r="AE121" s="118"/>
      <c r="AF121" s="118"/>
      <c r="AG121" s="118"/>
      <c r="AH121" s="118"/>
      <c r="AI121" s="118"/>
      <c r="AJ121" s="118"/>
      <c r="AK121" s="118"/>
      <c r="AL121" s="123"/>
      <c r="AM121" s="118" t="s">
        <v>199</v>
      </c>
      <c r="AN121" s="118"/>
      <c r="AO121" s="118"/>
      <c r="AP121" s="118"/>
      <c r="AQ121" s="118"/>
      <c r="AR121" s="118"/>
      <c r="AS121" s="118"/>
      <c r="AT121" s="246"/>
      <c r="AU121" s="247"/>
      <c r="AV121" s="247"/>
      <c r="AW121" s="247"/>
      <c r="AX121" s="248"/>
      <c r="AY121" s="122"/>
      <c r="AZ121" s="255"/>
      <c r="BA121" s="256"/>
      <c r="BB121" s="256"/>
      <c r="BC121" s="256"/>
      <c r="BD121" s="257"/>
      <c r="BE121" s="122"/>
    </row>
    <row r="122" spans="22:57" ht="15.75">
      <c r="V122" s="33"/>
      <c r="W122" s="118"/>
      <c r="X122" s="118"/>
      <c r="Y122" s="118"/>
      <c r="Z122" s="118"/>
      <c r="AA122" s="118"/>
      <c r="AB122" s="118"/>
      <c r="AC122" s="118"/>
      <c r="AD122" s="118"/>
      <c r="AE122" s="118"/>
      <c r="AF122" s="118"/>
      <c r="AG122" s="118"/>
      <c r="AH122" s="118"/>
      <c r="AI122" s="118"/>
      <c r="AJ122" s="118"/>
      <c r="AK122" s="118"/>
      <c r="AL122" s="123"/>
      <c r="AM122" s="118" t="s">
        <v>200</v>
      </c>
      <c r="AN122" s="118"/>
      <c r="AO122" s="118"/>
      <c r="AP122" s="118"/>
      <c r="AQ122" s="118"/>
      <c r="AR122" s="118"/>
      <c r="AS122" s="118"/>
      <c r="AT122" s="246"/>
      <c r="AU122" s="247"/>
      <c r="AV122" s="247"/>
      <c r="AW122" s="247"/>
      <c r="AX122" s="248"/>
      <c r="AY122" s="122"/>
      <c r="AZ122" s="255"/>
      <c r="BA122" s="256"/>
      <c r="BB122" s="256"/>
      <c r="BC122" s="256"/>
      <c r="BD122" s="257"/>
      <c r="BE122" s="122"/>
    </row>
    <row r="123" spans="22:57" ht="16.5" thickBot="1">
      <c r="V123" s="33"/>
      <c r="W123" s="118"/>
      <c r="X123" s="118"/>
      <c r="Y123" s="118"/>
      <c r="Z123" s="261" t="str">
        <f>N32</f>
        <v>ALBERTO B MAGISTRADO</v>
      </c>
      <c r="AA123" s="261"/>
      <c r="AB123" s="261"/>
      <c r="AC123" s="261"/>
      <c r="AD123" s="261"/>
      <c r="AE123" s="261"/>
      <c r="AF123" s="261"/>
      <c r="AG123" s="261"/>
      <c r="AH123" s="261"/>
      <c r="AI123" s="118"/>
      <c r="AJ123" s="118"/>
      <c r="AK123" s="118"/>
      <c r="AL123" s="123"/>
      <c r="AM123" s="118" t="s">
        <v>115</v>
      </c>
      <c r="AN123" s="118"/>
      <c r="AO123" s="125"/>
      <c r="AP123" s="125"/>
      <c r="AQ123" s="125"/>
      <c r="AR123" s="118"/>
      <c r="AS123" s="118"/>
      <c r="AT123" s="246"/>
      <c r="AU123" s="247"/>
      <c r="AV123" s="247"/>
      <c r="AW123" s="247"/>
      <c r="AX123" s="248"/>
      <c r="AY123" s="122"/>
      <c r="AZ123" s="255"/>
      <c r="BA123" s="256"/>
      <c r="BB123" s="256"/>
      <c r="BC123" s="256"/>
      <c r="BD123" s="257"/>
      <c r="BE123" s="122"/>
    </row>
    <row r="124" spans="22:57" ht="15.75">
      <c r="V124" s="33"/>
      <c r="W124" s="118"/>
      <c r="X124" s="262" t="s">
        <v>201</v>
      </c>
      <c r="Y124" s="262"/>
      <c r="Z124" s="262"/>
      <c r="AA124" s="262"/>
      <c r="AB124" s="262"/>
      <c r="AC124" s="262"/>
      <c r="AD124" s="262"/>
      <c r="AE124" s="262"/>
      <c r="AF124" s="262"/>
      <c r="AG124" s="262"/>
      <c r="AH124" s="262"/>
      <c r="AI124" s="262"/>
      <c r="AJ124" s="262"/>
      <c r="AK124" s="118"/>
      <c r="AL124" s="118"/>
      <c r="AM124" s="118"/>
      <c r="AN124" s="118"/>
      <c r="AO124" s="118"/>
      <c r="AP124" s="118"/>
      <c r="AQ124" s="118"/>
      <c r="AR124" s="118"/>
      <c r="AS124" s="118"/>
      <c r="AT124" s="246"/>
      <c r="AU124" s="247"/>
      <c r="AV124" s="247"/>
      <c r="AW124" s="247"/>
      <c r="AX124" s="248"/>
      <c r="AY124" s="122"/>
      <c r="AZ124" s="255"/>
      <c r="BA124" s="256"/>
      <c r="BB124" s="256"/>
      <c r="BC124" s="256"/>
      <c r="BD124" s="257"/>
      <c r="BE124" s="122"/>
    </row>
    <row r="125" spans="22:57" ht="15.75">
      <c r="V125" s="33"/>
      <c r="W125" s="118"/>
      <c r="X125" s="115"/>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246"/>
      <c r="AU125" s="247"/>
      <c r="AV125" s="247"/>
      <c r="AW125" s="247"/>
      <c r="AX125" s="248"/>
      <c r="AY125" s="122"/>
      <c r="AZ125" s="255"/>
      <c r="BA125" s="256"/>
      <c r="BB125" s="256"/>
      <c r="BC125" s="256"/>
      <c r="BD125" s="257"/>
      <c r="BE125" s="122"/>
    </row>
    <row r="126" spans="22:57" ht="16.5" thickBot="1">
      <c r="V126" s="33"/>
      <c r="W126" s="118"/>
      <c r="X126" s="118" t="s">
        <v>202</v>
      </c>
      <c r="Y126" s="118"/>
      <c r="Z126" s="125"/>
      <c r="AA126" s="125"/>
      <c r="AB126" s="125"/>
      <c r="AC126" s="125"/>
      <c r="AD126" s="125"/>
      <c r="AE126" s="125"/>
      <c r="AF126" s="125"/>
      <c r="AG126" s="125"/>
      <c r="AH126" s="125"/>
      <c r="AI126" s="125"/>
      <c r="AJ126" s="118"/>
      <c r="AK126" s="118"/>
      <c r="AL126" s="118"/>
      <c r="AM126" s="118"/>
      <c r="AN126" s="118"/>
      <c r="AO126" s="118"/>
      <c r="AP126" s="118"/>
      <c r="AQ126" s="118"/>
      <c r="AR126" s="118"/>
      <c r="AS126" s="118"/>
      <c r="AT126" s="249"/>
      <c r="AU126" s="250"/>
      <c r="AV126" s="250"/>
      <c r="AW126" s="250"/>
      <c r="AX126" s="251"/>
      <c r="AY126" s="145"/>
      <c r="AZ126" s="258"/>
      <c r="BA126" s="259"/>
      <c r="BB126" s="259"/>
      <c r="BC126" s="259"/>
      <c r="BD126" s="260"/>
      <c r="BE126" s="122"/>
    </row>
    <row r="127" spans="22:57" ht="16.5" thickBot="1">
      <c r="V127" s="33"/>
      <c r="W127" s="118"/>
      <c r="X127" s="118" t="s">
        <v>203</v>
      </c>
      <c r="Y127" s="118"/>
      <c r="Z127" s="118"/>
      <c r="AA127" s="118"/>
      <c r="AB127" s="126"/>
      <c r="AC127" s="126"/>
      <c r="AD127" s="126"/>
      <c r="AE127" s="126"/>
      <c r="AF127" s="126"/>
      <c r="AG127" s="126"/>
      <c r="AH127" s="126"/>
      <c r="AI127" s="126"/>
      <c r="AJ127" s="118"/>
      <c r="AK127" s="118"/>
      <c r="AL127" s="118"/>
      <c r="AM127" s="118"/>
      <c r="AN127" s="118"/>
      <c r="AO127" s="118"/>
      <c r="AP127" s="118"/>
      <c r="AQ127" s="118"/>
      <c r="AR127" s="118"/>
      <c r="AS127" s="118"/>
      <c r="AT127" s="238" t="s">
        <v>204</v>
      </c>
      <c r="AU127" s="238"/>
      <c r="AV127" s="238"/>
      <c r="AW127" s="238"/>
      <c r="AX127" s="238"/>
      <c r="AY127" s="147"/>
      <c r="AZ127" s="238" t="s">
        <v>205</v>
      </c>
      <c r="BA127" s="238"/>
      <c r="BB127" s="238"/>
      <c r="BC127" s="238"/>
      <c r="BD127" s="238"/>
      <c r="BE127" s="146"/>
    </row>
    <row r="128" spans="22:57" ht="15.75">
      <c r="V128" s="33"/>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row>
    <row r="129" spans="10:57" ht="15.75">
      <c r="V129" s="33"/>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row>
    <row r="130" spans="10:57" ht="18.75">
      <c r="V130" s="33"/>
      <c r="W130" s="118"/>
      <c r="X130" s="232" t="s">
        <v>206</v>
      </c>
      <c r="Y130" s="233"/>
      <c r="Z130" s="233"/>
      <c r="AA130" s="233"/>
      <c r="AB130" s="233"/>
      <c r="AC130" s="233"/>
      <c r="AD130" s="233"/>
      <c r="AE130" s="233"/>
      <c r="AF130" s="233"/>
      <c r="AG130" s="233"/>
      <c r="AH130" s="233"/>
      <c r="AI130" s="233"/>
      <c r="AJ130" s="233"/>
      <c r="AK130" s="233"/>
      <c r="AL130" s="233"/>
      <c r="AM130" s="233"/>
      <c r="AN130" s="233"/>
      <c r="AO130" s="233"/>
      <c r="AP130" s="233"/>
      <c r="AQ130" s="233"/>
      <c r="AR130" s="233"/>
      <c r="AS130" s="233"/>
      <c r="AT130" s="233"/>
      <c r="AU130" s="233"/>
      <c r="AV130" s="233"/>
      <c r="AW130" s="233"/>
      <c r="AX130" s="233"/>
      <c r="AY130" s="233"/>
      <c r="AZ130" s="233"/>
      <c r="BA130" s="233"/>
      <c r="BB130" s="233"/>
      <c r="BC130" s="233"/>
      <c r="BD130" s="233"/>
      <c r="BE130" s="233"/>
    </row>
    <row r="131" spans="10:57" ht="15.75">
      <c r="V131" s="33"/>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row>
    <row r="132" spans="10:57" ht="17.25">
      <c r="V132" s="33"/>
      <c r="W132" s="118"/>
      <c r="X132" s="127" t="s">
        <v>207</v>
      </c>
      <c r="Y132" s="119"/>
      <c r="Z132" s="119"/>
      <c r="AA132" s="119"/>
      <c r="AB132" s="119"/>
      <c r="AC132" s="119"/>
      <c r="AD132" s="119"/>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row>
    <row r="133" spans="10:57" ht="17.25">
      <c r="V133" s="33"/>
      <c r="W133" s="118"/>
      <c r="X133" s="121" t="s">
        <v>208</v>
      </c>
      <c r="Y133" s="119"/>
      <c r="Z133" s="119"/>
      <c r="AA133" s="119"/>
      <c r="AB133" s="119"/>
      <c r="AC133" s="119"/>
      <c r="AD133" s="119"/>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row>
    <row r="134" spans="10:57" ht="17.25">
      <c r="V134" s="33"/>
      <c r="W134" s="118"/>
      <c r="X134" s="119"/>
      <c r="Y134" s="119"/>
      <c r="Z134" s="119"/>
      <c r="AA134" s="119"/>
      <c r="AB134" s="119"/>
      <c r="AC134" s="119"/>
      <c r="AD134" s="119"/>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row>
    <row r="135" spans="10:57" ht="17.45" customHeight="1">
      <c r="J135" s="33"/>
      <c r="K135" s="33"/>
      <c r="L135" s="33"/>
      <c r="M135" s="33"/>
      <c r="N135" s="33"/>
      <c r="O135" s="34"/>
      <c r="P135" s="33"/>
      <c r="Q135" s="33"/>
      <c r="R135" s="33"/>
      <c r="S135" s="33"/>
      <c r="T135" s="33"/>
      <c r="U135" s="33"/>
      <c r="V135" s="33"/>
      <c r="W135" s="118"/>
      <c r="X135" s="239" t="s">
        <v>209</v>
      </c>
      <c r="Y135" s="239"/>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150"/>
    </row>
    <row r="136" spans="10:57" ht="17.25">
      <c r="W136" s="118"/>
      <c r="X136" s="240" t="s">
        <v>210</v>
      </c>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0"/>
      <c r="AY136" s="240"/>
      <c r="AZ136" s="240"/>
      <c r="BA136" s="240"/>
      <c r="BB136" s="240"/>
      <c r="BC136" s="240"/>
      <c r="BD136" s="240"/>
      <c r="BE136" s="150"/>
    </row>
    <row r="137" spans="10:57" ht="17.25">
      <c r="W137" s="118"/>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0"/>
      <c r="AY137" s="240"/>
      <c r="AZ137" s="240"/>
      <c r="BA137" s="240"/>
      <c r="BB137" s="240"/>
      <c r="BC137" s="240"/>
      <c r="BD137" s="240"/>
      <c r="BE137" s="150"/>
    </row>
    <row r="138" spans="10:57" ht="17.25">
      <c r="W138" s="118"/>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0"/>
      <c r="AY138" s="240"/>
      <c r="AZ138" s="240"/>
      <c r="BA138" s="240"/>
      <c r="BB138" s="240"/>
      <c r="BC138" s="240"/>
      <c r="BD138" s="240"/>
      <c r="BE138" s="150"/>
    </row>
    <row r="139" spans="10:57" ht="17.25">
      <c r="W139" s="118"/>
      <c r="X139" s="240"/>
      <c r="Y139" s="240"/>
      <c r="Z139" s="240"/>
      <c r="AA139" s="240"/>
      <c r="AB139" s="240"/>
      <c r="AC139" s="240"/>
      <c r="AD139" s="240"/>
      <c r="AE139" s="240"/>
      <c r="AF139" s="240"/>
      <c r="AG139" s="240"/>
      <c r="AH139" s="240"/>
      <c r="AI139" s="240"/>
      <c r="AJ139" s="240"/>
      <c r="AK139" s="240"/>
      <c r="AL139" s="240"/>
      <c r="AM139" s="240"/>
      <c r="AN139" s="240"/>
      <c r="AO139" s="240"/>
      <c r="AP139" s="240"/>
      <c r="AQ139" s="240"/>
      <c r="AR139" s="240"/>
      <c r="AS139" s="240"/>
      <c r="AT139" s="240"/>
      <c r="AU139" s="240"/>
      <c r="AV139" s="240"/>
      <c r="AW139" s="240"/>
      <c r="AX139" s="240"/>
      <c r="AY139" s="240"/>
      <c r="AZ139" s="240"/>
      <c r="BA139" s="240"/>
      <c r="BB139" s="240"/>
      <c r="BC139" s="240"/>
      <c r="BD139" s="240"/>
      <c r="BE139" s="129"/>
    </row>
    <row r="140" spans="10:57" ht="17.25">
      <c r="W140" s="118"/>
      <c r="X140" s="119"/>
      <c r="Y140" s="120" t="s">
        <v>211</v>
      </c>
      <c r="Z140" s="119"/>
      <c r="AA140" s="119"/>
      <c r="AB140" s="119"/>
      <c r="AC140" s="119"/>
      <c r="AD140" s="119"/>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row>
    <row r="141" spans="10:57" ht="17.25">
      <c r="W141" s="118"/>
      <c r="X141" s="119"/>
      <c r="Y141" s="119"/>
      <c r="Z141" s="119"/>
      <c r="AA141" s="119"/>
      <c r="AB141" s="119"/>
      <c r="AC141" s="119"/>
      <c r="AD141" s="119"/>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row>
    <row r="142" spans="10:57" ht="18" thickBot="1">
      <c r="W142" s="118"/>
      <c r="X142" s="130" t="s">
        <v>212</v>
      </c>
      <c r="Y142" s="119"/>
      <c r="Z142" s="119"/>
      <c r="AA142" s="241"/>
      <c r="AB142" s="241"/>
      <c r="AC142" s="241"/>
      <c r="AD142" s="119"/>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row>
    <row r="143" spans="10:57" ht="18" thickBot="1">
      <c r="W143" s="118"/>
      <c r="X143" s="130" t="s">
        <v>213</v>
      </c>
      <c r="Y143" s="119"/>
      <c r="Z143" s="119"/>
      <c r="AA143" s="234"/>
      <c r="AB143" s="234"/>
      <c r="AC143" s="234"/>
      <c r="AD143" s="119"/>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row>
    <row r="144" spans="10:57" ht="18" thickBot="1">
      <c r="W144" s="118"/>
      <c r="X144" s="130" t="s">
        <v>214</v>
      </c>
      <c r="Y144" s="119"/>
      <c r="Z144" s="119"/>
      <c r="AA144" s="234"/>
      <c r="AB144" s="234"/>
      <c r="AC144" s="234"/>
      <c r="AD144" s="119"/>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row>
    <row r="145" spans="23:57" ht="18" thickBot="1">
      <c r="W145" s="118"/>
      <c r="X145" s="130" t="s">
        <v>215</v>
      </c>
      <c r="Y145" s="119"/>
      <c r="Z145" s="119"/>
      <c r="AA145" s="234"/>
      <c r="AB145" s="234"/>
      <c r="AC145" s="234"/>
      <c r="AD145" s="119"/>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row>
    <row r="146" spans="23:57" ht="15.75">
      <c r="W146" s="118"/>
      <c r="X146" s="131"/>
      <c r="Y146" s="118"/>
      <c r="Z146" s="118"/>
      <c r="AA146" s="132"/>
      <c r="AB146" s="132"/>
      <c r="AC146" s="132"/>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row>
    <row r="147" spans="23:57" ht="18.75">
      <c r="W147" s="118"/>
      <c r="X147" s="232" t="s">
        <v>216</v>
      </c>
      <c r="Y147" s="233"/>
      <c r="Z147" s="233"/>
      <c r="AA147" s="233"/>
      <c r="AB147" s="233"/>
      <c r="AC147" s="233"/>
      <c r="AD147" s="233"/>
      <c r="AE147" s="233"/>
      <c r="AF147" s="233"/>
      <c r="AG147" s="233"/>
      <c r="AH147" s="233"/>
      <c r="AI147" s="233"/>
      <c r="AJ147" s="233"/>
      <c r="AK147" s="233"/>
      <c r="AL147" s="233"/>
      <c r="AM147" s="233"/>
      <c r="AN147" s="233"/>
      <c r="AO147" s="233"/>
      <c r="AP147" s="233"/>
      <c r="AQ147" s="233"/>
      <c r="AR147" s="233"/>
      <c r="AS147" s="233"/>
      <c r="AT147" s="233"/>
      <c r="AU147" s="233"/>
      <c r="AV147" s="233"/>
      <c r="AW147" s="233"/>
      <c r="AX147" s="233"/>
      <c r="AY147" s="233"/>
      <c r="AZ147" s="233"/>
      <c r="BA147" s="233"/>
      <c r="BB147" s="233"/>
      <c r="BC147" s="233"/>
      <c r="BD147" s="233"/>
      <c r="BE147" s="148"/>
    </row>
    <row r="148" spans="23:57" ht="15.75">
      <c r="W148" s="118"/>
      <c r="X148" s="133"/>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row>
    <row r="149" spans="23:57" ht="17.25">
      <c r="W149" s="118"/>
      <c r="X149" s="119"/>
      <c r="Y149" s="119" t="s">
        <v>217</v>
      </c>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row>
    <row r="150" spans="23:57" ht="17.25">
      <c r="W150" s="118"/>
      <c r="X150" s="135" t="s">
        <v>218</v>
      </c>
      <c r="Y150" s="119"/>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row>
    <row r="151" spans="23:57" ht="19.5" thickBot="1">
      <c r="W151" s="118"/>
      <c r="X151" s="135" t="s">
        <v>219</v>
      </c>
      <c r="Y151" s="119"/>
      <c r="Z151" s="118"/>
      <c r="AA151" s="118"/>
      <c r="AB151" s="118"/>
      <c r="AC151" s="125"/>
      <c r="AD151" s="386">
        <f>AN102</f>
        <v>10499.998058830435</v>
      </c>
      <c r="AE151" s="386"/>
      <c r="AF151" s="386"/>
      <c r="AG151" s="386"/>
      <c r="AH151" s="236" t="s">
        <v>220</v>
      </c>
      <c r="AI151" s="236"/>
      <c r="AJ151" s="236"/>
      <c r="AK151" s="236"/>
      <c r="AL151" s="182">
        <f>AB102</f>
        <v>60</v>
      </c>
      <c r="AM151" s="128" t="s">
        <v>221</v>
      </c>
      <c r="AQ151" s="118"/>
      <c r="AR151" s="118"/>
      <c r="AS151" s="118"/>
      <c r="AT151" s="118"/>
      <c r="AU151" s="237">
        <f>AY101</f>
        <v>629999.88352982607</v>
      </c>
      <c r="AV151" s="237"/>
      <c r="AW151" s="237"/>
      <c r="AX151" s="237"/>
      <c r="AY151" s="237"/>
      <c r="AZ151" s="128" t="s">
        <v>222</v>
      </c>
      <c r="BA151" s="149"/>
      <c r="BB151" s="149"/>
      <c r="BC151" s="149"/>
      <c r="BE151" s="118"/>
    </row>
    <row r="152" spans="23:57" ht="17.25">
      <c r="W152" s="118"/>
      <c r="X152" s="119"/>
      <c r="Y152" s="120" t="s">
        <v>223</v>
      </c>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row>
    <row r="153" spans="23:57" ht="17.25">
      <c r="W153" s="118"/>
      <c r="X153" s="120" t="s">
        <v>224</v>
      </c>
      <c r="Y153" s="119"/>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row>
    <row r="154" spans="23:57" ht="15.75">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row>
    <row r="155" spans="23:57" ht="19.5" thickBot="1">
      <c r="W155" s="118"/>
      <c r="X155" s="118"/>
      <c r="Y155" s="118"/>
      <c r="Z155" s="118"/>
      <c r="AA155" s="118"/>
      <c r="AB155" s="118"/>
      <c r="AC155" s="118"/>
      <c r="AD155" s="118"/>
      <c r="AE155" s="118"/>
      <c r="AF155" s="118"/>
      <c r="AG155" s="118"/>
      <c r="AH155" s="118"/>
      <c r="AI155" s="391" t="str">
        <f>Z123</f>
        <v>ALBERTO B MAGISTRADO</v>
      </c>
      <c r="AJ155" s="391"/>
      <c r="AK155" s="391"/>
      <c r="AL155" s="391"/>
      <c r="AM155" s="391"/>
      <c r="AN155" s="391"/>
      <c r="AO155" s="391"/>
      <c r="AP155" s="391"/>
      <c r="AQ155" s="391"/>
      <c r="AR155" s="391"/>
      <c r="AS155" s="391"/>
      <c r="AT155" s="118"/>
      <c r="AU155" s="118"/>
      <c r="AV155" s="118"/>
      <c r="AW155" s="118"/>
      <c r="AX155" s="118"/>
      <c r="AY155" s="118"/>
      <c r="AZ155" s="118"/>
      <c r="BA155" s="118"/>
      <c r="BB155" s="118"/>
      <c r="BC155" s="118"/>
      <c r="BD155" s="118"/>
      <c r="BE155" s="118"/>
    </row>
    <row r="156" spans="23:57" ht="15.75">
      <c r="W156" s="118"/>
      <c r="X156" s="231" t="s">
        <v>225</v>
      </c>
      <c r="Y156" s="231"/>
      <c r="Z156" s="231"/>
      <c r="AA156" s="231"/>
      <c r="AB156" s="231"/>
      <c r="AC156" s="231"/>
      <c r="AD156" s="231"/>
      <c r="AE156" s="231"/>
      <c r="AF156" s="231"/>
      <c r="AG156" s="231"/>
      <c r="AH156" s="231"/>
      <c r="AI156" s="231"/>
      <c r="AJ156" s="231"/>
      <c r="AK156" s="231"/>
      <c r="AL156" s="231"/>
      <c r="AM156" s="231"/>
      <c r="AN156" s="231"/>
      <c r="AO156" s="231"/>
      <c r="AP156" s="231"/>
      <c r="AQ156" s="231"/>
      <c r="AR156" s="231"/>
      <c r="AS156" s="231"/>
      <c r="AT156" s="231"/>
      <c r="AU156" s="231"/>
      <c r="AV156" s="231"/>
      <c r="AW156" s="231"/>
      <c r="AX156" s="231"/>
      <c r="AY156" s="231"/>
      <c r="AZ156" s="231"/>
      <c r="BA156" s="231"/>
      <c r="BB156" s="231"/>
      <c r="BC156" s="231"/>
      <c r="BD156" s="231"/>
      <c r="BE156" s="115"/>
    </row>
    <row r="157" spans="23:57" ht="15.75">
      <c r="W157" s="118"/>
      <c r="X157" s="137"/>
      <c r="Y157" s="137"/>
      <c r="Z157" s="137"/>
      <c r="AA157" s="137"/>
      <c r="AB157" s="137"/>
      <c r="AC157" s="137"/>
      <c r="AD157" s="137"/>
      <c r="AE157" s="137"/>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42"/>
    </row>
    <row r="158" spans="23:57" ht="18.75">
      <c r="W158" s="118"/>
      <c r="X158" s="232" t="s">
        <v>167</v>
      </c>
      <c r="Y158" s="233"/>
      <c r="Z158" s="233"/>
      <c r="AA158" s="233"/>
      <c r="AB158" s="233"/>
      <c r="AC158" s="233"/>
      <c r="AD158" s="233"/>
      <c r="AE158" s="233"/>
      <c r="AF158" s="233"/>
      <c r="AG158" s="233"/>
      <c r="AH158" s="233"/>
      <c r="AI158" s="233"/>
      <c r="AJ158" s="233"/>
      <c r="AK158" s="233"/>
      <c r="AL158" s="233"/>
      <c r="AM158" s="233"/>
      <c r="AN158" s="233"/>
      <c r="AO158" s="233"/>
      <c r="AP158" s="233"/>
      <c r="AQ158" s="233"/>
      <c r="AR158" s="233"/>
      <c r="AS158" s="233"/>
      <c r="AT158" s="233"/>
      <c r="AU158" s="233"/>
      <c r="AV158" s="233"/>
      <c r="AW158" s="233"/>
      <c r="AX158" s="233"/>
      <c r="AY158" s="233"/>
      <c r="AZ158" s="233"/>
      <c r="BA158" s="233"/>
      <c r="BB158" s="233"/>
      <c r="BC158" s="233"/>
      <c r="BD158" s="233"/>
      <c r="BE158" s="148"/>
    </row>
    <row r="159" spans="23:57" ht="15.75">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row>
    <row r="160" spans="23:57" ht="17.25">
      <c r="W160" s="118"/>
      <c r="X160" s="119"/>
      <c r="Y160" s="120" t="s">
        <v>226</v>
      </c>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row>
    <row r="161" spans="23:57" ht="17.25">
      <c r="W161" s="118"/>
      <c r="X161" s="120" t="s">
        <v>227</v>
      </c>
      <c r="Y161" s="119"/>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row>
    <row r="162" spans="23:57" ht="17.25">
      <c r="W162" s="118"/>
      <c r="X162" s="120" t="s">
        <v>228</v>
      </c>
      <c r="Y162" s="119"/>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row>
    <row r="163" spans="23:57" ht="16.5" thickBot="1">
      <c r="W163" s="118"/>
      <c r="X163" s="118"/>
      <c r="Y163" s="118"/>
      <c r="Z163" s="118"/>
      <c r="AA163" s="118"/>
      <c r="AB163" s="118"/>
      <c r="AC163" s="118"/>
      <c r="AD163" s="118"/>
      <c r="AE163" s="118"/>
      <c r="AF163" s="118"/>
      <c r="AG163" s="270"/>
      <c r="AH163" s="270"/>
      <c r="AI163" s="270"/>
      <c r="AJ163" s="270"/>
      <c r="AK163" s="270"/>
      <c r="AL163" s="270"/>
      <c r="AM163" s="270"/>
      <c r="AN163" s="270"/>
      <c r="AO163" s="270"/>
      <c r="AP163" s="270"/>
      <c r="AQ163" s="270"/>
      <c r="AR163" s="270"/>
      <c r="AS163" s="270"/>
      <c r="AT163" s="270"/>
      <c r="AU163" s="270"/>
      <c r="AV163" s="118"/>
      <c r="AW163" s="118"/>
      <c r="AX163" s="118"/>
      <c r="AY163" s="118"/>
      <c r="AZ163" s="118"/>
      <c r="BA163" s="118"/>
      <c r="BB163" s="118"/>
      <c r="BC163" s="118"/>
      <c r="BD163" s="118"/>
      <c r="BE163" s="118"/>
    </row>
    <row r="164" spans="23:57" ht="15.75">
      <c r="W164" s="231" t="s">
        <v>229</v>
      </c>
      <c r="X164" s="231"/>
      <c r="Y164" s="231"/>
      <c r="Z164" s="231"/>
      <c r="AA164" s="231"/>
      <c r="AB164" s="231"/>
      <c r="AC164" s="231"/>
      <c r="AD164" s="231"/>
      <c r="AE164" s="231"/>
      <c r="AF164" s="231"/>
      <c r="AG164" s="231"/>
      <c r="AH164" s="231"/>
      <c r="AI164" s="231"/>
      <c r="AJ164" s="231"/>
      <c r="AK164" s="231"/>
      <c r="AL164" s="231"/>
      <c r="AM164" s="231"/>
      <c r="AN164" s="231"/>
      <c r="AO164" s="231"/>
      <c r="AP164" s="231"/>
      <c r="AQ164" s="231"/>
      <c r="AR164" s="231"/>
      <c r="AS164" s="231"/>
      <c r="AT164" s="231"/>
      <c r="AU164" s="231"/>
      <c r="AV164" s="231"/>
      <c r="AW164" s="231"/>
      <c r="AX164" s="231"/>
      <c r="AY164" s="231"/>
      <c r="AZ164" s="231"/>
      <c r="BA164" s="231"/>
      <c r="BB164" s="231"/>
      <c r="BC164" s="231"/>
      <c r="BD164" s="231"/>
      <c r="BE164" s="231"/>
    </row>
    <row r="165" spans="23:57" ht="15.75">
      <c r="W165" s="118"/>
      <c r="X165" s="118"/>
      <c r="Y165" s="118"/>
      <c r="Z165" s="118"/>
      <c r="AA165" s="118"/>
      <c r="AB165" s="115"/>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row>
  </sheetData>
  <protectedRanges>
    <protectedRange sqref="E25" name="Range20_1"/>
    <protectedRange sqref="G24" name="Range19_1"/>
    <protectedRange sqref="E24" name="Range18_1"/>
    <protectedRange sqref="D23" name="Range17_1"/>
    <protectedRange sqref="F23" name="Range16_1"/>
    <protectedRange sqref="G24" name="Range15_1"/>
    <protectedRange sqref="H22" name="Range14_1"/>
    <protectedRange sqref="D22" name="Range13_1"/>
    <protectedRange sqref="C1" name="Range12_1"/>
    <protectedRange sqref="C3:C9" name="Range11_1"/>
    <protectedRange sqref="D4:BK4 C10" name="Range21_1"/>
    <protectedRange sqref="C12" name="Range22_1"/>
    <protectedRange sqref="B28:B87" name="Range23_1"/>
    <protectedRange sqref="C28:C87" name="Range23"/>
  </protectedRanges>
  <mergeCells count="207">
    <mergeCell ref="W164:BE164"/>
    <mergeCell ref="AG163:AU163"/>
    <mergeCell ref="S29:T29"/>
    <mergeCell ref="X29:BD29"/>
    <mergeCell ref="S30:T30"/>
    <mergeCell ref="AU30:AV30"/>
    <mergeCell ref="C20:H21"/>
    <mergeCell ref="C24:C27"/>
    <mergeCell ref="K24:T24"/>
    <mergeCell ref="K25:T25"/>
    <mergeCell ref="X25:BD25"/>
    <mergeCell ref="X26:BD26"/>
    <mergeCell ref="K27:T27"/>
    <mergeCell ref="X27:BD27"/>
    <mergeCell ref="N34:S34"/>
    <mergeCell ref="Y34:AD34"/>
    <mergeCell ref="AF34:AL34"/>
    <mergeCell ref="AU34:BD34"/>
    <mergeCell ref="Y35:AD35"/>
    <mergeCell ref="AF35:AL35"/>
    <mergeCell ref="AW35:BA35"/>
    <mergeCell ref="N32:S32"/>
    <mergeCell ref="X32:AD32"/>
    <mergeCell ref="AE32:AL32"/>
    <mergeCell ref="AM32:AS32"/>
    <mergeCell ref="AT32:BD32"/>
    <mergeCell ref="N33:S33"/>
    <mergeCell ref="Y33:AD33"/>
    <mergeCell ref="AF33:AL33"/>
    <mergeCell ref="AU33:BD33"/>
    <mergeCell ref="R38:T38"/>
    <mergeCell ref="X38:AD38"/>
    <mergeCell ref="AH38:AL38"/>
    <mergeCell ref="AP38:AT38"/>
    <mergeCell ref="R39:T39"/>
    <mergeCell ref="AB39:AM40"/>
    <mergeCell ref="AT39:BD40"/>
    <mergeCell ref="R40:T40"/>
    <mergeCell ref="R36:T36"/>
    <mergeCell ref="Y36:AD36"/>
    <mergeCell ref="AF36:AL36"/>
    <mergeCell ref="R37:T37"/>
    <mergeCell ref="Y37:AD37"/>
    <mergeCell ref="AF37:AL37"/>
    <mergeCell ref="AS43:AU43"/>
    <mergeCell ref="R44:T44"/>
    <mergeCell ref="X44:BD44"/>
    <mergeCell ref="X47:AC47"/>
    <mergeCell ref="AD47:AH47"/>
    <mergeCell ref="AI47:AN47"/>
    <mergeCell ref="AO47:AV47"/>
    <mergeCell ref="AW47:BD47"/>
    <mergeCell ref="R41:T41"/>
    <mergeCell ref="X41:Y41"/>
    <mergeCell ref="Z41:AE41"/>
    <mergeCell ref="AJ41:AQ41"/>
    <mergeCell ref="AV41:BD41"/>
    <mergeCell ref="R42:T42"/>
    <mergeCell ref="X42:Y43"/>
    <mergeCell ref="Z42:AE43"/>
    <mergeCell ref="AS42:AU42"/>
    <mergeCell ref="R43:T43"/>
    <mergeCell ref="AX48:AY48"/>
    <mergeCell ref="AZ48:BA48"/>
    <mergeCell ref="R49:T49"/>
    <mergeCell ref="R50:T50"/>
    <mergeCell ref="R51:T51"/>
    <mergeCell ref="AK51:AL51"/>
    <mergeCell ref="AM51:AP52"/>
    <mergeCell ref="AR51:AS51"/>
    <mergeCell ref="AU51:AW51"/>
    <mergeCell ref="AX51:BD51"/>
    <mergeCell ref="R48:S48"/>
    <mergeCell ref="X48:AC48"/>
    <mergeCell ref="AD48:AH48"/>
    <mergeCell ref="AI48:AN48"/>
    <mergeCell ref="AP48:AQ48"/>
    <mergeCell ref="AR48:AS48"/>
    <mergeCell ref="R53:T53"/>
    <mergeCell ref="X53:AD53"/>
    <mergeCell ref="AE53:AT53"/>
    <mergeCell ref="X54:AD54"/>
    <mergeCell ref="AE54:AW54"/>
    <mergeCell ref="AX54:BD54"/>
    <mergeCell ref="R52:T52"/>
    <mergeCell ref="X52:AD52"/>
    <mergeCell ref="AE52:AL52"/>
    <mergeCell ref="AR52:AS52"/>
    <mergeCell ref="AU52:AW52"/>
    <mergeCell ref="AX52:BD52"/>
    <mergeCell ref="K69:M69"/>
    <mergeCell ref="AT55:BD55"/>
    <mergeCell ref="X56:AF56"/>
    <mergeCell ref="AG56:AS56"/>
    <mergeCell ref="AB57:BD57"/>
    <mergeCell ref="X58:BD58"/>
    <mergeCell ref="K60:M60"/>
    <mergeCell ref="R60:T60"/>
    <mergeCell ref="K61:M61"/>
    <mergeCell ref="P69:T69"/>
    <mergeCell ref="X72:AE72"/>
    <mergeCell ref="AG72:AM72"/>
    <mergeCell ref="AP72:AV72"/>
    <mergeCell ref="AX72:BD72"/>
    <mergeCell ref="X73:AE73"/>
    <mergeCell ref="R61:T61"/>
    <mergeCell ref="AU64:BC64"/>
    <mergeCell ref="AU65:BC65"/>
    <mergeCell ref="X66:BD66"/>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X81:BD81"/>
    <mergeCell ref="X82:AB82"/>
    <mergeCell ref="AC82:AF82"/>
    <mergeCell ref="AG82:AJ82"/>
    <mergeCell ref="AK82:AQ82"/>
    <mergeCell ref="AR82:AV82"/>
    <mergeCell ref="AW82:BD82"/>
    <mergeCell ref="AU78:AY78"/>
    <mergeCell ref="AZ78:BD78"/>
    <mergeCell ref="X79:Z79"/>
    <mergeCell ref="AA79:AD79"/>
    <mergeCell ref="AE79:AI79"/>
    <mergeCell ref="AJ79:AL79"/>
    <mergeCell ref="AM79:AQ79"/>
    <mergeCell ref="AR79:AT79"/>
    <mergeCell ref="AU79:AY79"/>
    <mergeCell ref="AZ79:BD79"/>
    <mergeCell ref="X78:Z78"/>
    <mergeCell ref="AA78:AD78"/>
    <mergeCell ref="AE78:AI78"/>
    <mergeCell ref="AJ78:AL78"/>
    <mergeCell ref="AM78:AQ78"/>
    <mergeCell ref="AR78:AT78"/>
    <mergeCell ref="X84:BD84"/>
    <mergeCell ref="AJ86:AS86"/>
    <mergeCell ref="W87:BE87"/>
    <mergeCell ref="X90:AN90"/>
    <mergeCell ref="AO90:BD90"/>
    <mergeCell ref="AB92:AJ92"/>
    <mergeCell ref="AS92:AZ92"/>
    <mergeCell ref="X83:AB83"/>
    <mergeCell ref="AC83:AF83"/>
    <mergeCell ref="AG83:AJ83"/>
    <mergeCell ref="AK83:AQ83"/>
    <mergeCell ref="AR83:AV83"/>
    <mergeCell ref="AW83:BD83"/>
    <mergeCell ref="X93:AN93"/>
    <mergeCell ref="AO93:BD93"/>
    <mergeCell ref="X100:AK100"/>
    <mergeCell ref="Y101:AX101"/>
    <mergeCell ref="AY101:BD101"/>
    <mergeCell ref="X102:Z102"/>
    <mergeCell ref="AC102:AM102"/>
    <mergeCell ref="AN102:AQ102"/>
    <mergeCell ref="AR102:BD102"/>
    <mergeCell ref="AL100:AN100"/>
    <mergeCell ref="X116:BD119"/>
    <mergeCell ref="AT120:AX126"/>
    <mergeCell ref="AZ120:BD126"/>
    <mergeCell ref="Z123:AH123"/>
    <mergeCell ref="X124:AJ124"/>
    <mergeCell ref="AT127:AX127"/>
    <mergeCell ref="AZ127:BD127"/>
    <mergeCell ref="X103:AA103"/>
    <mergeCell ref="AB103:BD103"/>
    <mergeCell ref="X104:BD104"/>
    <mergeCell ref="X105:BD107"/>
    <mergeCell ref="X108:BD110"/>
    <mergeCell ref="X111:BD115"/>
    <mergeCell ref="X158:BD158"/>
    <mergeCell ref="AA145:AC145"/>
    <mergeCell ref="X147:BD147"/>
    <mergeCell ref="AH151:AK151"/>
    <mergeCell ref="AU151:AY151"/>
    <mergeCell ref="X156:BD156"/>
    <mergeCell ref="X130:BE130"/>
    <mergeCell ref="X135:BD135"/>
    <mergeCell ref="X136:BD139"/>
    <mergeCell ref="AA142:AC142"/>
    <mergeCell ref="AA143:AC143"/>
    <mergeCell ref="AA144:AC144"/>
    <mergeCell ref="AD151:AG151"/>
    <mergeCell ref="AI155:AS155"/>
  </mergeCells>
  <printOptions horizontalCentered="1" verticalCentered="1"/>
  <pageMargins left="0" right="0" top="0" bottom="0" header="0" footer="0"/>
  <pageSetup paperSize="9" scale="60"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arrUserId title="Range3" rangeCreator="" othersAccessPermission="edit"/>
    <arrUserId title="Range2" rangeCreator="" othersAccessPermission="edit"/>
    <arrUserId title="Range1" rangeCreator="" othersAccessPermission="edit"/>
  </rangeList>
  <rangeList sheetStid="2" master="" otherUserPermission="visible"/>
  <rangeList sheetStid="1" master="" otherUserPermission="visible"/>
  <rangeList sheetStid="4"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rangeList sheetStid="5"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DATA ENTRY</vt:lpstr>
      <vt:lpstr>Amortization  Table</vt:lpstr>
      <vt:lpstr>Computation Table</vt:lpstr>
      <vt:lpstr>2 years</vt:lpstr>
      <vt:lpstr>3 years</vt:lpstr>
      <vt:lpstr>4 years</vt:lpstr>
      <vt:lpstr>5 years</vt:lpstr>
      <vt:lpstr>'2 years'!Print_Area</vt:lpstr>
      <vt:lpstr>'3 years'!Print_Area</vt:lpstr>
      <vt:lpstr>'4 years'!Print_Area</vt:lpstr>
      <vt:lpstr>'5 years'!Print_Area</vt:lpstr>
      <vt:lpstr>'Amortization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Feria</dc:creator>
  <cp:lastModifiedBy>Xander Feria</cp:lastModifiedBy>
  <cp:lastPrinted>2025-09-03T00:47:58Z</cp:lastPrinted>
  <dcterms:created xsi:type="dcterms:W3CDTF">2025-01-13T10:36:00Z</dcterms:created>
  <dcterms:modified xsi:type="dcterms:W3CDTF">2025-10-02T07:23:39Z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B448C767B0F84FEC89DA85C0518E8F17_13</vt:lpwstr>
  </property>
  <property fmtid="{D5CDD505-2E9C-101B-9397-08002B2CF9AE}" pid="3" name="KSOProductBuildVer">
    <vt:lpwstr>1033-12.2.0.19805</vt:lpwstr>
  </property>
</Properties>
</file>